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vens0-my.sharepoint.com/personal/tchen46_stevens_edu/Documents/"/>
    </mc:Choice>
  </mc:AlternateContent>
  <xr:revisionPtr revIDLastSave="633" documentId="8_{7AA4CFE1-D72E-4E56-95B3-1A6C95453764}" xr6:coauthVersionLast="47" xr6:coauthVersionMax="47" xr10:uidLastSave="{A70B2400-4119-4CCC-9E92-8F631295EEF2}"/>
  <bookViews>
    <workbookView xWindow="-105" yWindow="0" windowWidth="19410" windowHeight="21705" tabRatio="808" xr2:uid="{00000000-000D-0000-FFFF-FFFF00000000}"/>
  </bookViews>
  <sheets>
    <sheet name="MAIN" sheetId="3" r:id="rId1"/>
    <sheet name="Assumptions" sheetId="13" r:id="rId2"/>
    <sheet name="Revenue" sheetId="32" r:id="rId3"/>
    <sheet name="Calcs" sheetId="5" r:id="rId4"/>
    <sheet name="Debt" sheetId="6" r:id="rId5"/>
    <sheet name="IncState" sheetId="7" r:id="rId6"/>
    <sheet name="BalSheet" sheetId="8" r:id="rId7"/>
    <sheet name="CashFlow" sheetId="9" r:id="rId8"/>
    <sheet name="Free Cash Flow" sheetId="10" r:id="rId9"/>
    <sheet name="WACC" sheetId="11" r:id="rId10"/>
    <sheet name="DCF Model" sheetId="12" r:id="rId11"/>
    <sheet name="COMPS" sheetId="23" r:id="rId12"/>
    <sheet name="Presentation" sheetId="22" r:id="rId13"/>
  </sheets>
  <externalReferences>
    <externalReference r:id="rId14"/>
  </externalReferences>
  <definedNames>
    <definedName name="Ccy">MAIN!$C$6</definedName>
    <definedName name="CIQWBGuid" hidden="1">"3fed39ac-8be9-4d46-8f70-028dfd35ab66"</definedName>
    <definedName name="CIQWBInfo" hidden="1">"{ ""CIQVersion"":""9.48.1616.5174"" }"</definedName>
    <definedName name="circ">MAIN!$C$9</definedName>
    <definedName name="CoName">MAIN!$C$4</definedName>
    <definedName name="g">Presentation!$R$17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OpCase">[1]DCF!$E$98</definedName>
    <definedName name="ScenarioREV">Assumptions!$D$4</definedName>
    <definedName name="TTS" comment="Updated: April 2023">#REF!</definedName>
    <definedName name="Units">MAIN!$C$7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6" i="12" l="1"/>
  <c r="J5" i="3" s="1"/>
  <c r="J6" i="3" s="1"/>
  <c r="Q8" i="12"/>
  <c r="M16" i="12"/>
  <c r="I5" i="3" s="1"/>
  <c r="I6" i="3" s="1"/>
  <c r="K12" i="12"/>
  <c r="P12" i="12" s="1"/>
  <c r="K10" i="12"/>
  <c r="P10" i="12" s="1"/>
  <c r="N8" i="12"/>
  <c r="L8" i="12"/>
  <c r="G17" i="12"/>
  <c r="C17" i="12"/>
  <c r="G13" i="12"/>
  <c r="G14" i="12"/>
  <c r="G12" i="12"/>
  <c r="C13" i="12"/>
  <c r="C12" i="12"/>
  <c r="E11" i="11"/>
  <c r="E9" i="11"/>
  <c r="E10" i="11"/>
  <c r="J7" i="11"/>
  <c r="K7" i="11" s="1"/>
  <c r="I7" i="11"/>
  <c r="J6" i="11"/>
  <c r="J5" i="11"/>
  <c r="K5" i="11"/>
  <c r="K6" i="11"/>
  <c r="K4" i="11"/>
  <c r="J4" i="11"/>
  <c r="G3" i="10"/>
  <c r="H3" i="10"/>
  <c r="I3" i="10"/>
  <c r="J3" i="10"/>
  <c r="K3" i="10"/>
  <c r="L3" i="10"/>
  <c r="M3" i="10"/>
  <c r="G4" i="10"/>
  <c r="H4" i="10"/>
  <c r="I4" i="10"/>
  <c r="J4" i="10"/>
  <c r="K4" i="10"/>
  <c r="L4" i="10"/>
  <c r="M4" i="10"/>
  <c r="G8" i="10"/>
  <c r="H8" i="10"/>
  <c r="I8" i="10"/>
  <c r="J8" i="10"/>
  <c r="K8" i="10"/>
  <c r="L8" i="10"/>
  <c r="M8" i="10"/>
  <c r="G9" i="10"/>
  <c r="H9" i="10"/>
  <c r="I9" i="10"/>
  <c r="J9" i="10"/>
  <c r="K9" i="10"/>
  <c r="L9" i="10"/>
  <c r="M9" i="10"/>
  <c r="G10" i="10"/>
  <c r="H10" i="10"/>
  <c r="I10" i="10"/>
  <c r="J10" i="10"/>
  <c r="K10" i="10"/>
  <c r="L10" i="10"/>
  <c r="M10" i="10"/>
  <c r="G11" i="10"/>
  <c r="H11" i="10"/>
  <c r="I11" i="10"/>
  <c r="J11" i="10"/>
  <c r="K11" i="10"/>
  <c r="L11" i="10"/>
  <c r="M11" i="10"/>
  <c r="G12" i="10"/>
  <c r="H12" i="10"/>
  <c r="I12" i="10"/>
  <c r="J12" i="10"/>
  <c r="K12" i="10"/>
  <c r="L12" i="10"/>
  <c r="M12" i="10"/>
  <c r="G13" i="10"/>
  <c r="H13" i="10"/>
  <c r="I13" i="10"/>
  <c r="J13" i="10"/>
  <c r="K13" i="10"/>
  <c r="L13" i="10"/>
  <c r="M13" i="10"/>
  <c r="F13" i="10"/>
  <c r="F9" i="10"/>
  <c r="F10" i="10"/>
  <c r="F11" i="10"/>
  <c r="F12" i="10"/>
  <c r="F8" i="10"/>
  <c r="F4" i="10"/>
  <c r="F3" i="10"/>
  <c r="G4" i="9"/>
  <c r="H4" i="9"/>
  <c r="I4" i="9"/>
  <c r="J4" i="9"/>
  <c r="K4" i="9"/>
  <c r="L4" i="9"/>
  <c r="M4" i="9"/>
  <c r="G5" i="9"/>
  <c r="H5" i="9"/>
  <c r="I5" i="9"/>
  <c r="J5" i="9"/>
  <c r="K5" i="9"/>
  <c r="L5" i="9"/>
  <c r="M5" i="9"/>
  <c r="G6" i="9"/>
  <c r="H6" i="9"/>
  <c r="I6" i="9"/>
  <c r="J6" i="9"/>
  <c r="K6" i="9"/>
  <c r="L6" i="9"/>
  <c r="M6" i="9"/>
  <c r="G7" i="9"/>
  <c r="H7" i="9"/>
  <c r="I7" i="9"/>
  <c r="J7" i="9"/>
  <c r="K7" i="9"/>
  <c r="L7" i="9"/>
  <c r="M7" i="9"/>
  <c r="G8" i="9"/>
  <c r="H8" i="9"/>
  <c r="I8" i="9"/>
  <c r="J8" i="9"/>
  <c r="K8" i="9"/>
  <c r="L8" i="9"/>
  <c r="M8" i="9"/>
  <c r="G11" i="9"/>
  <c r="G12" i="9" s="1"/>
  <c r="H11" i="9"/>
  <c r="H12" i="9" s="1"/>
  <c r="I11" i="9"/>
  <c r="I12" i="9" s="1"/>
  <c r="J11" i="9"/>
  <c r="J12" i="9" s="1"/>
  <c r="K11" i="9"/>
  <c r="K12" i="9" s="1"/>
  <c r="L11" i="9"/>
  <c r="M11" i="9"/>
  <c r="L12" i="9"/>
  <c r="M12" i="9"/>
  <c r="G14" i="9"/>
  <c r="G16" i="9" s="1"/>
  <c r="H14" i="9"/>
  <c r="H16" i="9" s="1"/>
  <c r="I14" i="9"/>
  <c r="I16" i="9" s="1"/>
  <c r="J14" i="9"/>
  <c r="J16" i="9" s="1"/>
  <c r="K14" i="9"/>
  <c r="K16" i="9" s="1"/>
  <c r="L14" i="9"/>
  <c r="L16" i="9" s="1"/>
  <c r="M14" i="9"/>
  <c r="M16" i="9" s="1"/>
  <c r="G15" i="9"/>
  <c r="H15" i="9"/>
  <c r="I15" i="9"/>
  <c r="J15" i="9"/>
  <c r="K15" i="9"/>
  <c r="L15" i="9"/>
  <c r="M15" i="9"/>
  <c r="G13" i="8"/>
  <c r="H13" i="8"/>
  <c r="I13" i="8"/>
  <c r="J13" i="8"/>
  <c r="K13" i="8"/>
  <c r="L13" i="8"/>
  <c r="M13" i="8"/>
  <c r="G14" i="8"/>
  <c r="H14" i="8"/>
  <c r="I14" i="8"/>
  <c r="J14" i="8"/>
  <c r="K14" i="8"/>
  <c r="L14" i="8"/>
  <c r="M14" i="8"/>
  <c r="G16" i="8"/>
  <c r="H16" i="8"/>
  <c r="I16" i="8"/>
  <c r="J16" i="8"/>
  <c r="K16" i="8"/>
  <c r="L16" i="8"/>
  <c r="M16" i="8"/>
  <c r="G17" i="8"/>
  <c r="H17" i="8"/>
  <c r="I17" i="8"/>
  <c r="I20" i="5" s="1"/>
  <c r="J17" i="8"/>
  <c r="J20" i="5" s="1"/>
  <c r="K17" i="8"/>
  <c r="K20" i="5" s="1"/>
  <c r="L17" i="8"/>
  <c r="M17" i="8"/>
  <c r="G20" i="8"/>
  <c r="H20" i="8"/>
  <c r="I20" i="8"/>
  <c r="J20" i="8"/>
  <c r="K20" i="8"/>
  <c r="L20" i="8"/>
  <c r="M20" i="8"/>
  <c r="G21" i="8"/>
  <c r="H21" i="8" s="1"/>
  <c r="G22" i="8"/>
  <c r="H22" i="8"/>
  <c r="I22" i="8"/>
  <c r="J22" i="8"/>
  <c r="K22" i="8"/>
  <c r="L22" i="8"/>
  <c r="M22" i="8"/>
  <c r="G23" i="8"/>
  <c r="G28" i="8"/>
  <c r="H28" i="8"/>
  <c r="I28" i="8"/>
  <c r="J28" i="8"/>
  <c r="K28" i="8"/>
  <c r="K21" i="5" s="1"/>
  <c r="L28" i="8"/>
  <c r="L21" i="5" s="1"/>
  <c r="M28" i="8"/>
  <c r="M21" i="5" s="1"/>
  <c r="G29" i="8"/>
  <c r="G22" i="5" s="1"/>
  <c r="H29" i="8"/>
  <c r="H22" i="5" s="1"/>
  <c r="I29" i="8"/>
  <c r="I22" i="5" s="1"/>
  <c r="J29" i="8"/>
  <c r="J22" i="5" s="1"/>
  <c r="K29" i="8"/>
  <c r="L29" i="8"/>
  <c r="M29" i="8"/>
  <c r="G32" i="8"/>
  <c r="H32" i="8"/>
  <c r="I32" i="8"/>
  <c r="J32" i="8"/>
  <c r="K32" i="8"/>
  <c r="L32" i="8"/>
  <c r="M32" i="8"/>
  <c r="G33" i="8"/>
  <c r="H33" i="8"/>
  <c r="I33" i="8"/>
  <c r="J33" i="8"/>
  <c r="K33" i="8"/>
  <c r="L33" i="8"/>
  <c r="M33" i="8"/>
  <c r="G34" i="8"/>
  <c r="H34" i="8"/>
  <c r="I34" i="8"/>
  <c r="J34" i="8"/>
  <c r="K34" i="8"/>
  <c r="L34" i="8"/>
  <c r="M34" i="8"/>
  <c r="G15" i="7"/>
  <c r="H15" i="7"/>
  <c r="I15" i="7"/>
  <c r="J15" i="7"/>
  <c r="K15" i="7"/>
  <c r="L15" i="7"/>
  <c r="M15" i="7"/>
  <c r="G16" i="7"/>
  <c r="G20" i="7" s="1"/>
  <c r="H16" i="7"/>
  <c r="H20" i="7" s="1"/>
  <c r="I16" i="7"/>
  <c r="I20" i="7" s="1"/>
  <c r="J16" i="7"/>
  <c r="J20" i="7" s="1"/>
  <c r="G17" i="7"/>
  <c r="H17" i="7"/>
  <c r="I17" i="7"/>
  <c r="J17" i="7"/>
  <c r="G18" i="7"/>
  <c r="H18" i="7"/>
  <c r="I18" i="7"/>
  <c r="J18" i="7"/>
  <c r="G19" i="7"/>
  <c r="H19" i="7"/>
  <c r="I19" i="7"/>
  <c r="J19" i="7"/>
  <c r="G22" i="7"/>
  <c r="G23" i="7"/>
  <c r="H23" i="7"/>
  <c r="I23" i="7"/>
  <c r="J23" i="7"/>
  <c r="K23" i="7"/>
  <c r="L23" i="7"/>
  <c r="M23" i="7"/>
  <c r="G26" i="7"/>
  <c r="H26" i="7"/>
  <c r="I26" i="7"/>
  <c r="J26" i="7"/>
  <c r="K26" i="7"/>
  <c r="L26" i="7"/>
  <c r="M26" i="7"/>
  <c r="G27" i="7"/>
  <c r="H27" i="7"/>
  <c r="I27" i="7"/>
  <c r="J27" i="7"/>
  <c r="K27" i="7"/>
  <c r="L27" i="7"/>
  <c r="M27" i="7"/>
  <c r="G29" i="7"/>
  <c r="H29" i="7"/>
  <c r="I29" i="7"/>
  <c r="J29" i="7"/>
  <c r="K29" i="7"/>
  <c r="L29" i="7"/>
  <c r="M29" i="7"/>
  <c r="G30" i="7"/>
  <c r="H30" i="7"/>
  <c r="I30" i="7"/>
  <c r="J30" i="7"/>
  <c r="K30" i="7"/>
  <c r="L30" i="7"/>
  <c r="M30" i="7"/>
  <c r="G38" i="7"/>
  <c r="H38" i="7"/>
  <c r="I38" i="7"/>
  <c r="J38" i="7"/>
  <c r="K38" i="7"/>
  <c r="L38" i="7"/>
  <c r="M38" i="7"/>
  <c r="G39" i="7"/>
  <c r="H39" i="7"/>
  <c r="I39" i="7"/>
  <c r="J39" i="7"/>
  <c r="K39" i="7"/>
  <c r="L39" i="7"/>
  <c r="M39" i="7"/>
  <c r="G32" i="6"/>
  <c r="H32" i="6"/>
  <c r="I32" i="6"/>
  <c r="J32" i="6"/>
  <c r="K32" i="6"/>
  <c r="L32" i="6"/>
  <c r="M32" i="6"/>
  <c r="G26" i="6"/>
  <c r="H26" i="6"/>
  <c r="I26" i="6"/>
  <c r="J26" i="6"/>
  <c r="K26" i="6"/>
  <c r="L26" i="6"/>
  <c r="M26" i="6"/>
  <c r="G27" i="6"/>
  <c r="H27" i="6"/>
  <c r="I27" i="6"/>
  <c r="J27" i="6"/>
  <c r="K27" i="6"/>
  <c r="L27" i="6"/>
  <c r="M27" i="6"/>
  <c r="G17" i="6"/>
  <c r="G20" i="6" s="1"/>
  <c r="G18" i="6"/>
  <c r="H18" i="6"/>
  <c r="I18" i="6"/>
  <c r="J18" i="6"/>
  <c r="K18" i="6"/>
  <c r="L18" i="6"/>
  <c r="M18" i="6"/>
  <c r="G19" i="6"/>
  <c r="H19" i="6"/>
  <c r="I19" i="6"/>
  <c r="J19" i="6"/>
  <c r="K19" i="6"/>
  <c r="L19" i="6"/>
  <c r="M19" i="6"/>
  <c r="G21" i="6"/>
  <c r="H21" i="6"/>
  <c r="I21" i="6"/>
  <c r="J21" i="6"/>
  <c r="K21" i="6"/>
  <c r="L21" i="6"/>
  <c r="M21" i="6"/>
  <c r="H18" i="5"/>
  <c r="I18" i="5"/>
  <c r="J18" i="5"/>
  <c r="K18" i="5"/>
  <c r="L18" i="5"/>
  <c r="M18" i="5"/>
  <c r="G19" i="5"/>
  <c r="H19" i="5"/>
  <c r="I19" i="5"/>
  <c r="J19" i="5"/>
  <c r="K19" i="5"/>
  <c r="L19" i="5"/>
  <c r="M19" i="5"/>
  <c r="G20" i="5"/>
  <c r="H20" i="5"/>
  <c r="L20" i="5"/>
  <c r="M20" i="5"/>
  <c r="G21" i="5"/>
  <c r="H21" i="5"/>
  <c r="M22" i="5"/>
  <c r="G15" i="5"/>
  <c r="H15" i="5"/>
  <c r="I15" i="5"/>
  <c r="J15" i="5"/>
  <c r="K15" i="5"/>
  <c r="L15" i="5"/>
  <c r="M15" i="5"/>
  <c r="G6" i="5"/>
  <c r="G7" i="5"/>
  <c r="H7" i="5"/>
  <c r="I7" i="5"/>
  <c r="J7" i="5"/>
  <c r="G8" i="5"/>
  <c r="F30" i="7"/>
  <c r="F29" i="7"/>
  <c r="F32" i="7" s="1"/>
  <c r="F20" i="8"/>
  <c r="F20" i="9"/>
  <c r="F16" i="9"/>
  <c r="F15" i="9"/>
  <c r="F15" i="5"/>
  <c r="E16" i="5"/>
  <c r="F13" i="5" s="1"/>
  <c r="F8" i="9"/>
  <c r="F7" i="9"/>
  <c r="F18" i="5"/>
  <c r="F19" i="5"/>
  <c r="F20" i="5"/>
  <c r="F21" i="5"/>
  <c r="F22" i="5"/>
  <c r="F23" i="5"/>
  <c r="E22" i="5"/>
  <c r="E21" i="5"/>
  <c r="E20" i="5"/>
  <c r="E19" i="5"/>
  <c r="E18" i="5"/>
  <c r="E23" i="5" s="1"/>
  <c r="F24" i="5" s="1"/>
  <c r="F6" i="9" s="1"/>
  <c r="F5" i="9"/>
  <c r="F32" i="6"/>
  <c r="F25" i="6"/>
  <c r="F21" i="6"/>
  <c r="F19" i="6"/>
  <c r="F18" i="6"/>
  <c r="E20" i="6"/>
  <c r="F17" i="6" s="1"/>
  <c r="F20" i="6" s="1"/>
  <c r="F33" i="8"/>
  <c r="F29" i="8"/>
  <c r="F28" i="8"/>
  <c r="F22" i="8"/>
  <c r="F21" i="8"/>
  <c r="E32" i="13"/>
  <c r="E9" i="5"/>
  <c r="F6" i="5" s="1"/>
  <c r="F17" i="8"/>
  <c r="F16" i="8"/>
  <c r="F14" i="8"/>
  <c r="F39" i="7"/>
  <c r="F38" i="7"/>
  <c r="F23" i="7"/>
  <c r="F27" i="7"/>
  <c r="F26" i="7"/>
  <c r="F20" i="7"/>
  <c r="F19" i="7"/>
  <c r="F18" i="7"/>
  <c r="F17" i="7"/>
  <c r="F16" i="7"/>
  <c r="H34" i="13"/>
  <c r="G34" i="13"/>
  <c r="E23" i="13"/>
  <c r="E25" i="13"/>
  <c r="E54" i="13"/>
  <c r="D54" i="13"/>
  <c r="C54" i="13"/>
  <c r="E53" i="13"/>
  <c r="D53" i="13"/>
  <c r="C53" i="13"/>
  <c r="E52" i="13"/>
  <c r="D52" i="13"/>
  <c r="C52" i="13"/>
  <c r="E48" i="13"/>
  <c r="D48" i="13"/>
  <c r="C48" i="13"/>
  <c r="E45" i="13"/>
  <c r="D45" i="13"/>
  <c r="C45" i="13"/>
  <c r="E44" i="13"/>
  <c r="D44" i="13"/>
  <c r="C44" i="13"/>
  <c r="E43" i="13"/>
  <c r="D43" i="13"/>
  <c r="C43" i="13"/>
  <c r="E39" i="13"/>
  <c r="D39" i="13"/>
  <c r="C39" i="13"/>
  <c r="E38" i="13"/>
  <c r="D38" i="13"/>
  <c r="C38" i="13"/>
  <c r="D33" i="13"/>
  <c r="E33" i="13"/>
  <c r="C22" i="7"/>
  <c r="D22" i="7"/>
  <c r="E22" i="7"/>
  <c r="C32" i="13"/>
  <c r="D32" i="13"/>
  <c r="E19" i="13"/>
  <c r="D19" i="13"/>
  <c r="C19" i="13"/>
  <c r="E18" i="13"/>
  <c r="D18" i="13"/>
  <c r="C18" i="13"/>
  <c r="E17" i="13"/>
  <c r="D17" i="13"/>
  <c r="C17" i="13"/>
  <c r="E16" i="13"/>
  <c r="D16" i="13"/>
  <c r="C16" i="13"/>
  <c r="E15" i="13"/>
  <c r="D15" i="13"/>
  <c r="C15" i="13"/>
  <c r="E13" i="13"/>
  <c r="D13" i="13"/>
  <c r="C13" i="13"/>
  <c r="E12" i="13"/>
  <c r="D12" i="13"/>
  <c r="C12" i="13"/>
  <c r="E11" i="13"/>
  <c r="D11" i="13"/>
  <c r="C11" i="13"/>
  <c r="G8" i="13"/>
  <c r="H8" i="13"/>
  <c r="I8" i="13"/>
  <c r="J8" i="13"/>
  <c r="K8" i="13"/>
  <c r="L8" i="13"/>
  <c r="M8" i="13"/>
  <c r="F8" i="13"/>
  <c r="G7" i="13"/>
  <c r="H7" i="13"/>
  <c r="I7" i="13"/>
  <c r="J7" i="13"/>
  <c r="K7" i="13"/>
  <c r="L7" i="13"/>
  <c r="M7" i="13"/>
  <c r="F7" i="13"/>
  <c r="C10" i="13"/>
  <c r="D10" i="13"/>
  <c r="E10" i="13"/>
  <c r="G6" i="13"/>
  <c r="H6" i="13"/>
  <c r="I6" i="13"/>
  <c r="J6" i="13"/>
  <c r="K6" i="13"/>
  <c r="L6" i="13"/>
  <c r="M6" i="13"/>
  <c r="F6" i="13"/>
  <c r="P3" i="32"/>
  <c r="Q3" i="32"/>
  <c r="R3" i="32"/>
  <c r="S3" i="32"/>
  <c r="T3" i="32"/>
  <c r="U3" i="32"/>
  <c r="P4" i="32"/>
  <c r="P6" i="32" s="1"/>
  <c r="Q4" i="32"/>
  <c r="Q6" i="32" s="1"/>
  <c r="Q11" i="32" s="1"/>
  <c r="R4" i="32"/>
  <c r="R6" i="32" s="1"/>
  <c r="R11" i="32" s="1"/>
  <c r="S4" i="32"/>
  <c r="T4" i="32"/>
  <c r="U4" i="32"/>
  <c r="P5" i="32"/>
  <c r="Q5" i="32"/>
  <c r="R5" i="32"/>
  <c r="S5" i="32" s="1"/>
  <c r="T5" i="32" s="1"/>
  <c r="U5" i="32" s="1"/>
  <c r="O4" i="32"/>
  <c r="O5" i="32"/>
  <c r="O3" i="32"/>
  <c r="I11" i="32"/>
  <c r="D11" i="32"/>
  <c r="C11" i="32"/>
  <c r="J11" i="32"/>
  <c r="M11" i="32" s="1"/>
  <c r="K11" i="32"/>
  <c r="L11" i="32"/>
  <c r="M4" i="32"/>
  <c r="N4" i="32" s="1"/>
  <c r="N9" i="32" s="1"/>
  <c r="O9" i="32" s="1"/>
  <c r="P9" i="32" s="1"/>
  <c r="Q9" i="32" s="1"/>
  <c r="R9" i="32" s="1"/>
  <c r="S9" i="32" s="1"/>
  <c r="T9" i="32" s="1"/>
  <c r="U9" i="32" s="1"/>
  <c r="M5" i="32"/>
  <c r="N5" i="32" s="1"/>
  <c r="N10" i="32" s="1"/>
  <c r="O10" i="32" s="1"/>
  <c r="P10" i="32" s="1"/>
  <c r="Q10" i="32" s="1"/>
  <c r="R10" i="32" s="1"/>
  <c r="S10" i="32" s="1"/>
  <c r="T10" i="32" s="1"/>
  <c r="U10" i="32" s="1"/>
  <c r="M3" i="32"/>
  <c r="N3" i="32" s="1"/>
  <c r="N8" i="32" s="1"/>
  <c r="O8" i="32" s="1"/>
  <c r="P8" i="32" s="1"/>
  <c r="Q8" i="32" s="1"/>
  <c r="R8" i="32" s="1"/>
  <c r="S8" i="32" s="1"/>
  <c r="T8" i="32" s="1"/>
  <c r="U8" i="32" s="1"/>
  <c r="K8" i="32"/>
  <c r="L8" i="32"/>
  <c r="K9" i="32"/>
  <c r="L9" i="32"/>
  <c r="K10" i="32"/>
  <c r="L10" i="32"/>
  <c r="J9" i="32"/>
  <c r="J10" i="32"/>
  <c r="J8" i="32"/>
  <c r="I9" i="32"/>
  <c r="I10" i="32"/>
  <c r="I8" i="32"/>
  <c r="D9" i="32"/>
  <c r="D10" i="32"/>
  <c r="D8" i="32"/>
  <c r="C10" i="32"/>
  <c r="C9" i="32"/>
  <c r="C8" i="32"/>
  <c r="H4" i="32"/>
  <c r="H5" i="32"/>
  <c r="H3" i="32"/>
  <c r="D6" i="32"/>
  <c r="E6" i="32"/>
  <c r="F6" i="32"/>
  <c r="G6" i="32"/>
  <c r="H6" i="32"/>
  <c r="J6" i="32"/>
  <c r="K6" i="32"/>
  <c r="L6" i="32"/>
  <c r="C6" i="32"/>
  <c r="O2" i="32"/>
  <c r="P2" i="32" s="1"/>
  <c r="Q2" i="32" s="1"/>
  <c r="R2" i="32" s="1"/>
  <c r="S2" i="32" s="1"/>
  <c r="T2" i="32" s="1"/>
  <c r="U2" i="32" s="1"/>
  <c r="A1" i="32"/>
  <c r="C14" i="8"/>
  <c r="C33" i="8"/>
  <c r="C29" i="8"/>
  <c r="C28" i="8"/>
  <c r="C22" i="8"/>
  <c r="C21" i="8"/>
  <c r="C20" i="8"/>
  <c r="C15" i="8"/>
  <c r="D29" i="8"/>
  <c r="D28" i="8"/>
  <c r="D33" i="8"/>
  <c r="E33" i="8"/>
  <c r="E29" i="8"/>
  <c r="E28" i="8"/>
  <c r="E14" i="13"/>
  <c r="D14" i="13"/>
  <c r="C14" i="13"/>
  <c r="D8" i="7"/>
  <c r="C8" i="7"/>
  <c r="E8" i="7"/>
  <c r="D22" i="8"/>
  <c r="D21" i="8"/>
  <c r="D20" i="8"/>
  <c r="E22" i="8"/>
  <c r="E21" i="8"/>
  <c r="E20" i="8"/>
  <c r="D14" i="8"/>
  <c r="D15" i="8" s="1"/>
  <c r="E14" i="8"/>
  <c r="E15" i="8" s="1"/>
  <c r="D40" i="7"/>
  <c r="E40" i="7"/>
  <c r="D41" i="7"/>
  <c r="E41" i="7"/>
  <c r="C41" i="7"/>
  <c r="C40" i="7"/>
  <c r="E19" i="7"/>
  <c r="D19" i="7"/>
  <c r="C19" i="7"/>
  <c r="F8" i="3"/>
  <c r="F7" i="3"/>
  <c r="K9" i="12" l="1"/>
  <c r="P9" i="12" s="1"/>
  <c r="K13" i="12"/>
  <c r="P13" i="12" s="1"/>
  <c r="S8" i="12"/>
  <c r="H23" i="8"/>
  <c r="I21" i="8"/>
  <c r="J21" i="8" s="1"/>
  <c r="K21" i="8" s="1"/>
  <c r="L21" i="8" s="1"/>
  <c r="K23" i="8"/>
  <c r="J23" i="8"/>
  <c r="I23" i="8"/>
  <c r="H23" i="5"/>
  <c r="L22" i="5"/>
  <c r="M23" i="5"/>
  <c r="K22" i="5"/>
  <c r="K23" i="5" s="1"/>
  <c r="L24" i="5" s="1"/>
  <c r="G18" i="5"/>
  <c r="G23" i="5" s="1"/>
  <c r="L23" i="5"/>
  <c r="M24" i="5" s="1"/>
  <c r="J21" i="5"/>
  <c r="J23" i="5" s="1"/>
  <c r="K24" i="5" s="1"/>
  <c r="I21" i="5"/>
  <c r="I23" i="5" s="1"/>
  <c r="J24" i="5" s="1"/>
  <c r="J32" i="7"/>
  <c r="I32" i="7"/>
  <c r="H32" i="7"/>
  <c r="G24" i="7"/>
  <c r="G32" i="7"/>
  <c r="K16" i="7"/>
  <c r="G9" i="5"/>
  <c r="H6" i="5" s="1"/>
  <c r="H17" i="6"/>
  <c r="H20" i="6" s="1"/>
  <c r="G22" i="6"/>
  <c r="H8" i="5"/>
  <c r="H22" i="7" s="1"/>
  <c r="H24" i="7" s="1"/>
  <c r="H9" i="5"/>
  <c r="I6" i="5" s="1"/>
  <c r="F32" i="8"/>
  <c r="F26" i="6"/>
  <c r="F22" i="6"/>
  <c r="F27" i="6" s="1"/>
  <c r="U6" i="32"/>
  <c r="U11" i="32" s="1"/>
  <c r="T6" i="32"/>
  <c r="S6" i="32"/>
  <c r="S11" i="32" s="1"/>
  <c r="O6" i="32"/>
  <c r="P11" i="32" s="1"/>
  <c r="M6" i="32"/>
  <c r="N6" i="32"/>
  <c r="I6" i="32"/>
  <c r="G9" i="7"/>
  <c r="H9" i="7"/>
  <c r="I9" i="7"/>
  <c r="J9" i="7"/>
  <c r="K9" i="7"/>
  <c r="L9" i="7"/>
  <c r="M9" i="7"/>
  <c r="G10" i="7"/>
  <c r="H10" i="7"/>
  <c r="I10" i="7"/>
  <c r="J10" i="7"/>
  <c r="K10" i="7"/>
  <c r="L10" i="7"/>
  <c r="M10" i="7"/>
  <c r="A1" i="10"/>
  <c r="C18" i="8"/>
  <c r="D18" i="8"/>
  <c r="E18" i="8"/>
  <c r="D23" i="8"/>
  <c r="C23" i="8"/>
  <c r="E23" i="8"/>
  <c r="E30" i="8"/>
  <c r="C30" i="8"/>
  <c r="D30" i="8"/>
  <c r="C34" i="8"/>
  <c r="C37" i="8" s="1"/>
  <c r="D34" i="8"/>
  <c r="E34" i="8"/>
  <c r="C10" i="5"/>
  <c r="C17" i="5" s="1"/>
  <c r="D2" i="5"/>
  <c r="E2" i="5" s="1"/>
  <c r="F6" i="3"/>
  <c r="F9" i="3" s="1"/>
  <c r="G10" i="13"/>
  <c r="G4" i="7" s="1"/>
  <c r="H10" i="13"/>
  <c r="H4" i="7" s="1"/>
  <c r="I10" i="13"/>
  <c r="I4" i="7" s="1"/>
  <c r="J10" i="13"/>
  <c r="J4" i="7" s="1"/>
  <c r="K10" i="13"/>
  <c r="K4" i="7" s="1"/>
  <c r="L10" i="13"/>
  <c r="L4" i="7" s="1"/>
  <c r="M10" i="13"/>
  <c r="M4" i="7" s="1"/>
  <c r="F14" i="13"/>
  <c r="F8" i="7" s="1"/>
  <c r="G17" i="13"/>
  <c r="F33" i="13"/>
  <c r="G33" i="13" s="1"/>
  <c r="H33" i="13" s="1"/>
  <c r="I33" i="13" s="1"/>
  <c r="J33" i="13" s="1"/>
  <c r="K33" i="13" s="1"/>
  <c r="L33" i="13" s="1"/>
  <c r="M33" i="13" s="1"/>
  <c r="F32" i="13"/>
  <c r="F3" i="5" s="1"/>
  <c r="F7" i="5" s="1"/>
  <c r="A1" i="22"/>
  <c r="A1" i="23"/>
  <c r="K2" i="6"/>
  <c r="K11" i="6" s="1"/>
  <c r="K8" i="6"/>
  <c r="L8" i="6"/>
  <c r="M8" i="6"/>
  <c r="K9" i="6"/>
  <c r="L9" i="6"/>
  <c r="M9" i="6"/>
  <c r="J11" i="6"/>
  <c r="J30" i="6" s="1"/>
  <c r="I11" i="6"/>
  <c r="I30" i="6" s="1"/>
  <c r="H11" i="6"/>
  <c r="H16" i="6" s="1"/>
  <c r="H24" i="6" s="1"/>
  <c r="G11" i="6"/>
  <c r="G16" i="6" s="1"/>
  <c r="G24" i="6" s="1"/>
  <c r="F11" i="6"/>
  <c r="F30" i="6" s="1"/>
  <c r="E11" i="6"/>
  <c r="E16" i="6" s="1"/>
  <c r="E24" i="6" s="1"/>
  <c r="D11" i="6"/>
  <c r="D16" i="6" s="1"/>
  <c r="D24" i="6" s="1"/>
  <c r="C11" i="6"/>
  <c r="C30" i="6" s="1"/>
  <c r="K11" i="5"/>
  <c r="L11" i="5"/>
  <c r="M11" i="5"/>
  <c r="F24" i="13"/>
  <c r="G24" i="13" s="1"/>
  <c r="F23" i="13"/>
  <c r="F4" i="6" s="1"/>
  <c r="F25" i="13"/>
  <c r="F6" i="6" s="1"/>
  <c r="F47" i="13"/>
  <c r="G47" i="13" s="1"/>
  <c r="L50" i="13"/>
  <c r="M50" i="13"/>
  <c r="L41" i="13"/>
  <c r="M41" i="13" s="1"/>
  <c r="L36" i="13"/>
  <c r="M36" i="13"/>
  <c r="L30" i="13"/>
  <c r="M30" i="13" s="1"/>
  <c r="M21" i="13"/>
  <c r="L21" i="13"/>
  <c r="K21" i="13"/>
  <c r="D2" i="10"/>
  <c r="E2" i="10" s="1"/>
  <c r="F2" i="10" s="1"/>
  <c r="G2" i="10" s="1"/>
  <c r="H2" i="10" s="1"/>
  <c r="I2" i="10" s="1"/>
  <c r="J2" i="10" s="1"/>
  <c r="K2" i="10" s="1"/>
  <c r="L2" i="10" s="1"/>
  <c r="M2" i="10" s="1"/>
  <c r="D2" i="9"/>
  <c r="E2" i="9"/>
  <c r="F2" i="9"/>
  <c r="G2" i="9"/>
  <c r="H2" i="9"/>
  <c r="I2" i="9"/>
  <c r="J2" i="9"/>
  <c r="K2" i="9"/>
  <c r="L2" i="9"/>
  <c r="M2" i="9"/>
  <c r="F13" i="8"/>
  <c r="E13" i="8"/>
  <c r="D13" i="8"/>
  <c r="C13" i="8"/>
  <c r="K2" i="8"/>
  <c r="F10" i="7"/>
  <c r="F15" i="7"/>
  <c r="E15" i="7"/>
  <c r="D15" i="7"/>
  <c r="C15" i="7"/>
  <c r="F52" i="13"/>
  <c r="F9" i="8" s="1"/>
  <c r="D20" i="7"/>
  <c r="A1" i="3"/>
  <c r="A1" i="13"/>
  <c r="A1" i="5"/>
  <c r="A1" i="6"/>
  <c r="A1" i="7"/>
  <c r="A1" i="8"/>
  <c r="A1" i="9"/>
  <c r="A1" i="11"/>
  <c r="A1" i="12"/>
  <c r="F45" i="13"/>
  <c r="C20" i="7"/>
  <c r="F8" i="6"/>
  <c r="F11" i="5"/>
  <c r="F14" i="9" s="1"/>
  <c r="B19" i="5"/>
  <c r="F9" i="6"/>
  <c r="G9" i="6"/>
  <c r="H9" i="6"/>
  <c r="I9" i="6"/>
  <c r="J9" i="6"/>
  <c r="J8" i="6"/>
  <c r="I8" i="6"/>
  <c r="H8" i="6"/>
  <c r="G8" i="6"/>
  <c r="J11" i="5"/>
  <c r="I11" i="5"/>
  <c r="H11" i="5"/>
  <c r="E2" i="12"/>
  <c r="F2" i="12"/>
  <c r="G2" i="12"/>
  <c r="H2" i="12"/>
  <c r="I2" i="12"/>
  <c r="J2" i="12"/>
  <c r="K2" i="12"/>
  <c r="F9" i="7"/>
  <c r="G11" i="5"/>
  <c r="G24" i="5" l="1"/>
  <c r="H24" i="5"/>
  <c r="I24" i="5"/>
  <c r="L23" i="8"/>
  <c r="M21" i="8"/>
  <c r="M23" i="8" s="1"/>
  <c r="K19" i="7"/>
  <c r="K17" i="7"/>
  <c r="K20" i="7" s="1"/>
  <c r="K18" i="7"/>
  <c r="K7" i="5"/>
  <c r="L16" i="7"/>
  <c r="H22" i="6"/>
  <c r="I17" i="6"/>
  <c r="I20" i="6" s="1"/>
  <c r="I8" i="5"/>
  <c r="I22" i="7" s="1"/>
  <c r="I24" i="7" s="1"/>
  <c r="I9" i="5"/>
  <c r="J6" i="5" s="1"/>
  <c r="F11" i="9"/>
  <c r="F12" i="9" s="1"/>
  <c r="T11" i="32"/>
  <c r="O11" i="32"/>
  <c r="N11" i="32"/>
  <c r="D37" i="8"/>
  <c r="L2" i="8"/>
  <c r="M2" i="8" s="1"/>
  <c r="C24" i="7"/>
  <c r="C32" i="7"/>
  <c r="C35" i="7" s="1"/>
  <c r="D32" i="7"/>
  <c r="D35" i="7" s="1"/>
  <c r="D24" i="7"/>
  <c r="G30" i="6"/>
  <c r="E30" i="6"/>
  <c r="F5" i="6"/>
  <c r="G11" i="7"/>
  <c r="G5" i="10" s="1"/>
  <c r="G7" i="10" s="1"/>
  <c r="H17" i="13"/>
  <c r="G5" i="6"/>
  <c r="H24" i="13"/>
  <c r="G25" i="13"/>
  <c r="G6" i="6" s="1"/>
  <c r="G52" i="13"/>
  <c r="G14" i="13"/>
  <c r="G23" i="13"/>
  <c r="G4" i="6" s="1"/>
  <c r="D10" i="5"/>
  <c r="D17" i="5" s="1"/>
  <c r="E10" i="5"/>
  <c r="E17" i="5" s="1"/>
  <c r="F2" i="5"/>
  <c r="F16" i="6"/>
  <c r="F24" i="6" s="1"/>
  <c r="L2" i="6"/>
  <c r="L11" i="6" s="1"/>
  <c r="L30" i="6" s="1"/>
  <c r="K16" i="6"/>
  <c r="K24" i="6" s="1"/>
  <c r="K30" i="6"/>
  <c r="D30" i="6"/>
  <c r="M2" i="6"/>
  <c r="M11" i="6" s="1"/>
  <c r="J16" i="6"/>
  <c r="J24" i="6" s="1"/>
  <c r="D25" i="8"/>
  <c r="C16" i="6"/>
  <c r="C24" i="6" s="1"/>
  <c r="I16" i="6"/>
  <c r="I24" i="6" s="1"/>
  <c r="H30" i="6"/>
  <c r="E37" i="8"/>
  <c r="E25" i="8"/>
  <c r="C25" i="8"/>
  <c r="C39" i="8" s="1"/>
  <c r="H47" i="13"/>
  <c r="G32" i="13"/>
  <c r="F4" i="5"/>
  <c r="F6" i="8"/>
  <c r="G45" i="13"/>
  <c r="F12" i="13"/>
  <c r="G12" i="13" s="1"/>
  <c r="F43" i="13"/>
  <c r="F53" i="13"/>
  <c r="F44" i="13"/>
  <c r="E20" i="7"/>
  <c r="F48" i="13"/>
  <c r="F54" i="13"/>
  <c r="G34" i="7" l="1"/>
  <c r="G35" i="7" s="1"/>
  <c r="K32" i="7"/>
  <c r="G40" i="7"/>
  <c r="G41" i="7"/>
  <c r="G14" i="5"/>
  <c r="L19" i="7"/>
  <c r="M16" i="7"/>
  <c r="L7" i="5"/>
  <c r="L17" i="7"/>
  <c r="L18" i="7"/>
  <c r="L20" i="7" s="1"/>
  <c r="J17" i="6"/>
  <c r="J20" i="6" s="1"/>
  <c r="I22" i="6"/>
  <c r="J8" i="5"/>
  <c r="J22" i="7" s="1"/>
  <c r="J24" i="7" s="1"/>
  <c r="J9" i="5"/>
  <c r="K6" i="5" s="1"/>
  <c r="G4" i="5"/>
  <c r="H4" i="5" s="1"/>
  <c r="I4" i="5" s="1"/>
  <c r="J4" i="5" s="1"/>
  <c r="K4" i="5" s="1"/>
  <c r="L4" i="5" s="1"/>
  <c r="M4" i="5" s="1"/>
  <c r="F8" i="5"/>
  <c r="D39" i="8"/>
  <c r="E39" i="8"/>
  <c r="E32" i="7"/>
  <c r="E35" i="7" s="1"/>
  <c r="E24" i="7"/>
  <c r="H25" i="13"/>
  <c r="I25" i="13" s="1"/>
  <c r="H11" i="7"/>
  <c r="I17" i="13"/>
  <c r="H5" i="6"/>
  <c r="I24" i="13"/>
  <c r="H12" i="13"/>
  <c r="G6" i="7"/>
  <c r="I47" i="13"/>
  <c r="H23" i="13"/>
  <c r="H14" i="13"/>
  <c r="G8" i="7"/>
  <c r="G9" i="8"/>
  <c r="H52" i="13"/>
  <c r="G2" i="5"/>
  <c r="F10" i="5"/>
  <c r="F17" i="5" s="1"/>
  <c r="L16" i="6"/>
  <c r="L24" i="6" s="1"/>
  <c r="M16" i="6"/>
  <c r="M24" i="6" s="1"/>
  <c r="M30" i="6"/>
  <c r="H32" i="13"/>
  <c r="G3" i="5"/>
  <c r="H4" i="6"/>
  <c r="I23" i="13"/>
  <c r="J47" i="13"/>
  <c r="F5" i="8"/>
  <c r="G44" i="13"/>
  <c r="G43" i="13"/>
  <c r="H43" i="13" s="1"/>
  <c r="I43" i="13" s="1"/>
  <c r="J43" i="13" s="1"/>
  <c r="K43" i="13" s="1"/>
  <c r="L43" i="13" s="1"/>
  <c r="M43" i="13" s="1"/>
  <c r="F4" i="8"/>
  <c r="F13" i="13"/>
  <c r="G13" i="13" s="1"/>
  <c r="F6" i="7"/>
  <c r="F11" i="8"/>
  <c r="G54" i="13"/>
  <c r="G48" i="13"/>
  <c r="F7" i="8"/>
  <c r="F11" i="13"/>
  <c r="G11" i="13" s="1"/>
  <c r="F10" i="8"/>
  <c r="G53" i="13"/>
  <c r="G6" i="8"/>
  <c r="H45" i="13"/>
  <c r="H5" i="10" l="1"/>
  <c r="H7" i="10" s="1"/>
  <c r="H34" i="7"/>
  <c r="H35" i="7" s="1"/>
  <c r="L32" i="7"/>
  <c r="M19" i="7"/>
  <c r="M18" i="7"/>
  <c r="M20" i="7"/>
  <c r="M17" i="7"/>
  <c r="M7" i="5"/>
  <c r="K17" i="6"/>
  <c r="K20" i="6" s="1"/>
  <c r="J22" i="6"/>
  <c r="K8" i="5"/>
  <c r="K22" i="7" s="1"/>
  <c r="K24" i="7" s="1"/>
  <c r="F22" i="7"/>
  <c r="F24" i="7" s="1"/>
  <c r="F4" i="9"/>
  <c r="F9" i="5"/>
  <c r="H6" i="6"/>
  <c r="I11" i="7"/>
  <c r="J17" i="13"/>
  <c r="J24" i="13"/>
  <c r="I5" i="6"/>
  <c r="H9" i="8"/>
  <c r="I52" i="13"/>
  <c r="G5" i="7"/>
  <c r="H11" i="13"/>
  <c r="I14" i="13"/>
  <c r="H8" i="7"/>
  <c r="H13" i="13"/>
  <c r="G7" i="7"/>
  <c r="I12" i="13"/>
  <c r="H6" i="7"/>
  <c r="H2" i="5"/>
  <c r="G10" i="5"/>
  <c r="G17" i="5" s="1"/>
  <c r="I4" i="6"/>
  <c r="J23" i="13"/>
  <c r="I32" i="13"/>
  <c r="H3" i="5"/>
  <c r="K47" i="13"/>
  <c r="J25" i="13"/>
  <c r="I6" i="6"/>
  <c r="F23" i="8"/>
  <c r="H53" i="13"/>
  <c r="G10" i="8"/>
  <c r="F5" i="7"/>
  <c r="H48" i="13"/>
  <c r="G7" i="8"/>
  <c r="H54" i="13"/>
  <c r="G11" i="8"/>
  <c r="F34" i="8"/>
  <c r="I45" i="13"/>
  <c r="H6" i="8"/>
  <c r="F7" i="7"/>
  <c r="G4" i="8"/>
  <c r="H44" i="13"/>
  <c r="G5" i="8"/>
  <c r="H41" i="7" l="1"/>
  <c r="H14" i="5"/>
  <c r="H40" i="7"/>
  <c r="I5" i="10"/>
  <c r="I7" i="10" s="1"/>
  <c r="I34" i="7"/>
  <c r="I35" i="7" s="1"/>
  <c r="M32" i="7"/>
  <c r="K9" i="5"/>
  <c r="L6" i="5" s="1"/>
  <c r="L17" i="6"/>
  <c r="L20" i="6" s="1"/>
  <c r="K22" i="6"/>
  <c r="L8" i="5"/>
  <c r="L22" i="7" s="1"/>
  <c r="L24" i="7" s="1"/>
  <c r="L9" i="5"/>
  <c r="M6" i="5" s="1"/>
  <c r="J11" i="7"/>
  <c r="K17" i="13"/>
  <c r="K24" i="13"/>
  <c r="J5" i="6"/>
  <c r="J12" i="13"/>
  <c r="I6" i="7"/>
  <c r="I13" i="13"/>
  <c r="H7" i="7"/>
  <c r="J14" i="13"/>
  <c r="I8" i="7"/>
  <c r="I11" i="13"/>
  <c r="H5" i="7"/>
  <c r="J52" i="13"/>
  <c r="I9" i="8"/>
  <c r="I2" i="5"/>
  <c r="H10" i="5"/>
  <c r="H17" i="5" s="1"/>
  <c r="I3" i="5"/>
  <c r="J32" i="13"/>
  <c r="J4" i="6"/>
  <c r="K23" i="13"/>
  <c r="L47" i="13"/>
  <c r="J6" i="6"/>
  <c r="K25" i="13"/>
  <c r="F18" i="13"/>
  <c r="G18" i="13" s="1"/>
  <c r="J45" i="13"/>
  <c r="I6" i="8"/>
  <c r="H11" i="8"/>
  <c r="I54" i="13"/>
  <c r="I48" i="13"/>
  <c r="H7" i="8"/>
  <c r="I44" i="13"/>
  <c r="H5" i="8"/>
  <c r="H4" i="8"/>
  <c r="L4" i="11"/>
  <c r="L5" i="11" s="1"/>
  <c r="L6" i="11" s="1"/>
  <c r="L7" i="11" s="1"/>
  <c r="I53" i="13"/>
  <c r="H10" i="8"/>
  <c r="I40" i="7" l="1"/>
  <c r="I14" i="5"/>
  <c r="I41" i="7"/>
  <c r="J5" i="10"/>
  <c r="J7" i="10" s="1"/>
  <c r="J34" i="7"/>
  <c r="J35" i="7" s="1"/>
  <c r="L22" i="6"/>
  <c r="M17" i="6"/>
  <c r="M20" i="6" s="1"/>
  <c r="M22" i="6" s="1"/>
  <c r="M8" i="5"/>
  <c r="M22" i="7" s="1"/>
  <c r="M24" i="7" s="1"/>
  <c r="M9" i="5"/>
  <c r="K11" i="7"/>
  <c r="L17" i="13"/>
  <c r="L24" i="13"/>
  <c r="K5" i="6"/>
  <c r="H18" i="13"/>
  <c r="G12" i="7"/>
  <c r="J9" i="8"/>
  <c r="K52" i="13"/>
  <c r="J11" i="13"/>
  <c r="I5" i="7"/>
  <c r="K14" i="13"/>
  <c r="J8" i="7"/>
  <c r="I7" i="7"/>
  <c r="J13" i="13"/>
  <c r="K12" i="13"/>
  <c r="J6" i="7"/>
  <c r="J2" i="5"/>
  <c r="I10" i="5"/>
  <c r="I17" i="5" s="1"/>
  <c r="K32" i="13"/>
  <c r="J3" i="5"/>
  <c r="L23" i="13"/>
  <c r="K4" i="6"/>
  <c r="M47" i="13"/>
  <c r="K6" i="6"/>
  <c r="L25" i="13"/>
  <c r="I4" i="8"/>
  <c r="F19" i="13"/>
  <c r="G19" i="13" s="1"/>
  <c r="I5" i="8"/>
  <c r="J44" i="13"/>
  <c r="J48" i="13"/>
  <c r="I7" i="8"/>
  <c r="I11" i="8"/>
  <c r="J54" i="13"/>
  <c r="J6" i="8"/>
  <c r="K45" i="13"/>
  <c r="J53" i="13"/>
  <c r="I10" i="8"/>
  <c r="F11" i="7"/>
  <c r="E12" i="11"/>
  <c r="F38" i="13"/>
  <c r="F12" i="7"/>
  <c r="F5" i="10" l="1"/>
  <c r="F34" i="7"/>
  <c r="F35" i="7" s="1"/>
  <c r="K5" i="10"/>
  <c r="K7" i="10" s="1"/>
  <c r="K34" i="7"/>
  <c r="K35" i="7" s="1"/>
  <c r="J40" i="7"/>
  <c r="J41" i="7"/>
  <c r="J14" i="5"/>
  <c r="L11" i="7"/>
  <c r="M17" i="13"/>
  <c r="M11" i="7" s="1"/>
  <c r="M24" i="13"/>
  <c r="M5" i="6" s="1"/>
  <c r="L5" i="6"/>
  <c r="G13" i="7"/>
  <c r="H19" i="13"/>
  <c r="L12" i="13"/>
  <c r="K6" i="7"/>
  <c r="J7" i="7"/>
  <c r="K13" i="13"/>
  <c r="L52" i="13"/>
  <c r="K9" i="8"/>
  <c r="L14" i="13"/>
  <c r="K8" i="7"/>
  <c r="K11" i="13"/>
  <c r="J5" i="7"/>
  <c r="I18" i="13"/>
  <c r="H12" i="7"/>
  <c r="K2" i="5"/>
  <c r="J10" i="5"/>
  <c r="J17" i="5" s="1"/>
  <c r="L4" i="6"/>
  <c r="M23" i="13"/>
  <c r="M4" i="6" s="1"/>
  <c r="L32" i="13"/>
  <c r="K3" i="5"/>
  <c r="M25" i="13"/>
  <c r="M6" i="6" s="1"/>
  <c r="L6" i="6"/>
  <c r="K48" i="13"/>
  <c r="J7" i="8"/>
  <c r="G38" i="13"/>
  <c r="M4" i="11"/>
  <c r="J11" i="8"/>
  <c r="K54" i="13"/>
  <c r="K53" i="13"/>
  <c r="J10" i="8"/>
  <c r="L45" i="13"/>
  <c r="K6" i="8"/>
  <c r="F7" i="10"/>
  <c r="F15" i="10" s="1"/>
  <c r="J5" i="8"/>
  <c r="K44" i="13"/>
  <c r="F39" i="13"/>
  <c r="F13" i="7"/>
  <c r="J4" i="8"/>
  <c r="M5" i="10" l="1"/>
  <c r="M7" i="10" s="1"/>
  <c r="M34" i="7"/>
  <c r="M35" i="7" s="1"/>
  <c r="L5" i="10"/>
  <c r="L7" i="10" s="1"/>
  <c r="L34" i="7"/>
  <c r="L35" i="7" s="1"/>
  <c r="K41" i="7"/>
  <c r="K14" i="5"/>
  <c r="K40" i="7"/>
  <c r="F41" i="7"/>
  <c r="F40" i="7"/>
  <c r="F14" i="5"/>
  <c r="F16" i="5" s="1"/>
  <c r="H13" i="7"/>
  <c r="I19" i="13"/>
  <c r="J18" i="13"/>
  <c r="I12" i="7"/>
  <c r="L11" i="13"/>
  <c r="K5" i="7"/>
  <c r="M14" i="13"/>
  <c r="M8" i="7" s="1"/>
  <c r="L8" i="7"/>
  <c r="M52" i="13"/>
  <c r="M9" i="8" s="1"/>
  <c r="L9" i="8"/>
  <c r="K7" i="7"/>
  <c r="L13" i="13"/>
  <c r="M12" i="13"/>
  <c r="M6" i="7" s="1"/>
  <c r="L6" i="7"/>
  <c r="L2" i="5"/>
  <c r="K10" i="5"/>
  <c r="K17" i="5" s="1"/>
  <c r="M32" i="13"/>
  <c r="M3" i="5" s="1"/>
  <c r="L3" i="5"/>
  <c r="G15" i="10"/>
  <c r="L44" i="13"/>
  <c r="K5" i="8"/>
  <c r="F3" i="9"/>
  <c r="F9" i="9" s="1"/>
  <c r="F18" i="9" s="1"/>
  <c r="F21" i="9" s="1"/>
  <c r="F22" i="9" s="1"/>
  <c r="M5" i="11"/>
  <c r="H38" i="13"/>
  <c r="K11" i="8"/>
  <c r="L54" i="13"/>
  <c r="G39" i="13"/>
  <c r="L6" i="8"/>
  <c r="M45" i="13"/>
  <c r="M6" i="8" s="1"/>
  <c r="K10" i="8"/>
  <c r="L53" i="13"/>
  <c r="K7" i="8"/>
  <c r="L48" i="13"/>
  <c r="K4" i="8"/>
  <c r="F36" i="8" l="1"/>
  <c r="G13" i="5"/>
  <c r="G16" i="5" s="1"/>
  <c r="L40" i="7"/>
  <c r="L41" i="7"/>
  <c r="L14" i="5"/>
  <c r="M41" i="7"/>
  <c r="M14" i="5"/>
  <c r="M40" i="7"/>
  <c r="F27" i="8"/>
  <c r="F15" i="8"/>
  <c r="M13" i="13"/>
  <c r="M7" i="7" s="1"/>
  <c r="L7" i="7"/>
  <c r="K18" i="13"/>
  <c r="J12" i="7"/>
  <c r="M11" i="13"/>
  <c r="M5" i="7" s="1"/>
  <c r="L5" i="7"/>
  <c r="J19" i="13"/>
  <c r="I13" i="7"/>
  <c r="M2" i="5"/>
  <c r="M10" i="5" s="1"/>
  <c r="M17" i="5" s="1"/>
  <c r="L10" i="5"/>
  <c r="L17" i="5" s="1"/>
  <c r="G3" i="9"/>
  <c r="G9" i="9" s="1"/>
  <c r="G18" i="9" s="1"/>
  <c r="G21" i="9" s="1"/>
  <c r="H15" i="10"/>
  <c r="H39" i="13"/>
  <c r="L5" i="8"/>
  <c r="M44" i="13"/>
  <c r="M5" i="8" s="1"/>
  <c r="L4" i="8"/>
  <c r="M54" i="13"/>
  <c r="M11" i="8" s="1"/>
  <c r="L11" i="8"/>
  <c r="L7" i="8"/>
  <c r="M48" i="13"/>
  <c r="M7" i="8" s="1"/>
  <c r="M6" i="11"/>
  <c r="M7" i="11"/>
  <c r="M53" i="13"/>
  <c r="M10" i="8" s="1"/>
  <c r="L10" i="8"/>
  <c r="I38" i="13"/>
  <c r="F31" i="6" l="1"/>
  <c r="F33" i="6" s="1"/>
  <c r="G20" i="9"/>
  <c r="H13" i="5"/>
  <c r="H16" i="5" s="1"/>
  <c r="G36" i="8"/>
  <c r="G22" i="9"/>
  <c r="G15" i="8"/>
  <c r="G27" i="8"/>
  <c r="G30" i="8" s="1"/>
  <c r="G37" i="8" s="1"/>
  <c r="K19" i="13"/>
  <c r="J13" i="7"/>
  <c r="L18" i="13"/>
  <c r="K12" i="7"/>
  <c r="M9" i="11"/>
  <c r="M11" i="11" s="1"/>
  <c r="E8" i="11" s="1"/>
  <c r="E13" i="11" s="1"/>
  <c r="O3" i="12" s="1"/>
  <c r="M4" i="8"/>
  <c r="I39" i="13"/>
  <c r="H3" i="9"/>
  <c r="H9" i="9" s="1"/>
  <c r="H18" i="9" s="1"/>
  <c r="H21" i="9" s="1"/>
  <c r="F18" i="8"/>
  <c r="F25" i="8" s="1"/>
  <c r="F30" i="8"/>
  <c r="J38" i="13"/>
  <c r="E3" i="12" l="1"/>
  <c r="E4" i="12" s="1"/>
  <c r="D3" i="12"/>
  <c r="D4" i="12" s="1"/>
  <c r="F3" i="12"/>
  <c r="F4" i="12" s="1"/>
  <c r="I3" i="12"/>
  <c r="I4" i="12" s="1"/>
  <c r="G3" i="12"/>
  <c r="G4" i="12" s="1"/>
  <c r="J3" i="12"/>
  <c r="J4" i="12" s="1"/>
  <c r="H3" i="12"/>
  <c r="H4" i="12" s="1"/>
  <c r="K3" i="12"/>
  <c r="H36" i="8"/>
  <c r="I13" i="5"/>
  <c r="I16" i="5" s="1"/>
  <c r="G31" i="6"/>
  <c r="G33" i="6" s="1"/>
  <c r="H20" i="9"/>
  <c r="H22" i="9" s="1"/>
  <c r="G18" i="8"/>
  <c r="G25" i="8" s="1"/>
  <c r="G39" i="8" s="1"/>
  <c r="M18" i="13"/>
  <c r="M12" i="7" s="1"/>
  <c r="L12" i="7"/>
  <c r="L19" i="13"/>
  <c r="K13" i="7"/>
  <c r="F37" i="8"/>
  <c r="F39" i="8" s="1"/>
  <c r="J3" i="9"/>
  <c r="J9" i="9" s="1"/>
  <c r="J18" i="9" s="1"/>
  <c r="J21" i="9" s="1"/>
  <c r="K38" i="13"/>
  <c r="J39" i="13"/>
  <c r="I3" i="9"/>
  <c r="I9" i="9" s="1"/>
  <c r="I18" i="9" s="1"/>
  <c r="I21" i="9" s="1"/>
  <c r="I15" i="10"/>
  <c r="K4" i="12" l="1"/>
  <c r="K5" i="12" s="1"/>
  <c r="C8" i="12" s="1"/>
  <c r="G8" i="12"/>
  <c r="J13" i="5"/>
  <c r="J16" i="5" s="1"/>
  <c r="I36" i="8"/>
  <c r="H15" i="8"/>
  <c r="H27" i="8"/>
  <c r="H30" i="8" s="1"/>
  <c r="H37" i="8" s="1"/>
  <c r="M19" i="13"/>
  <c r="M13" i="7" s="1"/>
  <c r="L13" i="7"/>
  <c r="K3" i="9"/>
  <c r="K9" i="9" s="1"/>
  <c r="K18" i="9" s="1"/>
  <c r="K21" i="9" s="1"/>
  <c r="K39" i="13"/>
  <c r="L38" i="13"/>
  <c r="C7" i="12" l="1"/>
  <c r="J36" i="8"/>
  <c r="K13" i="5"/>
  <c r="K16" i="5" s="1"/>
  <c r="I20" i="9"/>
  <c r="I22" i="9" s="1"/>
  <c r="H31" i="6"/>
  <c r="H33" i="6" s="1"/>
  <c r="H18" i="8"/>
  <c r="H25" i="8" s="1"/>
  <c r="H39" i="8" s="1"/>
  <c r="M38" i="13"/>
  <c r="L39" i="13"/>
  <c r="L3" i="9"/>
  <c r="L9" i="9" s="1"/>
  <c r="L18" i="9" s="1"/>
  <c r="L21" i="9" s="1"/>
  <c r="G7" i="12" l="1"/>
  <c r="G9" i="12" s="1"/>
  <c r="G15" i="12" s="1"/>
  <c r="G18" i="12" s="1"/>
  <c r="P8" i="12" s="1"/>
  <c r="C9" i="12"/>
  <c r="C15" i="12" s="1"/>
  <c r="C18" i="12" s="1"/>
  <c r="K8" i="12" s="1"/>
  <c r="L13" i="5"/>
  <c r="L16" i="5" s="1"/>
  <c r="K36" i="8"/>
  <c r="I15" i="8"/>
  <c r="I27" i="8"/>
  <c r="I30" i="8" s="1"/>
  <c r="I37" i="8" s="1"/>
  <c r="J15" i="10"/>
  <c r="M3" i="9"/>
  <c r="M9" i="9" s="1"/>
  <c r="M18" i="9" s="1"/>
  <c r="M21" i="9" s="1"/>
  <c r="M39" i="13"/>
  <c r="L36" i="8" l="1"/>
  <c r="M13" i="5"/>
  <c r="M16" i="5" s="1"/>
  <c r="M36" i="8" s="1"/>
  <c r="J20" i="9"/>
  <c r="J22" i="9" s="1"/>
  <c r="I31" i="6"/>
  <c r="I33" i="6" s="1"/>
  <c r="I18" i="8"/>
  <c r="I25" i="8" s="1"/>
  <c r="I39" i="8" s="1"/>
  <c r="K15" i="10"/>
  <c r="J27" i="8" l="1"/>
  <c r="J30" i="8" s="1"/>
  <c r="J37" i="8" s="1"/>
  <c r="J15" i="8"/>
  <c r="L15" i="10"/>
  <c r="K20" i="9" l="1"/>
  <c r="K22" i="9" s="1"/>
  <c r="J31" i="6"/>
  <c r="J33" i="6" s="1"/>
  <c r="J18" i="8"/>
  <c r="J25" i="8" s="1"/>
  <c r="J39" i="8" s="1"/>
  <c r="M15" i="10"/>
  <c r="K27" i="8" l="1"/>
  <c r="K30" i="8" s="1"/>
  <c r="K37" i="8" s="1"/>
  <c r="K15" i="8"/>
  <c r="F10" i="13"/>
  <c r="K31" i="6" l="1"/>
  <c r="K33" i="6" s="1"/>
  <c r="L20" i="9"/>
  <c r="L22" i="9" s="1"/>
  <c r="K18" i="8"/>
  <c r="K25" i="8" s="1"/>
  <c r="K39" i="8" s="1"/>
  <c r="F4" i="7"/>
  <c r="L27" i="8" l="1"/>
  <c r="L30" i="8" s="1"/>
  <c r="L37" i="8" s="1"/>
  <c r="L15" i="8"/>
  <c r="L31" i="6" l="1"/>
  <c r="L33" i="6" s="1"/>
  <c r="M20" i="9"/>
  <c r="M22" i="9" s="1"/>
  <c r="L18" i="8"/>
  <c r="L25" i="8" s="1"/>
  <c r="L39" i="8"/>
  <c r="M27" i="8" l="1"/>
  <c r="M30" i="8" s="1"/>
  <c r="M37" i="8" s="1"/>
  <c r="M15" i="8"/>
  <c r="M31" i="6" l="1"/>
  <c r="M33" i="6" s="1"/>
  <c r="M18" i="8"/>
  <c r="M25" i="8" s="1"/>
  <c r="M39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Ascoli</author>
  </authors>
  <commentList>
    <comment ref="C5" authorId="0" shapeId="0" xr:uid="{00000000-0006-0000-0000-000001000000}">
      <text>
        <r>
          <rPr>
            <sz val="8"/>
            <color indexed="81"/>
            <rFont val="Tahoma"/>
            <family val="2"/>
          </rPr>
          <t>Latest historical year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Alan Chen</author>
  </authors>
  <commentList>
    <comment ref="G10" authorId="0" shapeId="0" xr:uid="{1083F158-90D8-4485-AB2E-5BC81D005AE5}">
      <text>
        <r>
          <rPr>
            <b/>
            <sz val="9"/>
            <color indexed="81"/>
            <rFont val="Tahoma"/>
            <family val="2"/>
          </rPr>
          <t>Alan Chen:</t>
        </r>
        <r>
          <rPr>
            <sz val="9"/>
            <color indexed="81"/>
            <rFont val="Tahoma"/>
            <family val="2"/>
          </rPr>
          <t xml:space="preserve">
Fixed for full year instead of mid-year convention</t>
        </r>
      </text>
    </comment>
  </commentList>
</comments>
</file>

<file path=xl/sharedStrings.xml><?xml version="1.0" encoding="utf-8"?>
<sst xmlns="http://schemas.openxmlformats.org/spreadsheetml/2006/main" count="405" uniqueCount="237">
  <si>
    <t>Hist.</t>
  </si>
  <si>
    <t>Proj.</t>
  </si>
  <si>
    <t>Analyst name</t>
  </si>
  <si>
    <t>Company name</t>
  </si>
  <si>
    <t>Latest BS date</t>
  </si>
  <si>
    <t>Currency</t>
  </si>
  <si>
    <t>Units</t>
  </si>
  <si>
    <t>Circular switch</t>
  </si>
  <si>
    <t>m</t>
  </si>
  <si>
    <t>USD</t>
  </si>
  <si>
    <t>Assumptions</t>
  </si>
  <si>
    <t>Net PP&amp;E</t>
  </si>
  <si>
    <t>Capital expenditure % of sales</t>
  </si>
  <si>
    <t>Beginning PP&amp;E</t>
  </si>
  <si>
    <t>Capex</t>
  </si>
  <si>
    <t>Depreciation</t>
  </si>
  <si>
    <t>Ending PP&amp;E</t>
  </si>
  <si>
    <t>Equity</t>
  </si>
  <si>
    <t>Share issuance/(repurchases)</t>
  </si>
  <si>
    <t>Beginning balance</t>
  </si>
  <si>
    <t>Net income</t>
  </si>
  <si>
    <t>Share issuance / (repurchase)</t>
  </si>
  <si>
    <t>Ending balance</t>
  </si>
  <si>
    <t>OWC</t>
  </si>
  <si>
    <t>Interest rate on revolver</t>
  </si>
  <si>
    <t>Interest rate on long-term debt</t>
  </si>
  <si>
    <t>Interest rate on cash</t>
  </si>
  <si>
    <t>Issuance of long-term debt</t>
  </si>
  <si>
    <t>Repayment of long-term debt</t>
  </si>
  <si>
    <t>Revolver</t>
  </si>
  <si>
    <t>Balance</t>
  </si>
  <si>
    <t>Interest rate</t>
  </si>
  <si>
    <t>Interest expense</t>
  </si>
  <si>
    <t>Long term debt</t>
  </si>
  <si>
    <t>Issuance</t>
  </si>
  <si>
    <t>Repayment</t>
  </si>
  <si>
    <t>Debt summary</t>
  </si>
  <si>
    <t>Total long term debt</t>
  </si>
  <si>
    <t xml:space="preserve"> Total debt</t>
  </si>
  <si>
    <t xml:space="preserve"> Total interest expense</t>
  </si>
  <si>
    <t>Interest income</t>
  </si>
  <si>
    <t>Income statement</t>
  </si>
  <si>
    <t>Revenue growth</t>
  </si>
  <si>
    <t>Cost of goods sold as % of sales</t>
  </si>
  <si>
    <t>SG&amp;A % of sales</t>
  </si>
  <si>
    <t>Amortization amount</t>
  </si>
  <si>
    <t>Non recurring items, amount</t>
  </si>
  <si>
    <t>Effective tax rate</t>
  </si>
  <si>
    <t>Basic WASO</t>
  </si>
  <si>
    <t>Diluted WASO</t>
  </si>
  <si>
    <t>Revenue</t>
  </si>
  <si>
    <t>SG&amp;A</t>
  </si>
  <si>
    <t>EBITDA</t>
  </si>
  <si>
    <t>Amortization</t>
  </si>
  <si>
    <t>EBIT</t>
  </si>
  <si>
    <t>Non-recurring items</t>
  </si>
  <si>
    <t>Other income (expense)</t>
  </si>
  <si>
    <t>Tax expense</t>
  </si>
  <si>
    <t xml:space="preserve"> Net income</t>
  </si>
  <si>
    <t>Shareholder information</t>
  </si>
  <si>
    <t>Basic earnings per share</t>
  </si>
  <si>
    <t>Diluted earnings per share</t>
  </si>
  <si>
    <t>Balance sheet</t>
  </si>
  <si>
    <t>Other current assets % of sales</t>
  </si>
  <si>
    <t>Other long-term assets % of sales</t>
  </si>
  <si>
    <t>Other current liabilities % of sales</t>
  </si>
  <si>
    <t>Other long-term liabilities % of sales</t>
  </si>
  <si>
    <t>Accounts receivable</t>
  </si>
  <si>
    <t>Other current assets</t>
  </si>
  <si>
    <t xml:space="preserve"> Total current assets</t>
  </si>
  <si>
    <t>Property, plant &amp; equipment, net</t>
  </si>
  <si>
    <t xml:space="preserve"> Total non-current assets</t>
  </si>
  <si>
    <t>TOTAL ASSETS</t>
  </si>
  <si>
    <t>Revolver/Short term debt</t>
  </si>
  <si>
    <t>Other current liabilities</t>
  </si>
  <si>
    <t xml:space="preserve"> Total current liabilities</t>
  </si>
  <si>
    <t>Long-term debt, including current maturities</t>
  </si>
  <si>
    <t>Other long-term liabilities</t>
  </si>
  <si>
    <t xml:space="preserve"> Total non-current liabilities</t>
  </si>
  <si>
    <t>TOTAL LIABILITIES &amp; EQUITY</t>
  </si>
  <si>
    <t>Balance check</t>
  </si>
  <si>
    <t>Cash flow statement</t>
  </si>
  <si>
    <t>Pretax Income</t>
  </si>
  <si>
    <t>Alan Chen</t>
  </si>
  <si>
    <t>Free Cash Flows</t>
  </si>
  <si>
    <t>Sales</t>
  </si>
  <si>
    <t>NOPAT</t>
  </si>
  <si>
    <t>(inc) / dec in OWC</t>
  </si>
  <si>
    <t>(Capex)</t>
  </si>
  <si>
    <t>Free Cash Flow</t>
  </si>
  <si>
    <t>Effective Tax Rate</t>
  </si>
  <si>
    <t>Risk free rate</t>
  </si>
  <si>
    <t>Market risk Premium</t>
  </si>
  <si>
    <t>Beta</t>
  </si>
  <si>
    <t>Cost of Equity</t>
  </si>
  <si>
    <t>% Equity</t>
  </si>
  <si>
    <t>% Debt</t>
  </si>
  <si>
    <t>Post tax cost of debt</t>
  </si>
  <si>
    <t>WACC</t>
  </si>
  <si>
    <t>Long Term growth rate</t>
  </si>
  <si>
    <t>Mkt Cap</t>
  </si>
  <si>
    <t>Levered beta</t>
  </si>
  <si>
    <t>Gross debt</t>
  </si>
  <si>
    <t>Market cap</t>
  </si>
  <si>
    <t>Debt/Mcap</t>
  </si>
  <si>
    <t>Unlevered beta</t>
  </si>
  <si>
    <t>Comp</t>
  </si>
  <si>
    <t>Industry beta (average)</t>
  </si>
  <si>
    <t>Re-levered beta</t>
  </si>
  <si>
    <t>MTR</t>
  </si>
  <si>
    <t>Discount Model Year count</t>
  </si>
  <si>
    <t>Value Calculation</t>
  </si>
  <si>
    <t>Total PV of FCFs</t>
  </si>
  <si>
    <t>PV of TV</t>
  </si>
  <si>
    <t>EV</t>
  </si>
  <si>
    <t>Implied EBITDA multiple</t>
  </si>
  <si>
    <t>Cash &amp; Cash Equiv</t>
  </si>
  <si>
    <t>Debt &amp; Claims</t>
  </si>
  <si>
    <t>NCI</t>
  </si>
  <si>
    <t>Equity Value</t>
  </si>
  <si>
    <t>Diluted S/O</t>
  </si>
  <si>
    <t>Implied Share Price</t>
  </si>
  <si>
    <t>*</t>
  </si>
  <si>
    <t>Income Statement</t>
  </si>
  <si>
    <t>Variance</t>
  </si>
  <si>
    <t>Pessimistic Case</t>
  </si>
  <si>
    <t>Optimistic Case</t>
  </si>
  <si>
    <t>Balance Sheet - Assets</t>
  </si>
  <si>
    <t>Balance Sheet - Liabilities</t>
  </si>
  <si>
    <t>Operating Case</t>
  </si>
  <si>
    <t>Street Case</t>
  </si>
  <si>
    <t>COGS % of sales</t>
  </si>
  <si>
    <t>Depreciation % of PP&amp;E</t>
  </si>
  <si>
    <t>Amortization $ Amt</t>
  </si>
  <si>
    <t>Non recurring income / (expense)</t>
  </si>
  <si>
    <t>Interest rate on Revolver</t>
  </si>
  <si>
    <t>Other Income / (expense)</t>
  </si>
  <si>
    <t>Operating Cash % of sales</t>
  </si>
  <si>
    <t>Calcs</t>
  </si>
  <si>
    <t>CapEx % of Sales</t>
  </si>
  <si>
    <t>Share issuance / (repurchases)</t>
  </si>
  <si>
    <t>Debt</t>
  </si>
  <si>
    <t>Other income (expense), amt</t>
  </si>
  <si>
    <t>Sensitivity analysis</t>
  </si>
  <si>
    <t>Discount rate variance</t>
  </si>
  <si>
    <t>Implied growth rate variance</t>
  </si>
  <si>
    <t>Revenue Growth</t>
  </si>
  <si>
    <t>Change in OWC</t>
  </si>
  <si>
    <t>Accounts payable/Accurals</t>
  </si>
  <si>
    <t>Accounts payable/Accural % of COGS</t>
  </si>
  <si>
    <t>Accounts receivable % of sales</t>
  </si>
  <si>
    <t>Accounts payable % of COGS</t>
  </si>
  <si>
    <t>Depreciation % of beginning PP&amp;E</t>
  </si>
  <si>
    <t>Net Income</t>
  </si>
  <si>
    <t>COGS</t>
  </si>
  <si>
    <t>Operating Cash</t>
  </si>
  <si>
    <t>Excess cash</t>
  </si>
  <si>
    <t>Intangible assets</t>
  </si>
  <si>
    <t>Other assets</t>
  </si>
  <si>
    <t>Accounts payables</t>
  </si>
  <si>
    <t>(inc) / dec in other long-term assets</t>
  </si>
  <si>
    <t>inc / (dec) other long-term liabilities</t>
  </si>
  <si>
    <t>Tax Rate</t>
  </si>
  <si>
    <t xml:space="preserve"> </t>
  </si>
  <si>
    <t>Current Stock Price</t>
  </si>
  <si>
    <t>Excess Cash</t>
  </si>
  <si>
    <t>TV multiple variance</t>
  </si>
  <si>
    <t>Multiples Calculation</t>
  </si>
  <si>
    <t>Multiple TV</t>
  </si>
  <si>
    <t>DCF tables</t>
  </si>
  <si>
    <t>Diluted s/o</t>
  </si>
  <si>
    <t>Cash</t>
  </si>
  <si>
    <t>Difference</t>
  </si>
  <si>
    <t>R&amp;D</t>
  </si>
  <si>
    <t>R&amp;D % of sales</t>
  </si>
  <si>
    <t>Investments in unconsolidated entities</t>
  </si>
  <si>
    <t>Cost of debt</t>
  </si>
  <si>
    <t>Price 10/14/25</t>
  </si>
  <si>
    <t>LTM EV/EBITDA</t>
  </si>
  <si>
    <t>Average</t>
  </si>
  <si>
    <t>Delta -&gt; Average</t>
  </si>
  <si>
    <t>EV/EBITDA 2026E</t>
  </si>
  <si>
    <t>EV/EBIT 2026E</t>
  </si>
  <si>
    <t>Company Symbol</t>
  </si>
  <si>
    <t>Enterprise Value</t>
  </si>
  <si>
    <t>LTM P/E Ratio</t>
  </si>
  <si>
    <t>P/E Ratio 2026E</t>
  </si>
  <si>
    <t xml:space="preserve">LTM EV/EBIT </t>
  </si>
  <si>
    <t>LTM EV/Sales</t>
  </si>
  <si>
    <t>EV/Sales 2026E</t>
  </si>
  <si>
    <t>Delta % Average</t>
  </si>
  <si>
    <t>Presentation slide</t>
  </si>
  <si>
    <t>Football field + SOTP Comps analysis</t>
  </si>
  <si>
    <t>Perpetuity</t>
  </si>
  <si>
    <t>DCF Analysis (Sensitivity tables)</t>
  </si>
  <si>
    <t>Projection ranges</t>
  </si>
  <si>
    <t>Terminal Mult</t>
  </si>
  <si>
    <t>Model Details</t>
  </si>
  <si>
    <t>Current price</t>
  </si>
  <si>
    <t>Implied</t>
  </si>
  <si>
    <t>Adobe Inc.</t>
  </si>
  <si>
    <t>Revenues</t>
  </si>
  <si>
    <t>Digital Media</t>
  </si>
  <si>
    <t>Digital Experience</t>
  </si>
  <si>
    <t>Publishing and Advertising</t>
  </si>
  <si>
    <t>Digital Media y/y</t>
  </si>
  <si>
    <t>Digital Experience y/y</t>
  </si>
  <si>
    <t>Publishing and Advertising y/y</t>
  </si>
  <si>
    <t>Q124</t>
  </si>
  <si>
    <t>Q224</t>
  </si>
  <si>
    <t>Q324</t>
  </si>
  <si>
    <t>Q424</t>
  </si>
  <si>
    <t>Q125</t>
  </si>
  <si>
    <t>Q225</t>
  </si>
  <si>
    <t>Q325</t>
  </si>
  <si>
    <t>Q425</t>
  </si>
  <si>
    <t>TOTAL REVENUES</t>
  </si>
  <si>
    <t>TOTAL REVENUE y/y</t>
  </si>
  <si>
    <t>NO REVOLVER</t>
  </si>
  <si>
    <t>(inc) /dec in LT assets</t>
  </si>
  <si>
    <t>inc / (dec) in Liabilities</t>
  </si>
  <si>
    <t>Cash Flow From Operations</t>
  </si>
  <si>
    <t>Cash Flow From Investing</t>
  </si>
  <si>
    <t>Share Issuance / (repayments)</t>
  </si>
  <si>
    <t>Debt issuance / (repayments)</t>
  </si>
  <si>
    <t>Cash Flow From Financing</t>
  </si>
  <si>
    <t>Net changes in cash</t>
  </si>
  <si>
    <t>Beginning Cash</t>
  </si>
  <si>
    <t>Changes</t>
  </si>
  <si>
    <t>Ending Cash</t>
  </si>
  <si>
    <t>INTU</t>
  </si>
  <si>
    <t>ADSK</t>
  </si>
  <si>
    <t>MSFT</t>
  </si>
  <si>
    <t>CRM</t>
  </si>
  <si>
    <t>Discount Rate</t>
  </si>
  <si>
    <t>PV FCF</t>
  </si>
  <si>
    <t>LTGR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</si>
</sst>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&quot;£&quot;* #,##0_);_(&quot;£&quot;* \(#,##0\);_(&quot;£&quot;* &quot;-&quot;_);_(@_)"/>
    <numFmt numFmtId="165" formatCode="_(&quot;£&quot;* #,##0.00_);_(&quot;£&quot;* \(#,##0.00\);_(&quot;£&quot;* &quot;-&quot;??_);_(@_)"/>
    <numFmt numFmtId="166" formatCode="#,##0.0_);\(#,##0.0\);0.0_);@_)"/>
    <numFmt numFmtId="167" formatCode="#,##0.0_);\(#,##0.0\)"/>
    <numFmt numFmtId="168" formatCode="dd\-mmm\-yy_)"/>
    <numFmt numFmtId="169" formatCode="0.0%_);\(0.0%\)"/>
    <numFmt numFmtId="170" formatCode="#,##0.00_)\x;\(#,##0.00\)\x"/>
    <numFmt numFmtId="171" formatCode="&quot;Yes&quot;;;&quot;No&quot;"/>
    <numFmt numFmtId="172" formatCode="0.00%_);\(0.00%\)"/>
    <numFmt numFmtId="173" formatCode="0.0%"/>
    <numFmt numFmtId="174" formatCode="#,##0.00_);\(#,##0.00\);0.00_);@_)"/>
    <numFmt numFmtId="175" formatCode="yyyy"/>
    <numFmt numFmtId="176" formatCode="#,##0.0_)\x;\(#,##0.0\)\x"/>
    <numFmt numFmtId="177" formatCode="0.0_);\(0.0\)"/>
    <numFmt numFmtId="178" formatCode="0_);\(0\)"/>
    <numFmt numFmtId="179" formatCode="#,##0.0"/>
    <numFmt numFmtId="180" formatCode="&quot;$&quot;#,##0.0_);\(&quot;$&quot;#,##0.0\)"/>
    <numFmt numFmtId="181" formatCode="#,##0.0_)"/>
    <numFmt numFmtId="182" formatCode="&quot;$&quot;#,##0.0"/>
    <numFmt numFmtId="183" formatCode="[$$-409]#,##0.00_);\([$$-409]#,##0.00\)"/>
    <numFmt numFmtId="184" formatCode="&quot;$&quot;#,##0.00"/>
  </numFmts>
  <fonts count="74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color indexed="12"/>
      <name val="Arial"/>
      <family val="2"/>
    </font>
    <font>
      <sz val="8"/>
      <color indexed="81"/>
      <name val="Tahoma"/>
      <family val="2"/>
    </font>
    <font>
      <u/>
      <sz val="10"/>
      <color theme="10"/>
      <name val="Arial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24"/>
      <color rgb="FF006100"/>
      <name val="Arial"/>
      <family val="2"/>
    </font>
    <font>
      <sz val="24"/>
      <color rgb="FF9C0006"/>
      <name val="Arial"/>
      <family val="2"/>
    </font>
    <font>
      <sz val="24"/>
      <color rgb="FF9C6500"/>
      <name val="Arial"/>
      <family val="2"/>
    </font>
    <font>
      <b/>
      <sz val="24"/>
      <color rgb="FF3F3F3F"/>
      <name val="Arial"/>
      <family val="2"/>
    </font>
    <font>
      <b/>
      <sz val="24"/>
      <color rgb="FFFA7D00"/>
      <name val="Arial"/>
      <family val="2"/>
    </font>
    <font>
      <sz val="24"/>
      <color rgb="FFFA7D00"/>
      <name val="Arial"/>
      <family val="2"/>
    </font>
    <font>
      <b/>
      <sz val="24"/>
      <color theme="0"/>
      <name val="Arial"/>
      <family val="2"/>
    </font>
    <font>
      <sz val="24"/>
      <color rgb="FFFF0000"/>
      <name val="Arial"/>
      <family val="2"/>
    </font>
    <font>
      <i/>
      <sz val="24"/>
      <color rgb="FF7F7F7F"/>
      <name val="Arial"/>
      <family val="2"/>
    </font>
    <font>
      <b/>
      <sz val="24"/>
      <color theme="1"/>
      <name val="Arial"/>
      <family val="2"/>
    </font>
    <font>
      <sz val="24"/>
      <color theme="0"/>
      <name val="Arial"/>
      <family val="2"/>
    </font>
    <font>
      <sz val="24"/>
      <color theme="1"/>
      <name val="Arial"/>
      <family val="2"/>
    </font>
    <font>
      <u/>
      <sz val="10"/>
      <color theme="11"/>
      <name val="Arial"/>
      <family val="2"/>
    </font>
    <font>
      <b/>
      <sz val="14"/>
      <color theme="0"/>
      <name val="Calibri"/>
      <family val="2"/>
    </font>
    <font>
      <b/>
      <sz val="11"/>
      <color theme="2"/>
      <name val="Calibri"/>
      <family val="2"/>
      <scheme val="minor"/>
    </font>
    <font>
      <sz val="10"/>
      <color rgb="FF0000FF"/>
      <name val="Arial"/>
      <family val="2"/>
    </font>
    <font>
      <b/>
      <sz val="14"/>
      <color rgb="FF0000FF"/>
      <name val="Calibri"/>
      <family val="2"/>
    </font>
    <font>
      <i/>
      <sz val="10"/>
      <name val="Arial"/>
      <family val="2"/>
    </font>
    <font>
      <sz val="7"/>
      <color indexed="10"/>
      <name val="Arial"/>
      <family val="2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indexed="12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0"/>
      <color theme="0"/>
      <name val="Arial"/>
      <family val="2"/>
    </font>
    <font>
      <b/>
      <sz val="11"/>
      <color rgb="FF027D07"/>
      <name val="Calibri"/>
      <family val="2"/>
      <scheme val="minor"/>
    </font>
    <font>
      <sz val="11"/>
      <color indexed="10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indexed="12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27D07"/>
      <name val="Calibri"/>
      <family val="2"/>
      <scheme val="minor"/>
    </font>
    <font>
      <sz val="11"/>
      <color rgb="FF4472C4"/>
      <name val="Calibri"/>
      <family val="2"/>
      <scheme val="minor"/>
    </font>
    <font>
      <i/>
      <sz val="11"/>
      <color indexed="10"/>
      <name val="Calibri"/>
      <family val="2"/>
      <scheme val="minor"/>
    </font>
    <font>
      <i/>
      <sz val="10"/>
      <color theme="2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i/>
      <sz val="10"/>
      <color theme="1"/>
      <name val="Arial"/>
      <family val="2"/>
    </font>
    <font>
      <sz val="11"/>
      <color rgb="FF0500FF"/>
      <name val="Calibri"/>
      <family val="2"/>
      <scheme val="minor"/>
    </font>
    <font>
      <i/>
      <sz val="10"/>
      <color rgb="FF0000FF"/>
      <name val="Arial"/>
      <family val="2"/>
    </font>
    <font>
      <i/>
      <sz val="10"/>
      <color rgb="FF0500FF"/>
      <name val="Arial"/>
      <family val="2"/>
    </font>
    <font>
      <b/>
      <i/>
      <sz val="11"/>
      <color theme="0"/>
      <name val="Calibri"/>
      <family val="2"/>
      <scheme val="minor"/>
    </font>
    <font>
      <b/>
      <i/>
      <sz val="10"/>
      <color theme="0"/>
      <name val="Arial"/>
      <family val="2"/>
    </font>
    <font>
      <sz val="10"/>
      <color theme="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9"/>
      <name val="Calibri"/>
      <family val="2"/>
    </font>
    <font>
      <b/>
      <sz val="10"/>
      <color indexed="9"/>
      <name val="Arial"/>
      <family val="2"/>
    </font>
    <font>
      <b/>
      <sz val="11"/>
      <color rgb="FF0000FF"/>
      <name val="Calibri"/>
      <family val="2"/>
      <scheme val="minor"/>
    </font>
    <font>
      <b/>
      <sz val="15"/>
      <color rgb="FF027D07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1"/>
      <color theme="2" tint="0.39997558519241921"/>
      <name val="Calibri"/>
      <family val="2"/>
      <scheme val="minor"/>
    </font>
    <font>
      <i/>
      <sz val="11"/>
      <color rgb="FF0000FF"/>
      <name val="Calibri"/>
      <family val="2"/>
      <scheme val="minor"/>
    </font>
    <font>
      <b/>
      <i/>
      <sz val="11"/>
      <color rgb="FFEA4335"/>
      <name val="Calibri"/>
      <family val="2"/>
      <scheme val="minor"/>
    </font>
    <font>
      <b/>
      <sz val="15"/>
      <name val="Calibri"/>
      <family val="2"/>
      <scheme val="minor"/>
    </font>
    <font>
      <b/>
      <i/>
      <sz val="11"/>
      <color rgb="FF34A853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rgb="FFE1E1E1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85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ck">
        <color theme="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68">
    <xf numFmtId="167" fontId="0" fillId="0" borderId="0"/>
    <xf numFmtId="15" fontId="6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167" fontId="29" fillId="33" borderId="1" applyNumberFormat="0" applyAlignment="0" applyProtection="0"/>
    <xf numFmtId="169" fontId="6" fillId="0" borderId="0" applyFont="0" applyFill="0" applyBorder="0" applyAlignment="0" applyProtection="0"/>
    <xf numFmtId="167" fontId="29" fillId="0" borderId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2" applyNumberFormat="0" applyFill="0" applyAlignment="0" applyProtection="0"/>
    <xf numFmtId="0" fontId="12" fillId="0" borderId="3" applyNumberFormat="0" applyFill="0" applyAlignment="0" applyProtection="0"/>
    <xf numFmtId="0" fontId="13" fillId="0" borderId="4" applyNumberFormat="0" applyFill="0" applyAlignment="0" applyProtection="0"/>
    <xf numFmtId="0" fontId="13" fillId="0" borderId="0" applyNumberFormat="0" applyFill="0" applyBorder="0" applyAlignment="0" applyProtection="0"/>
    <xf numFmtId="0" fontId="14" fillId="2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7" fillId="5" borderId="5" applyNumberFormat="0" applyAlignment="0" applyProtection="0"/>
    <xf numFmtId="0" fontId="18" fillId="5" borderId="6" applyNumberFormat="0" applyAlignment="0" applyProtection="0"/>
    <xf numFmtId="0" fontId="19" fillId="0" borderId="7" applyNumberFormat="0" applyFill="0" applyAlignment="0" applyProtection="0"/>
    <xf numFmtId="0" fontId="20" fillId="6" borderId="8" applyNumberFormat="0" applyAlignment="0" applyProtection="0"/>
    <xf numFmtId="0" fontId="21" fillId="0" borderId="0" applyNumberFormat="0" applyFill="0" applyBorder="0" applyAlignment="0" applyProtection="0"/>
    <xf numFmtId="0" fontId="6" fillId="7" borderId="9" applyNumberFormat="0" applyFont="0" applyAlignment="0" applyProtection="0"/>
    <xf numFmtId="0" fontId="22" fillId="0" borderId="0" applyNumberFormat="0" applyFill="0" applyBorder="0" applyAlignment="0" applyProtection="0"/>
    <xf numFmtId="0" fontId="23" fillId="0" borderId="10" applyNumberFormat="0" applyFill="0" applyAlignment="0" applyProtection="0"/>
    <xf numFmtId="0" fontId="24" fillId="8" borderId="0" applyNumberFormat="0" applyBorder="0" applyAlignment="0" applyProtection="0"/>
    <xf numFmtId="0" fontId="25" fillId="9" borderId="0" applyNumberFormat="0" applyBorder="0" applyAlignment="0" applyProtection="0"/>
    <xf numFmtId="0" fontId="25" fillId="10" borderId="0" applyNumberFormat="0" applyBorder="0" applyAlignment="0" applyProtection="0"/>
    <xf numFmtId="0" fontId="24" fillId="11" borderId="0" applyNumberFormat="0" applyBorder="0" applyAlignment="0" applyProtection="0"/>
    <xf numFmtId="0" fontId="24" fillId="12" borderId="0" applyNumberFormat="0" applyBorder="0" applyAlignment="0" applyProtection="0"/>
    <xf numFmtId="0" fontId="25" fillId="13" borderId="0" applyNumberFormat="0" applyBorder="0" applyAlignment="0" applyProtection="0"/>
    <xf numFmtId="0" fontId="25" fillId="14" borderId="0" applyNumberFormat="0" applyBorder="0" applyAlignment="0" applyProtection="0"/>
    <xf numFmtId="0" fontId="24" fillId="15" borderId="0" applyNumberFormat="0" applyBorder="0" applyAlignment="0" applyProtection="0"/>
    <xf numFmtId="0" fontId="24" fillId="16" borderId="0" applyNumberFormat="0" applyBorder="0" applyAlignment="0" applyProtection="0"/>
    <xf numFmtId="0" fontId="25" fillId="17" borderId="0" applyNumberFormat="0" applyBorder="0" applyAlignment="0" applyProtection="0"/>
    <xf numFmtId="0" fontId="25" fillId="18" borderId="0" applyNumberFormat="0" applyBorder="0" applyAlignment="0" applyProtection="0"/>
    <xf numFmtId="0" fontId="24" fillId="19" borderId="0" applyNumberFormat="0" applyBorder="0" applyAlignment="0" applyProtection="0"/>
    <xf numFmtId="0" fontId="24" fillId="20" borderId="0" applyNumberFormat="0" applyBorder="0" applyAlignment="0" applyProtection="0"/>
    <xf numFmtId="0" fontId="25" fillId="21" borderId="0" applyNumberFormat="0" applyBorder="0" applyAlignment="0" applyProtection="0"/>
    <xf numFmtId="0" fontId="25" fillId="22" borderId="0" applyNumberFormat="0" applyBorder="0" applyAlignment="0" applyProtection="0"/>
    <xf numFmtId="0" fontId="24" fillId="23" borderId="0" applyNumberFormat="0" applyBorder="0" applyAlignment="0" applyProtection="0"/>
    <xf numFmtId="0" fontId="24" fillId="24" borderId="0" applyNumberFormat="0" applyBorder="0" applyAlignment="0" applyProtection="0"/>
    <xf numFmtId="0" fontId="25" fillId="25" borderId="0" applyNumberFormat="0" applyBorder="0" applyAlignment="0" applyProtection="0"/>
    <xf numFmtId="0" fontId="25" fillId="26" borderId="0" applyNumberFormat="0" applyBorder="0" applyAlignment="0" applyProtection="0"/>
    <xf numFmtId="0" fontId="24" fillId="27" borderId="0" applyNumberFormat="0" applyBorder="0" applyAlignment="0" applyProtection="0"/>
    <xf numFmtId="0" fontId="24" fillId="28" borderId="0" applyNumberFormat="0" applyBorder="0" applyAlignment="0" applyProtection="0"/>
    <xf numFmtId="0" fontId="25" fillId="29" borderId="0" applyNumberFormat="0" applyBorder="0" applyAlignment="0" applyProtection="0"/>
    <xf numFmtId="0" fontId="25" fillId="30" borderId="0" applyNumberFormat="0" applyBorder="0" applyAlignment="0" applyProtection="0"/>
    <xf numFmtId="0" fontId="24" fillId="31" borderId="0" applyNumberFormat="0" applyBorder="0" applyAlignment="0" applyProtection="0"/>
    <xf numFmtId="166" fontId="26" fillId="0" borderId="0" applyNumberFormat="0" applyFill="0" applyBorder="0" applyAlignment="0" applyProtection="0"/>
    <xf numFmtId="43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70" fontId="6" fillId="0" borderId="0" applyFont="0" applyFill="0" applyBorder="0" applyAlignment="0" applyProtection="0"/>
    <xf numFmtId="167" fontId="30" fillId="0" borderId="11" applyNumberFormat="0" applyFill="0" applyAlignment="0" applyProtection="0"/>
    <xf numFmtId="167" fontId="27" fillId="32" borderId="0" applyNumberFormat="0" applyBorder="0" applyProtection="0">
      <alignment horizontal="left" vertical="center"/>
    </xf>
    <xf numFmtId="167" fontId="28" fillId="0" borderId="0" applyNumberFormat="0" applyFill="0" applyBorder="0" applyAlignment="0" applyProtection="0"/>
    <xf numFmtId="171" fontId="7" fillId="0" borderId="0" applyFont="0" applyFill="0" applyBorder="0" applyAlignment="0" applyProtection="0"/>
    <xf numFmtId="169" fontId="29" fillId="33" borderId="1" applyAlignment="0" applyProtection="0"/>
    <xf numFmtId="166" fontId="7" fillId="0" borderId="0" applyNumberFormat="0" applyFill="0" applyBorder="0" applyAlignment="0" applyProtection="0"/>
    <xf numFmtId="166" fontId="7" fillId="0" borderId="0" applyNumberFormat="0" applyFill="0" applyBorder="0" applyAlignment="0" applyProtection="0"/>
    <xf numFmtId="166" fontId="6" fillId="0" borderId="0">
      <protection locked="0"/>
    </xf>
    <xf numFmtId="166" fontId="32" fillId="0" borderId="0" applyNumberFormat="0" applyFill="0" applyBorder="0" applyProtection="0">
      <alignment vertical="center"/>
      <protection hidden="1"/>
    </xf>
    <xf numFmtId="0" fontId="33" fillId="0" borderId="0"/>
    <xf numFmtId="9" fontId="33" fillId="0" borderId="0" applyFont="0" applyFill="0" applyBorder="0" applyAlignment="0" applyProtection="0"/>
    <xf numFmtId="0" fontId="37" fillId="0" borderId="0" applyNumberFormat="0" applyFill="0" applyBorder="0" applyAlignment="0" applyProtection="0"/>
    <xf numFmtId="0" fontId="5" fillId="0" borderId="0"/>
    <xf numFmtId="167" fontId="43" fillId="32" borderId="0" applyNumberFormat="0" applyBorder="0" applyAlignment="0" applyProtection="0">
      <alignment horizontal="left" vertical="center"/>
    </xf>
    <xf numFmtId="0" fontId="64" fillId="41" borderId="0"/>
    <xf numFmtId="0" fontId="65" fillId="41" borderId="22">
      <alignment horizontal="right"/>
    </xf>
  </cellStyleXfs>
  <cellXfs count="365">
    <xf numFmtId="167" fontId="0" fillId="0" borderId="0" xfId="0"/>
    <xf numFmtId="166" fontId="44" fillId="0" borderId="0" xfId="52" applyNumberFormat="1" applyFont="1" applyFill="1" applyBorder="1" applyAlignment="1">
      <alignment horizontal="center"/>
    </xf>
    <xf numFmtId="167" fontId="44" fillId="0" borderId="0" xfId="0" applyFont="1"/>
    <xf numFmtId="166" fontId="44" fillId="0" borderId="0" xfId="52" applyNumberFormat="1" applyFont="1" applyFill="1" applyBorder="1"/>
    <xf numFmtId="167" fontId="40" fillId="0" borderId="0" xfId="0" applyFont="1"/>
    <xf numFmtId="169" fontId="40" fillId="0" borderId="0" xfId="4" applyFont="1"/>
    <xf numFmtId="167" fontId="45" fillId="0" borderId="0" xfId="0" applyFont="1"/>
    <xf numFmtId="167" fontId="42" fillId="0" borderId="0" xfId="0" applyFont="1"/>
    <xf numFmtId="173" fontId="40" fillId="0" borderId="0" xfId="0" applyNumberFormat="1" applyFont="1"/>
    <xf numFmtId="166" fontId="39" fillId="0" borderId="0" xfId="57" applyFont="1" applyFill="1"/>
    <xf numFmtId="166" fontId="39" fillId="0" borderId="0" xfId="57" applyFont="1"/>
    <xf numFmtId="167" fontId="46" fillId="0" borderId="0" xfId="0" applyFont="1"/>
    <xf numFmtId="173" fontId="46" fillId="0" borderId="0" xfId="0" applyNumberFormat="1" applyFont="1"/>
    <xf numFmtId="167" fontId="39" fillId="0" borderId="0" xfId="0" applyFont="1"/>
    <xf numFmtId="172" fontId="40" fillId="0" borderId="0" xfId="0" applyNumberFormat="1" applyFont="1"/>
    <xf numFmtId="174" fontId="40" fillId="0" borderId="0" xfId="0" applyNumberFormat="1" applyFont="1"/>
    <xf numFmtId="167" fontId="40" fillId="35" borderId="0" xfId="0" applyFont="1" applyFill="1"/>
    <xf numFmtId="166" fontId="34" fillId="35" borderId="0" xfId="54" applyNumberFormat="1" applyFont="1" applyFill="1"/>
    <xf numFmtId="167" fontId="46" fillId="0" borderId="12" xfId="0" applyFont="1" applyBorder="1"/>
    <xf numFmtId="167" fontId="46" fillId="0" borderId="13" xfId="0" applyFont="1" applyBorder="1"/>
    <xf numFmtId="167" fontId="46" fillId="0" borderId="14" xfId="0" applyFont="1" applyBorder="1"/>
    <xf numFmtId="167" fontId="40" fillId="34" borderId="0" xfId="0" applyFont="1" applyFill="1"/>
    <xf numFmtId="166" fontId="34" fillId="34" borderId="0" xfId="54" applyNumberFormat="1" applyFont="1" applyFill="1"/>
    <xf numFmtId="167" fontId="40" fillId="0" borderId="13" xfId="0" applyFont="1" applyBorder="1"/>
    <xf numFmtId="166" fontId="39" fillId="0" borderId="18" xfId="57" applyFont="1" applyBorder="1"/>
    <xf numFmtId="169" fontId="40" fillId="0" borderId="18" xfId="4" applyFont="1" applyBorder="1"/>
    <xf numFmtId="167" fontId="46" fillId="0" borderId="18" xfId="0" applyFont="1" applyBorder="1"/>
    <xf numFmtId="166" fontId="39" fillId="0" borderId="18" xfId="58" applyFont="1" applyBorder="1"/>
    <xf numFmtId="173" fontId="40" fillId="0" borderId="18" xfId="0" applyNumberFormat="1" applyFont="1" applyBorder="1"/>
    <xf numFmtId="167" fontId="40" fillId="0" borderId="18" xfId="0" applyFont="1" applyBorder="1"/>
    <xf numFmtId="169" fontId="40" fillId="0" borderId="18" xfId="4" applyFont="1" applyFill="1" applyBorder="1"/>
    <xf numFmtId="173" fontId="31" fillId="0" borderId="0" xfId="0" applyNumberFormat="1" applyFont="1"/>
    <xf numFmtId="167" fontId="41" fillId="0" borderId="0" xfId="0" applyFont="1"/>
    <xf numFmtId="169" fontId="41" fillId="0" borderId="0" xfId="4" applyFont="1"/>
    <xf numFmtId="169" fontId="41" fillId="0" borderId="18" xfId="4" applyFont="1" applyBorder="1"/>
    <xf numFmtId="167" fontId="48" fillId="0" borderId="0" xfId="0" applyFont="1"/>
    <xf numFmtId="167" fontId="46" fillId="0" borderId="15" xfId="0" applyFont="1" applyBorder="1"/>
    <xf numFmtId="167" fontId="46" fillId="0" borderId="16" xfId="0" applyFont="1" applyBorder="1"/>
    <xf numFmtId="173" fontId="40" fillId="0" borderId="16" xfId="0" applyNumberFormat="1" applyFont="1" applyBorder="1"/>
    <xf numFmtId="167" fontId="40" fillId="0" borderId="16" xfId="0" applyFont="1" applyBorder="1"/>
    <xf numFmtId="174" fontId="40" fillId="0" borderId="15" xfId="0" applyNumberFormat="1" applyFont="1" applyBorder="1"/>
    <xf numFmtId="167" fontId="41" fillId="0" borderId="18" xfId="0" applyFont="1" applyBorder="1"/>
    <xf numFmtId="173" fontId="31" fillId="0" borderId="18" xfId="0" applyNumberFormat="1" applyFont="1" applyBorder="1"/>
    <xf numFmtId="166" fontId="35" fillId="0" borderId="0" xfId="52" applyNumberFormat="1" applyFont="1" applyFill="1" applyBorder="1" applyAlignment="1">
      <alignment horizontal="right"/>
    </xf>
    <xf numFmtId="167" fontId="36" fillId="34" borderId="0" xfId="0" applyFont="1" applyFill="1"/>
    <xf numFmtId="173" fontId="41" fillId="0" borderId="0" xfId="0" applyNumberFormat="1" applyFont="1"/>
    <xf numFmtId="173" fontId="41" fillId="0" borderId="18" xfId="0" applyNumberFormat="1" applyFont="1" applyBorder="1"/>
    <xf numFmtId="166" fontId="39" fillId="0" borderId="18" xfId="57" applyFont="1" applyFill="1" applyBorder="1"/>
    <xf numFmtId="167" fontId="46" fillId="0" borderId="0" xfId="0" applyFont="1" applyAlignment="1">
      <alignment horizontal="right"/>
    </xf>
    <xf numFmtId="10" fontId="40" fillId="0" borderId="0" xfId="0" applyNumberFormat="1" applyFont="1"/>
    <xf numFmtId="172" fontId="40" fillId="0" borderId="0" xfId="4" applyNumberFormat="1" applyFont="1"/>
    <xf numFmtId="167" fontId="49" fillId="0" borderId="0" xfId="0" applyFont="1"/>
    <xf numFmtId="37" fontId="44" fillId="0" borderId="0" xfId="0" applyNumberFormat="1" applyFont="1" applyAlignment="1">
      <alignment horizontal="center"/>
    </xf>
    <xf numFmtId="167" fontId="38" fillId="33" borderId="1" xfId="3" applyFont="1" applyAlignment="1">
      <alignment horizontal="center"/>
    </xf>
    <xf numFmtId="168" fontId="38" fillId="33" borderId="1" xfId="3" applyNumberFormat="1" applyFont="1" applyAlignment="1">
      <alignment horizontal="center"/>
    </xf>
    <xf numFmtId="166" fontId="35" fillId="0" borderId="0" xfId="52" applyNumberFormat="1" applyFont="1" applyFill="1" applyBorder="1" applyAlignment="1">
      <alignment horizontal="center"/>
    </xf>
    <xf numFmtId="167" fontId="50" fillId="34" borderId="0" xfId="0" applyFont="1" applyFill="1"/>
    <xf numFmtId="175" fontId="34" fillId="34" borderId="0" xfId="0" applyNumberFormat="1" applyFont="1" applyFill="1"/>
    <xf numFmtId="169" fontId="47" fillId="0" borderId="0" xfId="57" applyNumberFormat="1" applyFont="1" applyFill="1" applyBorder="1"/>
    <xf numFmtId="169" fontId="41" fillId="0" borderId="0" xfId="57" applyNumberFormat="1" applyFont="1" applyFill="1" applyBorder="1"/>
    <xf numFmtId="166" fontId="41" fillId="0" borderId="0" xfId="0" applyNumberFormat="1" applyFont="1"/>
    <xf numFmtId="167" fontId="40" fillId="0" borderId="17" xfId="0" applyFont="1" applyBorder="1"/>
    <xf numFmtId="169" fontId="47" fillId="0" borderId="18" xfId="57" applyNumberFormat="1" applyFont="1" applyFill="1" applyBorder="1"/>
    <xf numFmtId="169" fontId="41" fillId="0" borderId="18" xfId="57" applyNumberFormat="1" applyFont="1" applyFill="1" applyBorder="1"/>
    <xf numFmtId="166" fontId="41" fillId="0" borderId="18" xfId="0" applyNumberFormat="1" applyFont="1" applyBorder="1"/>
    <xf numFmtId="167" fontId="40" fillId="0" borderId="18" xfId="0" applyFont="1" applyBorder="1" applyAlignment="1">
      <alignment horizontal="right"/>
    </xf>
    <xf numFmtId="167" fontId="36" fillId="35" borderId="0" xfId="0" applyFont="1" applyFill="1"/>
    <xf numFmtId="167" fontId="34" fillId="35" borderId="0" xfId="53" applyFont="1" applyFill="1">
      <alignment horizontal="left" vertical="center"/>
    </xf>
    <xf numFmtId="167" fontId="40" fillId="0" borderId="15" xfId="0" applyFont="1" applyBorder="1"/>
    <xf numFmtId="167" fontId="40" fillId="36" borderId="0" xfId="0" applyFont="1" applyFill="1"/>
    <xf numFmtId="167" fontId="40" fillId="37" borderId="15" xfId="0" applyFont="1" applyFill="1" applyBorder="1"/>
    <xf numFmtId="167" fontId="40" fillId="37" borderId="0" xfId="0" applyFont="1" applyFill="1"/>
    <xf numFmtId="167" fontId="40" fillId="38" borderId="15" xfId="0" applyFont="1" applyFill="1" applyBorder="1"/>
    <xf numFmtId="167" fontId="40" fillId="38" borderId="0" xfId="0" applyFont="1" applyFill="1"/>
    <xf numFmtId="167" fontId="40" fillId="36" borderId="18" xfId="0" applyFont="1" applyFill="1" applyBorder="1"/>
    <xf numFmtId="167" fontId="40" fillId="37" borderId="16" xfId="0" applyFont="1" applyFill="1" applyBorder="1"/>
    <xf numFmtId="167" fontId="40" fillId="37" borderId="18" xfId="0" applyFont="1" applyFill="1" applyBorder="1"/>
    <xf numFmtId="167" fontId="40" fillId="38" borderId="16" xfId="0" applyFont="1" applyFill="1" applyBorder="1"/>
    <xf numFmtId="167" fontId="40" fillId="38" borderId="18" xfId="0" applyFont="1" applyFill="1" applyBorder="1"/>
    <xf numFmtId="167" fontId="34" fillId="34" borderId="0" xfId="0" applyFont="1" applyFill="1"/>
    <xf numFmtId="167" fontId="40" fillId="0" borderId="20" xfId="0" applyFont="1" applyBorder="1"/>
    <xf numFmtId="167" fontId="40" fillId="0" borderId="1" xfId="0" applyFont="1" applyBorder="1"/>
    <xf numFmtId="167" fontId="40" fillId="39" borderId="19" xfId="0" applyFont="1" applyFill="1" applyBorder="1"/>
    <xf numFmtId="167" fontId="40" fillId="39" borderId="16" xfId="0" applyFont="1" applyFill="1" applyBorder="1"/>
    <xf numFmtId="167" fontId="40" fillId="39" borderId="1" xfId="0" applyFont="1" applyFill="1" applyBorder="1"/>
    <xf numFmtId="167" fontId="40" fillId="39" borderId="14" xfId="0" applyFont="1" applyFill="1" applyBorder="1"/>
    <xf numFmtId="167" fontId="45" fillId="0" borderId="15" xfId="0" applyFont="1" applyBorder="1"/>
    <xf numFmtId="176" fontId="40" fillId="0" borderId="0" xfId="0" applyNumberFormat="1" applyFont="1"/>
    <xf numFmtId="167" fontId="36" fillId="0" borderId="0" xfId="0" applyFont="1"/>
    <xf numFmtId="166" fontId="34" fillId="0" borderId="0" xfId="54" applyNumberFormat="1" applyFont="1" applyFill="1"/>
    <xf numFmtId="166" fontId="52" fillId="0" borderId="0" xfId="54" applyNumberFormat="1" applyFont="1" applyProtection="1"/>
    <xf numFmtId="173" fontId="6" fillId="0" borderId="0" xfId="0" applyNumberFormat="1" applyFont="1"/>
    <xf numFmtId="167" fontId="53" fillId="0" borderId="0" xfId="0" applyFont="1"/>
    <xf numFmtId="167" fontId="6" fillId="0" borderId="0" xfId="0" applyFont="1"/>
    <xf numFmtId="167" fontId="6" fillId="0" borderId="0" xfId="0" applyFont="1" applyProtection="1">
      <protection locked="0"/>
    </xf>
    <xf numFmtId="169" fontId="6" fillId="0" borderId="0" xfId="4" applyFont="1"/>
    <xf numFmtId="166" fontId="55" fillId="0" borderId="0" xfId="54" applyNumberFormat="1" applyFont="1" applyProtection="1"/>
    <xf numFmtId="169" fontId="29" fillId="0" borderId="0" xfId="3" applyNumberFormat="1" applyFill="1" applyBorder="1"/>
    <xf numFmtId="167" fontId="56" fillId="0" borderId="0" xfId="0" applyFont="1"/>
    <xf numFmtId="167" fontId="56" fillId="0" borderId="18" xfId="0" applyFont="1" applyBorder="1"/>
    <xf numFmtId="167" fontId="38" fillId="0" borderId="0" xfId="0" applyFont="1"/>
    <xf numFmtId="167" fontId="38" fillId="0" borderId="18" xfId="0" applyFont="1" applyBorder="1"/>
    <xf numFmtId="169" fontId="40" fillId="0" borderId="0" xfId="4" applyFont="1" applyFill="1"/>
    <xf numFmtId="169" fontId="57" fillId="33" borderId="1" xfId="3" applyNumberFormat="1" applyFont="1"/>
    <xf numFmtId="167" fontId="57" fillId="33" borderId="1" xfId="3" applyNumberFormat="1" applyFont="1"/>
    <xf numFmtId="169" fontId="57" fillId="33" borderId="14" xfId="3" applyNumberFormat="1" applyFont="1" applyBorder="1"/>
    <xf numFmtId="169" fontId="57" fillId="0" borderId="15" xfId="3" applyNumberFormat="1" applyFont="1" applyFill="1" applyBorder="1"/>
    <xf numFmtId="173" fontId="31" fillId="36" borderId="14" xfId="0" applyNumberFormat="1" applyFont="1" applyFill="1" applyBorder="1"/>
    <xf numFmtId="177" fontId="57" fillId="33" borderId="1" xfId="3" applyNumberFormat="1" applyFont="1"/>
    <xf numFmtId="167" fontId="34" fillId="35" borderId="0" xfId="0" applyFont="1" applyFill="1"/>
    <xf numFmtId="175" fontId="34" fillId="35" borderId="0" xfId="0" applyNumberFormat="1" applyFont="1" applyFill="1"/>
    <xf numFmtId="166" fontId="35" fillId="0" borderId="15" xfId="52" applyNumberFormat="1" applyFont="1" applyFill="1" applyBorder="1" applyAlignment="1">
      <alignment horizontal="center"/>
    </xf>
    <xf numFmtId="167" fontId="41" fillId="0" borderId="13" xfId="0" applyFont="1" applyBorder="1"/>
    <xf numFmtId="167" fontId="51" fillId="0" borderId="13" xfId="0" applyFont="1" applyBorder="1"/>
    <xf numFmtId="173" fontId="31" fillId="40" borderId="1" xfId="0" applyNumberFormat="1" applyFont="1" applyFill="1" applyBorder="1"/>
    <xf numFmtId="167" fontId="31" fillId="40" borderId="19" xfId="0" applyFont="1" applyFill="1" applyBorder="1"/>
    <xf numFmtId="167" fontId="54" fillId="0" borderId="0" xfId="0" applyFont="1" applyAlignment="1">
      <alignment horizontal="right"/>
    </xf>
    <xf numFmtId="175" fontId="34" fillId="35" borderId="0" xfId="0" applyNumberFormat="1" applyFont="1" applyFill="1" applyAlignment="1">
      <alignment horizontal="right"/>
    </xf>
    <xf numFmtId="167" fontId="34" fillId="34" borderId="17" xfId="0" applyFont="1" applyFill="1" applyBorder="1"/>
    <xf numFmtId="175" fontId="59" fillId="35" borderId="0" xfId="0" applyNumberFormat="1" applyFont="1" applyFill="1"/>
    <xf numFmtId="175" fontId="60" fillId="35" borderId="0" xfId="3" applyNumberFormat="1" applyFont="1" applyFill="1" applyBorder="1"/>
    <xf numFmtId="166" fontId="34" fillId="34" borderId="15" xfId="54" applyNumberFormat="1" applyFont="1" applyFill="1" applyBorder="1" applyProtection="1"/>
    <xf numFmtId="166" fontId="40" fillId="0" borderId="0" xfId="59" applyFont="1" applyProtection="1"/>
    <xf numFmtId="172" fontId="38" fillId="33" borderId="1" xfId="3" applyNumberFormat="1" applyFont="1" applyProtection="1"/>
    <xf numFmtId="166" fontId="4" fillId="0" borderId="0" xfId="54" applyNumberFormat="1" applyFont="1" applyProtection="1"/>
    <xf numFmtId="169" fontId="40" fillId="0" borderId="15" xfId="4" applyFont="1" applyBorder="1"/>
    <xf numFmtId="169" fontId="40" fillId="0" borderId="16" xfId="4" applyFont="1" applyBorder="1"/>
    <xf numFmtId="166" fontId="61" fillId="34" borderId="15" xfId="59" applyFont="1" applyFill="1" applyBorder="1" applyProtection="1"/>
    <xf numFmtId="10" fontId="41" fillId="0" borderId="0" xfId="0" applyNumberFormat="1" applyFont="1"/>
    <xf numFmtId="10" fontId="29" fillId="0" borderId="0" xfId="3" applyNumberFormat="1" applyFill="1" applyBorder="1"/>
    <xf numFmtId="166" fontId="39" fillId="0" borderId="0" xfId="57" applyFont="1" applyBorder="1"/>
    <xf numFmtId="166" fontId="39" fillId="0" borderId="0" xfId="58" applyFont="1" applyBorder="1"/>
    <xf numFmtId="167" fontId="38" fillId="0" borderId="17" xfId="0" applyFont="1" applyBorder="1"/>
    <xf numFmtId="169" fontId="57" fillId="33" borderId="19" xfId="3" applyNumberFormat="1" applyFont="1" applyBorder="1"/>
    <xf numFmtId="167" fontId="3" fillId="0" borderId="18" xfId="0" applyFont="1" applyBorder="1"/>
    <xf numFmtId="179" fontId="46" fillId="0" borderId="0" xfId="0" applyNumberFormat="1" applyFont="1"/>
    <xf numFmtId="179" fontId="46" fillId="0" borderId="12" xfId="0" applyNumberFormat="1" applyFont="1" applyBorder="1"/>
    <xf numFmtId="179" fontId="46" fillId="0" borderId="13" xfId="0" applyNumberFormat="1" applyFont="1" applyBorder="1"/>
    <xf numFmtId="179" fontId="40" fillId="0" borderId="0" xfId="0" applyNumberFormat="1" applyFont="1"/>
    <xf numFmtId="167" fontId="40" fillId="0" borderId="24" xfId="0" applyFont="1" applyBorder="1"/>
    <xf numFmtId="167" fontId="40" fillId="0" borderId="15" xfId="4" applyNumberFormat="1" applyFont="1" applyBorder="1"/>
    <xf numFmtId="179" fontId="40" fillId="0" borderId="15" xfId="4" applyNumberFormat="1" applyFont="1" applyBorder="1"/>
    <xf numFmtId="179" fontId="40" fillId="0" borderId="0" xfId="0" applyNumberFormat="1" applyFont="1" applyAlignment="1">
      <alignment horizontal="right"/>
    </xf>
    <xf numFmtId="173" fontId="40" fillId="36" borderId="19" xfId="0" applyNumberFormat="1" applyFont="1" applyFill="1" applyBorder="1"/>
    <xf numFmtId="37" fontId="34" fillId="34" borderId="18" xfId="0" applyNumberFormat="1" applyFont="1" applyFill="1" applyBorder="1" applyAlignment="1">
      <alignment horizontal="right"/>
    </xf>
    <xf numFmtId="39" fontId="40" fillId="39" borderId="19" xfId="0" applyNumberFormat="1" applyFont="1" applyFill="1" applyBorder="1"/>
    <xf numFmtId="39" fontId="40" fillId="39" borderId="1" xfId="0" applyNumberFormat="1" applyFont="1" applyFill="1" applyBorder="1"/>
    <xf numFmtId="10" fontId="40" fillId="0" borderId="21" xfId="0" applyNumberFormat="1" applyFont="1" applyBorder="1"/>
    <xf numFmtId="39" fontId="40" fillId="0" borderId="0" xfId="0" applyNumberFormat="1" applyFont="1"/>
    <xf numFmtId="173" fontId="40" fillId="37" borderId="16" xfId="0" applyNumberFormat="1" applyFont="1" applyFill="1" applyBorder="1"/>
    <xf numFmtId="173" fontId="40" fillId="37" borderId="1" xfId="0" applyNumberFormat="1" applyFont="1" applyFill="1" applyBorder="1"/>
    <xf numFmtId="173" fontId="40" fillId="38" borderId="19" xfId="0" applyNumberFormat="1" applyFont="1" applyFill="1" applyBorder="1"/>
    <xf numFmtId="167" fontId="40" fillId="0" borderId="0" xfId="0" applyFont="1" applyAlignment="1">
      <alignment horizontal="right"/>
    </xf>
    <xf numFmtId="10" fontId="36" fillId="34" borderId="1" xfId="0" applyNumberFormat="1" applyFont="1" applyFill="1" applyBorder="1"/>
    <xf numFmtId="7" fontId="46" fillId="0" borderId="18" xfId="0" applyNumberFormat="1" applyFont="1" applyBorder="1"/>
    <xf numFmtId="172" fontId="38" fillId="33" borderId="19" xfId="3" applyNumberFormat="1" applyFont="1" applyBorder="1" applyProtection="1"/>
    <xf numFmtId="166" fontId="40" fillId="35" borderId="0" xfId="59" applyFont="1" applyFill="1" applyProtection="1"/>
    <xf numFmtId="172" fontId="38" fillId="35" borderId="0" xfId="3" applyNumberFormat="1" applyFont="1" applyFill="1" applyBorder="1" applyProtection="1"/>
    <xf numFmtId="166" fontId="34" fillId="35" borderId="0" xfId="59" applyFont="1" applyFill="1" applyProtection="1"/>
    <xf numFmtId="175" fontId="34" fillId="34" borderId="0" xfId="52" applyNumberFormat="1" applyFont="1" applyFill="1" applyBorder="1" applyAlignment="1">
      <alignment horizontal="right" vertical="center"/>
    </xf>
    <xf numFmtId="167" fontId="46" fillId="0" borderId="18" xfId="0" applyFont="1" applyBorder="1" applyAlignment="1">
      <alignment horizontal="right"/>
    </xf>
    <xf numFmtId="173" fontId="40" fillId="39" borderId="19" xfId="0" applyNumberFormat="1" applyFont="1" applyFill="1" applyBorder="1"/>
    <xf numFmtId="167" fontId="67" fillId="0" borderId="0" xfId="0" applyFont="1"/>
    <xf numFmtId="173" fontId="36" fillId="0" borderId="0" xfId="0" applyNumberFormat="1" applyFont="1"/>
    <xf numFmtId="167" fontId="38" fillId="33" borderId="19" xfId="3" applyNumberFormat="1" applyFont="1" applyBorder="1" applyProtection="1"/>
    <xf numFmtId="167" fontId="40" fillId="0" borderId="21" xfId="0" applyFont="1" applyBorder="1"/>
    <xf numFmtId="167" fontId="40" fillId="35" borderId="15" xfId="0" applyFont="1" applyFill="1" applyBorder="1"/>
    <xf numFmtId="180" fontId="46" fillId="0" borderId="14" xfId="0" applyNumberFormat="1" applyFont="1" applyBorder="1"/>
    <xf numFmtId="173" fontId="36" fillId="34" borderId="1" xfId="0" applyNumberFormat="1" applyFont="1" applyFill="1" applyBorder="1"/>
    <xf numFmtId="167" fontId="34" fillId="0" borderId="0" xfId="0" applyFont="1"/>
    <xf numFmtId="167" fontId="38" fillId="33" borderId="1" xfId="3" applyNumberFormat="1" applyFont="1" applyAlignment="1">
      <alignment horizontal="center"/>
    </xf>
    <xf numFmtId="167" fontId="40" fillId="38" borderId="20" xfId="0" applyFont="1" applyFill="1" applyBorder="1"/>
    <xf numFmtId="167" fontId="34" fillId="34" borderId="20" xfId="0" applyFont="1" applyFill="1" applyBorder="1"/>
    <xf numFmtId="167" fontId="34" fillId="34" borderId="15" xfId="0" applyFont="1" applyFill="1" applyBorder="1"/>
    <xf numFmtId="167" fontId="34" fillId="34" borderId="16" xfId="0" applyFont="1" applyFill="1" applyBorder="1"/>
    <xf numFmtId="10" fontId="36" fillId="0" borderId="0" xfId="0" applyNumberFormat="1" applyFont="1"/>
    <xf numFmtId="176" fontId="38" fillId="0" borderId="15" xfId="3" applyNumberFormat="1" applyFont="1" applyFill="1" applyBorder="1" applyProtection="1"/>
    <xf numFmtId="172" fontId="38" fillId="0" borderId="15" xfId="3" applyNumberFormat="1" applyFont="1" applyFill="1" applyBorder="1" applyProtection="1"/>
    <xf numFmtId="176" fontId="36" fillId="0" borderId="0" xfId="0" applyNumberFormat="1" applyFont="1"/>
    <xf numFmtId="167" fontId="40" fillId="0" borderId="0" xfId="0" applyFont="1" applyAlignment="1">
      <alignment horizontal="center"/>
    </xf>
    <xf numFmtId="167" fontId="35" fillId="0" borderId="0" xfId="0" applyFont="1"/>
    <xf numFmtId="173" fontId="40" fillId="0" borderId="0" xfId="0" applyNumberFormat="1" applyFont="1" applyAlignment="1">
      <alignment horizontal="right"/>
    </xf>
    <xf numFmtId="178" fontId="36" fillId="0" borderId="0" xfId="0" applyNumberFormat="1" applyFont="1"/>
    <xf numFmtId="167" fontId="46" fillId="0" borderId="0" xfId="0" applyFont="1" applyAlignment="1">
      <alignment horizontal="center"/>
    </xf>
    <xf numFmtId="4" fontId="35" fillId="0" borderId="0" xfId="0" applyNumberFormat="1" applyFont="1"/>
    <xf numFmtId="176" fontId="46" fillId="0" borderId="0" xfId="0" applyNumberFormat="1" applyFont="1"/>
    <xf numFmtId="167" fontId="69" fillId="0" borderId="0" xfId="0" applyFont="1"/>
    <xf numFmtId="39" fontId="46" fillId="0" borderId="0" xfId="0" applyNumberFormat="1" applyFont="1"/>
    <xf numFmtId="10" fontId="46" fillId="0" borderId="0" xfId="0" applyNumberFormat="1" applyFont="1"/>
    <xf numFmtId="169" fontId="57" fillId="0" borderId="0" xfId="3" applyNumberFormat="1" applyFont="1" applyFill="1" applyBorder="1"/>
    <xf numFmtId="169" fontId="40" fillId="0" borderId="0" xfId="4" applyFont="1" applyFill="1" applyBorder="1"/>
    <xf numFmtId="167" fontId="2" fillId="0" borderId="0" xfId="0" applyFont="1"/>
    <xf numFmtId="166" fontId="2" fillId="0" borderId="0" xfId="57" applyFont="1" applyBorder="1"/>
    <xf numFmtId="166" fontId="2" fillId="0" borderId="0" xfId="57" applyFont="1"/>
    <xf numFmtId="169" fontId="70" fillId="33" borderId="1" xfId="3" applyNumberFormat="1" applyFont="1"/>
    <xf numFmtId="177" fontId="70" fillId="33" borderId="1" xfId="3" applyNumberFormat="1" applyFont="1"/>
    <xf numFmtId="167" fontId="70" fillId="33" borderId="1" xfId="3" applyNumberFormat="1" applyFont="1"/>
    <xf numFmtId="37" fontId="34" fillId="34" borderId="0" xfId="52" applyNumberFormat="1" applyFont="1" applyFill="1" applyBorder="1"/>
    <xf numFmtId="166" fontId="34" fillId="34" borderId="0" xfId="52" applyNumberFormat="1" applyFont="1" applyFill="1" applyBorder="1"/>
    <xf numFmtId="174" fontId="46" fillId="0" borderId="13" xfId="0" applyNumberFormat="1" applyFont="1" applyBorder="1"/>
    <xf numFmtId="39" fontId="39" fillId="0" borderId="0" xfId="57" applyNumberFormat="1" applyFont="1" applyBorder="1"/>
    <xf numFmtId="166" fontId="39" fillId="0" borderId="0" xfId="57" applyFont="1" applyFill="1" applyBorder="1"/>
    <xf numFmtId="0" fontId="34" fillId="34" borderId="0" xfId="0" applyNumberFormat="1" applyFont="1" applyFill="1"/>
    <xf numFmtId="0" fontId="34" fillId="34" borderId="0" xfId="52" applyNumberFormat="1" applyFont="1" applyFill="1" applyBorder="1" applyAlignment="1">
      <alignment horizontal="right" vertical="center"/>
    </xf>
    <xf numFmtId="0" fontId="34" fillId="35" borderId="0" xfId="0" applyNumberFormat="1" applyFont="1" applyFill="1" applyAlignment="1">
      <alignment horizontal="right"/>
    </xf>
    <xf numFmtId="179" fontId="40" fillId="0" borderId="0" xfId="4" applyNumberFormat="1" applyFont="1" applyBorder="1"/>
    <xf numFmtId="166" fontId="38" fillId="0" borderId="0" xfId="0" applyNumberFormat="1" applyFont="1"/>
    <xf numFmtId="166" fontId="38" fillId="0" borderId="18" xfId="0" applyNumberFormat="1" applyFont="1" applyBorder="1"/>
    <xf numFmtId="166" fontId="38" fillId="0" borderId="0" xfId="57" applyFont="1" applyFill="1"/>
    <xf numFmtId="166" fontId="38" fillId="0" borderId="18" xfId="57" applyFont="1" applyFill="1" applyBorder="1"/>
    <xf numFmtId="166" fontId="2" fillId="0" borderId="0" xfId="57" applyFont="1" applyFill="1"/>
    <xf numFmtId="9" fontId="40" fillId="0" borderId="0" xfId="0" applyNumberFormat="1" applyFont="1"/>
    <xf numFmtId="9" fontId="31" fillId="0" borderId="18" xfId="0" applyNumberFormat="1" applyFont="1" applyBorder="1"/>
    <xf numFmtId="169" fontId="41" fillId="0" borderId="0" xfId="4" applyFont="1" applyBorder="1"/>
    <xf numFmtId="0" fontId="60" fillId="35" borderId="0" xfId="3" applyNumberFormat="1" applyFont="1" applyFill="1" applyBorder="1"/>
    <xf numFmtId="3" fontId="40" fillId="0" borderId="0" xfId="0" applyNumberFormat="1" applyFont="1"/>
    <xf numFmtId="3" fontId="40" fillId="0" borderId="15" xfId="0" applyNumberFormat="1" applyFont="1" applyBorder="1"/>
    <xf numFmtId="178" fontId="34" fillId="34" borderId="0" xfId="0" applyNumberFormat="1" applyFont="1" applyFill="1"/>
    <xf numFmtId="175" fontId="34" fillId="0" borderId="0" xfId="52" applyNumberFormat="1" applyFont="1" applyFill="1" applyBorder="1" applyAlignment="1">
      <alignment horizontal="right" vertical="center"/>
    </xf>
    <xf numFmtId="0" fontId="34" fillId="35" borderId="0" xfId="0" applyNumberFormat="1" applyFont="1" applyFill="1"/>
    <xf numFmtId="167" fontId="46" fillId="35" borderId="0" xfId="0" applyFont="1" applyFill="1"/>
    <xf numFmtId="175" fontId="34" fillId="0" borderId="0" xfId="0" applyNumberFormat="1" applyFont="1"/>
    <xf numFmtId="167" fontId="57" fillId="0" borderId="0" xfId="3" applyNumberFormat="1" applyFont="1" applyFill="1" applyBorder="1"/>
    <xf numFmtId="175" fontId="60" fillId="0" borderId="0" xfId="3" applyNumberFormat="1" applyFont="1" applyFill="1" applyBorder="1"/>
    <xf numFmtId="0" fontId="60" fillId="0" borderId="0" xfId="3" applyNumberFormat="1" applyFont="1" applyFill="1" applyBorder="1"/>
    <xf numFmtId="177" fontId="57" fillId="0" borderId="0" xfId="3" applyNumberFormat="1" applyFont="1" applyFill="1" applyBorder="1"/>
    <xf numFmtId="173" fontId="57" fillId="0" borderId="0" xfId="0" applyNumberFormat="1" applyFont="1"/>
    <xf numFmtId="167" fontId="58" fillId="0" borderId="0" xfId="0" applyFont="1"/>
    <xf numFmtId="173" fontId="57" fillId="40" borderId="1" xfId="0" applyNumberFormat="1" applyFont="1" applyFill="1" applyBorder="1"/>
    <xf numFmtId="0" fontId="34" fillId="0" borderId="0" xfId="0" applyNumberFormat="1" applyFont="1"/>
    <xf numFmtId="167" fontId="51" fillId="0" borderId="0" xfId="0" applyFont="1"/>
    <xf numFmtId="167" fontId="31" fillId="0" borderId="0" xfId="0" applyFont="1"/>
    <xf numFmtId="0" fontId="34" fillId="0" borderId="0" xfId="52" applyNumberFormat="1" applyFont="1" applyFill="1" applyBorder="1" applyAlignment="1">
      <alignment horizontal="right" vertical="center"/>
    </xf>
    <xf numFmtId="167" fontId="31" fillId="40" borderId="1" xfId="0" applyFont="1" applyFill="1" applyBorder="1"/>
    <xf numFmtId="166" fontId="2" fillId="0" borderId="0" xfId="57" applyFont="1" applyFill="1" applyBorder="1"/>
    <xf numFmtId="169" fontId="70" fillId="0" borderId="0" xfId="3" applyNumberFormat="1" applyFont="1" applyFill="1" applyBorder="1"/>
    <xf numFmtId="177" fontId="70" fillId="0" borderId="0" xfId="3" applyNumberFormat="1" applyFont="1" applyFill="1" applyBorder="1"/>
    <xf numFmtId="167" fontId="70" fillId="0" borderId="0" xfId="3" applyNumberFormat="1" applyFont="1" applyFill="1" applyBorder="1"/>
    <xf numFmtId="174" fontId="46" fillId="0" borderId="0" xfId="0" applyNumberFormat="1" applyFont="1"/>
    <xf numFmtId="0" fontId="34" fillId="0" borderId="0" xfId="0" applyNumberFormat="1" applyFont="1" applyAlignment="1">
      <alignment horizontal="right"/>
    </xf>
    <xf numFmtId="179" fontId="40" fillId="0" borderId="0" xfId="4" applyNumberFormat="1" applyFont="1" applyFill="1" applyBorder="1"/>
    <xf numFmtId="167" fontId="40" fillId="0" borderId="0" xfId="4" applyNumberFormat="1" applyFont="1" applyFill="1" applyBorder="1"/>
    <xf numFmtId="166" fontId="61" fillId="0" borderId="0" xfId="59" applyFont="1" applyProtection="1"/>
    <xf numFmtId="179" fontId="38" fillId="0" borderId="18" xfId="0" applyNumberFormat="1" applyFont="1" applyBorder="1"/>
    <xf numFmtId="166" fontId="2" fillId="0" borderId="17" xfId="57" applyFont="1" applyFill="1" applyBorder="1"/>
    <xf numFmtId="39" fontId="40" fillId="0" borderId="1" xfId="0" applyNumberFormat="1" applyFont="1" applyBorder="1"/>
    <xf numFmtId="2" fontId="40" fillId="36" borderId="19" xfId="0" applyNumberFormat="1" applyFont="1" applyFill="1" applyBorder="1"/>
    <xf numFmtId="176" fontId="40" fillId="0" borderId="15" xfId="0" applyNumberFormat="1" applyFont="1" applyBorder="1"/>
    <xf numFmtId="167" fontId="40" fillId="42" borderId="15" xfId="0" applyFont="1" applyFill="1" applyBorder="1"/>
    <xf numFmtId="167" fontId="40" fillId="0" borderId="15" xfId="0" applyFont="1" applyBorder="1" applyAlignment="1">
      <alignment horizontal="right"/>
    </xf>
    <xf numFmtId="181" fontId="40" fillId="0" borderId="15" xfId="0" applyNumberFormat="1" applyFont="1" applyBorder="1"/>
    <xf numFmtId="0" fontId="34" fillId="35" borderId="0" xfId="66" applyFont="1" applyFill="1" applyAlignment="1">
      <alignment horizontal="center" wrapText="1"/>
    </xf>
    <xf numFmtId="0" fontId="34" fillId="35" borderId="0" xfId="66" applyFont="1" applyFill="1" applyAlignment="1">
      <alignment horizontal="center"/>
    </xf>
    <xf numFmtId="167" fontId="34" fillId="35" borderId="0" xfId="0" applyFont="1" applyFill="1" applyAlignment="1">
      <alignment horizontal="center" wrapText="1"/>
    </xf>
    <xf numFmtId="182" fontId="40" fillId="0" borderId="0" xfId="0" applyNumberFormat="1" applyFont="1"/>
    <xf numFmtId="182" fontId="40" fillId="42" borderId="15" xfId="0" applyNumberFormat="1" applyFont="1" applyFill="1" applyBorder="1"/>
    <xf numFmtId="182" fontId="40" fillId="0" borderId="15" xfId="0" applyNumberFormat="1" applyFont="1" applyBorder="1"/>
    <xf numFmtId="3" fontId="40" fillId="42" borderId="15" xfId="0" applyNumberFormat="1" applyFont="1" applyFill="1" applyBorder="1"/>
    <xf numFmtId="173" fontId="40" fillId="42" borderId="15" xfId="0" applyNumberFormat="1" applyFont="1" applyFill="1" applyBorder="1"/>
    <xf numFmtId="173" fontId="40" fillId="42" borderId="14" xfId="0" applyNumberFormat="1" applyFont="1" applyFill="1" applyBorder="1"/>
    <xf numFmtId="176" fontId="40" fillId="0" borderId="18" xfId="0" applyNumberFormat="1" applyFont="1" applyBorder="1"/>
    <xf numFmtId="176" fontId="40" fillId="0" borderId="17" xfId="0" applyNumberFormat="1" applyFont="1" applyBorder="1"/>
    <xf numFmtId="169" fontId="57" fillId="36" borderId="1" xfId="3" applyNumberFormat="1" applyFont="1" applyFill="1"/>
    <xf numFmtId="167" fontId="40" fillId="0" borderId="15" xfId="0" applyFont="1" applyBorder="1" applyAlignment="1">
      <alignment horizontal="center"/>
    </xf>
    <xf numFmtId="176" fontId="40" fillId="0" borderId="24" xfId="0" applyNumberFormat="1" applyFont="1" applyBorder="1"/>
    <xf numFmtId="173" fontId="40" fillId="42" borderId="13" xfId="0" applyNumberFormat="1" applyFont="1" applyFill="1" applyBorder="1"/>
    <xf numFmtId="176" fontId="46" fillId="42" borderId="15" xfId="0" applyNumberFormat="1" applyFont="1" applyFill="1" applyBorder="1"/>
    <xf numFmtId="176" fontId="46" fillId="42" borderId="13" xfId="0" applyNumberFormat="1" applyFont="1" applyFill="1" applyBorder="1"/>
    <xf numFmtId="176" fontId="46" fillId="42" borderId="14" xfId="0" applyNumberFormat="1" applyFont="1" applyFill="1" applyBorder="1"/>
    <xf numFmtId="173" fontId="40" fillId="0" borderId="15" xfId="0" applyNumberFormat="1" applyFont="1" applyBorder="1"/>
    <xf numFmtId="173" fontId="46" fillId="43" borderId="1" xfId="0" applyNumberFormat="1" applyFont="1" applyFill="1" applyBorder="1"/>
    <xf numFmtId="10" fontId="40" fillId="0" borderId="0" xfId="4" applyNumberFormat="1" applyFont="1" applyFill="1" applyBorder="1" applyAlignment="1" applyProtection="1">
      <alignment horizontal="right"/>
    </xf>
    <xf numFmtId="180" fontId="46" fillId="0" borderId="0" xfId="0" applyNumberFormat="1" applyFont="1"/>
    <xf numFmtId="4" fontId="1" fillId="0" borderId="0" xfId="0" applyNumberFormat="1" applyFont="1"/>
    <xf numFmtId="183" fontId="38" fillId="33" borderId="1" xfId="3" applyNumberFormat="1" applyFont="1" applyAlignment="1">
      <alignment horizontal="center"/>
    </xf>
    <xf numFmtId="180" fontId="46" fillId="0" borderId="0" xfId="0" applyNumberFormat="1" applyFont="1" applyAlignment="1">
      <alignment horizontal="center"/>
    </xf>
    <xf numFmtId="167" fontId="40" fillId="35" borderId="0" xfId="0" applyFont="1" applyFill="1" applyAlignment="1">
      <alignment horizontal="center"/>
    </xf>
    <xf numFmtId="167" fontId="34" fillId="0" borderId="0" xfId="53" applyFont="1" applyFill="1">
      <alignment horizontal="left" vertical="center"/>
    </xf>
    <xf numFmtId="176" fontId="40" fillId="0" borderId="0" xfId="0" applyNumberFormat="1" applyFont="1" applyAlignment="1">
      <alignment horizontal="center"/>
    </xf>
    <xf numFmtId="167" fontId="34" fillId="0" borderId="0" xfId="0" applyFont="1" applyAlignment="1">
      <alignment wrapText="1"/>
    </xf>
    <xf numFmtId="167" fontId="34" fillId="0" borderId="0" xfId="0" applyFont="1" applyAlignment="1">
      <alignment horizontal="center" wrapText="1"/>
    </xf>
    <xf numFmtId="176" fontId="66" fillId="0" borderId="0" xfId="0" applyNumberFormat="1" applyFont="1" applyAlignment="1">
      <alignment horizontal="center"/>
    </xf>
    <xf numFmtId="7" fontId="46" fillId="0" borderId="0" xfId="0" applyNumberFormat="1" applyFont="1" applyAlignment="1">
      <alignment horizontal="center"/>
    </xf>
    <xf numFmtId="166" fontId="40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center"/>
    </xf>
    <xf numFmtId="179" fontId="40" fillId="0" borderId="0" xfId="0" applyNumberFormat="1" applyFont="1" applyAlignment="1">
      <alignment horizontal="center"/>
    </xf>
    <xf numFmtId="10" fontId="40" fillId="0" borderId="0" xfId="0" applyNumberFormat="1" applyFont="1" applyAlignment="1">
      <alignment horizontal="right"/>
    </xf>
    <xf numFmtId="5" fontId="40" fillId="0" borderId="0" xfId="0" applyNumberFormat="1" applyFont="1" applyAlignment="1">
      <alignment horizontal="center"/>
    </xf>
    <xf numFmtId="40" fontId="40" fillId="0" borderId="0" xfId="0" applyNumberFormat="1" applyFont="1" applyAlignment="1">
      <alignment horizontal="center"/>
    </xf>
    <xf numFmtId="40" fontId="40" fillId="0" borderId="0" xfId="0" applyNumberFormat="1" applyFont="1" applyAlignment="1">
      <alignment horizontal="right"/>
    </xf>
    <xf numFmtId="166" fontId="40" fillId="0" borderId="0" xfId="0" applyNumberFormat="1" applyFont="1" applyAlignment="1">
      <alignment horizontal="right"/>
    </xf>
    <xf numFmtId="173" fontId="40" fillId="0" borderId="0" xfId="0" applyNumberFormat="1" applyFont="1" applyAlignment="1">
      <alignment horizontal="center"/>
    </xf>
    <xf numFmtId="167" fontId="68" fillId="0" borderId="0" xfId="0" applyFont="1" applyAlignment="1">
      <alignment horizontal="center"/>
    </xf>
    <xf numFmtId="1" fontId="29" fillId="0" borderId="0" xfId="0" applyNumberFormat="1" applyFont="1"/>
    <xf numFmtId="166" fontId="6" fillId="0" borderId="0" xfId="0" applyNumberFormat="1" applyFont="1" applyAlignment="1">
      <alignment horizontal="right"/>
    </xf>
    <xf numFmtId="173" fontId="29" fillId="0" borderId="0" xfId="0" applyNumberFormat="1" applyFont="1"/>
    <xf numFmtId="175" fontId="6" fillId="0" borderId="0" xfId="0" applyNumberFormat="1" applyFont="1"/>
    <xf numFmtId="169" fontId="38" fillId="0" borderId="0" xfId="0" applyNumberFormat="1" applyFont="1"/>
    <xf numFmtId="1" fontId="34" fillId="34" borderId="0" xfId="0" applyNumberFormat="1" applyFont="1" applyFill="1"/>
    <xf numFmtId="169" fontId="40" fillId="0" borderId="0" xfId="4" applyFont="1" applyBorder="1"/>
    <xf numFmtId="167" fontId="40" fillId="0" borderId="0" xfId="4" applyNumberFormat="1" applyFont="1" applyBorder="1"/>
    <xf numFmtId="166" fontId="40" fillId="0" borderId="0" xfId="59" applyFont="1" applyAlignment="1" applyProtection="1">
      <alignment horizontal="centerContinuous"/>
    </xf>
    <xf numFmtId="166" fontId="40" fillId="0" borderId="0" xfId="59" applyFont="1" applyAlignment="1" applyProtection="1">
      <alignment horizontal="center"/>
    </xf>
    <xf numFmtId="10" fontId="34" fillId="0" borderId="0" xfId="0" applyNumberFormat="1" applyFont="1"/>
    <xf numFmtId="10" fontId="40" fillId="0" borderId="0" xfId="59" applyNumberFormat="1" applyFont="1" applyAlignment="1" applyProtection="1">
      <alignment horizontal="center"/>
    </xf>
    <xf numFmtId="10" fontId="40" fillId="0" borderId="0" xfId="59" applyNumberFormat="1" applyFont="1" applyProtection="1"/>
    <xf numFmtId="179" fontId="40" fillId="0" borderId="0" xfId="59" applyNumberFormat="1" applyFont="1" applyAlignment="1" applyProtection="1">
      <alignment horizontal="right"/>
    </xf>
    <xf numFmtId="176" fontId="40" fillId="0" borderId="0" xfId="59" applyNumberFormat="1" applyFont="1" applyAlignment="1" applyProtection="1">
      <alignment horizontal="right"/>
    </xf>
    <xf numFmtId="167" fontId="36" fillId="0" borderId="0" xfId="0" applyFont="1" applyAlignment="1">
      <alignment horizontal="center"/>
    </xf>
    <xf numFmtId="10" fontId="36" fillId="0" borderId="0" xfId="0" applyNumberFormat="1" applyFont="1" applyAlignment="1">
      <alignment horizontal="center"/>
    </xf>
    <xf numFmtId="176" fontId="36" fillId="0" borderId="0" xfId="59" applyNumberFormat="1" applyFont="1" applyAlignment="1" applyProtection="1">
      <alignment horizontal="right"/>
    </xf>
    <xf numFmtId="10" fontId="40" fillId="0" borderId="0" xfId="59" applyNumberFormat="1" applyFont="1" applyAlignment="1" applyProtection="1">
      <alignment horizontal="right"/>
    </xf>
    <xf numFmtId="172" fontId="40" fillId="0" borderId="0" xfId="59" applyNumberFormat="1" applyFont="1" applyProtection="1"/>
    <xf numFmtId="40" fontId="40" fillId="0" borderId="0" xfId="59" applyNumberFormat="1" applyFont="1" applyProtection="1"/>
    <xf numFmtId="40" fontId="46" fillId="0" borderId="0" xfId="59" applyNumberFormat="1" applyFont="1" applyProtection="1"/>
    <xf numFmtId="176" fontId="36" fillId="0" borderId="0" xfId="0" applyNumberFormat="1" applyFont="1" applyAlignment="1">
      <alignment horizontal="center"/>
    </xf>
    <xf numFmtId="180" fontId="36" fillId="0" borderId="0" xfId="0" applyNumberFormat="1" applyFont="1"/>
    <xf numFmtId="5" fontId="40" fillId="0" borderId="0" xfId="0" applyNumberFormat="1" applyFont="1"/>
    <xf numFmtId="181" fontId="40" fillId="0" borderId="0" xfId="0" applyNumberFormat="1" applyFont="1"/>
    <xf numFmtId="182" fontId="46" fillId="0" borderId="0" xfId="0" applyNumberFormat="1" applyFont="1"/>
    <xf numFmtId="3" fontId="46" fillId="0" borderId="0" xfId="0" applyNumberFormat="1" applyFont="1"/>
    <xf numFmtId="176" fontId="46" fillId="0" borderId="0" xfId="0" applyNumberFormat="1" applyFont="1" applyAlignment="1">
      <alignment horizontal="right"/>
    </xf>
    <xf numFmtId="37" fontId="40" fillId="0" borderId="0" xfId="0" applyNumberFormat="1" applyFont="1"/>
    <xf numFmtId="180" fontId="40" fillId="0" borderId="0" xfId="0" applyNumberFormat="1" applyFont="1"/>
    <xf numFmtId="1" fontId="34" fillId="34" borderId="0" xfId="52" applyNumberFormat="1" applyFont="1" applyFill="1" applyBorder="1" applyAlignment="1">
      <alignment horizontal="right" vertical="center"/>
    </xf>
    <xf numFmtId="173" fontId="57" fillId="40" borderId="16" xfId="0" applyNumberFormat="1" applyFont="1" applyFill="1" applyBorder="1"/>
    <xf numFmtId="175" fontId="34" fillId="35" borderId="0" xfId="4" applyNumberFormat="1" applyFont="1" applyFill="1"/>
    <xf numFmtId="167" fontId="72" fillId="0" borderId="0" xfId="0" applyFont="1"/>
    <xf numFmtId="167" fontId="58" fillId="40" borderId="1" xfId="0" applyFont="1" applyFill="1" applyBorder="1"/>
    <xf numFmtId="169" fontId="57" fillId="33" borderId="16" xfId="3" applyNumberFormat="1" applyFont="1" applyBorder="1"/>
    <xf numFmtId="167" fontId="40" fillId="36" borderId="23" xfId="0" applyFont="1" applyFill="1" applyBorder="1"/>
    <xf numFmtId="173" fontId="40" fillId="36" borderId="1" xfId="0" applyNumberFormat="1" applyFont="1" applyFill="1" applyBorder="1"/>
    <xf numFmtId="178" fontId="29" fillId="33" borderId="1" xfId="3" applyNumberFormat="1"/>
    <xf numFmtId="175" fontId="59" fillId="0" borderId="0" xfId="0" applyNumberFormat="1" applyFont="1"/>
    <xf numFmtId="166" fontId="34" fillId="34" borderId="0" xfId="54" applyNumberFormat="1" applyFont="1" applyFill="1" applyBorder="1"/>
    <xf numFmtId="167" fontId="40" fillId="0" borderId="0" xfId="0" applyFont="1" applyFill="1" applyBorder="1" applyAlignment="1">
      <alignment horizontal="center"/>
    </xf>
    <xf numFmtId="184" fontId="66" fillId="0" borderId="0" xfId="3" applyNumberFormat="1" applyFont="1" applyFill="1" applyBorder="1" applyAlignment="1">
      <alignment horizontal="center"/>
    </xf>
    <xf numFmtId="10" fontId="71" fillId="0" borderId="0" xfId="3" applyNumberFormat="1" applyFont="1" applyFill="1" applyBorder="1" applyAlignment="1">
      <alignment horizontal="center"/>
    </xf>
    <xf numFmtId="184" fontId="66" fillId="33" borderId="16" xfId="3" applyNumberFormat="1" applyFont="1" applyBorder="1" applyAlignment="1">
      <alignment horizontal="center"/>
    </xf>
    <xf numFmtId="184" fontId="66" fillId="33" borderId="1" xfId="3" applyNumberFormat="1" applyFont="1" applyBorder="1" applyAlignment="1">
      <alignment horizontal="center"/>
    </xf>
    <xf numFmtId="10" fontId="71" fillId="33" borderId="1" xfId="3" applyNumberFormat="1" applyFont="1" applyBorder="1" applyAlignment="1">
      <alignment horizontal="center"/>
    </xf>
    <xf numFmtId="167" fontId="40" fillId="0" borderId="0" xfId="0" applyFont="1" applyBorder="1" applyAlignment="1">
      <alignment horizontal="center"/>
    </xf>
    <xf numFmtId="167" fontId="40" fillId="0" borderId="0" xfId="0" applyFont="1" applyBorder="1"/>
    <xf numFmtId="39" fontId="39" fillId="0" borderId="17" xfId="57" applyNumberFormat="1" applyFont="1" applyBorder="1"/>
    <xf numFmtId="166" fontId="38" fillId="0" borderId="0" xfId="0" applyNumberFormat="1" applyFont="1" applyBorder="1"/>
    <xf numFmtId="167" fontId="41" fillId="0" borderId="0" xfId="0" applyFont="1" applyBorder="1"/>
    <xf numFmtId="178" fontId="34" fillId="44" borderId="0" xfId="0" applyNumberFormat="1" applyFont="1" applyFill="1"/>
    <xf numFmtId="178" fontId="34" fillId="0" borderId="0" xfId="0" applyNumberFormat="1" applyFont="1" applyFill="1"/>
    <xf numFmtId="178" fontId="34" fillId="44" borderId="0" xfId="0" applyNumberFormat="1" applyFont="1" applyFill="1" applyAlignment="1">
      <alignment horizontal="right"/>
    </xf>
    <xf numFmtId="167" fontId="46" fillId="0" borderId="21" xfId="0" applyFont="1" applyBorder="1"/>
    <xf numFmtId="173" fontId="40" fillId="0" borderId="21" xfId="0" applyNumberFormat="1" applyFont="1" applyBorder="1"/>
    <xf numFmtId="173" fontId="40" fillId="0" borderId="17" xfId="0" applyNumberFormat="1" applyFont="1" applyBorder="1"/>
    <xf numFmtId="173" fontId="70" fillId="45" borderId="18" xfId="0" applyNumberFormat="1" applyFont="1" applyFill="1" applyBorder="1"/>
    <xf numFmtId="173" fontId="70" fillId="45" borderId="23" xfId="0" applyNumberFormat="1" applyFont="1" applyFill="1" applyBorder="1"/>
    <xf numFmtId="173" fontId="70" fillId="45" borderId="0" xfId="0" applyNumberFormat="1" applyFont="1" applyFill="1" applyBorder="1"/>
    <xf numFmtId="173" fontId="70" fillId="0" borderId="18" xfId="0" applyNumberFormat="1" applyFont="1" applyFill="1" applyBorder="1"/>
    <xf numFmtId="39" fontId="39" fillId="0" borderId="24" xfId="57" applyNumberFormat="1" applyFont="1" applyBorder="1"/>
    <xf numFmtId="179" fontId="38" fillId="0" borderId="0" xfId="0" applyNumberFormat="1" applyFont="1" applyBorder="1"/>
    <xf numFmtId="167" fontId="38" fillId="0" borderId="0" xfId="0" applyFont="1" applyBorder="1"/>
    <xf numFmtId="167" fontId="40" fillId="0" borderId="0" xfId="0" applyFont="1" applyFill="1"/>
    <xf numFmtId="173" fontId="40" fillId="0" borderId="18" xfId="0" applyNumberFormat="1" applyFont="1" applyBorder="1" applyAlignment="1">
      <alignment horizontal="center"/>
    </xf>
    <xf numFmtId="180" fontId="40" fillId="0" borderId="15" xfId="0" applyNumberFormat="1" applyFont="1" applyBorder="1" applyAlignment="1">
      <alignment horizontal="center"/>
    </xf>
    <xf numFmtId="180" fontId="46" fillId="0" borderId="15" xfId="0" applyNumberFormat="1" applyFont="1" applyBorder="1" applyAlignment="1">
      <alignment horizontal="center"/>
    </xf>
    <xf numFmtId="180" fontId="40" fillId="0" borderId="0" xfId="0" applyNumberFormat="1" applyFont="1" applyAlignment="1">
      <alignment horizontal="center"/>
    </xf>
    <xf numFmtId="10" fontId="73" fillId="33" borderId="1" xfId="3" applyNumberFormat="1" applyFont="1" applyBorder="1" applyAlignment="1">
      <alignment horizontal="center"/>
    </xf>
  </cellXfs>
  <cellStyles count="68">
    <cellStyle name="20% - Accent1" xfId="23" builtinId="30" hidden="1"/>
    <cellStyle name="20% - Accent2" xfId="27" builtinId="34" hidden="1"/>
    <cellStyle name="20% - Accent3" xfId="31" builtinId="38" hidden="1"/>
    <cellStyle name="20% - Accent4" xfId="35" builtinId="42" hidden="1"/>
    <cellStyle name="20% - Accent5" xfId="39" builtinId="46" hidden="1"/>
    <cellStyle name="20% - Accent6" xfId="43" builtinId="50" hidden="1"/>
    <cellStyle name="40% - Accent1" xfId="24" builtinId="31" hidden="1"/>
    <cellStyle name="40% - Accent2" xfId="28" builtinId="35" hidden="1"/>
    <cellStyle name="40% - Accent3" xfId="32" builtinId="39" hidden="1"/>
    <cellStyle name="40% - Accent4" xfId="36" builtinId="43" hidden="1"/>
    <cellStyle name="40% - Accent5" xfId="40" builtinId="47" hidden="1"/>
    <cellStyle name="40% - Accent6" xfId="44" builtinId="51" hidden="1"/>
    <cellStyle name="60% - Accent1" xfId="25" builtinId="32" hidden="1"/>
    <cellStyle name="60% - Accent2" xfId="29" builtinId="36" hidden="1"/>
    <cellStyle name="60% - Accent3" xfId="33" builtinId="40" hidden="1"/>
    <cellStyle name="60% - Accent4" xfId="37" builtinId="44" hidden="1"/>
    <cellStyle name="60% - Accent5" xfId="41" builtinId="48" hidden="1"/>
    <cellStyle name="60% - Accent6" xfId="45" builtinId="52" hidden="1"/>
    <cellStyle name="Accent1" xfId="22" builtinId="29" hidden="1"/>
    <cellStyle name="Accent2" xfId="26" builtinId="33" hidden="1"/>
    <cellStyle name="Accent3" xfId="30" builtinId="37" hidden="1"/>
    <cellStyle name="Accent4" xfId="34" builtinId="41" hidden="1"/>
    <cellStyle name="Accent5" xfId="38" builtinId="45" hidden="1"/>
    <cellStyle name="Accent6" xfId="42" builtinId="49" hidden="1"/>
    <cellStyle name="Bad" xfId="12" builtinId="27" hidden="1"/>
    <cellStyle name="blp_column_header" xfId="66" xr:uid="{AF54CA06-E9C5-47E9-94D2-0FADAEF0B6B2}"/>
    <cellStyle name="Blue" xfId="57" xr:uid="{00000000-0005-0000-0000-000019000000}"/>
    <cellStyle name="Blue 2" xfId="58" xr:uid="{00000000-0005-0000-0000-00001A000000}"/>
    <cellStyle name="Calculation" xfId="15" builtinId="22" hidden="1"/>
    <cellStyle name="Check Cell" xfId="17" builtinId="23" hidden="1"/>
    <cellStyle name="Comma" xfId="47" builtinId="3" hidden="1"/>
    <cellStyle name="Comma [0]" xfId="48" builtinId="6" hidden="1"/>
    <cellStyle name="Currency" xfId="49" builtinId="4" hidden="1"/>
    <cellStyle name="Currency [0]" xfId="50" builtinId="7" hidden="1"/>
    <cellStyle name="Date" xfId="1" xr:uid="{00000000-0005-0000-0000-000021000000}"/>
    <cellStyle name="Explanatory Text" xfId="20" builtinId="53" hidden="1"/>
    <cellStyle name="fa_column_header_bottom" xfId="67" xr:uid="{B37CB0A4-C947-4ACB-B9B9-C19627451DA0}"/>
    <cellStyle name="Followed Hyperlink" xfId="46" builtinId="9" hidden="1"/>
    <cellStyle name="Good" xfId="11" builtinId="26" hidden="1"/>
    <cellStyle name="Header" xfId="52" xr:uid="{00000000-0005-0000-0000-000025000000}"/>
    <cellStyle name="Heading 1" xfId="7" builtinId="16" hidden="1"/>
    <cellStyle name="Heading 2" xfId="8" builtinId="17" hidden="1"/>
    <cellStyle name="Heading 3" xfId="9" builtinId="18" hidden="1"/>
    <cellStyle name="Heading 4" xfId="10" builtinId="19" hidden="1"/>
    <cellStyle name="Historics" xfId="5" xr:uid="{00000000-0005-0000-0000-00002A000000}"/>
    <cellStyle name="Hyperlink" xfId="2" builtinId="8" hidden="1"/>
    <cellStyle name="Hyperlink 2" xfId="63" xr:uid="{57AD9CC5-9338-4D16-BF1A-884F881EA8CD}"/>
    <cellStyle name="Input" xfId="3" builtinId="20" customBuiltin="1"/>
    <cellStyle name="Input %" xfId="56" xr:uid="{00000000-0005-0000-0000-00002D000000}"/>
    <cellStyle name="Linked Cell" xfId="16" builtinId="24" hidden="1"/>
    <cellStyle name="Multiple" xfId="51" xr:uid="{00000000-0005-0000-0000-00002F000000}"/>
    <cellStyle name="Neutral" xfId="13" builtinId="28" hidden="1"/>
    <cellStyle name="Normal" xfId="0" builtinId="0" customBuiltin="1"/>
    <cellStyle name="Normal 2" xfId="59" xr:uid="{0A8E609E-3410-4D42-B3E5-0CEDA3329063}"/>
    <cellStyle name="Normal 2 2" xfId="64" xr:uid="{9D99E413-20CC-4F11-AA53-24332CDFCBF4}"/>
    <cellStyle name="Normal 3" xfId="61" xr:uid="{31E45258-C707-4FFF-AD35-8231101EDEE0}"/>
    <cellStyle name="Note" xfId="19" builtinId="10" hidden="1"/>
    <cellStyle name="Output" xfId="14" builtinId="21" hidden="1"/>
    <cellStyle name="Percent" xfId="4" builtinId="5" customBuiltin="1"/>
    <cellStyle name="Percent 2" xfId="62" xr:uid="{2050E5B5-C816-466F-AB53-D85F6FC7433A}"/>
    <cellStyle name="SubHeader" xfId="53" xr:uid="{00000000-0005-0000-0000-000035000000}"/>
    <cellStyle name="SubHeader2" xfId="54" xr:uid="{00000000-0005-0000-0000-000036000000}"/>
    <cellStyle name="SubHeader3" xfId="65" xr:uid="{E3F0A91E-F702-431E-964C-140D77ADB2F2}"/>
    <cellStyle name="Title" xfId="6" builtinId="15" hidden="1"/>
    <cellStyle name="Total" xfId="21" builtinId="25" hidden="1"/>
    <cellStyle name="Warning Text" xfId="18" builtinId="11" hidden="1"/>
    <cellStyle name="xGuides" xfId="60" xr:uid="{84689593-CF67-4082-A4B0-622C31D0642E}"/>
    <cellStyle name="YesNo" xfId="55" xr:uid="{00000000-0005-0000-0000-00003A000000}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6E00"/>
      <rgbColor rgb="00000080"/>
      <rgbColor rgb="00808000"/>
      <rgbColor rgb="00800080"/>
      <rgbColor rgb="00008080"/>
      <rgbColor rgb="00C0C0C0"/>
      <rgbColor rgb="00808080"/>
      <rgbColor rgb="00EAFFDF"/>
      <rgbColor rgb="00993366"/>
      <rgbColor rgb="00FFFFCB"/>
      <rgbColor rgb="00E3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F3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4A853"/>
      <color rgb="FF0000FF"/>
      <color rgb="FF44546A"/>
      <color rgb="FFEA4335"/>
      <color rgb="FF5F6368"/>
      <color rgb="FF4472C4"/>
      <color rgb="FFFBBC05"/>
      <color rgb="FFFF8585"/>
      <color rgb="FF4285F4"/>
      <color rgb="FFB4DE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meand\Downloads\Lululemon%20DCF%20model%20solution%20std%20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S"/>
      <sheetName val="Inputs"/>
      <sheetName val="Model"/>
      <sheetName val="DCF"/>
      <sheetName val="Presentation sheet"/>
    </sheetNames>
    <sheetDataSet>
      <sheetData sheetId="0" refreshError="1"/>
      <sheetData sheetId="1" refreshError="1"/>
      <sheetData sheetId="2" refreshError="1"/>
      <sheetData sheetId="3">
        <row r="98">
          <cell r="E98">
            <v>1</v>
          </cell>
        </row>
      </sheetData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AMT Training">
      <a:dk1>
        <a:srgbClr val="000000"/>
      </a:dk1>
      <a:lt1>
        <a:sysClr val="window" lastClr="FFFFFF"/>
      </a:lt1>
      <a:dk2>
        <a:srgbClr val="46484C"/>
      </a:dk2>
      <a:lt2>
        <a:srgbClr val="65686D"/>
      </a:lt2>
      <a:accent1>
        <a:srgbClr val="AFD7FF"/>
      </a:accent1>
      <a:accent2>
        <a:srgbClr val="007BEA"/>
      </a:accent2>
      <a:accent3>
        <a:srgbClr val="64E8C8"/>
      </a:accent3>
      <a:accent4>
        <a:srgbClr val="6DB9FF"/>
      </a:accent4>
      <a:accent5>
        <a:srgbClr val="C5D2D5"/>
      </a:accent5>
      <a:accent6>
        <a:srgbClr val="FFFFA0"/>
      </a:accent6>
      <a:hlink>
        <a:srgbClr val="00B050"/>
      </a:hlink>
      <a:folHlink>
        <a:srgbClr val="D2001E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O14"/>
  <sheetViews>
    <sheetView showGridLines="0" tabSelected="1" topLeftCell="C1" zoomScaleNormal="100" workbookViewId="0">
      <selection activeCell="K11" sqref="K11"/>
    </sheetView>
  </sheetViews>
  <sheetFormatPr defaultColWidth="9.140625" defaultRowHeight="15" x14ac:dyDescent="0.25"/>
  <cols>
    <col min="1" max="1" width="4.28515625" style="4" bestFit="1" customWidth="1"/>
    <col min="2" max="2" width="22.85546875" style="4" customWidth="1"/>
    <col min="3" max="3" width="18.140625" style="4" customWidth="1"/>
    <col min="4" max="4" width="17.42578125" style="4" customWidth="1"/>
    <col min="5" max="5" width="18.7109375" style="4" customWidth="1"/>
    <col min="6" max="6" width="16.42578125" style="4" customWidth="1"/>
    <col min="7" max="7" width="13.42578125" style="4" customWidth="1"/>
    <col min="8" max="8" width="17.42578125" style="4" bestFit="1" customWidth="1"/>
    <col min="9" max="10" width="15.7109375" style="4" customWidth="1"/>
    <col min="11" max="11" width="17.42578125" style="4" bestFit="1" customWidth="1"/>
    <col min="12" max="14" width="13.42578125" style="4" customWidth="1"/>
    <col min="15" max="15" width="13.140625" style="4" customWidth="1"/>
    <col min="16" max="16" width="12.7109375" style="4" customWidth="1"/>
    <col min="17" max="17" width="13.140625" style="4" customWidth="1"/>
    <col min="18" max="16384" width="9.140625" style="4"/>
  </cols>
  <sheetData>
    <row r="1" spans="1:15" s="51" customFormat="1" ht="19.5" x14ac:dyDescent="0.3">
      <c r="A1" s="327" t="str">
        <f>CoName</f>
        <v>Adobe Inc.</v>
      </c>
      <c r="B1" s="2"/>
      <c r="C1" s="2"/>
      <c r="D1" s="16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</row>
    <row r="2" spans="1:15" s="16" customFormat="1" x14ac:dyDescent="0.25">
      <c r="A2" s="67" t="s">
        <v>197</v>
      </c>
      <c r="B2" s="67"/>
      <c r="C2" s="67"/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</row>
    <row r="4" spans="1:15" x14ac:dyDescent="0.25">
      <c r="B4" s="4" t="s">
        <v>3</v>
      </c>
      <c r="C4" s="53" t="s">
        <v>200</v>
      </c>
      <c r="E4" s="4" t="s">
        <v>164</v>
      </c>
      <c r="F4" s="274">
        <v>328.46</v>
      </c>
      <c r="H4" s="183"/>
      <c r="I4" s="179" t="s">
        <v>193</v>
      </c>
      <c r="J4" s="179" t="s">
        <v>196</v>
      </c>
    </row>
    <row r="5" spans="1:15" x14ac:dyDescent="0.25">
      <c r="B5" s="4" t="s">
        <v>4</v>
      </c>
      <c r="C5" s="54">
        <v>247.43</v>
      </c>
      <c r="E5" s="4" t="s">
        <v>170</v>
      </c>
      <c r="F5" s="170">
        <v>418.6</v>
      </c>
      <c r="H5" s="179" t="s">
        <v>199</v>
      </c>
      <c r="I5" s="339">
        <f>'DCF Model'!M16</f>
        <v>261.41347793050033</v>
      </c>
      <c r="J5" s="338">
        <f>'DCF Model'!R16</f>
        <v>459.01674702354285</v>
      </c>
    </row>
    <row r="6" spans="1:15" x14ac:dyDescent="0.25">
      <c r="B6" s="4" t="s">
        <v>5</v>
      </c>
      <c r="C6" s="53" t="s">
        <v>9</v>
      </c>
      <c r="E6" s="4" t="s">
        <v>100</v>
      </c>
      <c r="F6" s="170">
        <f>F5*F4</f>
        <v>137493.356</v>
      </c>
      <c r="H6" s="179" t="s">
        <v>172</v>
      </c>
      <c r="I6" s="340">
        <f>I5/$F$4-1</f>
        <v>-0.20412385699780689</v>
      </c>
      <c r="J6" s="364">
        <f>J5/$F$4-1</f>
        <v>0.39748141942258686</v>
      </c>
    </row>
    <row r="7" spans="1:15" x14ac:dyDescent="0.25">
      <c r="B7" s="4" t="s">
        <v>6</v>
      </c>
      <c r="C7" s="53" t="s">
        <v>8</v>
      </c>
      <c r="E7" s="4" t="s">
        <v>171</v>
      </c>
      <c r="F7" s="53">
        <f>4982+958</f>
        <v>5940</v>
      </c>
    </row>
    <row r="8" spans="1:15" x14ac:dyDescent="0.25">
      <c r="B8" s="4" t="s">
        <v>2</v>
      </c>
      <c r="C8" s="53" t="s">
        <v>83</v>
      </c>
      <c r="E8" s="4" t="s">
        <v>141</v>
      </c>
      <c r="F8" s="53">
        <f>6200</f>
        <v>6200</v>
      </c>
    </row>
    <row r="9" spans="1:15" x14ac:dyDescent="0.25">
      <c r="B9" s="4" t="s">
        <v>7</v>
      </c>
      <c r="C9" s="53">
        <v>0</v>
      </c>
      <c r="E9" s="4" t="s">
        <v>114</v>
      </c>
      <c r="F9" s="53">
        <f>F6-F7+F8</f>
        <v>137753.356</v>
      </c>
    </row>
    <row r="11" spans="1:15" x14ac:dyDescent="0.25">
      <c r="E11" s="335"/>
      <c r="F11" s="335"/>
    </row>
    <row r="12" spans="1:15" x14ac:dyDescent="0.25">
      <c r="E12" s="336"/>
      <c r="F12" s="336"/>
    </row>
    <row r="13" spans="1:15" x14ac:dyDescent="0.25">
      <c r="A13" s="277"/>
      <c r="D13" s="342"/>
      <c r="E13" s="337"/>
      <c r="F13" s="337"/>
      <c r="G13" s="277"/>
      <c r="H13" s="277"/>
      <c r="I13" s="277"/>
      <c r="J13" s="277"/>
      <c r="K13" s="277"/>
      <c r="L13" s="277"/>
      <c r="M13" s="277"/>
      <c r="N13" s="277"/>
      <c r="O13" s="277"/>
    </row>
    <row r="14" spans="1:15" x14ac:dyDescent="0.25">
      <c r="A14" s="88"/>
      <c r="C14" s="179"/>
      <c r="D14" s="341"/>
      <c r="E14" s="335"/>
      <c r="F14" s="335"/>
    </row>
  </sheetData>
  <pageMargins left="0.74803149606299213" right="0.74803149606299213" top="0.98425196850393704" bottom="0.98425196850393704" header="0.51181102362204722" footer="0.51181102362204722"/>
  <pageSetup paperSize="9" scale="63" fitToHeight="4" orientation="landscape" horizontalDpi="4294967292" r:id="rId1"/>
  <headerFooter alignWithMargins="0">
    <oddHeader>&amp;L&amp;F &amp;A</oddHeader>
    <oddFooter>&amp;L© Adkins Matchett &amp; Toy 2017&amp;R &amp;P of &amp;N</oddFooter>
  </headerFooter>
  <legacy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93EAE-403E-4C0C-9BD0-952BD6AF5DF0}">
  <sheetPr codeName="Sheet6"/>
  <dimension ref="A1:W57"/>
  <sheetViews>
    <sheetView showGridLines="0" zoomScaleNormal="100" workbookViewId="0">
      <selection activeCell="F18" sqref="F18"/>
    </sheetView>
  </sheetViews>
  <sheetFormatPr defaultColWidth="9" defaultRowHeight="15" x14ac:dyDescent="0.25"/>
  <cols>
    <col min="1" max="1" width="2.28515625" style="4" customWidth="1"/>
    <col min="2" max="2" width="36.42578125" style="4" bestFit="1" customWidth="1"/>
    <col min="3" max="13" width="11.7109375" style="4" customWidth="1"/>
    <col min="14" max="14" width="11.42578125" style="4" customWidth="1"/>
    <col min="15" max="15" width="21.42578125" style="4" bestFit="1" customWidth="1"/>
    <col min="16" max="23" width="11.42578125" style="4" customWidth="1"/>
    <col min="24" max="16384" width="9" style="4"/>
  </cols>
  <sheetData>
    <row r="1" spans="1:23" ht="19.5" x14ac:dyDescent="0.3">
      <c r="A1" s="327" t="str">
        <f>CoName</f>
        <v>Adobe Inc.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s="43"/>
      <c r="O1" s="43"/>
    </row>
    <row r="2" spans="1:23" x14ac:dyDescent="0.25">
      <c r="A2" s="66" t="s">
        <v>122</v>
      </c>
      <c r="B2" s="109" t="s">
        <v>123</v>
      </c>
      <c r="C2" s="110">
        <v>44926</v>
      </c>
      <c r="D2" s="110">
        <v>45291</v>
      </c>
      <c r="E2" s="110">
        <v>45657</v>
      </c>
      <c r="F2" s="110">
        <v>46022</v>
      </c>
      <c r="G2" s="110">
        <v>46387</v>
      </c>
      <c r="H2" s="110">
        <v>46752</v>
      </c>
      <c r="I2" s="110">
        <v>47118</v>
      </c>
      <c r="J2" s="110">
        <v>47483</v>
      </c>
      <c r="K2" s="110">
        <v>47848</v>
      </c>
      <c r="L2" s="110">
        <v>48213</v>
      </c>
      <c r="M2" s="110">
        <v>48579</v>
      </c>
      <c r="N2" s="221"/>
      <c r="O2" s="221"/>
    </row>
    <row r="3" spans="1:23" x14ac:dyDescent="0.25">
      <c r="A3" s="88"/>
      <c r="B3" s="169"/>
      <c r="C3" s="221"/>
      <c r="D3" s="221"/>
      <c r="E3" s="221"/>
      <c r="F3" s="221"/>
      <c r="G3" s="221"/>
      <c r="H3" s="221"/>
      <c r="I3" s="221"/>
      <c r="J3" s="221"/>
      <c r="K3" s="221"/>
      <c r="L3" s="221"/>
      <c r="M3" s="221"/>
      <c r="N3" s="221"/>
      <c r="O3" s="221"/>
    </row>
    <row r="4" spans="1:23" x14ac:dyDescent="0.25">
      <c r="B4" s="96" t="s">
        <v>129</v>
      </c>
      <c r="C4"/>
      <c r="D4" s="332">
        <v>1</v>
      </c>
      <c r="E4"/>
      <c r="F4"/>
      <c r="G4" s="91"/>
      <c r="H4" s="91"/>
      <c r="I4" s="91"/>
      <c r="J4" s="91"/>
      <c r="K4" s="91"/>
      <c r="L4" s="91"/>
      <c r="M4" s="91"/>
      <c r="N4" s="91"/>
      <c r="P4" s="293"/>
      <c r="Q4" s="294"/>
      <c r="R4" s="294"/>
    </row>
    <row r="5" spans="1:23" x14ac:dyDescent="0.25">
      <c r="B5" s="90"/>
      <c r="C5" s="92"/>
      <c r="D5" s="116" t="s">
        <v>124</v>
      </c>
      <c r="E5" s="93"/>
      <c r="N5" s="91"/>
      <c r="P5" s="295"/>
      <c r="Q5" s="296"/>
      <c r="R5" s="296"/>
    </row>
    <row r="6" spans="1:23" x14ac:dyDescent="0.25">
      <c r="B6" s="94" t="s">
        <v>130</v>
      </c>
      <c r="D6" s="103">
        <v>0</v>
      </c>
      <c r="E6" s="95"/>
      <c r="F6" s="103">
        <f>Revenue!N11</f>
        <v>9.8189723320158073E-2</v>
      </c>
      <c r="G6" s="103">
        <f>Revenue!O11</f>
        <v>9.8834735468566359E-2</v>
      </c>
      <c r="H6" s="103">
        <f>Revenue!P11</f>
        <v>9.9456567453805267E-2</v>
      </c>
      <c r="I6" s="103">
        <f>Revenue!Q11</f>
        <v>0.10005577000876209</v>
      </c>
      <c r="J6" s="103">
        <f>Revenue!R11</f>
        <v>0.10063290031409222</v>
      </c>
      <c r="K6" s="103">
        <f>Revenue!S11</f>
        <v>0.10118852038383097</v>
      </c>
      <c r="L6" s="103">
        <f>Revenue!T11</f>
        <v>0.10172319553839659</v>
      </c>
      <c r="M6" s="103">
        <f>Revenue!U11</f>
        <v>0.10223749296158657</v>
      </c>
      <c r="N6" s="189"/>
      <c r="P6" s="189"/>
      <c r="Q6" s="297"/>
      <c r="R6" s="297"/>
      <c r="S6" s="297"/>
      <c r="T6" s="297"/>
      <c r="U6" s="297"/>
      <c r="V6" s="297"/>
      <c r="W6" s="297"/>
    </row>
    <row r="7" spans="1:23" x14ac:dyDescent="0.25">
      <c r="B7" s="4" t="s">
        <v>126</v>
      </c>
      <c r="D7" s="103">
        <v>2.5000000000000001E-2</v>
      </c>
      <c r="E7" s="95"/>
      <c r="F7" s="103">
        <f>F6+$D$7</f>
        <v>0.12318972332015807</v>
      </c>
      <c r="G7" s="103">
        <f t="shared" ref="G7:M7" si="0">G6+$D$7</f>
        <v>0.12383473546856635</v>
      </c>
      <c r="H7" s="103">
        <f t="shared" si="0"/>
        <v>0.12445656745380526</v>
      </c>
      <c r="I7" s="103">
        <f t="shared" si="0"/>
        <v>0.12505577000876208</v>
      </c>
      <c r="J7" s="103">
        <f t="shared" si="0"/>
        <v>0.12563290031409222</v>
      </c>
      <c r="K7" s="103">
        <f t="shared" si="0"/>
        <v>0.12618852038383097</v>
      </c>
      <c r="L7" s="103">
        <f t="shared" si="0"/>
        <v>0.12672319553839659</v>
      </c>
      <c r="M7" s="103">
        <f t="shared" si="0"/>
        <v>0.12723749296158657</v>
      </c>
      <c r="N7" s="189"/>
      <c r="P7" s="189"/>
      <c r="Q7" s="189"/>
      <c r="R7" s="189"/>
      <c r="S7" s="189"/>
      <c r="T7" s="189"/>
      <c r="U7" s="189"/>
      <c r="V7" s="189"/>
      <c r="W7" s="189"/>
    </row>
    <row r="8" spans="1:23" x14ac:dyDescent="0.25">
      <c r="B8" s="4" t="s">
        <v>125</v>
      </c>
      <c r="D8" s="103">
        <v>-2.5000000000000001E-2</v>
      </c>
      <c r="E8" s="95"/>
      <c r="F8" s="103">
        <f>F6+$D$8</f>
        <v>7.3189723320158079E-2</v>
      </c>
      <c r="G8" s="103">
        <f t="shared" ref="G8:M8" si="1">G6+$D$8</f>
        <v>7.3834735468566365E-2</v>
      </c>
      <c r="H8" s="103">
        <f t="shared" si="1"/>
        <v>7.4456567453805272E-2</v>
      </c>
      <c r="I8" s="103">
        <f t="shared" si="1"/>
        <v>7.5055770008762096E-2</v>
      </c>
      <c r="J8" s="103">
        <f t="shared" si="1"/>
        <v>7.5632900314092227E-2</v>
      </c>
      <c r="K8" s="103">
        <f t="shared" si="1"/>
        <v>7.6188520383830977E-2</v>
      </c>
      <c r="L8" s="103">
        <f t="shared" si="1"/>
        <v>7.6723195538396599E-2</v>
      </c>
      <c r="M8" s="103">
        <f t="shared" si="1"/>
        <v>7.7237492961586579E-2</v>
      </c>
      <c r="N8" s="189"/>
    </row>
    <row r="9" spans="1:23" x14ac:dyDescent="0.25">
      <c r="N9" s="32"/>
      <c r="O9" s="32"/>
      <c r="P9" s="189"/>
      <c r="Q9" s="189"/>
    </row>
    <row r="10" spans="1:23" x14ac:dyDescent="0.25">
      <c r="B10" s="124" t="s">
        <v>146</v>
      </c>
      <c r="C10" s="211">
        <f>Revenue!C11</f>
        <v>0.11430379746835451</v>
      </c>
      <c r="D10" s="211">
        <f>Revenue!D11</f>
        <v>0.10240826990798602</v>
      </c>
      <c r="E10" s="212">
        <f>Revenue!I11</f>
        <v>0.10799113813179462</v>
      </c>
      <c r="F10" s="107">
        <f t="shared" ref="F10" si="2">CHOOSE(ScenarioREV,F6,F7,F8)</f>
        <v>9.8189723320158073E-2</v>
      </c>
      <c r="G10" s="107">
        <f t="shared" ref="G10:M10" si="3">CHOOSE(ScenarioREV,G6,G7,G8)</f>
        <v>9.8834735468566359E-2</v>
      </c>
      <c r="H10" s="107">
        <f t="shared" si="3"/>
        <v>9.9456567453805267E-2</v>
      </c>
      <c r="I10" s="107">
        <f t="shared" si="3"/>
        <v>0.10005577000876209</v>
      </c>
      <c r="J10" s="107">
        <f t="shared" si="3"/>
        <v>0.10063290031409222</v>
      </c>
      <c r="K10" s="107">
        <f t="shared" si="3"/>
        <v>0.10118852038383097</v>
      </c>
      <c r="L10" s="107">
        <f t="shared" si="3"/>
        <v>0.10172319553839659</v>
      </c>
      <c r="M10" s="107">
        <f t="shared" si="3"/>
        <v>0.10223749296158657</v>
      </c>
      <c r="N10" s="31"/>
      <c r="O10" s="31"/>
      <c r="P10" s="189"/>
      <c r="Q10" s="189"/>
    </row>
    <row r="11" spans="1:23" x14ac:dyDescent="0.25">
      <c r="B11" s="4" t="s">
        <v>131</v>
      </c>
      <c r="C11" s="8">
        <f>IncState!C17/IncState!C16</f>
        <v>0.12296944223560149</v>
      </c>
      <c r="D11" s="8">
        <f>IncState!D17/IncState!D16</f>
        <v>0.12128394044000206</v>
      </c>
      <c r="E11" s="8">
        <f>IncState!E17/IncState!E16</f>
        <v>0.10964891885607998</v>
      </c>
      <c r="F11" s="103">
        <f>E11</f>
        <v>0.10964891885607998</v>
      </c>
      <c r="G11" s="103">
        <f t="shared" ref="G11:M11" si="4">F11</f>
        <v>0.10964891885607998</v>
      </c>
      <c r="H11" s="103">
        <f t="shared" si="4"/>
        <v>0.10964891885607998</v>
      </c>
      <c r="I11" s="103">
        <f t="shared" si="4"/>
        <v>0.10964891885607998</v>
      </c>
      <c r="J11" s="103">
        <f t="shared" si="4"/>
        <v>0.10964891885607998</v>
      </c>
      <c r="K11" s="103">
        <f t="shared" si="4"/>
        <v>0.10964891885607998</v>
      </c>
      <c r="L11" s="103">
        <f t="shared" si="4"/>
        <v>0.10964891885607998</v>
      </c>
      <c r="M11" s="103">
        <f t="shared" si="4"/>
        <v>0.10964891885607998</v>
      </c>
      <c r="N11" s="189"/>
      <c r="O11" s="189"/>
      <c r="P11" s="189"/>
      <c r="Q11" s="189"/>
    </row>
    <row r="12" spans="1:23" x14ac:dyDescent="0.25">
      <c r="B12" s="4" t="s">
        <v>174</v>
      </c>
      <c r="C12" s="8">
        <f>IncState!C18/IncState!C16</f>
        <v>0.16965807111212086</v>
      </c>
      <c r="D12" s="8">
        <f>IncState!D18/IncState!D16</f>
        <v>0.12226286774176928</v>
      </c>
      <c r="E12" s="8">
        <f>IncState!E18/IncState!E16</f>
        <v>0.183399209486166</v>
      </c>
      <c r="F12" s="103">
        <f>E12</f>
        <v>0.183399209486166</v>
      </c>
      <c r="G12" s="103">
        <f t="shared" ref="G12:M12" si="5">F12</f>
        <v>0.183399209486166</v>
      </c>
      <c r="H12" s="103">
        <f t="shared" si="5"/>
        <v>0.183399209486166</v>
      </c>
      <c r="I12" s="103">
        <f t="shared" si="5"/>
        <v>0.183399209486166</v>
      </c>
      <c r="J12" s="103">
        <f t="shared" si="5"/>
        <v>0.183399209486166</v>
      </c>
      <c r="K12" s="103">
        <f t="shared" si="5"/>
        <v>0.183399209486166</v>
      </c>
      <c r="L12" s="103">
        <f t="shared" si="5"/>
        <v>0.183399209486166</v>
      </c>
      <c r="M12" s="103">
        <f t="shared" si="5"/>
        <v>0.183399209486166</v>
      </c>
      <c r="N12" s="189"/>
      <c r="O12" s="189"/>
      <c r="P12" s="189"/>
      <c r="Q12" s="189"/>
    </row>
    <row r="13" spans="1:23" x14ac:dyDescent="0.25">
      <c r="B13" s="4" t="s">
        <v>44</v>
      </c>
      <c r="C13" s="8">
        <f>IncState!C19/IncState!C16</f>
        <v>0.36101329092354878</v>
      </c>
      <c r="D13" s="8">
        <f>IncState!D19/IncState!D16</f>
        <v>0.41382863619970117</v>
      </c>
      <c r="E13" s="8">
        <f>IncState!E19/IncState!E16</f>
        <v>0.39348988607300628</v>
      </c>
      <c r="F13" s="103">
        <f>E13</f>
        <v>0.39348988607300628</v>
      </c>
      <c r="G13" s="103">
        <f t="shared" ref="G13:M13" si="6">F13</f>
        <v>0.39348988607300628</v>
      </c>
      <c r="H13" s="103">
        <f t="shared" si="6"/>
        <v>0.39348988607300628</v>
      </c>
      <c r="I13" s="103">
        <f t="shared" si="6"/>
        <v>0.39348988607300628</v>
      </c>
      <c r="J13" s="103">
        <f t="shared" si="6"/>
        <v>0.39348988607300628</v>
      </c>
      <c r="K13" s="103">
        <f t="shared" si="6"/>
        <v>0.39348988607300628</v>
      </c>
      <c r="L13" s="103">
        <f t="shared" si="6"/>
        <v>0.39348988607300628</v>
      </c>
      <c r="M13" s="103">
        <f t="shared" si="6"/>
        <v>0.39348988607300628</v>
      </c>
      <c r="N13" s="189"/>
      <c r="O13" s="189"/>
    </row>
    <row r="14" spans="1:23" x14ac:dyDescent="0.25">
      <c r="B14" s="4" t="s">
        <v>133</v>
      </c>
      <c r="C14" s="4">
        <f>IncState!C23</f>
        <v>169</v>
      </c>
      <c r="D14" s="4">
        <f>IncState!D23</f>
        <v>168</v>
      </c>
      <c r="E14" s="4">
        <f>IncState!E23</f>
        <v>169</v>
      </c>
      <c r="F14" s="104">
        <f>E14</f>
        <v>169</v>
      </c>
      <c r="G14" s="104">
        <f t="shared" ref="G14:M14" si="7">F14</f>
        <v>169</v>
      </c>
      <c r="H14" s="104">
        <f t="shared" si="7"/>
        <v>169</v>
      </c>
      <c r="I14" s="104">
        <f t="shared" si="7"/>
        <v>169</v>
      </c>
      <c r="J14" s="104">
        <f t="shared" si="7"/>
        <v>169</v>
      </c>
      <c r="K14" s="104">
        <f t="shared" si="7"/>
        <v>169</v>
      </c>
      <c r="L14" s="104">
        <f t="shared" si="7"/>
        <v>169</v>
      </c>
      <c r="M14" s="104">
        <f t="shared" si="7"/>
        <v>169</v>
      </c>
      <c r="N14" s="222"/>
      <c r="O14" s="222"/>
    </row>
    <row r="15" spans="1:23" x14ac:dyDescent="0.25">
      <c r="B15" s="4" t="s">
        <v>134</v>
      </c>
      <c r="C15" s="4">
        <f>IncState!C26</f>
        <v>-19</v>
      </c>
      <c r="D15" s="4">
        <f>IncState!D26</f>
        <v>16</v>
      </c>
      <c r="E15" s="4">
        <f>IncState!E26</f>
        <v>48</v>
      </c>
      <c r="F15" s="104">
        <v>0</v>
      </c>
      <c r="G15" s="104">
        <v>0</v>
      </c>
      <c r="H15" s="104">
        <v>0</v>
      </c>
      <c r="I15" s="104">
        <v>0</v>
      </c>
      <c r="J15" s="104">
        <v>0</v>
      </c>
      <c r="K15" s="104">
        <v>0</v>
      </c>
      <c r="L15" s="104">
        <v>0</v>
      </c>
      <c r="M15" s="104">
        <v>0</v>
      </c>
      <c r="N15" s="222"/>
      <c r="O15" s="222"/>
    </row>
    <row r="16" spans="1:23" x14ac:dyDescent="0.25">
      <c r="B16" s="4" t="s">
        <v>136</v>
      </c>
      <c r="C16" s="4">
        <f>IncState!C27</f>
        <v>41</v>
      </c>
      <c r="D16" s="4">
        <f>IncState!D27</f>
        <v>246</v>
      </c>
      <c r="E16" s="4">
        <f>IncState!E27</f>
        <v>311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222"/>
      <c r="O16" s="222"/>
    </row>
    <row r="17" spans="1:15" x14ac:dyDescent="0.25">
      <c r="B17" s="4" t="s">
        <v>47</v>
      </c>
      <c r="C17" s="8">
        <f>IncState!C34/IncState!C32</f>
        <v>0.20838881491344874</v>
      </c>
      <c r="D17" s="8">
        <f>IncState!D34/IncState!D32</f>
        <v>0.20164730107368731</v>
      </c>
      <c r="E17" s="8">
        <f>IncState!E34/IncState!E32</f>
        <v>0.19780695426345404</v>
      </c>
      <c r="F17" s="103">
        <v>0.19</v>
      </c>
      <c r="G17" s="103">
        <f t="shared" ref="G17:M17" si="8">F17</f>
        <v>0.19</v>
      </c>
      <c r="H17" s="103">
        <f t="shared" si="8"/>
        <v>0.19</v>
      </c>
      <c r="I17" s="103">
        <f t="shared" si="8"/>
        <v>0.19</v>
      </c>
      <c r="J17" s="103">
        <f t="shared" si="8"/>
        <v>0.19</v>
      </c>
      <c r="K17" s="103">
        <f t="shared" si="8"/>
        <v>0.19</v>
      </c>
      <c r="L17" s="103">
        <f t="shared" si="8"/>
        <v>0.19</v>
      </c>
      <c r="M17" s="103">
        <f t="shared" si="8"/>
        <v>0.19</v>
      </c>
      <c r="N17" s="189"/>
      <c r="O17" s="189"/>
    </row>
    <row r="18" spans="1:15" x14ac:dyDescent="0.25">
      <c r="B18" s="4" t="s">
        <v>48</v>
      </c>
      <c r="C18" s="4">
        <f>IncState!C38</f>
        <v>470</v>
      </c>
      <c r="D18" s="4">
        <f>IncState!D38</f>
        <v>457</v>
      </c>
      <c r="E18" s="4">
        <f>IncState!E38</f>
        <v>447</v>
      </c>
      <c r="F18" s="104">
        <f>E18</f>
        <v>447</v>
      </c>
      <c r="G18" s="104">
        <f t="shared" ref="G18:M18" si="9">F18</f>
        <v>447</v>
      </c>
      <c r="H18" s="104">
        <f t="shared" si="9"/>
        <v>447</v>
      </c>
      <c r="I18" s="104">
        <f t="shared" si="9"/>
        <v>447</v>
      </c>
      <c r="J18" s="104">
        <f t="shared" si="9"/>
        <v>447</v>
      </c>
      <c r="K18" s="104">
        <f t="shared" si="9"/>
        <v>447</v>
      </c>
      <c r="L18" s="104">
        <f t="shared" si="9"/>
        <v>447</v>
      </c>
      <c r="M18" s="104">
        <f t="shared" si="9"/>
        <v>447</v>
      </c>
      <c r="N18" s="222"/>
      <c r="O18" s="222"/>
    </row>
    <row r="19" spans="1:15" x14ac:dyDescent="0.25">
      <c r="B19" s="4" t="s">
        <v>49</v>
      </c>
      <c r="C19" s="4">
        <f>IncState!C39</f>
        <v>471</v>
      </c>
      <c r="D19" s="4">
        <f>IncState!D39</f>
        <v>459</v>
      </c>
      <c r="E19" s="4">
        <f>IncState!E39</f>
        <v>450</v>
      </c>
      <c r="F19" s="104">
        <f>E19</f>
        <v>450</v>
      </c>
      <c r="G19" s="104">
        <f t="shared" ref="G19:M19" si="10">F19</f>
        <v>450</v>
      </c>
      <c r="H19" s="104">
        <f t="shared" si="10"/>
        <v>450</v>
      </c>
      <c r="I19" s="104">
        <f t="shared" si="10"/>
        <v>450</v>
      </c>
      <c r="J19" s="104">
        <f t="shared" si="10"/>
        <v>450</v>
      </c>
      <c r="K19" s="104">
        <f t="shared" si="10"/>
        <v>450</v>
      </c>
      <c r="L19" s="104">
        <f t="shared" si="10"/>
        <v>450</v>
      </c>
      <c r="M19" s="104">
        <f t="shared" si="10"/>
        <v>450</v>
      </c>
      <c r="N19" s="222"/>
      <c r="O19" s="222"/>
    </row>
    <row r="20" spans="1:15" x14ac:dyDescent="0.25">
      <c r="F20" s="106"/>
      <c r="G20" s="106"/>
      <c r="H20" s="106"/>
      <c r="I20" s="106"/>
      <c r="J20" s="106"/>
      <c r="K20" s="106"/>
      <c r="L20" s="106"/>
      <c r="M20" s="106"/>
      <c r="N20" s="189"/>
      <c r="O20" s="189"/>
    </row>
    <row r="21" spans="1:15" x14ac:dyDescent="0.25">
      <c r="A21" s="66" t="s">
        <v>122</v>
      </c>
      <c r="B21" s="109" t="s">
        <v>141</v>
      </c>
      <c r="C21" s="110">
        <v>44926</v>
      </c>
      <c r="D21" s="110">
        <v>45291</v>
      </c>
      <c r="E21" s="110">
        <v>45657</v>
      </c>
      <c r="F21" s="120">
        <v>46022</v>
      </c>
      <c r="G21" s="120">
        <v>46387</v>
      </c>
      <c r="H21" s="120">
        <v>46752</v>
      </c>
      <c r="I21" s="120">
        <v>47118</v>
      </c>
      <c r="J21" s="120">
        <v>47483</v>
      </c>
      <c r="K21" s="120">
        <f>K2</f>
        <v>47848</v>
      </c>
      <c r="L21" s="120">
        <f>L2</f>
        <v>48213</v>
      </c>
      <c r="M21" s="120">
        <f>M2</f>
        <v>48579</v>
      </c>
      <c r="N21" s="223"/>
      <c r="O21" s="223"/>
    </row>
    <row r="22" spans="1:15" x14ac:dyDescent="0.25">
      <c r="A22" s="88"/>
      <c r="B22" s="169"/>
      <c r="C22" s="221"/>
      <c r="D22" s="221"/>
      <c r="E22" s="221"/>
      <c r="F22" s="223"/>
      <c r="G22" s="223"/>
      <c r="H22" s="223"/>
      <c r="I22" s="223"/>
      <c r="J22" s="223"/>
      <c r="K22" s="223"/>
      <c r="L22" s="223"/>
      <c r="M22" s="223"/>
      <c r="N22" s="223"/>
      <c r="O22" s="223"/>
    </row>
    <row r="23" spans="1:15" x14ac:dyDescent="0.25">
      <c r="B23" s="4" t="s">
        <v>135</v>
      </c>
      <c r="E23" s="8">
        <f>E24</f>
        <v>3.5999999999999997E-2</v>
      </c>
      <c r="F23" s="103">
        <f>E23</f>
        <v>3.5999999999999997E-2</v>
      </c>
      <c r="G23" s="103">
        <f t="shared" ref="G23:M23" si="11">F23</f>
        <v>3.5999999999999997E-2</v>
      </c>
      <c r="H23" s="103">
        <f t="shared" si="11"/>
        <v>3.5999999999999997E-2</v>
      </c>
      <c r="I23" s="103">
        <f t="shared" si="11"/>
        <v>3.5999999999999997E-2</v>
      </c>
      <c r="J23" s="103">
        <f t="shared" si="11"/>
        <v>3.5999999999999997E-2</v>
      </c>
      <c r="K23" s="103">
        <f t="shared" si="11"/>
        <v>3.5999999999999997E-2</v>
      </c>
      <c r="L23" s="103">
        <f t="shared" si="11"/>
        <v>3.5999999999999997E-2</v>
      </c>
      <c r="M23" s="103">
        <f t="shared" si="11"/>
        <v>3.5999999999999997E-2</v>
      </c>
      <c r="N23" s="189"/>
      <c r="O23" s="189"/>
    </row>
    <row r="24" spans="1:15" x14ac:dyDescent="0.25">
      <c r="B24" s="4" t="s">
        <v>25</v>
      </c>
      <c r="E24" s="8">
        <v>3.5999999999999997E-2</v>
      </c>
      <c r="F24" s="103">
        <f>E24</f>
        <v>3.5999999999999997E-2</v>
      </c>
      <c r="G24" s="103">
        <f t="shared" ref="G24:M24" si="12">F24</f>
        <v>3.5999999999999997E-2</v>
      </c>
      <c r="H24" s="103">
        <f t="shared" si="12"/>
        <v>3.5999999999999997E-2</v>
      </c>
      <c r="I24" s="103">
        <f t="shared" si="12"/>
        <v>3.5999999999999997E-2</v>
      </c>
      <c r="J24" s="103">
        <f t="shared" si="12"/>
        <v>3.5999999999999997E-2</v>
      </c>
      <c r="K24" s="103">
        <f t="shared" si="12"/>
        <v>3.5999999999999997E-2</v>
      </c>
      <c r="L24" s="103">
        <f t="shared" si="12"/>
        <v>3.5999999999999997E-2</v>
      </c>
      <c r="M24" s="103">
        <f t="shared" si="12"/>
        <v>3.5999999999999997E-2</v>
      </c>
      <c r="N24" s="189"/>
      <c r="O24" s="189"/>
    </row>
    <row r="25" spans="1:15" x14ac:dyDescent="0.25">
      <c r="B25" s="4" t="s">
        <v>26</v>
      </c>
      <c r="C25" s="8"/>
      <c r="D25" s="8"/>
      <c r="E25" s="8">
        <f>341/BalSheet!E15</f>
        <v>5.0067907352347389E-2</v>
      </c>
      <c r="F25" s="133">
        <f>E25</f>
        <v>5.0067907352347389E-2</v>
      </c>
      <c r="G25" s="133">
        <f t="shared" ref="G25:M25" si="13">F25</f>
        <v>5.0067907352347389E-2</v>
      </c>
      <c r="H25" s="133">
        <f t="shared" si="13"/>
        <v>5.0067907352347389E-2</v>
      </c>
      <c r="I25" s="133">
        <f t="shared" si="13"/>
        <v>5.0067907352347389E-2</v>
      </c>
      <c r="J25" s="133">
        <f t="shared" si="13"/>
        <v>5.0067907352347389E-2</v>
      </c>
      <c r="K25" s="133">
        <f t="shared" si="13"/>
        <v>5.0067907352347389E-2</v>
      </c>
      <c r="L25" s="133">
        <f t="shared" si="13"/>
        <v>5.0067907352347389E-2</v>
      </c>
      <c r="M25" s="103">
        <f t="shared" si="13"/>
        <v>5.0067907352347389E-2</v>
      </c>
      <c r="N25" s="189"/>
      <c r="O25" s="189"/>
    </row>
    <row r="26" spans="1:15" x14ac:dyDescent="0.25">
      <c r="F26" s="106"/>
      <c r="G26" s="106"/>
      <c r="H26" s="106"/>
      <c r="I26" s="106"/>
      <c r="J26" s="106"/>
      <c r="K26" s="106"/>
      <c r="L26" s="106"/>
      <c r="M26" s="106"/>
      <c r="N26" s="189"/>
      <c r="O26" s="189"/>
    </row>
    <row r="27" spans="1:15" x14ac:dyDescent="0.25">
      <c r="B27" s="4" t="s">
        <v>27</v>
      </c>
      <c r="F27" s="104">
        <v>0</v>
      </c>
      <c r="G27" s="104">
        <v>0</v>
      </c>
      <c r="H27" s="104">
        <v>0</v>
      </c>
      <c r="I27" s="104">
        <v>0</v>
      </c>
      <c r="J27" s="104">
        <v>0</v>
      </c>
      <c r="K27" s="104">
        <v>0</v>
      </c>
      <c r="L27" s="104">
        <v>0</v>
      </c>
      <c r="M27" s="104">
        <v>0</v>
      </c>
      <c r="N27" s="222"/>
      <c r="O27" s="222"/>
    </row>
    <row r="28" spans="1:15" x14ac:dyDescent="0.25">
      <c r="B28" s="4" t="s">
        <v>28</v>
      </c>
      <c r="F28" s="104">
        <v>-1499</v>
      </c>
      <c r="G28" s="104">
        <v>0</v>
      </c>
      <c r="H28" s="104">
        <v>0</v>
      </c>
      <c r="I28" s="104">
        <v>0</v>
      </c>
      <c r="J28" s="104">
        <v>0</v>
      </c>
      <c r="K28" s="104">
        <v>0</v>
      </c>
      <c r="L28" s="104">
        <v>0</v>
      </c>
      <c r="M28" s="104">
        <v>0</v>
      </c>
      <c r="N28" s="222"/>
      <c r="O28" s="222"/>
    </row>
    <row r="29" spans="1:15" x14ac:dyDescent="0.25">
      <c r="F29" s="106"/>
      <c r="G29" s="106"/>
      <c r="H29" s="106"/>
      <c r="I29" s="106"/>
      <c r="J29" s="106"/>
      <c r="K29" s="106"/>
      <c r="L29" s="106"/>
      <c r="M29" s="106"/>
      <c r="N29" s="189"/>
      <c r="O29" s="189"/>
    </row>
    <row r="30" spans="1:15" x14ac:dyDescent="0.25">
      <c r="A30" s="66" t="s">
        <v>122</v>
      </c>
      <c r="B30" s="109" t="s">
        <v>138</v>
      </c>
      <c r="C30" s="110">
        <v>44926</v>
      </c>
      <c r="D30" s="110">
        <v>45291</v>
      </c>
      <c r="E30" s="110">
        <v>45657</v>
      </c>
      <c r="F30" s="120">
        <v>46022</v>
      </c>
      <c r="G30" s="120">
        <v>46387</v>
      </c>
      <c r="H30" s="120">
        <v>46752</v>
      </c>
      <c r="I30" s="120">
        <v>47118</v>
      </c>
      <c r="J30" s="120">
        <v>47483</v>
      </c>
      <c r="K30" s="214">
        <v>2030</v>
      </c>
      <c r="L30" s="214">
        <f>K30+1</f>
        <v>2031</v>
      </c>
      <c r="M30" s="214">
        <f t="shared" ref="M30" si="14">L30+1</f>
        <v>2032</v>
      </c>
      <c r="N30" s="224"/>
      <c r="O30" s="224"/>
    </row>
    <row r="31" spans="1:15" x14ac:dyDescent="0.25">
      <c r="A31" s="88"/>
      <c r="B31" s="169"/>
      <c r="C31" s="221"/>
      <c r="D31" s="221"/>
      <c r="E31" s="221"/>
      <c r="F31" s="223"/>
      <c r="G31" s="223"/>
      <c r="H31" s="223"/>
      <c r="I31" s="223"/>
      <c r="J31" s="223"/>
      <c r="K31" s="224"/>
      <c r="L31" s="224"/>
      <c r="M31" s="224"/>
      <c r="N31" s="224"/>
      <c r="O31" s="224"/>
    </row>
    <row r="32" spans="1:15" x14ac:dyDescent="0.25">
      <c r="B32" s="4" t="s">
        <v>139</v>
      </c>
      <c r="C32" s="8">
        <f>442/IncState!C16</f>
        <v>2.5105077814381462E-2</v>
      </c>
      <c r="D32" s="8">
        <f>360/IncState!D16</f>
        <v>1.854809624401051E-2</v>
      </c>
      <c r="E32" s="8">
        <f>291/IncState!E16</f>
        <v>1.3531736805394094E-2</v>
      </c>
      <c r="F32" s="262">
        <f>E32</f>
        <v>1.3531736805394094E-2</v>
      </c>
      <c r="G32" s="262">
        <f t="shared" ref="G32:M32" si="15">F32</f>
        <v>1.3531736805394094E-2</v>
      </c>
      <c r="H32" s="262">
        <f t="shared" si="15"/>
        <v>1.3531736805394094E-2</v>
      </c>
      <c r="I32" s="262">
        <f t="shared" si="15"/>
        <v>1.3531736805394094E-2</v>
      </c>
      <c r="J32" s="262">
        <f t="shared" si="15"/>
        <v>1.3531736805394094E-2</v>
      </c>
      <c r="K32" s="262">
        <f t="shared" si="15"/>
        <v>1.3531736805394094E-2</v>
      </c>
      <c r="L32" s="262">
        <f t="shared" si="15"/>
        <v>1.3531736805394094E-2</v>
      </c>
      <c r="M32" s="262">
        <f t="shared" si="15"/>
        <v>1.3531736805394094E-2</v>
      </c>
      <c r="N32" s="189"/>
      <c r="O32" s="189"/>
    </row>
    <row r="33" spans="1:15" x14ac:dyDescent="0.25">
      <c r="B33" s="4" t="s">
        <v>152</v>
      </c>
      <c r="D33" s="8">
        <f>IncState!D22/BalSheet!C20</f>
        <v>0.30410367170626351</v>
      </c>
      <c r="E33" s="8">
        <f>IncState!E22/BalSheet!D20</f>
        <v>0.28810720268006701</v>
      </c>
      <c r="F33" s="103">
        <f>E33</f>
        <v>0.28810720268006701</v>
      </c>
      <c r="G33" s="103">
        <f t="shared" ref="G33:M33" si="16">F33</f>
        <v>0.28810720268006701</v>
      </c>
      <c r="H33" s="103">
        <f t="shared" si="16"/>
        <v>0.28810720268006701</v>
      </c>
      <c r="I33" s="103">
        <f t="shared" si="16"/>
        <v>0.28810720268006701</v>
      </c>
      <c r="J33" s="103">
        <f t="shared" si="16"/>
        <v>0.28810720268006701</v>
      </c>
      <c r="K33" s="103">
        <f t="shared" si="16"/>
        <v>0.28810720268006701</v>
      </c>
      <c r="L33" s="103">
        <f t="shared" si="16"/>
        <v>0.28810720268006701</v>
      </c>
      <c r="M33" s="103">
        <f t="shared" si="16"/>
        <v>0.28810720268006701</v>
      </c>
      <c r="N33" s="189"/>
      <c r="O33" s="189"/>
    </row>
    <row r="34" spans="1:15" x14ac:dyDescent="0.25">
      <c r="B34" s="4" t="s">
        <v>140</v>
      </c>
      <c r="F34" s="108">
        <v>-2500</v>
      </c>
      <c r="G34" s="108">
        <f>F34</f>
        <v>-2500</v>
      </c>
      <c r="H34" s="108">
        <f>G34</f>
        <v>-2500</v>
      </c>
      <c r="I34" s="108">
        <v>-900</v>
      </c>
      <c r="J34" s="108">
        <v>0</v>
      </c>
      <c r="K34" s="108">
        <v>0</v>
      </c>
      <c r="L34" s="108">
        <v>0</v>
      </c>
      <c r="M34" s="108">
        <v>0</v>
      </c>
      <c r="N34" s="225"/>
      <c r="O34" s="225"/>
    </row>
    <row r="35" spans="1:15" x14ac:dyDescent="0.25">
      <c r="F35" s="32"/>
      <c r="G35" s="32"/>
      <c r="H35" s="32"/>
      <c r="I35" s="32"/>
      <c r="J35" s="32"/>
      <c r="K35" s="32"/>
      <c r="L35" s="32"/>
      <c r="M35" s="32"/>
      <c r="N35" s="32"/>
      <c r="O35" s="32"/>
    </row>
    <row r="36" spans="1:15" x14ac:dyDescent="0.25">
      <c r="A36" s="66" t="s">
        <v>122</v>
      </c>
      <c r="B36" s="109" t="s">
        <v>59</v>
      </c>
      <c r="C36" s="110">
        <v>44926</v>
      </c>
      <c r="D36" s="110">
        <v>45291</v>
      </c>
      <c r="E36" s="110">
        <v>45657</v>
      </c>
      <c r="F36" s="119">
        <v>46022</v>
      </c>
      <c r="G36" s="119">
        <v>46387</v>
      </c>
      <c r="H36" s="119">
        <v>46752</v>
      </c>
      <c r="I36" s="119">
        <v>47118</v>
      </c>
      <c r="J36" s="119">
        <v>47483</v>
      </c>
      <c r="K36" s="214">
        <v>2030</v>
      </c>
      <c r="L36" s="214">
        <f>K36+1</f>
        <v>2031</v>
      </c>
      <c r="M36" s="214">
        <f t="shared" ref="M36" si="17">L36+1</f>
        <v>2032</v>
      </c>
      <c r="N36" s="224"/>
      <c r="O36" s="224"/>
    </row>
    <row r="37" spans="1:15" x14ac:dyDescent="0.25">
      <c r="A37" s="88"/>
      <c r="B37" s="169"/>
      <c r="C37" s="221"/>
      <c r="D37" s="221"/>
      <c r="E37" s="221"/>
      <c r="F37" s="333"/>
      <c r="G37" s="333"/>
      <c r="H37" s="333"/>
      <c r="I37" s="333"/>
      <c r="J37" s="333"/>
      <c r="K37" s="224"/>
      <c r="L37" s="224"/>
      <c r="M37" s="224"/>
      <c r="N37" s="224"/>
      <c r="O37" s="224"/>
    </row>
    <row r="38" spans="1:15" x14ac:dyDescent="0.25">
      <c r="B38" s="4" t="s">
        <v>48</v>
      </c>
      <c r="C38" s="4">
        <f>C18</f>
        <v>470</v>
      </c>
      <c r="D38" s="4">
        <f t="shared" ref="D38:E38" si="18">D18</f>
        <v>457</v>
      </c>
      <c r="E38" s="4">
        <f t="shared" si="18"/>
        <v>447</v>
      </c>
      <c r="F38" s="104">
        <f>F18</f>
        <v>447</v>
      </c>
      <c r="G38" s="104">
        <f>G18</f>
        <v>447</v>
      </c>
      <c r="H38" s="104">
        <f>H18</f>
        <v>447</v>
      </c>
      <c r="I38" s="104">
        <f>I18</f>
        <v>447</v>
      </c>
      <c r="J38" s="104">
        <f>J18</f>
        <v>447</v>
      </c>
      <c r="K38" s="104">
        <f>K18</f>
        <v>447</v>
      </c>
      <c r="L38" s="104">
        <f>L18</f>
        <v>447</v>
      </c>
      <c r="M38" s="104">
        <f>M18</f>
        <v>447</v>
      </c>
      <c r="N38" s="222"/>
      <c r="O38" s="222"/>
    </row>
    <row r="39" spans="1:15" x14ac:dyDescent="0.25">
      <c r="B39" s="4" t="s">
        <v>49</v>
      </c>
      <c r="C39" s="4">
        <f t="shared" ref="C39:E39" si="19">C19</f>
        <v>471</v>
      </c>
      <c r="D39" s="4">
        <f t="shared" si="19"/>
        <v>459</v>
      </c>
      <c r="E39" s="4">
        <f t="shared" si="19"/>
        <v>450</v>
      </c>
      <c r="F39" s="104">
        <f>F19</f>
        <v>450</v>
      </c>
      <c r="G39" s="104">
        <f>G19</f>
        <v>450</v>
      </c>
      <c r="H39" s="104">
        <f>H19</f>
        <v>450</v>
      </c>
      <c r="I39" s="104">
        <f>I19</f>
        <v>450</v>
      </c>
      <c r="J39" s="104">
        <f>J19</f>
        <v>450</v>
      </c>
      <c r="K39" s="104">
        <f>K19</f>
        <v>450</v>
      </c>
      <c r="L39" s="104">
        <f>L19</f>
        <v>450</v>
      </c>
      <c r="M39" s="104">
        <f>M19</f>
        <v>450</v>
      </c>
      <c r="N39" s="222"/>
      <c r="O39" s="222"/>
    </row>
    <row r="40" spans="1:15" x14ac:dyDescent="0.25">
      <c r="F40" s="32"/>
      <c r="G40" s="32"/>
      <c r="H40" s="32"/>
      <c r="I40" s="32"/>
      <c r="J40" s="32"/>
      <c r="K40" s="32"/>
      <c r="L40" s="32"/>
      <c r="M40" s="32"/>
      <c r="N40" s="32"/>
      <c r="O40" s="32"/>
    </row>
    <row r="41" spans="1:15" x14ac:dyDescent="0.25">
      <c r="A41" s="66" t="s">
        <v>122</v>
      </c>
      <c r="B41" s="109" t="s">
        <v>127</v>
      </c>
      <c r="C41" s="110">
        <v>44926</v>
      </c>
      <c r="D41" s="110">
        <v>45291</v>
      </c>
      <c r="E41" s="110">
        <v>45657</v>
      </c>
      <c r="F41" s="119">
        <v>46022</v>
      </c>
      <c r="G41" s="119">
        <v>46387</v>
      </c>
      <c r="H41" s="119">
        <v>46752</v>
      </c>
      <c r="I41" s="119">
        <v>47118</v>
      </c>
      <c r="J41" s="119">
        <v>47483</v>
      </c>
      <c r="K41" s="214">
        <v>2030</v>
      </c>
      <c r="L41" s="214">
        <f>K41+1</f>
        <v>2031</v>
      </c>
      <c r="M41" s="214">
        <f t="shared" ref="M41" si="20">L41+1</f>
        <v>2032</v>
      </c>
      <c r="N41" s="224"/>
      <c r="O41" s="224"/>
    </row>
    <row r="42" spans="1:15" x14ac:dyDescent="0.25">
      <c r="A42" s="88"/>
      <c r="B42" s="169"/>
      <c r="C42" s="221"/>
      <c r="D42" s="221"/>
      <c r="E42" s="221"/>
      <c r="F42" s="333"/>
      <c r="G42" s="333"/>
      <c r="H42" s="333"/>
      <c r="I42" s="333"/>
      <c r="J42" s="333"/>
      <c r="K42" s="224"/>
      <c r="L42" s="224"/>
      <c r="M42" s="224"/>
      <c r="N42" s="224"/>
      <c r="O42" s="224"/>
    </row>
    <row r="43" spans="1:15" x14ac:dyDescent="0.25">
      <c r="B43" s="4" t="s">
        <v>137</v>
      </c>
      <c r="C43" s="8">
        <f>BalSheet!C14/IncState!C16</f>
        <v>0.05</v>
      </c>
      <c r="D43" s="8">
        <f>BalSheet!D14/IncState!D16</f>
        <v>0.05</v>
      </c>
      <c r="E43" s="8">
        <f>BalSheet!E14/IncState!E16</f>
        <v>0.05</v>
      </c>
      <c r="F43" s="103">
        <f>E43</f>
        <v>0.05</v>
      </c>
      <c r="G43" s="103">
        <f t="shared" ref="G43:M43" si="21">F43</f>
        <v>0.05</v>
      </c>
      <c r="H43" s="103">
        <f t="shared" si="21"/>
        <v>0.05</v>
      </c>
      <c r="I43" s="103">
        <f t="shared" si="21"/>
        <v>0.05</v>
      </c>
      <c r="J43" s="103">
        <f t="shared" si="21"/>
        <v>0.05</v>
      </c>
      <c r="K43" s="103">
        <f t="shared" si="21"/>
        <v>0.05</v>
      </c>
      <c r="L43" s="103">
        <f t="shared" si="21"/>
        <v>0.05</v>
      </c>
      <c r="M43" s="103">
        <f t="shared" si="21"/>
        <v>0.05</v>
      </c>
      <c r="N43" s="189"/>
      <c r="O43" s="189"/>
    </row>
    <row r="44" spans="1:15" x14ac:dyDescent="0.25">
      <c r="B44" s="4" t="s">
        <v>150</v>
      </c>
      <c r="C44" s="8">
        <f>BalSheet!C16/IncState!C16</f>
        <v>0.11728956037714415</v>
      </c>
      <c r="D44" s="8">
        <f>BalSheet!D16/IncState!D16</f>
        <v>0.1145860167963316</v>
      </c>
      <c r="E44" s="8">
        <f>BalSheet!E16/IncState!E16</f>
        <v>9.6349686119507089E-2</v>
      </c>
      <c r="F44" s="103">
        <f>E44</f>
        <v>9.6349686119507089E-2</v>
      </c>
      <c r="G44" s="103">
        <f t="shared" ref="G44:M44" si="22">F44</f>
        <v>9.6349686119507089E-2</v>
      </c>
      <c r="H44" s="103">
        <f t="shared" si="22"/>
        <v>9.6349686119507089E-2</v>
      </c>
      <c r="I44" s="103">
        <f t="shared" si="22"/>
        <v>9.6349686119507089E-2</v>
      </c>
      <c r="J44" s="103">
        <f t="shared" si="22"/>
        <v>9.6349686119507089E-2</v>
      </c>
      <c r="K44" s="103">
        <f t="shared" si="22"/>
        <v>9.6349686119507089E-2</v>
      </c>
      <c r="L44" s="103">
        <f t="shared" si="22"/>
        <v>9.6349686119507089E-2</v>
      </c>
      <c r="M44" s="103">
        <f t="shared" si="22"/>
        <v>9.6349686119507089E-2</v>
      </c>
      <c r="N44" s="189"/>
      <c r="O44" s="189"/>
    </row>
    <row r="45" spans="1:15" x14ac:dyDescent="0.25">
      <c r="B45" s="4" t="s">
        <v>63</v>
      </c>
      <c r="C45" s="8">
        <f>BalSheet!C17/IncState!C16</f>
        <v>4.7427013518118823E-2</v>
      </c>
      <c r="D45" s="8">
        <f>BalSheet!D17/IncState!D16</f>
        <v>5.244989437889639E-2</v>
      </c>
      <c r="E45" s="8">
        <f>BalSheet!E17/IncState!E16</f>
        <v>5.9242036735642871E-2</v>
      </c>
      <c r="F45" s="103">
        <f t="shared" ref="F45:M45" si="23">E45</f>
        <v>5.9242036735642871E-2</v>
      </c>
      <c r="G45" s="103">
        <f t="shared" si="23"/>
        <v>5.9242036735642871E-2</v>
      </c>
      <c r="H45" s="103">
        <f t="shared" si="23"/>
        <v>5.9242036735642871E-2</v>
      </c>
      <c r="I45" s="103">
        <f t="shared" si="23"/>
        <v>5.9242036735642871E-2</v>
      </c>
      <c r="J45" s="103">
        <f t="shared" si="23"/>
        <v>5.9242036735642871E-2</v>
      </c>
      <c r="K45" s="103">
        <f t="shared" si="23"/>
        <v>5.9242036735642871E-2</v>
      </c>
      <c r="L45" s="103">
        <f t="shared" si="23"/>
        <v>5.9242036735642871E-2</v>
      </c>
      <c r="M45" s="103">
        <f t="shared" si="23"/>
        <v>5.9242036735642871E-2</v>
      </c>
      <c r="N45" s="189"/>
      <c r="O45" s="189"/>
    </row>
    <row r="46" spans="1:15" x14ac:dyDescent="0.25">
      <c r="E46" s="8"/>
      <c r="F46" s="106"/>
      <c r="G46" s="106"/>
      <c r="H46" s="106"/>
      <c r="I46" s="106"/>
      <c r="J46" s="106"/>
      <c r="K46" s="106"/>
      <c r="L46" s="106"/>
      <c r="M46" s="106"/>
      <c r="N46" s="189"/>
      <c r="O46" s="189"/>
    </row>
    <row r="47" spans="1:15" x14ac:dyDescent="0.25">
      <c r="B47" s="4" t="s">
        <v>175</v>
      </c>
      <c r="C47" s="4">
        <v>0</v>
      </c>
      <c r="D47" s="342">
        <v>0</v>
      </c>
      <c r="E47" s="29">
        <v>0</v>
      </c>
      <c r="F47" s="104">
        <f>E47</f>
        <v>0</v>
      </c>
      <c r="G47" s="104">
        <f t="shared" ref="G47:M47" si="24">F47</f>
        <v>0</v>
      </c>
      <c r="H47" s="104">
        <f t="shared" si="24"/>
        <v>0</v>
      </c>
      <c r="I47" s="104">
        <f t="shared" si="24"/>
        <v>0</v>
      </c>
      <c r="J47" s="104">
        <f t="shared" si="24"/>
        <v>0</v>
      </c>
      <c r="K47" s="104">
        <f t="shared" si="24"/>
        <v>0</v>
      </c>
      <c r="L47" s="104">
        <f t="shared" si="24"/>
        <v>0</v>
      </c>
      <c r="M47" s="104">
        <f t="shared" si="24"/>
        <v>0</v>
      </c>
      <c r="N47" s="222"/>
      <c r="O47" s="222"/>
    </row>
    <row r="48" spans="1:15" x14ac:dyDescent="0.25">
      <c r="B48" s="4" t="s">
        <v>64</v>
      </c>
      <c r="C48" s="8">
        <f>BalSheet!C22/IncState!C16</f>
        <v>9.1900488469839822E-2</v>
      </c>
      <c r="D48" s="8">
        <f>BalSheet!D22/IncState!D16</f>
        <v>0.12437528981400381</v>
      </c>
      <c r="E48" s="8">
        <f>BalSheet!E22/IncState!E16</f>
        <v>0.14931411299697744</v>
      </c>
      <c r="F48" s="103">
        <f>E48</f>
        <v>0.14931411299697744</v>
      </c>
      <c r="G48" s="103">
        <f t="shared" ref="G48:M48" si="25">F48</f>
        <v>0.14931411299697744</v>
      </c>
      <c r="H48" s="103">
        <f t="shared" si="25"/>
        <v>0.14931411299697744</v>
      </c>
      <c r="I48" s="103">
        <f t="shared" si="25"/>
        <v>0.14931411299697744</v>
      </c>
      <c r="J48" s="103">
        <f t="shared" si="25"/>
        <v>0.14931411299697744</v>
      </c>
      <c r="K48" s="103">
        <f t="shared" si="25"/>
        <v>0.14931411299697744</v>
      </c>
      <c r="L48" s="103">
        <f t="shared" si="25"/>
        <v>0.14931411299697744</v>
      </c>
      <c r="M48" s="103">
        <f t="shared" si="25"/>
        <v>0.14931411299697744</v>
      </c>
      <c r="N48" s="189"/>
      <c r="O48" s="189"/>
    </row>
    <row r="49" spans="1:15" x14ac:dyDescent="0.25">
      <c r="F49" s="32"/>
      <c r="G49" s="32"/>
      <c r="H49" s="32"/>
      <c r="I49" s="32"/>
      <c r="J49" s="32"/>
      <c r="K49" s="32"/>
      <c r="L49" s="32"/>
      <c r="M49" s="32"/>
      <c r="N49" s="32"/>
      <c r="O49" s="32"/>
    </row>
    <row r="50" spans="1:15" x14ac:dyDescent="0.25">
      <c r="A50" s="66" t="s">
        <v>122</v>
      </c>
      <c r="B50" s="109" t="s">
        <v>128</v>
      </c>
      <c r="C50" s="110">
        <v>44926</v>
      </c>
      <c r="D50" s="110">
        <v>45291</v>
      </c>
      <c r="E50" s="110">
        <v>45657</v>
      </c>
      <c r="F50" s="119">
        <v>46022</v>
      </c>
      <c r="G50" s="119">
        <v>46387</v>
      </c>
      <c r="H50" s="119">
        <v>46752</v>
      </c>
      <c r="I50" s="119">
        <v>47118</v>
      </c>
      <c r="J50" s="119">
        <v>47483</v>
      </c>
      <c r="K50" s="214">
        <v>2030</v>
      </c>
      <c r="L50" s="214">
        <f>K50+1</f>
        <v>2031</v>
      </c>
      <c r="M50" s="214">
        <f t="shared" ref="M50" si="26">L50+1</f>
        <v>2032</v>
      </c>
      <c r="N50" s="224"/>
      <c r="O50" s="224"/>
    </row>
    <row r="51" spans="1:15" x14ac:dyDescent="0.25">
      <c r="A51" s="88"/>
      <c r="B51" s="169"/>
      <c r="C51" s="221"/>
      <c r="D51" s="221"/>
      <c r="E51" s="221"/>
      <c r="F51" s="333"/>
      <c r="G51" s="333"/>
      <c r="H51" s="333"/>
      <c r="I51" s="333"/>
      <c r="J51" s="333"/>
      <c r="K51" s="224"/>
      <c r="L51" s="224"/>
      <c r="M51" s="224"/>
      <c r="N51" s="224"/>
      <c r="O51" s="224"/>
    </row>
    <row r="52" spans="1:15" x14ac:dyDescent="0.25">
      <c r="B52" s="4" t="s">
        <v>151</v>
      </c>
      <c r="C52" s="8">
        <f>BalSheet!C28/IncState!C17</f>
        <v>1.0364896073903003</v>
      </c>
      <c r="D52" s="8">
        <f>BalSheet!D28/IncState!D17</f>
        <v>0.99447748513169076</v>
      </c>
      <c r="E52" s="8">
        <f>BalSheet!E28/IncState!E17</f>
        <v>1.1942324003392706</v>
      </c>
      <c r="F52" s="103">
        <f t="shared" ref="F52:M52" si="27">E52</f>
        <v>1.1942324003392706</v>
      </c>
      <c r="G52" s="103">
        <f t="shared" si="27"/>
        <v>1.1942324003392706</v>
      </c>
      <c r="H52" s="103">
        <f t="shared" si="27"/>
        <v>1.1942324003392706</v>
      </c>
      <c r="I52" s="103">
        <f t="shared" si="27"/>
        <v>1.1942324003392706</v>
      </c>
      <c r="J52" s="103">
        <f t="shared" si="27"/>
        <v>1.1942324003392706</v>
      </c>
      <c r="K52" s="103">
        <f t="shared" si="27"/>
        <v>1.1942324003392706</v>
      </c>
      <c r="L52" s="103">
        <f t="shared" si="27"/>
        <v>1.1942324003392706</v>
      </c>
      <c r="M52" s="103">
        <f t="shared" si="27"/>
        <v>1.1942324003392706</v>
      </c>
      <c r="N52" s="189"/>
      <c r="O52" s="189"/>
    </row>
    <row r="53" spans="1:15" x14ac:dyDescent="0.25">
      <c r="B53" s="4" t="s">
        <v>65</v>
      </c>
      <c r="C53" s="8">
        <f>BalSheet!C29/IncState!C16</f>
        <v>0.30580483925934343</v>
      </c>
      <c r="D53" s="8">
        <f>BalSheet!D29/IncState!D16</f>
        <v>0.30449791333917253</v>
      </c>
      <c r="E53" s="8">
        <f>BalSheet!E29/IncState!E16</f>
        <v>0.28858405022087885</v>
      </c>
      <c r="F53" s="103">
        <f t="shared" ref="F53:M53" si="28">E53</f>
        <v>0.28858405022087885</v>
      </c>
      <c r="G53" s="103">
        <f t="shared" si="28"/>
        <v>0.28858405022087885</v>
      </c>
      <c r="H53" s="103">
        <f t="shared" si="28"/>
        <v>0.28858405022087885</v>
      </c>
      <c r="I53" s="103">
        <f t="shared" si="28"/>
        <v>0.28858405022087885</v>
      </c>
      <c r="J53" s="103">
        <f t="shared" si="28"/>
        <v>0.28858405022087885</v>
      </c>
      <c r="K53" s="103">
        <f t="shared" si="28"/>
        <v>0.28858405022087885</v>
      </c>
      <c r="L53" s="103">
        <f t="shared" si="28"/>
        <v>0.28858405022087885</v>
      </c>
      <c r="M53" s="103">
        <f t="shared" si="28"/>
        <v>0.28858405022087885</v>
      </c>
      <c r="N53" s="189"/>
      <c r="O53" s="189"/>
    </row>
    <row r="54" spans="1:15" x14ac:dyDescent="0.25">
      <c r="B54" s="4" t="s">
        <v>66</v>
      </c>
      <c r="C54" s="8">
        <f>BalSheet!C33/IncState!C16</f>
        <v>7.7075996819266163E-2</v>
      </c>
      <c r="D54" s="8">
        <f>BalSheet!D33/IncState!D16</f>
        <v>7.0894945643773508E-2</v>
      </c>
      <c r="E54" s="8">
        <f>BalSheet!E33/IncState!E16</f>
        <v>6.8588700302255293E-2</v>
      </c>
      <c r="F54" s="103">
        <f t="shared" ref="F54:M54" si="29">E54</f>
        <v>6.8588700302255293E-2</v>
      </c>
      <c r="G54" s="103">
        <f t="shared" si="29"/>
        <v>6.8588700302255293E-2</v>
      </c>
      <c r="H54" s="103">
        <f t="shared" si="29"/>
        <v>6.8588700302255293E-2</v>
      </c>
      <c r="I54" s="103">
        <f t="shared" si="29"/>
        <v>6.8588700302255293E-2</v>
      </c>
      <c r="J54" s="103">
        <f t="shared" si="29"/>
        <v>6.8588700302255293E-2</v>
      </c>
      <c r="K54" s="103">
        <f t="shared" si="29"/>
        <v>6.8588700302255293E-2</v>
      </c>
      <c r="L54" s="103">
        <f t="shared" si="29"/>
        <v>6.8588700302255293E-2</v>
      </c>
      <c r="M54" s="103">
        <f t="shared" si="29"/>
        <v>6.8588700302255293E-2</v>
      </c>
      <c r="N54" s="189"/>
      <c r="O54" s="189"/>
    </row>
    <row r="55" spans="1:15" x14ac:dyDescent="0.25">
      <c r="F55" s="128"/>
      <c r="G55" s="32"/>
      <c r="H55" s="32"/>
      <c r="I55" s="32"/>
      <c r="J55" s="32"/>
    </row>
    <row r="56" spans="1:15" x14ac:dyDescent="0.25">
      <c r="F56" s="129"/>
      <c r="G56" s="97"/>
      <c r="H56" s="97"/>
      <c r="I56" s="97"/>
      <c r="J56" s="97"/>
    </row>
    <row r="57" spans="1:15" x14ac:dyDescent="0.25">
      <c r="F57" s="97"/>
      <c r="G57" s="97"/>
      <c r="H57" s="97"/>
      <c r="I57" s="97"/>
      <c r="J57" s="97"/>
    </row>
  </sheetData>
  <scenarios current="0">
    <scenario name="Pessimistic" locked="1" count="1" user="Alan Chen" comment="Created by Alan Chen on 9/28/2025">
      <inputCells r="D4" val=""/>
    </scenario>
  </scenarios>
  <dataConsolidate/>
  <conditionalFormatting sqref="D4:D5 B6 D6:E6 P6:P7 Q7:W7 D7:D8 P9:Q12 F52:O54 F56:J57 F38:O39 F43:O48 F6:N8 F11:O34">
    <cfRule type="expression" dxfId="7" priority="14">
      <formula>$E$10&gt;1</formula>
    </cfRule>
  </conditionalFormatting>
  <conditionalFormatting sqref="E7">
    <cfRule type="expression" dxfId="6" priority="32">
      <formula>$E$10&lt;&gt;2</formula>
    </cfRule>
  </conditionalFormatting>
  <conditionalFormatting sqref="E8">
    <cfRule type="expression" dxfId="5" priority="33">
      <formula>$E$10&lt;&gt;3</formula>
    </cfRule>
  </conditionalFormatting>
  <conditionalFormatting sqref="K36:O37">
    <cfRule type="expression" dxfId="4" priority="3">
      <formula>$E$10&gt;1</formula>
    </cfRule>
  </conditionalFormatting>
  <conditionalFormatting sqref="K41:O42">
    <cfRule type="expression" dxfId="3" priority="2">
      <formula>$E$10&gt;1</formula>
    </cfRule>
  </conditionalFormatting>
  <conditionalFormatting sqref="K50:O51">
    <cfRule type="expression" dxfId="2" priority="1">
      <formula>$E$10&gt;1</formula>
    </cfRule>
  </conditionalFormatting>
  <dataValidations count="1">
    <dataValidation type="list" allowBlank="1" showInputMessage="1" showErrorMessage="1" sqref="D4 P4" xr:uid="{FF8E3CD2-0581-4318-AB93-6B284CEDF514}">
      <formula1>"1,2,3"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94D903-117B-4DF0-8D7B-7A5309212F7B}">
  <dimension ref="A1:U12"/>
  <sheetViews>
    <sheetView showGridLines="0" workbookViewId="0">
      <selection activeCell="N9" sqref="N9"/>
    </sheetView>
  </sheetViews>
  <sheetFormatPr defaultColWidth="11.7109375" defaultRowHeight="15" x14ac:dyDescent="0.25"/>
  <cols>
    <col min="1" max="1" width="2" style="4" bestFit="1" customWidth="1"/>
    <col min="2" max="2" width="28.42578125" style="4" bestFit="1" customWidth="1"/>
    <col min="3" max="16384" width="11.7109375" style="4"/>
  </cols>
  <sheetData>
    <row r="1" spans="1:21" ht="19.5" x14ac:dyDescent="0.3">
      <c r="A1" s="327" t="str">
        <f>CoName</f>
        <v>Adobe Inc.</v>
      </c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</row>
    <row r="2" spans="1:21" s="347" customFormat="1" x14ac:dyDescent="0.25">
      <c r="A2" s="346" t="s">
        <v>201</v>
      </c>
      <c r="B2" s="348"/>
      <c r="C2" s="348">
        <v>2022</v>
      </c>
      <c r="D2" s="348">
        <v>2023</v>
      </c>
      <c r="E2" s="348" t="s">
        <v>208</v>
      </c>
      <c r="F2" s="348" t="s">
        <v>209</v>
      </c>
      <c r="G2" s="348" t="s">
        <v>210</v>
      </c>
      <c r="H2" s="348" t="s">
        <v>211</v>
      </c>
      <c r="I2" s="348">
        <v>2024</v>
      </c>
      <c r="J2" s="348" t="s">
        <v>212</v>
      </c>
      <c r="K2" s="348" t="s">
        <v>213</v>
      </c>
      <c r="L2" s="348" t="s">
        <v>214</v>
      </c>
      <c r="M2" s="348" t="s">
        <v>215</v>
      </c>
      <c r="N2" s="348">
        <v>2025</v>
      </c>
      <c r="O2" s="348">
        <f>N2+1</f>
        <v>2026</v>
      </c>
      <c r="P2" s="348">
        <f t="shared" ref="P2:U2" si="0">O2+1</f>
        <v>2027</v>
      </c>
      <c r="Q2" s="348">
        <f t="shared" si="0"/>
        <v>2028</v>
      </c>
      <c r="R2" s="348">
        <f t="shared" si="0"/>
        <v>2029</v>
      </c>
      <c r="S2" s="348">
        <f t="shared" si="0"/>
        <v>2030</v>
      </c>
      <c r="T2" s="348">
        <f t="shared" si="0"/>
        <v>2031</v>
      </c>
      <c r="U2" s="348">
        <f t="shared" si="0"/>
        <v>2032</v>
      </c>
    </row>
    <row r="3" spans="1:21" x14ac:dyDescent="0.25">
      <c r="A3" s="4" t="s">
        <v>122</v>
      </c>
      <c r="B3" s="4" t="s">
        <v>202</v>
      </c>
      <c r="C3" s="4">
        <v>12842</v>
      </c>
      <c r="D3" s="29">
        <v>14216</v>
      </c>
      <c r="E3" s="4">
        <v>3725</v>
      </c>
      <c r="F3" s="4">
        <v>3828</v>
      </c>
      <c r="G3" s="4">
        <v>3921</v>
      </c>
      <c r="H3" s="29">
        <f>I3-SUM(E3:G3)</f>
        <v>4390</v>
      </c>
      <c r="I3" s="165">
        <v>15864</v>
      </c>
      <c r="J3" s="4">
        <v>4159</v>
      </c>
      <c r="K3" s="4">
        <v>4280</v>
      </c>
      <c r="L3" s="4">
        <v>4397</v>
      </c>
      <c r="M3" s="29">
        <f>H3*(1+M8)</f>
        <v>4829</v>
      </c>
      <c r="N3" s="4">
        <f>SUM(J3:M3)</f>
        <v>17665</v>
      </c>
      <c r="O3" s="4">
        <f>N3*(1+O8)</f>
        <v>19670.462997982857</v>
      </c>
      <c r="P3" s="4">
        <f t="shared" ref="P3:U3" si="1">O3*(1+P8)</f>
        <v>21903.601163601059</v>
      </c>
      <c r="Q3" s="4">
        <f t="shared" si="1"/>
        <v>24390.261885716889</v>
      </c>
      <c r="R3" s="4">
        <f t="shared" si="1"/>
        <v>27159.226942208075</v>
      </c>
      <c r="S3" s="4">
        <f t="shared" si="1"/>
        <v>30242.545633768641</v>
      </c>
      <c r="T3" s="4">
        <f t="shared" si="1"/>
        <v>33675.905737551882</v>
      </c>
      <c r="U3" s="4">
        <f t="shared" si="1"/>
        <v>37499.046574246975</v>
      </c>
    </row>
    <row r="4" spans="1:21" x14ac:dyDescent="0.25">
      <c r="B4" s="4" t="s">
        <v>203</v>
      </c>
      <c r="C4" s="4">
        <v>4422</v>
      </c>
      <c r="D4" s="29">
        <v>4893</v>
      </c>
      <c r="E4" s="4">
        <v>1164</v>
      </c>
      <c r="F4" s="4">
        <v>1204</v>
      </c>
      <c r="G4" s="4">
        <v>1231</v>
      </c>
      <c r="H4" s="29">
        <f t="shared" ref="H4:H5" si="2">I4-SUM(E4:G4)</f>
        <v>1767</v>
      </c>
      <c r="I4" s="165">
        <v>5366</v>
      </c>
      <c r="J4" s="4">
        <v>1297</v>
      </c>
      <c r="K4" s="4">
        <v>1334</v>
      </c>
      <c r="L4" s="4">
        <v>1368</v>
      </c>
      <c r="M4" s="29">
        <f t="shared" ref="M4:M5" si="3">H4*(1+M9)</f>
        <v>1678.6499999999999</v>
      </c>
      <c r="N4" s="4">
        <f t="shared" ref="N4:N5" si="4">SUM(J4:M4)</f>
        <v>5677.65</v>
      </c>
      <c r="O4" s="4">
        <f t="shared" ref="O4:U5" si="5">N4*(1+O9)</f>
        <v>6007.4002091874754</v>
      </c>
      <c r="P4" s="4">
        <f t="shared" si="5"/>
        <v>6356.3018631556588</v>
      </c>
      <c r="Q4" s="4">
        <f t="shared" si="5"/>
        <v>6725.4672518348343</v>
      </c>
      <c r="R4" s="4">
        <f t="shared" si="5"/>
        <v>7116.073265445405</v>
      </c>
      <c r="S4" s="4">
        <f t="shared" si="5"/>
        <v>7529.3651463950982</v>
      </c>
      <c r="T4" s="4">
        <f t="shared" si="5"/>
        <v>7966.6604590812758</v>
      </c>
      <c r="U4" s="4">
        <f t="shared" si="5"/>
        <v>8429.35329025397</v>
      </c>
    </row>
    <row r="5" spans="1:21" x14ac:dyDescent="0.25">
      <c r="B5" s="4" t="s">
        <v>204</v>
      </c>
      <c r="C5" s="4">
        <v>342</v>
      </c>
      <c r="D5" s="29">
        <v>300</v>
      </c>
      <c r="E5" s="4">
        <v>27</v>
      </c>
      <c r="F5" s="4">
        <v>28</v>
      </c>
      <c r="G5" s="4">
        <v>28</v>
      </c>
      <c r="H5" s="29">
        <f t="shared" si="2"/>
        <v>192</v>
      </c>
      <c r="I5" s="165">
        <v>275</v>
      </c>
      <c r="J5" s="4">
        <v>27</v>
      </c>
      <c r="K5" s="4">
        <v>27</v>
      </c>
      <c r="L5" s="4">
        <v>26</v>
      </c>
      <c r="M5" s="29">
        <f t="shared" si="3"/>
        <v>193.92000000000002</v>
      </c>
      <c r="N5" s="4">
        <f t="shared" si="4"/>
        <v>273.92</v>
      </c>
      <c r="O5" s="4">
        <f t="shared" si="5"/>
        <v>272.84424145454551</v>
      </c>
      <c r="P5" s="4">
        <f t="shared" si="5"/>
        <v>271.77270770628769</v>
      </c>
      <c r="Q5" s="4">
        <f t="shared" si="5"/>
        <v>270.70538216329572</v>
      </c>
      <c r="R5" s="4">
        <f t="shared" si="5"/>
        <v>269.64224829879987</v>
      </c>
      <c r="S5" s="4">
        <f t="shared" si="5"/>
        <v>268.58328965093551</v>
      </c>
      <c r="T5" s="4">
        <f t="shared" si="5"/>
        <v>267.52848982248821</v>
      </c>
      <c r="U5" s="4">
        <f t="shared" si="5"/>
        <v>266.4778324806399</v>
      </c>
    </row>
    <row r="6" spans="1:21" s="11" customFormat="1" x14ac:dyDescent="0.25">
      <c r="B6" s="11" t="s">
        <v>216</v>
      </c>
      <c r="C6" s="11">
        <f>SUM(C3:C5)</f>
        <v>17606</v>
      </c>
      <c r="D6" s="26">
        <f t="shared" ref="D6:U6" si="6">SUM(D3:D5)</f>
        <v>19409</v>
      </c>
      <c r="E6" s="11">
        <f t="shared" si="6"/>
        <v>4916</v>
      </c>
      <c r="F6" s="11">
        <f t="shared" si="6"/>
        <v>5060</v>
      </c>
      <c r="G6" s="11">
        <f t="shared" si="6"/>
        <v>5180</v>
      </c>
      <c r="H6" s="26">
        <f t="shared" si="6"/>
        <v>6349</v>
      </c>
      <c r="I6" s="349">
        <f t="shared" si="6"/>
        <v>21505</v>
      </c>
      <c r="J6" s="11">
        <f t="shared" si="6"/>
        <v>5483</v>
      </c>
      <c r="K6" s="11">
        <f t="shared" si="6"/>
        <v>5641</v>
      </c>
      <c r="L6" s="11">
        <f t="shared" si="6"/>
        <v>5791</v>
      </c>
      <c r="M6" s="26">
        <f t="shared" si="6"/>
        <v>6701.57</v>
      </c>
      <c r="N6" s="11">
        <f t="shared" si="6"/>
        <v>23616.57</v>
      </c>
      <c r="O6" s="11">
        <f t="shared" si="6"/>
        <v>25950.707448624878</v>
      </c>
      <c r="P6" s="11">
        <f t="shared" si="6"/>
        <v>28531.675734463006</v>
      </c>
      <c r="Q6" s="11">
        <f t="shared" si="6"/>
        <v>31386.434519715018</v>
      </c>
      <c r="R6" s="11">
        <f t="shared" si="6"/>
        <v>34544.942455952281</v>
      </c>
      <c r="S6" s="11">
        <f t="shared" si="6"/>
        <v>38040.494069814675</v>
      </c>
      <c r="T6" s="11">
        <f t="shared" si="6"/>
        <v>41910.094686455646</v>
      </c>
      <c r="U6" s="11">
        <f t="shared" si="6"/>
        <v>46194.877696981581</v>
      </c>
    </row>
    <row r="7" spans="1:21" x14ac:dyDescent="0.25">
      <c r="D7" s="29"/>
      <c r="H7" s="29"/>
      <c r="I7" s="165"/>
      <c r="M7" s="29"/>
    </row>
    <row r="8" spans="1:21" s="8" customFormat="1" x14ac:dyDescent="0.25">
      <c r="B8" s="8" t="s">
        <v>205</v>
      </c>
      <c r="C8" s="8">
        <f>C3/11048-1</f>
        <v>0.1623823316437365</v>
      </c>
      <c r="D8" s="28">
        <f>D3/C3-1</f>
        <v>0.10699268026787112</v>
      </c>
      <c r="H8" s="28"/>
      <c r="I8" s="350">
        <f>I3/D3-1</f>
        <v>0.11592571750140679</v>
      </c>
      <c r="J8" s="8">
        <f>J3/E3-1</f>
        <v>0.11651006711409395</v>
      </c>
      <c r="K8" s="8">
        <f t="shared" ref="K8:L10" si="7">K3/F3-1</f>
        <v>0.11807732497387669</v>
      </c>
      <c r="L8" s="8">
        <f t="shared" si="7"/>
        <v>0.12139760265238464</v>
      </c>
      <c r="M8" s="352">
        <v>0.1</v>
      </c>
      <c r="N8" s="353">
        <f>N3/I3-1</f>
        <v>0.11352748361069098</v>
      </c>
      <c r="O8" s="354">
        <f>N8</f>
        <v>0.11352748361069098</v>
      </c>
      <c r="P8" s="354">
        <f t="shared" ref="P8:U8" si="8">O8</f>
        <v>0.11352748361069098</v>
      </c>
      <c r="Q8" s="354">
        <f t="shared" si="8"/>
        <v>0.11352748361069098</v>
      </c>
      <c r="R8" s="354">
        <f t="shared" si="8"/>
        <v>0.11352748361069098</v>
      </c>
      <c r="S8" s="354">
        <f t="shared" si="8"/>
        <v>0.11352748361069098</v>
      </c>
      <c r="T8" s="354">
        <f t="shared" si="8"/>
        <v>0.11352748361069098</v>
      </c>
      <c r="U8" s="354">
        <f t="shared" si="8"/>
        <v>0.11352748361069098</v>
      </c>
    </row>
    <row r="9" spans="1:21" s="8" customFormat="1" x14ac:dyDescent="0.25">
      <c r="B9" s="8" t="s">
        <v>206</v>
      </c>
      <c r="C9" s="8">
        <f>C4/3379-1</f>
        <v>0.30867120449837238</v>
      </c>
      <c r="D9" s="28">
        <f t="shared" ref="D9:D11" si="9">D4/C4-1</f>
        <v>0.10651289009497966</v>
      </c>
      <c r="H9" s="28"/>
      <c r="I9" s="350">
        <f t="shared" ref="I9:I11" si="10">I4/D4-1</f>
        <v>9.6668710402616043E-2</v>
      </c>
      <c r="J9" s="8">
        <f t="shared" ref="J9:J10" si="11">J4/E4-1</f>
        <v>0.11426116838487976</v>
      </c>
      <c r="K9" s="8">
        <f t="shared" si="7"/>
        <v>0.1079734219269104</v>
      </c>
      <c r="L9" s="8">
        <f t="shared" si="7"/>
        <v>0.11129163281884646</v>
      </c>
      <c r="M9" s="352">
        <v>-0.05</v>
      </c>
      <c r="N9" s="353">
        <f t="shared" ref="N9:N10" si="12">N4/I4-1</f>
        <v>5.8078643309727784E-2</v>
      </c>
      <c r="O9" s="354">
        <f t="shared" ref="O9:U10" si="13">N9</f>
        <v>5.8078643309727784E-2</v>
      </c>
      <c r="P9" s="354">
        <f t="shared" si="13"/>
        <v>5.8078643309727784E-2</v>
      </c>
      <c r="Q9" s="354">
        <f t="shared" si="13"/>
        <v>5.8078643309727784E-2</v>
      </c>
      <c r="R9" s="354">
        <f t="shared" si="13"/>
        <v>5.8078643309727784E-2</v>
      </c>
      <c r="S9" s="354">
        <f t="shared" si="13"/>
        <v>5.8078643309727784E-2</v>
      </c>
      <c r="T9" s="354">
        <f t="shared" si="13"/>
        <v>5.8078643309727784E-2</v>
      </c>
      <c r="U9" s="354">
        <f t="shared" si="13"/>
        <v>5.8078643309727784E-2</v>
      </c>
    </row>
    <row r="10" spans="1:21" s="8" customFormat="1" x14ac:dyDescent="0.25">
      <c r="B10" s="8" t="s">
        <v>207</v>
      </c>
      <c r="C10" s="8">
        <f>C5/146-1</f>
        <v>1.3424657534246576</v>
      </c>
      <c r="D10" s="28">
        <f t="shared" si="9"/>
        <v>-0.1228070175438597</v>
      </c>
      <c r="H10" s="28"/>
      <c r="I10" s="350">
        <f t="shared" si="10"/>
        <v>-8.333333333333337E-2</v>
      </c>
      <c r="J10" s="8">
        <f t="shared" si="11"/>
        <v>0</v>
      </c>
      <c r="K10" s="8">
        <f t="shared" si="7"/>
        <v>-3.5714285714285698E-2</v>
      </c>
      <c r="L10" s="8">
        <f t="shared" si="7"/>
        <v>-7.1428571428571397E-2</v>
      </c>
      <c r="M10" s="352">
        <v>0.01</v>
      </c>
      <c r="N10" s="353">
        <f t="shared" si="12"/>
        <v>-3.9272727272726682E-3</v>
      </c>
      <c r="O10" s="354">
        <f t="shared" si="13"/>
        <v>-3.9272727272726682E-3</v>
      </c>
      <c r="P10" s="354">
        <f t="shared" si="13"/>
        <v>-3.9272727272726682E-3</v>
      </c>
      <c r="Q10" s="354">
        <f t="shared" si="13"/>
        <v>-3.9272727272726682E-3</v>
      </c>
      <c r="R10" s="354">
        <f t="shared" si="13"/>
        <v>-3.9272727272726682E-3</v>
      </c>
      <c r="S10" s="354">
        <f t="shared" si="13"/>
        <v>-3.9272727272726682E-3</v>
      </c>
      <c r="T10" s="354">
        <f t="shared" si="13"/>
        <v>-3.9272727272726682E-3</v>
      </c>
      <c r="U10" s="354">
        <f t="shared" si="13"/>
        <v>-3.9272727272726682E-3</v>
      </c>
    </row>
    <row r="11" spans="1:21" s="8" customFormat="1" x14ac:dyDescent="0.25">
      <c r="B11" s="8" t="s">
        <v>217</v>
      </c>
      <c r="C11" s="8">
        <f>C6/15800-1</f>
        <v>0.11430379746835451</v>
      </c>
      <c r="D11" s="28">
        <f t="shared" si="9"/>
        <v>0.10240826990798602</v>
      </c>
      <c r="H11" s="351"/>
      <c r="I11" s="350">
        <f t="shared" si="10"/>
        <v>0.10799113813179462</v>
      </c>
      <c r="J11" s="8">
        <f t="shared" ref="J11" si="14">J6/E6-1</f>
        <v>0.11533767290480057</v>
      </c>
      <c r="K11" s="8">
        <f t="shared" ref="K11" si="15">K6/F6-1</f>
        <v>0.11482213438735167</v>
      </c>
      <c r="L11" s="8">
        <f t="shared" ref="L11" si="16">L6/G6-1</f>
        <v>0.11795366795366791</v>
      </c>
      <c r="M11" s="355">
        <f t="shared" ref="M11" si="17">AVERAGE(J11:L11)</f>
        <v>0.11603782508194005</v>
      </c>
      <c r="N11" s="8">
        <f>N6/I6-1</f>
        <v>9.8189723320158073E-2</v>
      </c>
      <c r="O11" s="8">
        <f>O6/N6-1</f>
        <v>9.8834735468566359E-2</v>
      </c>
      <c r="P11" s="8">
        <f t="shared" ref="P11:U11" si="18">P6/O6-1</f>
        <v>9.9456567453805267E-2</v>
      </c>
      <c r="Q11" s="8">
        <f t="shared" si="18"/>
        <v>0.10005577000876209</v>
      </c>
      <c r="R11" s="8">
        <f t="shared" si="18"/>
        <v>0.10063290031409222</v>
      </c>
      <c r="S11" s="8">
        <f t="shared" si="18"/>
        <v>0.10118852038383097</v>
      </c>
      <c r="T11" s="8">
        <f t="shared" si="18"/>
        <v>0.10172319553839659</v>
      </c>
      <c r="U11" s="8">
        <f t="shared" si="18"/>
        <v>0.10223749296158657</v>
      </c>
    </row>
    <row r="12" spans="1:21" x14ac:dyDescent="0.25">
      <c r="E12" s="68"/>
      <c r="F12" s="68"/>
      <c r="G12" s="68"/>
      <c r="H12" s="68"/>
      <c r="J12" s="68"/>
      <c r="K12" s="68"/>
      <c r="L12" s="68"/>
      <c r="M12" s="6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pageSetUpPr autoPageBreaks="0" fitToPage="1"/>
  </sheetPr>
  <dimension ref="A1:P38"/>
  <sheetViews>
    <sheetView showGridLines="0" zoomScaleNormal="100" workbookViewId="0">
      <selection activeCell="G18" sqref="G18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3" width="11.7109375" style="4" customWidth="1"/>
    <col min="14" max="15" width="11.42578125" style="4" customWidth="1"/>
    <col min="16" max="256" width="8.85546875" style="4"/>
    <col min="257" max="257" width="1.7109375" style="4" customWidth="1"/>
    <col min="258" max="258" width="40.7109375" style="4" customWidth="1"/>
    <col min="259" max="266" width="10.7109375" style="4" customWidth="1"/>
    <col min="267" max="512" width="8.85546875" style="4"/>
    <col min="513" max="513" width="1.7109375" style="4" customWidth="1"/>
    <col min="514" max="514" width="40.7109375" style="4" customWidth="1"/>
    <col min="515" max="522" width="10.7109375" style="4" customWidth="1"/>
    <col min="523" max="768" width="8.85546875" style="4"/>
    <col min="769" max="769" width="1.7109375" style="4" customWidth="1"/>
    <col min="770" max="770" width="40.7109375" style="4" customWidth="1"/>
    <col min="771" max="778" width="10.7109375" style="4" customWidth="1"/>
    <col min="779" max="1024" width="8.85546875" style="4"/>
    <col min="1025" max="1025" width="1.7109375" style="4" customWidth="1"/>
    <col min="1026" max="1026" width="40.7109375" style="4" customWidth="1"/>
    <col min="1027" max="1034" width="10.7109375" style="4" customWidth="1"/>
    <col min="1035" max="1280" width="8.85546875" style="4"/>
    <col min="1281" max="1281" width="1.7109375" style="4" customWidth="1"/>
    <col min="1282" max="1282" width="40.7109375" style="4" customWidth="1"/>
    <col min="1283" max="1290" width="10.7109375" style="4" customWidth="1"/>
    <col min="1291" max="1536" width="8.85546875" style="4"/>
    <col min="1537" max="1537" width="1.7109375" style="4" customWidth="1"/>
    <col min="1538" max="1538" width="40.7109375" style="4" customWidth="1"/>
    <col min="1539" max="1546" width="10.7109375" style="4" customWidth="1"/>
    <col min="1547" max="1792" width="8.85546875" style="4"/>
    <col min="1793" max="1793" width="1.7109375" style="4" customWidth="1"/>
    <col min="1794" max="1794" width="40.7109375" style="4" customWidth="1"/>
    <col min="1795" max="1802" width="10.7109375" style="4" customWidth="1"/>
    <col min="1803" max="2048" width="8.85546875" style="4"/>
    <col min="2049" max="2049" width="1.7109375" style="4" customWidth="1"/>
    <col min="2050" max="2050" width="40.7109375" style="4" customWidth="1"/>
    <col min="2051" max="2058" width="10.7109375" style="4" customWidth="1"/>
    <col min="2059" max="2304" width="8.85546875" style="4"/>
    <col min="2305" max="2305" width="1.7109375" style="4" customWidth="1"/>
    <col min="2306" max="2306" width="40.7109375" style="4" customWidth="1"/>
    <col min="2307" max="2314" width="10.7109375" style="4" customWidth="1"/>
    <col min="2315" max="2560" width="8.85546875" style="4"/>
    <col min="2561" max="2561" width="1.7109375" style="4" customWidth="1"/>
    <col min="2562" max="2562" width="40.7109375" style="4" customWidth="1"/>
    <col min="2563" max="2570" width="10.7109375" style="4" customWidth="1"/>
    <col min="2571" max="2816" width="8.85546875" style="4"/>
    <col min="2817" max="2817" width="1.7109375" style="4" customWidth="1"/>
    <col min="2818" max="2818" width="40.7109375" style="4" customWidth="1"/>
    <col min="2819" max="2826" width="10.7109375" style="4" customWidth="1"/>
    <col min="2827" max="3072" width="8.85546875" style="4"/>
    <col min="3073" max="3073" width="1.7109375" style="4" customWidth="1"/>
    <col min="3074" max="3074" width="40.7109375" style="4" customWidth="1"/>
    <col min="3075" max="3082" width="10.7109375" style="4" customWidth="1"/>
    <col min="3083" max="3328" width="8.85546875" style="4"/>
    <col min="3329" max="3329" width="1.7109375" style="4" customWidth="1"/>
    <col min="3330" max="3330" width="40.7109375" style="4" customWidth="1"/>
    <col min="3331" max="3338" width="10.7109375" style="4" customWidth="1"/>
    <col min="3339" max="3584" width="8.85546875" style="4"/>
    <col min="3585" max="3585" width="1.7109375" style="4" customWidth="1"/>
    <col min="3586" max="3586" width="40.7109375" style="4" customWidth="1"/>
    <col min="3587" max="3594" width="10.7109375" style="4" customWidth="1"/>
    <col min="3595" max="3840" width="8.85546875" style="4"/>
    <col min="3841" max="3841" width="1.7109375" style="4" customWidth="1"/>
    <col min="3842" max="3842" width="40.7109375" style="4" customWidth="1"/>
    <col min="3843" max="3850" width="10.7109375" style="4" customWidth="1"/>
    <col min="3851" max="4096" width="8.85546875" style="4"/>
    <col min="4097" max="4097" width="1.7109375" style="4" customWidth="1"/>
    <col min="4098" max="4098" width="40.7109375" style="4" customWidth="1"/>
    <col min="4099" max="4106" width="10.7109375" style="4" customWidth="1"/>
    <col min="4107" max="4352" width="8.85546875" style="4"/>
    <col min="4353" max="4353" width="1.7109375" style="4" customWidth="1"/>
    <col min="4354" max="4354" width="40.7109375" style="4" customWidth="1"/>
    <col min="4355" max="4362" width="10.7109375" style="4" customWidth="1"/>
    <col min="4363" max="4608" width="8.85546875" style="4"/>
    <col min="4609" max="4609" width="1.7109375" style="4" customWidth="1"/>
    <col min="4610" max="4610" width="40.7109375" style="4" customWidth="1"/>
    <col min="4611" max="4618" width="10.7109375" style="4" customWidth="1"/>
    <col min="4619" max="4864" width="8.85546875" style="4"/>
    <col min="4865" max="4865" width="1.7109375" style="4" customWidth="1"/>
    <col min="4866" max="4866" width="40.7109375" style="4" customWidth="1"/>
    <col min="4867" max="4874" width="10.7109375" style="4" customWidth="1"/>
    <col min="4875" max="5120" width="8.85546875" style="4"/>
    <col min="5121" max="5121" width="1.7109375" style="4" customWidth="1"/>
    <col min="5122" max="5122" width="40.7109375" style="4" customWidth="1"/>
    <col min="5123" max="5130" width="10.7109375" style="4" customWidth="1"/>
    <col min="5131" max="5376" width="8.85546875" style="4"/>
    <col min="5377" max="5377" width="1.7109375" style="4" customWidth="1"/>
    <col min="5378" max="5378" width="40.7109375" style="4" customWidth="1"/>
    <col min="5379" max="5386" width="10.7109375" style="4" customWidth="1"/>
    <col min="5387" max="5632" width="8.85546875" style="4"/>
    <col min="5633" max="5633" width="1.7109375" style="4" customWidth="1"/>
    <col min="5634" max="5634" width="40.7109375" style="4" customWidth="1"/>
    <col min="5635" max="5642" width="10.7109375" style="4" customWidth="1"/>
    <col min="5643" max="5888" width="8.85546875" style="4"/>
    <col min="5889" max="5889" width="1.7109375" style="4" customWidth="1"/>
    <col min="5890" max="5890" width="40.7109375" style="4" customWidth="1"/>
    <col min="5891" max="5898" width="10.7109375" style="4" customWidth="1"/>
    <col min="5899" max="6144" width="8.85546875" style="4"/>
    <col min="6145" max="6145" width="1.7109375" style="4" customWidth="1"/>
    <col min="6146" max="6146" width="40.7109375" style="4" customWidth="1"/>
    <col min="6147" max="6154" width="10.7109375" style="4" customWidth="1"/>
    <col min="6155" max="6400" width="8.85546875" style="4"/>
    <col min="6401" max="6401" width="1.7109375" style="4" customWidth="1"/>
    <col min="6402" max="6402" width="40.7109375" style="4" customWidth="1"/>
    <col min="6403" max="6410" width="10.7109375" style="4" customWidth="1"/>
    <col min="6411" max="6656" width="8.85546875" style="4"/>
    <col min="6657" max="6657" width="1.7109375" style="4" customWidth="1"/>
    <col min="6658" max="6658" width="40.7109375" style="4" customWidth="1"/>
    <col min="6659" max="6666" width="10.7109375" style="4" customWidth="1"/>
    <col min="6667" max="6912" width="8.85546875" style="4"/>
    <col min="6913" max="6913" width="1.7109375" style="4" customWidth="1"/>
    <col min="6914" max="6914" width="40.7109375" style="4" customWidth="1"/>
    <col min="6915" max="6922" width="10.7109375" style="4" customWidth="1"/>
    <col min="6923" max="7168" width="8.85546875" style="4"/>
    <col min="7169" max="7169" width="1.7109375" style="4" customWidth="1"/>
    <col min="7170" max="7170" width="40.7109375" style="4" customWidth="1"/>
    <col min="7171" max="7178" width="10.7109375" style="4" customWidth="1"/>
    <col min="7179" max="7424" width="8.85546875" style="4"/>
    <col min="7425" max="7425" width="1.7109375" style="4" customWidth="1"/>
    <col min="7426" max="7426" width="40.7109375" style="4" customWidth="1"/>
    <col min="7427" max="7434" width="10.7109375" style="4" customWidth="1"/>
    <col min="7435" max="7680" width="8.85546875" style="4"/>
    <col min="7681" max="7681" width="1.7109375" style="4" customWidth="1"/>
    <col min="7682" max="7682" width="40.7109375" style="4" customWidth="1"/>
    <col min="7683" max="7690" width="10.7109375" style="4" customWidth="1"/>
    <col min="7691" max="7936" width="8.85546875" style="4"/>
    <col min="7937" max="7937" width="1.7109375" style="4" customWidth="1"/>
    <col min="7938" max="7938" width="40.7109375" style="4" customWidth="1"/>
    <col min="7939" max="7946" width="10.7109375" style="4" customWidth="1"/>
    <col min="7947" max="8192" width="8.85546875" style="4"/>
    <col min="8193" max="8193" width="1.7109375" style="4" customWidth="1"/>
    <col min="8194" max="8194" width="40.7109375" style="4" customWidth="1"/>
    <col min="8195" max="8202" width="10.7109375" style="4" customWidth="1"/>
    <col min="8203" max="8448" width="8.85546875" style="4"/>
    <col min="8449" max="8449" width="1.7109375" style="4" customWidth="1"/>
    <col min="8450" max="8450" width="40.7109375" style="4" customWidth="1"/>
    <col min="8451" max="8458" width="10.7109375" style="4" customWidth="1"/>
    <col min="8459" max="8704" width="8.85546875" style="4"/>
    <col min="8705" max="8705" width="1.7109375" style="4" customWidth="1"/>
    <col min="8706" max="8706" width="40.7109375" style="4" customWidth="1"/>
    <col min="8707" max="8714" width="10.7109375" style="4" customWidth="1"/>
    <col min="8715" max="8960" width="8.85546875" style="4"/>
    <col min="8961" max="8961" width="1.7109375" style="4" customWidth="1"/>
    <col min="8962" max="8962" width="40.7109375" style="4" customWidth="1"/>
    <col min="8963" max="8970" width="10.7109375" style="4" customWidth="1"/>
    <col min="8971" max="9216" width="8.85546875" style="4"/>
    <col min="9217" max="9217" width="1.7109375" style="4" customWidth="1"/>
    <col min="9218" max="9218" width="40.7109375" style="4" customWidth="1"/>
    <col min="9219" max="9226" width="10.7109375" style="4" customWidth="1"/>
    <col min="9227" max="9472" width="8.85546875" style="4"/>
    <col min="9473" max="9473" width="1.7109375" style="4" customWidth="1"/>
    <col min="9474" max="9474" width="40.7109375" style="4" customWidth="1"/>
    <col min="9475" max="9482" width="10.7109375" style="4" customWidth="1"/>
    <col min="9483" max="9728" width="8.85546875" style="4"/>
    <col min="9729" max="9729" width="1.7109375" style="4" customWidth="1"/>
    <col min="9730" max="9730" width="40.7109375" style="4" customWidth="1"/>
    <col min="9731" max="9738" width="10.7109375" style="4" customWidth="1"/>
    <col min="9739" max="9984" width="8.85546875" style="4"/>
    <col min="9985" max="9985" width="1.7109375" style="4" customWidth="1"/>
    <col min="9986" max="9986" width="40.7109375" style="4" customWidth="1"/>
    <col min="9987" max="9994" width="10.7109375" style="4" customWidth="1"/>
    <col min="9995" max="10240" width="8.85546875" style="4"/>
    <col min="10241" max="10241" width="1.7109375" style="4" customWidth="1"/>
    <col min="10242" max="10242" width="40.7109375" style="4" customWidth="1"/>
    <col min="10243" max="10250" width="10.7109375" style="4" customWidth="1"/>
    <col min="10251" max="10496" width="8.85546875" style="4"/>
    <col min="10497" max="10497" width="1.7109375" style="4" customWidth="1"/>
    <col min="10498" max="10498" width="40.7109375" style="4" customWidth="1"/>
    <col min="10499" max="10506" width="10.7109375" style="4" customWidth="1"/>
    <col min="10507" max="10752" width="8.85546875" style="4"/>
    <col min="10753" max="10753" width="1.7109375" style="4" customWidth="1"/>
    <col min="10754" max="10754" width="40.7109375" style="4" customWidth="1"/>
    <col min="10755" max="10762" width="10.7109375" style="4" customWidth="1"/>
    <col min="10763" max="11008" width="8.85546875" style="4"/>
    <col min="11009" max="11009" width="1.7109375" style="4" customWidth="1"/>
    <col min="11010" max="11010" width="40.7109375" style="4" customWidth="1"/>
    <col min="11011" max="11018" width="10.7109375" style="4" customWidth="1"/>
    <col min="11019" max="11264" width="8.85546875" style="4"/>
    <col min="11265" max="11265" width="1.7109375" style="4" customWidth="1"/>
    <col min="11266" max="11266" width="40.7109375" style="4" customWidth="1"/>
    <col min="11267" max="11274" width="10.7109375" style="4" customWidth="1"/>
    <col min="11275" max="11520" width="8.85546875" style="4"/>
    <col min="11521" max="11521" width="1.7109375" style="4" customWidth="1"/>
    <col min="11522" max="11522" width="40.7109375" style="4" customWidth="1"/>
    <col min="11523" max="11530" width="10.7109375" style="4" customWidth="1"/>
    <col min="11531" max="11776" width="8.85546875" style="4"/>
    <col min="11777" max="11777" width="1.7109375" style="4" customWidth="1"/>
    <col min="11778" max="11778" width="40.7109375" style="4" customWidth="1"/>
    <col min="11779" max="11786" width="10.7109375" style="4" customWidth="1"/>
    <col min="11787" max="12032" width="8.85546875" style="4"/>
    <col min="12033" max="12033" width="1.7109375" style="4" customWidth="1"/>
    <col min="12034" max="12034" width="40.7109375" style="4" customWidth="1"/>
    <col min="12035" max="12042" width="10.7109375" style="4" customWidth="1"/>
    <col min="12043" max="12288" width="8.85546875" style="4"/>
    <col min="12289" max="12289" width="1.7109375" style="4" customWidth="1"/>
    <col min="12290" max="12290" width="40.7109375" style="4" customWidth="1"/>
    <col min="12291" max="12298" width="10.7109375" style="4" customWidth="1"/>
    <col min="12299" max="12544" width="8.85546875" style="4"/>
    <col min="12545" max="12545" width="1.7109375" style="4" customWidth="1"/>
    <col min="12546" max="12546" width="40.7109375" style="4" customWidth="1"/>
    <col min="12547" max="12554" width="10.7109375" style="4" customWidth="1"/>
    <col min="12555" max="12800" width="8.85546875" style="4"/>
    <col min="12801" max="12801" width="1.7109375" style="4" customWidth="1"/>
    <col min="12802" max="12802" width="40.7109375" style="4" customWidth="1"/>
    <col min="12803" max="12810" width="10.7109375" style="4" customWidth="1"/>
    <col min="12811" max="13056" width="8.85546875" style="4"/>
    <col min="13057" max="13057" width="1.7109375" style="4" customWidth="1"/>
    <col min="13058" max="13058" width="40.7109375" style="4" customWidth="1"/>
    <col min="13059" max="13066" width="10.7109375" style="4" customWidth="1"/>
    <col min="13067" max="13312" width="8.85546875" style="4"/>
    <col min="13313" max="13313" width="1.7109375" style="4" customWidth="1"/>
    <col min="13314" max="13314" width="40.7109375" style="4" customWidth="1"/>
    <col min="13315" max="13322" width="10.7109375" style="4" customWidth="1"/>
    <col min="13323" max="13568" width="8.85546875" style="4"/>
    <col min="13569" max="13569" width="1.7109375" style="4" customWidth="1"/>
    <col min="13570" max="13570" width="40.7109375" style="4" customWidth="1"/>
    <col min="13571" max="13578" width="10.7109375" style="4" customWidth="1"/>
    <col min="13579" max="13824" width="8.85546875" style="4"/>
    <col min="13825" max="13825" width="1.7109375" style="4" customWidth="1"/>
    <col min="13826" max="13826" width="40.7109375" style="4" customWidth="1"/>
    <col min="13827" max="13834" width="10.7109375" style="4" customWidth="1"/>
    <col min="13835" max="14080" width="8.85546875" style="4"/>
    <col min="14081" max="14081" width="1.7109375" style="4" customWidth="1"/>
    <col min="14082" max="14082" width="40.7109375" style="4" customWidth="1"/>
    <col min="14083" max="14090" width="10.7109375" style="4" customWidth="1"/>
    <col min="14091" max="14336" width="8.85546875" style="4"/>
    <col min="14337" max="14337" width="1.7109375" style="4" customWidth="1"/>
    <col min="14338" max="14338" width="40.7109375" style="4" customWidth="1"/>
    <col min="14339" max="14346" width="10.7109375" style="4" customWidth="1"/>
    <col min="14347" max="14592" width="8.85546875" style="4"/>
    <col min="14593" max="14593" width="1.7109375" style="4" customWidth="1"/>
    <col min="14594" max="14594" width="40.7109375" style="4" customWidth="1"/>
    <col min="14595" max="14602" width="10.7109375" style="4" customWidth="1"/>
    <col min="14603" max="14848" width="8.85546875" style="4"/>
    <col min="14849" max="14849" width="1.7109375" style="4" customWidth="1"/>
    <col min="14850" max="14850" width="40.7109375" style="4" customWidth="1"/>
    <col min="14851" max="14858" width="10.7109375" style="4" customWidth="1"/>
    <col min="14859" max="15104" width="8.85546875" style="4"/>
    <col min="15105" max="15105" width="1.7109375" style="4" customWidth="1"/>
    <col min="15106" max="15106" width="40.7109375" style="4" customWidth="1"/>
    <col min="15107" max="15114" width="10.7109375" style="4" customWidth="1"/>
    <col min="15115" max="15360" width="8.85546875" style="4"/>
    <col min="15361" max="15361" width="1.7109375" style="4" customWidth="1"/>
    <col min="15362" max="15362" width="40.7109375" style="4" customWidth="1"/>
    <col min="15363" max="15370" width="10.7109375" style="4" customWidth="1"/>
    <col min="15371" max="15616" width="8.85546875" style="4"/>
    <col min="15617" max="15617" width="1.7109375" style="4" customWidth="1"/>
    <col min="15618" max="15618" width="40.7109375" style="4" customWidth="1"/>
    <col min="15619" max="15626" width="10.7109375" style="4" customWidth="1"/>
    <col min="15627" max="15872" width="8.85546875" style="4"/>
    <col min="15873" max="15873" width="1.7109375" style="4" customWidth="1"/>
    <col min="15874" max="15874" width="40.7109375" style="4" customWidth="1"/>
    <col min="15875" max="15882" width="10.7109375" style="4" customWidth="1"/>
    <col min="15883" max="16128" width="8.85546875" style="4"/>
    <col min="16129" max="16129" width="1.7109375" style="4" customWidth="1"/>
    <col min="16130" max="16130" width="40.7109375" style="4" customWidth="1"/>
    <col min="16131" max="16138" width="10.7109375" style="4" customWidth="1"/>
    <col min="16139" max="16384" width="8.85546875" style="4"/>
  </cols>
  <sheetData>
    <row r="1" spans="1:16" s="2" customFormat="1" ht="19.5" x14ac:dyDescent="0.3">
      <c r="A1" s="327" t="str">
        <f>CoName</f>
        <v>Adobe Inc.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s="43"/>
      <c r="O1" s="43"/>
    </row>
    <row r="2" spans="1:16" x14ac:dyDescent="0.25">
      <c r="A2" s="22" t="s">
        <v>11</v>
      </c>
      <c r="B2" s="21"/>
      <c r="C2" s="217">
        <v>2022</v>
      </c>
      <c r="D2" s="324">
        <f>C2+1</f>
        <v>2023</v>
      </c>
      <c r="E2" s="324">
        <f t="shared" ref="E2:M2" si="0">D2+1</f>
        <v>2024</v>
      </c>
      <c r="F2" s="324">
        <f t="shared" si="0"/>
        <v>2025</v>
      </c>
      <c r="G2" s="324">
        <f t="shared" si="0"/>
        <v>2026</v>
      </c>
      <c r="H2" s="324">
        <f t="shared" si="0"/>
        <v>2027</v>
      </c>
      <c r="I2" s="324">
        <f t="shared" si="0"/>
        <v>2028</v>
      </c>
      <c r="J2" s="324">
        <f t="shared" si="0"/>
        <v>2029</v>
      </c>
      <c r="K2" s="324">
        <f t="shared" si="0"/>
        <v>2030</v>
      </c>
      <c r="L2" s="324">
        <f t="shared" si="0"/>
        <v>2031</v>
      </c>
      <c r="M2" s="324">
        <f t="shared" si="0"/>
        <v>2032</v>
      </c>
      <c r="N2" s="218"/>
      <c r="O2" s="218"/>
      <c r="P2" s="218"/>
    </row>
    <row r="3" spans="1:16" x14ac:dyDescent="0.25">
      <c r="B3" s="4" t="s">
        <v>12</v>
      </c>
      <c r="C3" s="31"/>
      <c r="D3" s="31"/>
      <c r="E3" s="42"/>
      <c r="F3" s="228">
        <f>Assumptions!F32</f>
        <v>1.3531736805394094E-2</v>
      </c>
      <c r="G3" s="228">
        <f>Assumptions!G32</f>
        <v>1.3531736805394094E-2</v>
      </c>
      <c r="H3" s="228">
        <f>Assumptions!H32</f>
        <v>1.3531736805394094E-2</v>
      </c>
      <c r="I3" s="228">
        <f>Assumptions!I32</f>
        <v>1.3531736805394094E-2</v>
      </c>
      <c r="J3" s="228">
        <f>Assumptions!J32</f>
        <v>1.3531736805394094E-2</v>
      </c>
      <c r="K3" s="228">
        <f>Assumptions!K32</f>
        <v>1.3531736805394094E-2</v>
      </c>
      <c r="L3" s="228">
        <f>Assumptions!L32</f>
        <v>1.3531736805394094E-2</v>
      </c>
      <c r="M3" s="325">
        <f>Assumptions!M32</f>
        <v>1.3531736805394094E-2</v>
      </c>
      <c r="N3" s="226"/>
      <c r="O3" s="226"/>
    </row>
    <row r="4" spans="1:16" x14ac:dyDescent="0.25">
      <c r="B4" s="4" t="s">
        <v>132</v>
      </c>
      <c r="C4" s="31"/>
      <c r="D4" s="31"/>
      <c r="E4" s="42"/>
      <c r="F4" s="228">
        <f>Assumptions!F33</f>
        <v>0.28810720268006701</v>
      </c>
      <c r="G4" s="228">
        <f>F4</f>
        <v>0.28810720268006701</v>
      </c>
      <c r="H4" s="228">
        <f t="shared" ref="H4:J4" si="1">G4</f>
        <v>0.28810720268006701</v>
      </c>
      <c r="I4" s="228">
        <f t="shared" si="1"/>
        <v>0.28810720268006701</v>
      </c>
      <c r="J4" s="228">
        <f t="shared" si="1"/>
        <v>0.28810720268006701</v>
      </c>
      <c r="K4" s="228">
        <f t="shared" ref="K4" si="2">J4</f>
        <v>0.28810720268006701</v>
      </c>
      <c r="L4" s="228">
        <f t="shared" ref="L4" si="3">K4</f>
        <v>0.28810720268006701</v>
      </c>
      <c r="M4" s="228">
        <f t="shared" ref="M4" si="4">L4</f>
        <v>0.28810720268006701</v>
      </c>
      <c r="N4" s="226"/>
      <c r="O4" s="226"/>
    </row>
    <row r="5" spans="1:16" x14ac:dyDescent="0.25">
      <c r="E5" s="29"/>
      <c r="F5" s="80"/>
      <c r="G5" s="68"/>
      <c r="H5" s="86"/>
      <c r="I5" s="68"/>
      <c r="J5" s="68"/>
      <c r="K5" s="68"/>
      <c r="L5" s="68"/>
      <c r="M5" s="68"/>
    </row>
    <row r="6" spans="1:16" x14ac:dyDescent="0.25">
      <c r="B6" s="4" t="s">
        <v>13</v>
      </c>
      <c r="E6" s="29"/>
      <c r="F6" s="4">
        <f>E9</f>
        <v>2217</v>
      </c>
      <c r="G6" s="4">
        <f t="shared" ref="G6:M6" si="5">F9</f>
        <v>1897.8395411444574</v>
      </c>
      <c r="H6" s="4">
        <f t="shared" si="5"/>
        <v>1702.2164429182781</v>
      </c>
      <c r="I6" s="4">
        <f t="shared" si="5"/>
        <v>1597.878751848682</v>
      </c>
      <c r="J6" s="4">
        <f t="shared" si="5"/>
        <v>1562.2313456121606</v>
      </c>
      <c r="K6" s="4">
        <f t="shared" si="5"/>
        <v>1579.5943119601548</v>
      </c>
      <c r="L6" s="4">
        <f t="shared" si="5"/>
        <v>1639.2557670718566</v>
      </c>
      <c r="M6" s="4">
        <f t="shared" si="5"/>
        <v>1734.0907443298797</v>
      </c>
    </row>
    <row r="7" spans="1:16" x14ac:dyDescent="0.25">
      <c r="B7" s="4" t="s">
        <v>14</v>
      </c>
      <c r="C7" s="13"/>
      <c r="D7" s="13"/>
      <c r="E7" s="134"/>
      <c r="F7" s="4">
        <f>F3*IncState!F16</f>
        <v>319.57320948616598</v>
      </c>
      <c r="G7" s="4">
        <f>G3*IncState!G16</f>
        <v>351.15814310857195</v>
      </c>
      <c r="H7" s="4">
        <f>H3*IncState!H16</f>
        <v>386.08312665560265</v>
      </c>
      <c r="I7" s="4">
        <f>I3*IncState!I16</f>
        <v>424.71297118051939</v>
      </c>
      <c r="J7" s="4">
        <f>J3*IncState!J16</f>
        <v>467.45306927143054</v>
      </c>
      <c r="K7" s="4">
        <f>K3*IncState!K16</f>
        <v>514.75395369988701</v>
      </c>
      <c r="L7" s="4">
        <f>L3*IncState!L16</f>
        <v>567.11637078626336</v>
      </c>
      <c r="M7" s="4">
        <f>M3*IncState!M16</f>
        <v>625.09692675292445</v>
      </c>
    </row>
    <row r="8" spans="1:16" x14ac:dyDescent="0.25">
      <c r="B8" s="4" t="s">
        <v>15</v>
      </c>
      <c r="E8" s="29"/>
      <c r="F8" s="4">
        <f>F4*F6</f>
        <v>638.73366834170861</v>
      </c>
      <c r="G8" s="4">
        <f t="shared" ref="G8:M8" si="6">G4*G6</f>
        <v>546.7812413347516</v>
      </c>
      <c r="H8" s="4">
        <f t="shared" si="6"/>
        <v>490.42081772519907</v>
      </c>
      <c r="I8" s="4">
        <f t="shared" si="6"/>
        <v>460.3603774170407</v>
      </c>
      <c r="J8" s="4">
        <f t="shared" si="6"/>
        <v>450.09010292343658</v>
      </c>
      <c r="K8" s="4">
        <f t="shared" si="6"/>
        <v>455.09249858818532</v>
      </c>
      <c r="L8" s="4">
        <f t="shared" si="6"/>
        <v>472.28139352824007</v>
      </c>
      <c r="M8" s="4">
        <f t="shared" si="6"/>
        <v>499.60403354227691</v>
      </c>
    </row>
    <row r="9" spans="1:16" x14ac:dyDescent="0.25">
      <c r="B9" s="4" t="s">
        <v>16</v>
      </c>
      <c r="E9" s="29">
        <f>BalSheet!E20</f>
        <v>2217</v>
      </c>
      <c r="F9" s="4">
        <f>F6+F7-F8</f>
        <v>1897.8395411444574</v>
      </c>
      <c r="G9" s="4">
        <f t="shared" ref="G9:M9" si="7">G6+G7-G8</f>
        <v>1702.2164429182781</v>
      </c>
      <c r="H9" s="4">
        <f t="shared" si="7"/>
        <v>1597.878751848682</v>
      </c>
      <c r="I9" s="4">
        <f t="shared" si="7"/>
        <v>1562.2313456121606</v>
      </c>
      <c r="J9" s="4">
        <f t="shared" si="7"/>
        <v>1579.5943119601548</v>
      </c>
      <c r="K9" s="4">
        <f t="shared" si="7"/>
        <v>1639.2557670718566</v>
      </c>
      <c r="L9" s="4">
        <f t="shared" si="7"/>
        <v>1734.0907443298797</v>
      </c>
      <c r="M9" s="4">
        <f t="shared" si="7"/>
        <v>1859.5836375405272</v>
      </c>
    </row>
    <row r="10" spans="1:16" x14ac:dyDescent="0.25">
      <c r="A10" s="22" t="s">
        <v>17</v>
      </c>
      <c r="B10" s="44"/>
      <c r="C10" s="298">
        <f t="shared" ref="C10:M10" si="8">C2</f>
        <v>2022</v>
      </c>
      <c r="D10" s="298">
        <f t="shared" si="8"/>
        <v>2023</v>
      </c>
      <c r="E10" s="298">
        <f t="shared" si="8"/>
        <v>2024</v>
      </c>
      <c r="F10" s="298">
        <f t="shared" si="8"/>
        <v>2025</v>
      </c>
      <c r="G10" s="298">
        <f t="shared" si="8"/>
        <v>2026</v>
      </c>
      <c r="H10" s="298">
        <f t="shared" si="8"/>
        <v>2027</v>
      </c>
      <c r="I10" s="298">
        <f t="shared" si="8"/>
        <v>2028</v>
      </c>
      <c r="J10" s="298">
        <f t="shared" si="8"/>
        <v>2029</v>
      </c>
      <c r="K10" s="298">
        <f t="shared" si="8"/>
        <v>2030</v>
      </c>
      <c r="L10" s="298">
        <f t="shared" si="8"/>
        <v>2031</v>
      </c>
      <c r="M10" s="298">
        <f t="shared" si="8"/>
        <v>2032</v>
      </c>
      <c r="N10" s="221"/>
      <c r="O10" s="221"/>
    </row>
    <row r="11" spans="1:16" x14ac:dyDescent="0.25">
      <c r="B11" s="4" t="s">
        <v>18</v>
      </c>
      <c r="E11" s="29"/>
      <c r="F11" s="328">
        <f>Assumptions!F34</f>
        <v>-2500</v>
      </c>
      <c r="G11" s="328">
        <f>Assumptions!G34</f>
        <v>-2500</v>
      </c>
      <c r="H11" s="328">
        <f>Assumptions!H34</f>
        <v>-2500</v>
      </c>
      <c r="I11" s="328">
        <f>Assumptions!I34</f>
        <v>-900</v>
      </c>
      <c r="J11" s="328">
        <f>Assumptions!J34</f>
        <v>0</v>
      </c>
      <c r="K11" s="328">
        <f>Assumptions!K34</f>
        <v>0</v>
      </c>
      <c r="L11" s="328">
        <f>Assumptions!L34</f>
        <v>0</v>
      </c>
      <c r="M11" s="328">
        <f>Assumptions!M34</f>
        <v>0</v>
      </c>
      <c r="N11" s="227"/>
      <c r="O11" s="227"/>
    </row>
    <row r="12" spans="1:16" x14ac:dyDescent="0.25">
      <c r="E12" s="29"/>
      <c r="F12" s="80"/>
      <c r="G12" s="68"/>
      <c r="H12" s="86"/>
      <c r="I12" s="68"/>
      <c r="J12" s="68"/>
      <c r="K12" s="68"/>
      <c r="L12" s="68"/>
      <c r="M12" s="68"/>
    </row>
    <row r="13" spans="1:16" x14ac:dyDescent="0.25">
      <c r="B13" s="4" t="s">
        <v>19</v>
      </c>
      <c r="E13" s="29"/>
      <c r="F13" s="4">
        <f>E16</f>
        <v>14105</v>
      </c>
      <c r="G13" s="4">
        <f t="shared" ref="G13:M13" si="9">F16</f>
        <v>17601.346509169962</v>
      </c>
      <c r="H13" s="4">
        <f t="shared" si="9"/>
        <v>21690.340339351598</v>
      </c>
      <c r="I13" s="4">
        <f t="shared" si="9"/>
        <v>26434.6528788574</v>
      </c>
      <c r="J13" s="4">
        <f t="shared" si="9"/>
        <v>33503.800687687581</v>
      </c>
      <c r="K13" s="4">
        <f t="shared" si="9"/>
        <v>42274.906953552039</v>
      </c>
      <c r="L13" s="4">
        <f t="shared" si="9"/>
        <v>51933.548484588675</v>
      </c>
      <c r="M13" s="4">
        <f t="shared" si="9"/>
        <v>62574.697896722224</v>
      </c>
    </row>
    <row r="14" spans="1:16" x14ac:dyDescent="0.25">
      <c r="B14" s="4" t="s">
        <v>20</v>
      </c>
      <c r="E14" s="29"/>
      <c r="F14" s="4">
        <f>IncState!F35</f>
        <v>5996.3465091699609</v>
      </c>
      <c r="G14" s="4">
        <f>IncState!G35</f>
        <v>6588.9938301816355</v>
      </c>
      <c r="H14" s="4">
        <f>IncState!H35</f>
        <v>7244.3125395058023</v>
      </c>
      <c r="I14" s="4">
        <f>IncState!I35</f>
        <v>7969.1478088301837</v>
      </c>
      <c r="J14" s="4">
        <f>IncState!J35</f>
        <v>8771.1062658644587</v>
      </c>
      <c r="K14" s="4">
        <f>IncState!K35</f>
        <v>9658.6415310366338</v>
      </c>
      <c r="L14" s="4">
        <f>IncState!L35</f>
        <v>10641.149412133551</v>
      </c>
      <c r="M14" s="4">
        <f>IncState!M35</f>
        <v>11729.073850259745</v>
      </c>
    </row>
    <row r="15" spans="1:16" x14ac:dyDescent="0.25">
      <c r="B15" s="4" t="s">
        <v>21</v>
      </c>
      <c r="E15" s="29"/>
      <c r="F15" s="4">
        <f>F11</f>
        <v>-2500</v>
      </c>
      <c r="G15" s="4">
        <f t="shared" ref="G15:M15" si="10">G11</f>
        <v>-2500</v>
      </c>
      <c r="H15" s="4">
        <f t="shared" si="10"/>
        <v>-2500</v>
      </c>
      <c r="I15" s="4">
        <f t="shared" si="10"/>
        <v>-900</v>
      </c>
      <c r="J15" s="4">
        <f t="shared" si="10"/>
        <v>0</v>
      </c>
      <c r="K15" s="4">
        <f t="shared" si="10"/>
        <v>0</v>
      </c>
      <c r="L15" s="4">
        <f t="shared" si="10"/>
        <v>0</v>
      </c>
      <c r="M15" s="4">
        <f t="shared" si="10"/>
        <v>0</v>
      </c>
    </row>
    <row r="16" spans="1:16" x14ac:dyDescent="0.25">
      <c r="B16" s="4" t="s">
        <v>22</v>
      </c>
      <c r="E16" s="29">
        <f>BalSheet!E36</f>
        <v>14105</v>
      </c>
      <c r="F16" s="4">
        <f>SUM(F13:F15)</f>
        <v>17601.346509169962</v>
      </c>
      <c r="G16" s="4">
        <f t="shared" ref="G16:M16" si="11">SUM(G13:G15)</f>
        <v>21690.340339351598</v>
      </c>
      <c r="H16" s="4">
        <f t="shared" si="11"/>
        <v>26434.6528788574</v>
      </c>
      <c r="I16" s="4">
        <f t="shared" si="11"/>
        <v>33503.800687687581</v>
      </c>
      <c r="J16" s="4">
        <f t="shared" si="11"/>
        <v>42274.906953552039</v>
      </c>
      <c r="K16" s="4">
        <f t="shared" si="11"/>
        <v>51933.548484588675</v>
      </c>
      <c r="L16" s="4">
        <f t="shared" si="11"/>
        <v>62574.697896722224</v>
      </c>
      <c r="M16" s="4">
        <f t="shared" si="11"/>
        <v>74303.771746981976</v>
      </c>
    </row>
    <row r="17" spans="1:15" x14ac:dyDescent="0.25">
      <c r="A17" s="22" t="s">
        <v>23</v>
      </c>
      <c r="B17" s="44"/>
      <c r="C17" s="298">
        <f>C10</f>
        <v>2022</v>
      </c>
      <c r="D17" s="298">
        <f t="shared" ref="D17:M17" si="12">D10</f>
        <v>2023</v>
      </c>
      <c r="E17" s="298">
        <f t="shared" si="12"/>
        <v>2024</v>
      </c>
      <c r="F17" s="298">
        <f t="shared" si="12"/>
        <v>2025</v>
      </c>
      <c r="G17" s="298">
        <f t="shared" si="12"/>
        <v>2026</v>
      </c>
      <c r="H17" s="298">
        <f t="shared" si="12"/>
        <v>2027</v>
      </c>
      <c r="I17" s="298">
        <f t="shared" si="12"/>
        <v>2028</v>
      </c>
      <c r="J17" s="298">
        <f t="shared" si="12"/>
        <v>2029</v>
      </c>
      <c r="K17" s="298">
        <f t="shared" si="12"/>
        <v>2030</v>
      </c>
      <c r="L17" s="298">
        <f t="shared" si="12"/>
        <v>2031</v>
      </c>
      <c r="M17" s="298">
        <f t="shared" si="12"/>
        <v>2032</v>
      </c>
      <c r="N17" s="221"/>
      <c r="O17" s="221"/>
    </row>
    <row r="18" spans="1:15" x14ac:dyDescent="0.25">
      <c r="A18" s="89"/>
      <c r="B18" s="191" t="s">
        <v>155</v>
      </c>
      <c r="C18" s="221"/>
      <c r="D18" s="221"/>
      <c r="E18" s="243">
        <f>BalSheet!E14</f>
        <v>1075.25</v>
      </c>
      <c r="F18" s="357">
        <f>BalSheet!F14</f>
        <v>1180.8285000000001</v>
      </c>
      <c r="G18" s="357">
        <f>BalSheet!G14</f>
        <v>1297.535372431244</v>
      </c>
      <c r="H18" s="357">
        <f>BalSheet!H14</f>
        <v>1426.5837867231503</v>
      </c>
      <c r="I18" s="357">
        <f>BalSheet!I14</f>
        <v>1569.3217259857508</v>
      </c>
      <c r="J18" s="357">
        <f>BalSheet!J14</f>
        <v>1727.2471227976141</v>
      </c>
      <c r="K18" s="357">
        <f>BalSheet!K14</f>
        <v>1902.0247034907338</v>
      </c>
      <c r="L18" s="357">
        <f>BalSheet!L14</f>
        <v>2095.5047343227825</v>
      </c>
      <c r="M18" s="357">
        <f>BalSheet!M14</f>
        <v>2309.7438848490792</v>
      </c>
      <c r="N18" s="221"/>
      <c r="O18" s="221"/>
    </row>
    <row r="19" spans="1:15" x14ac:dyDescent="0.25">
      <c r="B19" s="4" t="str">
        <f>BalSheet!B16</f>
        <v>Accounts receivable</v>
      </c>
      <c r="C19" s="100"/>
      <c r="D19" s="100"/>
      <c r="E19" s="101">
        <f>BalSheet!E16</f>
        <v>2072</v>
      </c>
      <c r="F19" s="358">
        <f>BalSheet!F16</f>
        <v>2275.4491067193676</v>
      </c>
      <c r="G19" s="358">
        <f>BalSheet!G16</f>
        <v>2500.3425172541615</v>
      </c>
      <c r="H19" s="358">
        <f>BalSheet!H16</f>
        <v>2749.0180014790676</v>
      </c>
      <c r="I19" s="358">
        <f>BalSheet!I16</f>
        <v>3024.0731143850039</v>
      </c>
      <c r="J19" s="358">
        <f>BalSheet!J16</f>
        <v>3328.3943626474365</v>
      </c>
      <c r="K19" s="358">
        <f>BalSheet!K16</f>
        <v>3665.1896634576146</v>
      </c>
      <c r="L19" s="358">
        <f>BalSheet!L16</f>
        <v>4038.0244682788234</v>
      </c>
      <c r="M19" s="358">
        <f>BalSheet!M16</f>
        <v>4450.8619664331936</v>
      </c>
      <c r="N19" s="100"/>
      <c r="O19" s="100"/>
    </row>
    <row r="20" spans="1:15" x14ac:dyDescent="0.25">
      <c r="B20" s="4" t="s">
        <v>68</v>
      </c>
      <c r="C20" s="100"/>
      <c r="D20" s="100"/>
      <c r="E20" s="101">
        <f>BalSheet!E17</f>
        <v>1274</v>
      </c>
      <c r="F20" s="358">
        <f>BalSheet!F17</f>
        <v>1399.0937075098814</v>
      </c>
      <c r="G20" s="358">
        <f>BalSheet!G17</f>
        <v>1537.3727639873562</v>
      </c>
      <c r="H20" s="358">
        <f>BalSheet!H17</f>
        <v>1690.2745819905076</v>
      </c>
      <c r="I20" s="358">
        <f>BalSheet!I17</f>
        <v>1859.3963068178064</v>
      </c>
      <c r="J20" s="358">
        <f>BalSheet!J17</f>
        <v>2046.5127500061942</v>
      </c>
      <c r="K20" s="358">
        <f>BalSheet!K17</f>
        <v>2253.5963471259656</v>
      </c>
      <c r="L20" s="358">
        <f>BalSheet!L17</f>
        <v>2482.8393690092767</v>
      </c>
      <c r="M20" s="358">
        <f>BalSheet!M17</f>
        <v>2736.6786415231122</v>
      </c>
      <c r="N20" s="100"/>
      <c r="O20" s="100"/>
    </row>
    <row r="21" spans="1:15" x14ac:dyDescent="0.25">
      <c r="B21" s="4" t="s">
        <v>159</v>
      </c>
      <c r="C21" s="100"/>
      <c r="D21" s="100"/>
      <c r="E21" s="101">
        <f>BalSheet!E28</f>
        <v>2816</v>
      </c>
      <c r="F21" s="358">
        <f>BalSheet!F28</f>
        <v>3092.5022608695654</v>
      </c>
      <c r="G21" s="358">
        <f>BalSheet!G28</f>
        <v>3398.148903758552</v>
      </c>
      <c r="H21" s="358">
        <f>BalSheet!H28</f>
        <v>3736.1171294232886</v>
      </c>
      <c r="I21" s="358">
        <f>BalSheet!I28</f>
        <v>4109.9372056506618</v>
      </c>
      <c r="J21" s="358">
        <f>BalSheet!J28</f>
        <v>4523.5321067640843</v>
      </c>
      <c r="K21" s="358">
        <f>BalSheet!K28</f>
        <v>4981.261627556295</v>
      </c>
      <c r="L21" s="358">
        <f>BalSheet!L28</f>
        <v>5487.9714781241155</v>
      </c>
      <c r="M21" s="358">
        <f>BalSheet!M28</f>
        <v>6049.0479234922177</v>
      </c>
      <c r="N21" s="100"/>
      <c r="O21" s="100"/>
    </row>
    <row r="22" spans="1:15" x14ac:dyDescent="0.25">
      <c r="B22" s="4" t="s">
        <v>74</v>
      </c>
      <c r="C22" s="100"/>
      <c r="D22" s="100"/>
      <c r="E22" s="101">
        <f>BalSheet!E29</f>
        <v>6206</v>
      </c>
      <c r="F22" s="358">
        <f>BalSheet!F29</f>
        <v>6815.3654229249005</v>
      </c>
      <c r="G22" s="358">
        <f>BalSheet!G29</f>
        <v>7488.9602616212969</v>
      </c>
      <c r="H22" s="358">
        <f>BalSheet!H29</f>
        <v>8233.7865430401034</v>
      </c>
      <c r="I22" s="358">
        <f>BalSheet!I29</f>
        <v>9057.6243956917624</v>
      </c>
      <c r="J22" s="358">
        <f>BalSheet!J29</f>
        <v>9969.1194085859024</v>
      </c>
      <c r="K22" s="358">
        <f>BalSheet!K29</f>
        <v>10977.879851070442</v>
      </c>
      <c r="L22" s="358">
        <f>BalSheet!L29</f>
        <v>12094.584869757904</v>
      </c>
      <c r="M22" s="358">
        <f>BalSheet!M29</f>
        <v>13331.104905253089</v>
      </c>
      <c r="N22" s="100"/>
      <c r="O22" s="100"/>
    </row>
    <row r="23" spans="1:15" x14ac:dyDescent="0.25">
      <c r="A23" s="11" t="s">
        <v>122</v>
      </c>
      <c r="B23" s="18" t="s">
        <v>23</v>
      </c>
      <c r="C23" s="19"/>
      <c r="D23" s="19"/>
      <c r="E23" s="19">
        <f>SUM(E18:E20)-SUM(E21:E22)</f>
        <v>-4600.75</v>
      </c>
      <c r="F23" s="19">
        <f>SUM(F18:F20)-SUM(F21:F22)</f>
        <v>-5052.4963695652168</v>
      </c>
      <c r="G23" s="19">
        <f t="shared" ref="G23:M23" si="13">SUM(G18:G20)-SUM(G21:G22)</f>
        <v>-5551.858511707087</v>
      </c>
      <c r="H23" s="19">
        <f t="shared" si="13"/>
        <v>-6104.027302270666</v>
      </c>
      <c r="I23" s="19">
        <f t="shared" si="13"/>
        <v>-6714.7704541538633</v>
      </c>
      <c r="J23" s="19">
        <f t="shared" si="13"/>
        <v>-7390.497279898741</v>
      </c>
      <c r="K23" s="19">
        <f t="shared" si="13"/>
        <v>-8138.3307645524237</v>
      </c>
      <c r="L23" s="19">
        <f t="shared" si="13"/>
        <v>-8966.1877762711356</v>
      </c>
      <c r="M23" s="19">
        <f t="shared" si="13"/>
        <v>-9882.868335939922</v>
      </c>
      <c r="N23" s="11"/>
      <c r="O23" s="11"/>
    </row>
    <row r="24" spans="1:15" s="11" customFormat="1" x14ac:dyDescent="0.25">
      <c r="A24" s="26"/>
      <c r="B24" s="11" t="s">
        <v>147</v>
      </c>
      <c r="F24" s="11">
        <f>E23-F23</f>
        <v>451.74636956521681</v>
      </c>
      <c r="G24" s="11">
        <f t="shared" ref="G24:M24" si="14">F23-G23</f>
        <v>499.36214214187021</v>
      </c>
      <c r="H24" s="11">
        <f t="shared" si="14"/>
        <v>552.16879056357902</v>
      </c>
      <c r="I24" s="11">
        <f t="shared" si="14"/>
        <v>610.74315188319724</v>
      </c>
      <c r="J24" s="11">
        <f t="shared" si="14"/>
        <v>675.72682574487771</v>
      </c>
      <c r="K24" s="11">
        <f t="shared" si="14"/>
        <v>747.83348465368272</v>
      </c>
      <c r="L24" s="11">
        <f t="shared" si="14"/>
        <v>827.85701171871187</v>
      </c>
      <c r="M24" s="11">
        <f t="shared" si="14"/>
        <v>916.68055966878637</v>
      </c>
    </row>
    <row r="25" spans="1:15" x14ac:dyDescent="0.25">
      <c r="B25" s="68"/>
      <c r="C25" s="68"/>
      <c r="D25" s="68"/>
      <c r="E25" s="68"/>
      <c r="F25" s="68"/>
      <c r="G25" s="68"/>
      <c r="H25" s="86"/>
      <c r="I25" s="68"/>
      <c r="J25" s="68"/>
      <c r="K25" s="68"/>
      <c r="L25" s="68"/>
      <c r="M25" s="68"/>
    </row>
    <row r="26" spans="1:15" x14ac:dyDescent="0.25">
      <c r="H26" s="6"/>
      <c r="I26" s="4"/>
      <c r="J26" s="4"/>
    </row>
    <row r="27" spans="1:15" x14ac:dyDescent="0.25">
      <c r="H27" s="6"/>
      <c r="I27" s="4"/>
      <c r="J27" s="4"/>
    </row>
    <row r="28" spans="1:15" x14ac:dyDescent="0.25">
      <c r="H28" s="6"/>
      <c r="I28" s="4"/>
      <c r="J28" s="4"/>
    </row>
    <row r="29" spans="1:15" x14ac:dyDescent="0.25">
      <c r="H29" s="6"/>
      <c r="I29" s="4"/>
      <c r="J29" s="4"/>
    </row>
    <row r="30" spans="1:15" x14ac:dyDescent="0.25">
      <c r="H30" s="6"/>
      <c r="I30" s="4"/>
      <c r="J30" s="4"/>
    </row>
    <row r="31" spans="1:15" x14ac:dyDescent="0.25">
      <c r="H31" s="6"/>
      <c r="I31" s="4"/>
      <c r="J31" s="4"/>
    </row>
    <row r="32" spans="1:15" x14ac:dyDescent="0.25">
      <c r="H32" s="6"/>
      <c r="I32" s="4"/>
      <c r="J32" s="4"/>
    </row>
    <row r="33" spans="8:10" x14ac:dyDescent="0.25">
      <c r="H33" s="6"/>
      <c r="I33" s="4"/>
      <c r="J33" s="4"/>
    </row>
    <row r="34" spans="8:10" x14ac:dyDescent="0.25">
      <c r="H34" s="6"/>
      <c r="I34" s="4"/>
      <c r="J34" s="4"/>
    </row>
    <row r="35" spans="8:10" x14ac:dyDescent="0.25">
      <c r="H35" s="6"/>
      <c r="I35" s="4"/>
      <c r="J35" s="4"/>
    </row>
    <row r="36" spans="8:10" x14ac:dyDescent="0.25">
      <c r="H36" s="6"/>
      <c r="I36" s="4"/>
      <c r="J36" s="4"/>
    </row>
    <row r="37" spans="8:10" x14ac:dyDescent="0.25">
      <c r="H37" s="6"/>
      <c r="I37" s="4"/>
      <c r="J37" s="4"/>
    </row>
    <row r="38" spans="8:10" x14ac:dyDescent="0.25">
      <c r="H38" s="6"/>
      <c r="I38" s="4"/>
      <c r="J38" s="4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8">
    <pageSetUpPr autoPageBreaks="0" fitToPage="1"/>
  </sheetPr>
  <dimension ref="A1:P34"/>
  <sheetViews>
    <sheetView showGridLines="0" zoomScaleNormal="100" workbookViewId="0">
      <selection activeCell="F31" sqref="F31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3" width="11.7109375" style="4" customWidth="1"/>
    <col min="14" max="15" width="11.42578125" style="4" customWidth="1"/>
    <col min="16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6" s="2" customFormat="1" ht="19.5" x14ac:dyDescent="0.3">
      <c r="A1" s="327" t="str">
        <f>CoName</f>
        <v>Adobe Inc.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s="43"/>
      <c r="O1" s="43"/>
    </row>
    <row r="2" spans="1:16" s="2" customFormat="1" x14ac:dyDescent="0.25">
      <c r="A2" s="17" t="s">
        <v>10</v>
      </c>
      <c r="B2" s="220"/>
      <c r="C2" s="110">
        <v>44926</v>
      </c>
      <c r="D2" s="110">
        <v>45291</v>
      </c>
      <c r="E2" s="110">
        <v>45657</v>
      </c>
      <c r="F2" s="110">
        <v>46022</v>
      </c>
      <c r="G2" s="110">
        <v>46387</v>
      </c>
      <c r="H2" s="110">
        <v>46752</v>
      </c>
      <c r="I2" s="110">
        <v>47118</v>
      </c>
      <c r="J2" s="110">
        <v>47483</v>
      </c>
      <c r="K2" s="219">
        <f>2030</f>
        <v>2030</v>
      </c>
      <c r="L2" s="219">
        <f>K2+1</f>
        <v>2031</v>
      </c>
      <c r="M2" s="219">
        <f t="shared" ref="M2" si="0">L2+1</f>
        <v>2032</v>
      </c>
      <c r="N2" s="229"/>
      <c r="O2" s="229"/>
    </row>
    <row r="3" spans="1:16" s="2" customFormat="1" x14ac:dyDescent="0.25">
      <c r="A3" s="89"/>
      <c r="B3" s="11"/>
      <c r="C3" s="221"/>
      <c r="D3" s="221"/>
      <c r="E3" s="221"/>
      <c r="F3" s="221"/>
      <c r="G3" s="221"/>
      <c r="H3" s="221"/>
      <c r="I3" s="221"/>
      <c r="J3" s="221"/>
      <c r="K3" s="229"/>
      <c r="L3" s="229"/>
      <c r="M3" s="229"/>
      <c r="N3" s="229"/>
      <c r="O3" s="229"/>
    </row>
    <row r="4" spans="1:16" s="2" customFormat="1" x14ac:dyDescent="0.25">
      <c r="A4" s="11"/>
      <c r="B4" s="4" t="s">
        <v>24</v>
      </c>
      <c r="C4" s="32"/>
      <c r="D4" s="58"/>
      <c r="E4" s="62"/>
      <c r="F4" s="114">
        <f>Assumptions!F23</f>
        <v>3.5999999999999997E-2</v>
      </c>
      <c r="G4" s="114">
        <f>Assumptions!G23</f>
        <v>3.5999999999999997E-2</v>
      </c>
      <c r="H4" s="114">
        <f>Assumptions!H23</f>
        <v>3.5999999999999997E-2</v>
      </c>
      <c r="I4" s="114">
        <f>Assumptions!I23</f>
        <v>3.5999999999999997E-2</v>
      </c>
      <c r="J4" s="114">
        <f>Assumptions!J23</f>
        <v>3.5999999999999997E-2</v>
      </c>
      <c r="K4" s="114">
        <f>Assumptions!K23</f>
        <v>3.5999999999999997E-2</v>
      </c>
      <c r="L4" s="114">
        <f>Assumptions!L23</f>
        <v>3.5999999999999997E-2</v>
      </c>
      <c r="M4" s="114">
        <f>Assumptions!M23</f>
        <v>3.5999999999999997E-2</v>
      </c>
      <c r="N4" s="31"/>
      <c r="O4" s="31"/>
    </row>
    <row r="5" spans="1:16" s="2" customFormat="1" x14ac:dyDescent="0.25">
      <c r="A5" s="11"/>
      <c r="B5" s="4" t="s">
        <v>25</v>
      </c>
      <c r="C5" s="32"/>
      <c r="D5" s="59"/>
      <c r="E5" s="63"/>
      <c r="F5" s="114">
        <f>Assumptions!F24</f>
        <v>3.5999999999999997E-2</v>
      </c>
      <c r="G5" s="114">
        <f>Assumptions!G24</f>
        <v>3.5999999999999997E-2</v>
      </c>
      <c r="H5" s="114">
        <f>Assumptions!H24</f>
        <v>3.5999999999999997E-2</v>
      </c>
      <c r="I5" s="114">
        <f>Assumptions!I24</f>
        <v>3.5999999999999997E-2</v>
      </c>
      <c r="J5" s="114">
        <f>Assumptions!J24</f>
        <v>3.5999999999999997E-2</v>
      </c>
      <c r="K5" s="114">
        <f>Assumptions!K24</f>
        <v>3.5999999999999997E-2</v>
      </c>
      <c r="L5" s="114">
        <f>Assumptions!L24</f>
        <v>3.5999999999999997E-2</v>
      </c>
      <c r="M5" s="114">
        <f>Assumptions!M24</f>
        <v>3.5999999999999997E-2</v>
      </c>
      <c r="N5" s="31"/>
      <c r="O5" s="31"/>
    </row>
    <row r="6" spans="1:16" s="2" customFormat="1" x14ac:dyDescent="0.25">
      <c r="A6" s="11"/>
      <c r="B6" s="4" t="s">
        <v>26</v>
      </c>
      <c r="C6" s="32"/>
      <c r="D6" s="58"/>
      <c r="E6" s="62"/>
      <c r="F6" s="114">
        <f>Assumptions!F25</f>
        <v>5.0067907352347389E-2</v>
      </c>
      <c r="G6" s="114">
        <f>Assumptions!G25</f>
        <v>5.0067907352347389E-2</v>
      </c>
      <c r="H6" s="114">
        <f>Assumptions!H25</f>
        <v>5.0067907352347389E-2</v>
      </c>
      <c r="I6" s="114">
        <f>Assumptions!I25</f>
        <v>5.0067907352347389E-2</v>
      </c>
      <c r="J6" s="114">
        <f>Assumptions!J25</f>
        <v>5.0067907352347389E-2</v>
      </c>
      <c r="K6" s="114">
        <f>Assumptions!K25</f>
        <v>5.0067907352347389E-2</v>
      </c>
      <c r="L6" s="114">
        <f>Assumptions!L25</f>
        <v>5.0067907352347389E-2</v>
      </c>
      <c r="M6" s="114">
        <f>Assumptions!M25</f>
        <v>5.0067907352347389E-2</v>
      </c>
      <c r="N6" s="31"/>
      <c r="O6" s="31"/>
    </row>
    <row r="7" spans="1:16" s="2" customFormat="1" x14ac:dyDescent="0.25">
      <c r="A7" s="11"/>
      <c r="B7" s="4"/>
      <c r="C7" s="32"/>
      <c r="D7" s="32"/>
      <c r="E7" s="32"/>
      <c r="F7" s="112"/>
      <c r="G7" s="112"/>
      <c r="H7" s="112"/>
      <c r="I7" s="113"/>
      <c r="J7" s="113"/>
      <c r="K7" s="113"/>
      <c r="L7" s="113"/>
      <c r="M7" s="113"/>
      <c r="N7" s="230"/>
      <c r="O7" s="230"/>
    </row>
    <row r="8" spans="1:16" s="2" customFormat="1" x14ac:dyDescent="0.25">
      <c r="A8" s="11"/>
      <c r="B8" s="4" t="s">
        <v>27</v>
      </c>
      <c r="C8" s="32"/>
      <c r="D8" s="60"/>
      <c r="E8" s="64"/>
      <c r="F8" s="115">
        <f>Assumptions!F27</f>
        <v>0</v>
      </c>
      <c r="G8" s="115">
        <f>Assumptions!G27</f>
        <v>0</v>
      </c>
      <c r="H8" s="115">
        <f>Assumptions!H27</f>
        <v>0</v>
      </c>
      <c r="I8" s="115">
        <f>Assumptions!I27</f>
        <v>0</v>
      </c>
      <c r="J8" s="115">
        <f>Assumptions!J27</f>
        <v>0</v>
      </c>
      <c r="K8" s="115">
        <f>Assumptions!K27</f>
        <v>0</v>
      </c>
      <c r="L8" s="115">
        <f>Assumptions!L27</f>
        <v>0</v>
      </c>
      <c r="M8" s="115">
        <f>Assumptions!M27</f>
        <v>0</v>
      </c>
      <c r="N8" s="231"/>
      <c r="O8" s="231"/>
    </row>
    <row r="9" spans="1:16" s="2" customFormat="1" x14ac:dyDescent="0.25">
      <c r="A9" s="11"/>
      <c r="B9" s="4" t="s">
        <v>28</v>
      </c>
      <c r="C9" s="32"/>
      <c r="D9" s="60"/>
      <c r="E9" s="64"/>
      <c r="F9" s="115">
        <f>Assumptions!F28</f>
        <v>-1499</v>
      </c>
      <c r="G9" s="115">
        <f>Assumptions!G28</f>
        <v>0</v>
      </c>
      <c r="H9" s="115">
        <f>Assumptions!H28</f>
        <v>0</v>
      </c>
      <c r="I9" s="115">
        <f>Assumptions!I28</f>
        <v>0</v>
      </c>
      <c r="J9" s="115">
        <f>Assumptions!J28</f>
        <v>0</v>
      </c>
      <c r="K9" s="115">
        <f>Assumptions!K28</f>
        <v>0</v>
      </c>
      <c r="L9" s="115">
        <f>Assumptions!L28</f>
        <v>0</v>
      </c>
      <c r="M9" s="233">
        <f>Assumptions!M28</f>
        <v>0</v>
      </c>
      <c r="N9" s="231"/>
      <c r="O9" s="231"/>
    </row>
    <row r="10" spans="1:16" s="2" customFormat="1" ht="18.75" x14ac:dyDescent="0.3">
      <c r="A10" s="35"/>
      <c r="B10" s="3"/>
      <c r="C10" s="55"/>
      <c r="D10" s="55"/>
      <c r="E10" s="55"/>
      <c r="F10" s="111"/>
      <c r="G10" s="111"/>
      <c r="H10" s="111"/>
      <c r="I10" s="111"/>
      <c r="J10" s="111"/>
      <c r="K10" s="111"/>
      <c r="L10" s="111"/>
      <c r="M10" s="111"/>
      <c r="N10" s="55"/>
      <c r="O10" s="55"/>
    </row>
    <row r="11" spans="1:16" x14ac:dyDescent="0.25">
      <c r="A11" s="22" t="s">
        <v>29</v>
      </c>
      <c r="B11" s="56"/>
      <c r="C11" s="159">
        <f>C2</f>
        <v>44926</v>
      </c>
      <c r="D11" s="159">
        <f t="shared" ref="D11:J11" si="1">D2</f>
        <v>45291</v>
      </c>
      <c r="E11" s="159">
        <f t="shared" si="1"/>
        <v>45657</v>
      </c>
      <c r="F11" s="159">
        <f t="shared" si="1"/>
        <v>46022</v>
      </c>
      <c r="G11" s="159">
        <f t="shared" si="1"/>
        <v>46387</v>
      </c>
      <c r="H11" s="159">
        <f t="shared" si="1"/>
        <v>46752</v>
      </c>
      <c r="I11" s="159">
        <f t="shared" si="1"/>
        <v>47118</v>
      </c>
      <c r="J11" s="159">
        <f t="shared" si="1"/>
        <v>47483</v>
      </c>
      <c r="K11" s="203">
        <f t="shared" ref="K11:M11" si="2">K2</f>
        <v>2030</v>
      </c>
      <c r="L11" s="203">
        <f t="shared" si="2"/>
        <v>2031</v>
      </c>
      <c r="M11" s="203">
        <f t="shared" si="2"/>
        <v>2032</v>
      </c>
      <c r="N11" s="232"/>
      <c r="O11" s="232"/>
      <c r="P11" s="49"/>
    </row>
    <row r="12" spans="1:16" x14ac:dyDescent="0.25">
      <c r="B12" s="4" t="s">
        <v>30</v>
      </c>
      <c r="E12" s="29"/>
      <c r="F12" s="4" t="s">
        <v>218</v>
      </c>
      <c r="I12" s="4"/>
      <c r="J12" s="4"/>
      <c r="P12" s="49"/>
    </row>
    <row r="13" spans="1:16" x14ac:dyDescent="0.25">
      <c r="B13" s="4" t="s">
        <v>31</v>
      </c>
      <c r="E13" s="30"/>
      <c r="I13" s="4"/>
      <c r="J13" s="4"/>
      <c r="P13" s="49"/>
    </row>
    <row r="14" spans="1:16" x14ac:dyDescent="0.25">
      <c r="B14" s="4" t="s">
        <v>32</v>
      </c>
      <c r="E14" s="29"/>
      <c r="I14" s="4"/>
      <c r="J14" s="4"/>
      <c r="P14" s="49"/>
    </row>
    <row r="15" spans="1:16" x14ac:dyDescent="0.25">
      <c r="E15" s="29"/>
      <c r="I15" s="4"/>
      <c r="J15" s="4"/>
      <c r="P15" s="49"/>
    </row>
    <row r="16" spans="1:16" x14ac:dyDescent="0.25">
      <c r="A16" s="334" t="s">
        <v>33</v>
      </c>
      <c r="B16" s="21"/>
      <c r="C16" s="57">
        <f t="shared" ref="C16:M16" si="3">C11</f>
        <v>44926</v>
      </c>
      <c r="D16" s="57">
        <f t="shared" si="3"/>
        <v>45291</v>
      </c>
      <c r="E16" s="57">
        <f t="shared" si="3"/>
        <v>45657</v>
      </c>
      <c r="F16" s="57">
        <f t="shared" si="3"/>
        <v>46022</v>
      </c>
      <c r="G16" s="57">
        <f t="shared" si="3"/>
        <v>46387</v>
      </c>
      <c r="H16" s="57">
        <f t="shared" si="3"/>
        <v>46752</v>
      </c>
      <c r="I16" s="57">
        <f t="shared" si="3"/>
        <v>47118</v>
      </c>
      <c r="J16" s="57">
        <f t="shared" si="3"/>
        <v>47483</v>
      </c>
      <c r="K16" s="202">
        <f t="shared" si="3"/>
        <v>2030</v>
      </c>
      <c r="L16" s="202">
        <f t="shared" si="3"/>
        <v>2031</v>
      </c>
      <c r="M16" s="202">
        <f t="shared" si="3"/>
        <v>2032</v>
      </c>
      <c r="N16" s="229"/>
      <c r="O16" s="229"/>
      <c r="P16" s="49"/>
    </row>
    <row r="17" spans="1:16" x14ac:dyDescent="0.25">
      <c r="B17" s="4" t="s">
        <v>19</v>
      </c>
      <c r="E17" s="29"/>
      <c r="F17" s="4">
        <f>E20</f>
        <v>5628</v>
      </c>
      <c r="G17" s="4">
        <f t="shared" ref="G17:M17" si="4">F20</f>
        <v>4129</v>
      </c>
      <c r="H17" s="4">
        <f t="shared" si="4"/>
        <v>4129</v>
      </c>
      <c r="I17" s="4">
        <f t="shared" si="4"/>
        <v>4129</v>
      </c>
      <c r="J17" s="4">
        <f t="shared" si="4"/>
        <v>4129</v>
      </c>
      <c r="K17" s="4">
        <f t="shared" si="4"/>
        <v>4129</v>
      </c>
      <c r="L17" s="4">
        <f t="shared" si="4"/>
        <v>4129</v>
      </c>
      <c r="M17" s="4">
        <f t="shared" si="4"/>
        <v>4129</v>
      </c>
      <c r="P17" s="49"/>
    </row>
    <row r="18" spans="1:16" x14ac:dyDescent="0.25">
      <c r="B18" s="4" t="s">
        <v>34</v>
      </c>
      <c r="E18" s="29"/>
      <c r="F18" s="4">
        <f>F8</f>
        <v>0</v>
      </c>
      <c r="G18" s="4">
        <f t="shared" ref="G18:M18" si="5">G8</f>
        <v>0</v>
      </c>
      <c r="H18" s="4">
        <f t="shared" si="5"/>
        <v>0</v>
      </c>
      <c r="I18" s="4">
        <f t="shared" si="5"/>
        <v>0</v>
      </c>
      <c r="J18" s="4">
        <f t="shared" si="5"/>
        <v>0</v>
      </c>
      <c r="K18" s="4">
        <f t="shared" si="5"/>
        <v>0</v>
      </c>
      <c r="L18" s="4">
        <f t="shared" si="5"/>
        <v>0</v>
      </c>
      <c r="M18" s="4">
        <f t="shared" si="5"/>
        <v>0</v>
      </c>
      <c r="P18" s="49"/>
    </row>
    <row r="19" spans="1:16" x14ac:dyDescent="0.25">
      <c r="B19" s="4" t="s">
        <v>35</v>
      </c>
      <c r="E19" s="29"/>
      <c r="F19" s="4">
        <f>F9</f>
        <v>-1499</v>
      </c>
      <c r="G19" s="4">
        <f t="shared" ref="G19:M19" si="6">G9</f>
        <v>0</v>
      </c>
      <c r="H19" s="4">
        <f t="shared" si="6"/>
        <v>0</v>
      </c>
      <c r="I19" s="4">
        <f t="shared" si="6"/>
        <v>0</v>
      </c>
      <c r="J19" s="4">
        <f t="shared" si="6"/>
        <v>0</v>
      </c>
      <c r="K19" s="4">
        <f t="shared" si="6"/>
        <v>0</v>
      </c>
      <c r="L19" s="4">
        <f t="shared" si="6"/>
        <v>0</v>
      </c>
      <c r="M19" s="4">
        <f t="shared" si="6"/>
        <v>0</v>
      </c>
    </row>
    <row r="20" spans="1:16" x14ac:dyDescent="0.25">
      <c r="B20" s="4" t="s">
        <v>22</v>
      </c>
      <c r="C20" s="10"/>
      <c r="E20" s="29">
        <f>BalSheet!E27+BalSheet!E32</f>
        <v>5628</v>
      </c>
      <c r="F20" s="4">
        <f>SUM(F17:F19)</f>
        <v>4129</v>
      </c>
      <c r="G20" s="4">
        <f t="shared" ref="G20:M20" si="7">SUM(G17:G19)</f>
        <v>4129</v>
      </c>
      <c r="H20" s="4">
        <f t="shared" si="7"/>
        <v>4129</v>
      </c>
      <c r="I20" s="4">
        <f t="shared" si="7"/>
        <v>4129</v>
      </c>
      <c r="J20" s="4">
        <f t="shared" si="7"/>
        <v>4129</v>
      </c>
      <c r="K20" s="4">
        <f t="shared" si="7"/>
        <v>4129</v>
      </c>
      <c r="L20" s="4">
        <f t="shared" si="7"/>
        <v>4129</v>
      </c>
      <c r="M20" s="4">
        <f t="shared" si="7"/>
        <v>4129</v>
      </c>
    </row>
    <row r="21" spans="1:16" x14ac:dyDescent="0.25">
      <c r="B21" s="4" t="s">
        <v>31</v>
      </c>
      <c r="D21" s="50"/>
      <c r="E21" s="29"/>
      <c r="F21" s="8">
        <f>F5</f>
        <v>3.5999999999999997E-2</v>
      </c>
      <c r="G21" s="8">
        <f t="shared" ref="G21:M21" si="8">G5</f>
        <v>3.5999999999999997E-2</v>
      </c>
      <c r="H21" s="8">
        <f t="shared" si="8"/>
        <v>3.5999999999999997E-2</v>
      </c>
      <c r="I21" s="8">
        <f t="shared" si="8"/>
        <v>3.5999999999999997E-2</v>
      </c>
      <c r="J21" s="8">
        <f t="shared" si="8"/>
        <v>3.5999999999999997E-2</v>
      </c>
      <c r="K21" s="8">
        <f t="shared" si="8"/>
        <v>3.5999999999999997E-2</v>
      </c>
      <c r="L21" s="8">
        <f t="shared" si="8"/>
        <v>3.5999999999999997E-2</v>
      </c>
      <c r="M21" s="8">
        <f t="shared" si="8"/>
        <v>3.5999999999999997E-2</v>
      </c>
    </row>
    <row r="22" spans="1:16" x14ac:dyDescent="0.25">
      <c r="B22" s="4" t="s">
        <v>32</v>
      </c>
      <c r="E22" s="29"/>
      <c r="F22" s="4">
        <f>F20*F21</f>
        <v>148.64399999999998</v>
      </c>
      <c r="G22" s="4">
        <f t="shared" ref="G22:M22" si="9">G20*G21</f>
        <v>148.64399999999998</v>
      </c>
      <c r="H22" s="4">
        <f t="shared" si="9"/>
        <v>148.64399999999998</v>
      </c>
      <c r="I22" s="4">
        <f t="shared" si="9"/>
        <v>148.64399999999998</v>
      </c>
      <c r="J22" s="4">
        <f t="shared" si="9"/>
        <v>148.64399999999998</v>
      </c>
      <c r="K22" s="4">
        <f t="shared" si="9"/>
        <v>148.64399999999998</v>
      </c>
      <c r="L22" s="4">
        <f t="shared" si="9"/>
        <v>148.64399999999998</v>
      </c>
      <c r="M22" s="4">
        <f t="shared" si="9"/>
        <v>148.64399999999998</v>
      </c>
    </row>
    <row r="23" spans="1:16" x14ac:dyDescent="0.25">
      <c r="E23" s="29"/>
      <c r="I23" s="4"/>
      <c r="J23" s="4"/>
    </row>
    <row r="24" spans="1:16" x14ac:dyDescent="0.25">
      <c r="A24" s="22" t="s">
        <v>36</v>
      </c>
      <c r="B24" s="44"/>
      <c r="C24" s="57">
        <f>C16</f>
        <v>44926</v>
      </c>
      <c r="D24" s="57">
        <f t="shared" ref="D24:J24" si="10">D16</f>
        <v>45291</v>
      </c>
      <c r="E24" s="57">
        <f t="shared" si="10"/>
        <v>45657</v>
      </c>
      <c r="F24" s="57">
        <f t="shared" si="10"/>
        <v>46022</v>
      </c>
      <c r="G24" s="57">
        <f t="shared" si="10"/>
        <v>46387</v>
      </c>
      <c r="H24" s="57">
        <f t="shared" si="10"/>
        <v>46752</v>
      </c>
      <c r="I24" s="57">
        <f t="shared" si="10"/>
        <v>47118</v>
      </c>
      <c r="J24" s="57">
        <f t="shared" si="10"/>
        <v>47483</v>
      </c>
      <c r="K24" s="202">
        <f t="shared" ref="K24:M24" si="11">K16</f>
        <v>2030</v>
      </c>
      <c r="L24" s="202">
        <f t="shared" si="11"/>
        <v>2031</v>
      </c>
      <c r="M24" s="202">
        <f t="shared" si="11"/>
        <v>2032</v>
      </c>
      <c r="N24" s="229"/>
      <c r="O24" s="229"/>
    </row>
    <row r="25" spans="1:16" x14ac:dyDescent="0.25">
      <c r="A25" s="7"/>
      <c r="B25" s="4" t="s">
        <v>29</v>
      </c>
      <c r="E25" s="29"/>
      <c r="F25" s="4" t="str">
        <f>F12</f>
        <v>NO REVOLVER</v>
      </c>
      <c r="I25" s="4"/>
      <c r="J25" s="4"/>
    </row>
    <row r="26" spans="1:16" x14ac:dyDescent="0.25">
      <c r="A26" s="7"/>
      <c r="B26" s="4" t="s">
        <v>37</v>
      </c>
      <c r="E26" s="29"/>
      <c r="F26" s="4">
        <f>F20</f>
        <v>4129</v>
      </c>
      <c r="G26" s="4">
        <f t="shared" ref="G26:M26" si="12">G20</f>
        <v>4129</v>
      </c>
      <c r="H26" s="4">
        <f t="shared" si="12"/>
        <v>4129</v>
      </c>
      <c r="I26" s="4">
        <f t="shared" si="12"/>
        <v>4129</v>
      </c>
      <c r="J26" s="4">
        <f t="shared" si="12"/>
        <v>4129</v>
      </c>
      <c r="K26" s="4">
        <f t="shared" si="12"/>
        <v>4129</v>
      </c>
      <c r="L26" s="4">
        <f t="shared" si="12"/>
        <v>4129</v>
      </c>
      <c r="M26" s="4">
        <f t="shared" si="12"/>
        <v>4129</v>
      </c>
    </row>
    <row r="27" spans="1:16" x14ac:dyDescent="0.25">
      <c r="A27" s="7"/>
      <c r="B27" s="11" t="s">
        <v>38</v>
      </c>
      <c r="D27" s="11"/>
      <c r="E27" s="26"/>
      <c r="F27" s="11">
        <f>F22</f>
        <v>148.64399999999998</v>
      </c>
      <c r="G27" s="11">
        <f t="shared" ref="G27:M27" si="13">G22</f>
        <v>148.64399999999998</v>
      </c>
      <c r="H27" s="11">
        <f t="shared" si="13"/>
        <v>148.64399999999998</v>
      </c>
      <c r="I27" s="11">
        <f t="shared" si="13"/>
        <v>148.64399999999998</v>
      </c>
      <c r="J27" s="11">
        <f t="shared" si="13"/>
        <v>148.64399999999998</v>
      </c>
      <c r="K27" s="11">
        <f t="shared" si="13"/>
        <v>148.64399999999998</v>
      </c>
      <c r="L27" s="11">
        <f t="shared" si="13"/>
        <v>148.64399999999998</v>
      </c>
      <c r="M27" s="11">
        <f t="shared" si="13"/>
        <v>148.64399999999998</v>
      </c>
      <c r="N27" s="11"/>
      <c r="O27" s="11"/>
    </row>
    <row r="28" spans="1:16" x14ac:dyDescent="0.25">
      <c r="A28" s="7"/>
      <c r="B28" s="4" t="s">
        <v>39</v>
      </c>
      <c r="E28" s="29"/>
      <c r="I28" s="4"/>
      <c r="J28" s="4"/>
    </row>
    <row r="29" spans="1:16" x14ac:dyDescent="0.25">
      <c r="A29" s="7"/>
      <c r="E29" s="29"/>
      <c r="I29" s="4"/>
      <c r="J29" s="4"/>
    </row>
    <row r="30" spans="1:16" x14ac:dyDescent="0.25">
      <c r="A30" s="22" t="s">
        <v>40</v>
      </c>
      <c r="B30" s="44"/>
      <c r="C30" s="57">
        <f>C11</f>
        <v>44926</v>
      </c>
      <c r="D30" s="57">
        <f t="shared" ref="D30:J30" si="14">D11</f>
        <v>45291</v>
      </c>
      <c r="E30" s="57">
        <f t="shared" si="14"/>
        <v>45657</v>
      </c>
      <c r="F30" s="57">
        <f t="shared" si="14"/>
        <v>46022</v>
      </c>
      <c r="G30" s="57">
        <f t="shared" si="14"/>
        <v>46387</v>
      </c>
      <c r="H30" s="57">
        <f t="shared" si="14"/>
        <v>46752</v>
      </c>
      <c r="I30" s="57">
        <f t="shared" si="14"/>
        <v>47118</v>
      </c>
      <c r="J30" s="57">
        <f t="shared" si="14"/>
        <v>47483</v>
      </c>
      <c r="K30" s="202">
        <f t="shared" ref="K30:M30" si="15">K11</f>
        <v>2030</v>
      </c>
      <c r="L30" s="202">
        <f t="shared" si="15"/>
        <v>2031</v>
      </c>
      <c r="M30" s="202">
        <f t="shared" si="15"/>
        <v>2032</v>
      </c>
      <c r="N30" s="229"/>
      <c r="O30" s="229"/>
    </row>
    <row r="31" spans="1:16" x14ac:dyDescent="0.25">
      <c r="A31" s="7"/>
      <c r="B31" s="4" t="s">
        <v>165</v>
      </c>
      <c r="E31" s="29"/>
      <c r="F31" s="4">
        <f>BalSheet!F15</f>
        <v>9577.5459779069279</v>
      </c>
      <c r="G31" s="4">
        <f>BalSheet!G15</f>
        <v>14342.100839630164</v>
      </c>
      <c r="H31" s="4">
        <f>BalSheet!H15</f>
        <v>19703.570130742872</v>
      </c>
      <c r="I31" s="4">
        <f>BalSheet!I15</f>
        <v>27357.656916609423</v>
      </c>
      <c r="J31" s="4">
        <f>BalSheet!J15</f>
        <v>36701.155185218457</v>
      </c>
      <c r="K31" s="4">
        <f>BalSheet!K15</f>
        <v>46934.78889917233</v>
      </c>
      <c r="L31" s="4">
        <f>BalSheet!L15</f>
        <v>58165.585239024476</v>
      </c>
      <c r="M31" s="4">
        <f>BalSheet!M15</f>
        <v>70508.955878910318</v>
      </c>
    </row>
    <row r="32" spans="1:16" x14ac:dyDescent="0.25">
      <c r="B32" s="4" t="s">
        <v>31</v>
      </c>
      <c r="D32" s="50"/>
      <c r="E32" s="25"/>
      <c r="F32" s="5">
        <f>F6</f>
        <v>5.0067907352347389E-2</v>
      </c>
      <c r="G32" s="5">
        <f t="shared" ref="G32:M32" si="16">G6</f>
        <v>5.0067907352347389E-2</v>
      </c>
      <c r="H32" s="5">
        <f t="shared" si="16"/>
        <v>5.0067907352347389E-2</v>
      </c>
      <c r="I32" s="5">
        <f t="shared" si="16"/>
        <v>5.0067907352347389E-2</v>
      </c>
      <c r="J32" s="5">
        <f t="shared" si="16"/>
        <v>5.0067907352347389E-2</v>
      </c>
      <c r="K32" s="5">
        <f t="shared" si="16"/>
        <v>5.0067907352347389E-2</v>
      </c>
      <c r="L32" s="5">
        <f t="shared" si="16"/>
        <v>5.0067907352347389E-2</v>
      </c>
      <c r="M32" s="5">
        <f t="shared" si="16"/>
        <v>5.0067907352347389E-2</v>
      </c>
      <c r="N32" s="190"/>
      <c r="O32" s="190"/>
    </row>
    <row r="33" spans="2:13" x14ac:dyDescent="0.25">
      <c r="B33" s="4" t="s">
        <v>40</v>
      </c>
      <c r="E33" s="29"/>
      <c r="F33" s="4">
        <f>F31*F32</f>
        <v>479.52768468469145</v>
      </c>
      <c r="G33" s="4">
        <f t="shared" ref="G33:M33" si="17">G31*G32</f>
        <v>718.07897607662676</v>
      </c>
      <c r="H33" s="4">
        <f t="shared" si="17"/>
        <v>986.51652381651343</v>
      </c>
      <c r="I33" s="4">
        <f t="shared" si="17"/>
        <v>1369.7406318781063</v>
      </c>
      <c r="J33" s="4">
        <f t="shared" si="17"/>
        <v>1837.5500375376416</v>
      </c>
      <c r="K33" s="4">
        <f t="shared" si="17"/>
        <v>2349.926662205743</v>
      </c>
      <c r="L33" s="4">
        <f t="shared" si="17"/>
        <v>2912.2291328425422</v>
      </c>
      <c r="M33" s="4">
        <f t="shared" si="17"/>
        <v>3530.2358704560315</v>
      </c>
    </row>
    <row r="34" spans="2:13" x14ac:dyDescent="0.25">
      <c r="E34" s="29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>
    <pageSetUpPr autoPageBreaks="0" fitToPage="1"/>
  </sheetPr>
  <dimension ref="A1:O43"/>
  <sheetViews>
    <sheetView showGridLines="0" zoomScaleNormal="100" workbookViewId="0">
      <selection activeCell="F29" sqref="F29:M30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7" width="11.7109375" style="4" customWidth="1"/>
    <col min="8" max="8" width="11.7109375" style="6" customWidth="1"/>
    <col min="9" max="13" width="11.7109375" style="4" customWidth="1"/>
    <col min="14" max="15" width="12" style="4" customWidth="1"/>
    <col min="16" max="256" width="8.85546875" style="4"/>
    <col min="257" max="257" width="1.7109375" style="4" customWidth="1"/>
    <col min="258" max="258" width="40.7109375" style="4" customWidth="1"/>
    <col min="259" max="263" width="10.7109375" style="4" customWidth="1"/>
    <col min="264" max="264" width="11.42578125" style="4" customWidth="1"/>
    <col min="265" max="266" width="12" style="4" customWidth="1"/>
    <col min="267" max="268" width="8.85546875" style="4"/>
    <col min="269" max="269" width="10.7109375" style="4" bestFit="1" customWidth="1"/>
    <col min="270" max="512" width="8.85546875" style="4"/>
    <col min="513" max="513" width="1.7109375" style="4" customWidth="1"/>
    <col min="514" max="514" width="40.7109375" style="4" customWidth="1"/>
    <col min="515" max="519" width="10.7109375" style="4" customWidth="1"/>
    <col min="520" max="520" width="11.42578125" style="4" customWidth="1"/>
    <col min="521" max="522" width="12" style="4" customWidth="1"/>
    <col min="523" max="524" width="8.85546875" style="4"/>
    <col min="525" max="525" width="10.7109375" style="4" bestFit="1" customWidth="1"/>
    <col min="526" max="768" width="8.85546875" style="4"/>
    <col min="769" max="769" width="1.7109375" style="4" customWidth="1"/>
    <col min="770" max="770" width="40.7109375" style="4" customWidth="1"/>
    <col min="771" max="775" width="10.7109375" style="4" customWidth="1"/>
    <col min="776" max="776" width="11.42578125" style="4" customWidth="1"/>
    <col min="777" max="778" width="12" style="4" customWidth="1"/>
    <col min="779" max="780" width="8.85546875" style="4"/>
    <col min="781" max="781" width="10.7109375" style="4" bestFit="1" customWidth="1"/>
    <col min="782" max="1024" width="8.85546875" style="4"/>
    <col min="1025" max="1025" width="1.7109375" style="4" customWidth="1"/>
    <col min="1026" max="1026" width="40.7109375" style="4" customWidth="1"/>
    <col min="1027" max="1031" width="10.7109375" style="4" customWidth="1"/>
    <col min="1032" max="1032" width="11.42578125" style="4" customWidth="1"/>
    <col min="1033" max="1034" width="12" style="4" customWidth="1"/>
    <col min="1035" max="1036" width="8.85546875" style="4"/>
    <col min="1037" max="1037" width="10.7109375" style="4" bestFit="1" customWidth="1"/>
    <col min="1038" max="1280" width="8.85546875" style="4"/>
    <col min="1281" max="1281" width="1.7109375" style="4" customWidth="1"/>
    <col min="1282" max="1282" width="40.7109375" style="4" customWidth="1"/>
    <col min="1283" max="1287" width="10.7109375" style="4" customWidth="1"/>
    <col min="1288" max="1288" width="11.42578125" style="4" customWidth="1"/>
    <col min="1289" max="1290" width="12" style="4" customWidth="1"/>
    <col min="1291" max="1292" width="8.85546875" style="4"/>
    <col min="1293" max="1293" width="10.7109375" style="4" bestFit="1" customWidth="1"/>
    <col min="1294" max="1536" width="8.85546875" style="4"/>
    <col min="1537" max="1537" width="1.7109375" style="4" customWidth="1"/>
    <col min="1538" max="1538" width="40.7109375" style="4" customWidth="1"/>
    <col min="1539" max="1543" width="10.7109375" style="4" customWidth="1"/>
    <col min="1544" max="1544" width="11.42578125" style="4" customWidth="1"/>
    <col min="1545" max="1546" width="12" style="4" customWidth="1"/>
    <col min="1547" max="1548" width="8.85546875" style="4"/>
    <col min="1549" max="1549" width="10.7109375" style="4" bestFit="1" customWidth="1"/>
    <col min="1550" max="1792" width="8.85546875" style="4"/>
    <col min="1793" max="1793" width="1.7109375" style="4" customWidth="1"/>
    <col min="1794" max="1794" width="40.7109375" style="4" customWidth="1"/>
    <col min="1795" max="1799" width="10.7109375" style="4" customWidth="1"/>
    <col min="1800" max="1800" width="11.42578125" style="4" customWidth="1"/>
    <col min="1801" max="1802" width="12" style="4" customWidth="1"/>
    <col min="1803" max="1804" width="8.85546875" style="4"/>
    <col min="1805" max="1805" width="10.7109375" style="4" bestFit="1" customWidth="1"/>
    <col min="1806" max="2048" width="8.85546875" style="4"/>
    <col min="2049" max="2049" width="1.7109375" style="4" customWidth="1"/>
    <col min="2050" max="2050" width="40.7109375" style="4" customWidth="1"/>
    <col min="2051" max="2055" width="10.7109375" style="4" customWidth="1"/>
    <col min="2056" max="2056" width="11.42578125" style="4" customWidth="1"/>
    <col min="2057" max="2058" width="12" style="4" customWidth="1"/>
    <col min="2059" max="2060" width="8.85546875" style="4"/>
    <col min="2061" max="2061" width="10.7109375" style="4" bestFit="1" customWidth="1"/>
    <col min="2062" max="2304" width="8.85546875" style="4"/>
    <col min="2305" max="2305" width="1.7109375" style="4" customWidth="1"/>
    <col min="2306" max="2306" width="40.7109375" style="4" customWidth="1"/>
    <col min="2307" max="2311" width="10.7109375" style="4" customWidth="1"/>
    <col min="2312" max="2312" width="11.42578125" style="4" customWidth="1"/>
    <col min="2313" max="2314" width="12" style="4" customWidth="1"/>
    <col min="2315" max="2316" width="8.85546875" style="4"/>
    <col min="2317" max="2317" width="10.7109375" style="4" bestFit="1" customWidth="1"/>
    <col min="2318" max="2560" width="8.85546875" style="4"/>
    <col min="2561" max="2561" width="1.7109375" style="4" customWidth="1"/>
    <col min="2562" max="2562" width="40.7109375" style="4" customWidth="1"/>
    <col min="2563" max="2567" width="10.7109375" style="4" customWidth="1"/>
    <col min="2568" max="2568" width="11.42578125" style="4" customWidth="1"/>
    <col min="2569" max="2570" width="12" style="4" customWidth="1"/>
    <col min="2571" max="2572" width="8.85546875" style="4"/>
    <col min="2573" max="2573" width="10.7109375" style="4" bestFit="1" customWidth="1"/>
    <col min="2574" max="2816" width="8.85546875" style="4"/>
    <col min="2817" max="2817" width="1.7109375" style="4" customWidth="1"/>
    <col min="2818" max="2818" width="40.7109375" style="4" customWidth="1"/>
    <col min="2819" max="2823" width="10.7109375" style="4" customWidth="1"/>
    <col min="2824" max="2824" width="11.42578125" style="4" customWidth="1"/>
    <col min="2825" max="2826" width="12" style="4" customWidth="1"/>
    <col min="2827" max="2828" width="8.85546875" style="4"/>
    <col min="2829" max="2829" width="10.7109375" style="4" bestFit="1" customWidth="1"/>
    <col min="2830" max="3072" width="8.85546875" style="4"/>
    <col min="3073" max="3073" width="1.7109375" style="4" customWidth="1"/>
    <col min="3074" max="3074" width="40.7109375" style="4" customWidth="1"/>
    <col min="3075" max="3079" width="10.7109375" style="4" customWidth="1"/>
    <col min="3080" max="3080" width="11.42578125" style="4" customWidth="1"/>
    <col min="3081" max="3082" width="12" style="4" customWidth="1"/>
    <col min="3083" max="3084" width="8.85546875" style="4"/>
    <col min="3085" max="3085" width="10.7109375" style="4" bestFit="1" customWidth="1"/>
    <col min="3086" max="3328" width="8.85546875" style="4"/>
    <col min="3329" max="3329" width="1.7109375" style="4" customWidth="1"/>
    <col min="3330" max="3330" width="40.7109375" style="4" customWidth="1"/>
    <col min="3331" max="3335" width="10.7109375" style="4" customWidth="1"/>
    <col min="3336" max="3336" width="11.42578125" style="4" customWidth="1"/>
    <col min="3337" max="3338" width="12" style="4" customWidth="1"/>
    <col min="3339" max="3340" width="8.85546875" style="4"/>
    <col min="3341" max="3341" width="10.7109375" style="4" bestFit="1" customWidth="1"/>
    <col min="3342" max="3584" width="8.85546875" style="4"/>
    <col min="3585" max="3585" width="1.7109375" style="4" customWidth="1"/>
    <col min="3586" max="3586" width="40.7109375" style="4" customWidth="1"/>
    <col min="3587" max="3591" width="10.7109375" style="4" customWidth="1"/>
    <col min="3592" max="3592" width="11.42578125" style="4" customWidth="1"/>
    <col min="3593" max="3594" width="12" style="4" customWidth="1"/>
    <col min="3595" max="3596" width="8.85546875" style="4"/>
    <col min="3597" max="3597" width="10.7109375" style="4" bestFit="1" customWidth="1"/>
    <col min="3598" max="3840" width="8.85546875" style="4"/>
    <col min="3841" max="3841" width="1.7109375" style="4" customWidth="1"/>
    <col min="3842" max="3842" width="40.7109375" style="4" customWidth="1"/>
    <col min="3843" max="3847" width="10.7109375" style="4" customWidth="1"/>
    <col min="3848" max="3848" width="11.42578125" style="4" customWidth="1"/>
    <col min="3849" max="3850" width="12" style="4" customWidth="1"/>
    <col min="3851" max="3852" width="8.85546875" style="4"/>
    <col min="3853" max="3853" width="10.7109375" style="4" bestFit="1" customWidth="1"/>
    <col min="3854" max="4096" width="8.85546875" style="4"/>
    <col min="4097" max="4097" width="1.7109375" style="4" customWidth="1"/>
    <col min="4098" max="4098" width="40.7109375" style="4" customWidth="1"/>
    <col min="4099" max="4103" width="10.7109375" style="4" customWidth="1"/>
    <col min="4104" max="4104" width="11.42578125" style="4" customWidth="1"/>
    <col min="4105" max="4106" width="12" style="4" customWidth="1"/>
    <col min="4107" max="4108" width="8.85546875" style="4"/>
    <col min="4109" max="4109" width="10.7109375" style="4" bestFit="1" customWidth="1"/>
    <col min="4110" max="4352" width="8.85546875" style="4"/>
    <col min="4353" max="4353" width="1.7109375" style="4" customWidth="1"/>
    <col min="4354" max="4354" width="40.7109375" style="4" customWidth="1"/>
    <col min="4355" max="4359" width="10.7109375" style="4" customWidth="1"/>
    <col min="4360" max="4360" width="11.42578125" style="4" customWidth="1"/>
    <col min="4361" max="4362" width="12" style="4" customWidth="1"/>
    <col min="4363" max="4364" width="8.85546875" style="4"/>
    <col min="4365" max="4365" width="10.7109375" style="4" bestFit="1" customWidth="1"/>
    <col min="4366" max="4608" width="8.85546875" style="4"/>
    <col min="4609" max="4609" width="1.7109375" style="4" customWidth="1"/>
    <col min="4610" max="4610" width="40.7109375" style="4" customWidth="1"/>
    <col min="4611" max="4615" width="10.7109375" style="4" customWidth="1"/>
    <col min="4616" max="4616" width="11.42578125" style="4" customWidth="1"/>
    <col min="4617" max="4618" width="12" style="4" customWidth="1"/>
    <col min="4619" max="4620" width="8.85546875" style="4"/>
    <col min="4621" max="4621" width="10.7109375" style="4" bestFit="1" customWidth="1"/>
    <col min="4622" max="4864" width="8.85546875" style="4"/>
    <col min="4865" max="4865" width="1.7109375" style="4" customWidth="1"/>
    <col min="4866" max="4866" width="40.7109375" style="4" customWidth="1"/>
    <col min="4867" max="4871" width="10.7109375" style="4" customWidth="1"/>
    <col min="4872" max="4872" width="11.42578125" style="4" customWidth="1"/>
    <col min="4873" max="4874" width="12" style="4" customWidth="1"/>
    <col min="4875" max="4876" width="8.85546875" style="4"/>
    <col min="4877" max="4877" width="10.7109375" style="4" bestFit="1" customWidth="1"/>
    <col min="4878" max="5120" width="8.85546875" style="4"/>
    <col min="5121" max="5121" width="1.7109375" style="4" customWidth="1"/>
    <col min="5122" max="5122" width="40.7109375" style="4" customWidth="1"/>
    <col min="5123" max="5127" width="10.7109375" style="4" customWidth="1"/>
    <col min="5128" max="5128" width="11.42578125" style="4" customWidth="1"/>
    <col min="5129" max="5130" width="12" style="4" customWidth="1"/>
    <col min="5131" max="5132" width="8.85546875" style="4"/>
    <col min="5133" max="5133" width="10.7109375" style="4" bestFit="1" customWidth="1"/>
    <col min="5134" max="5376" width="8.85546875" style="4"/>
    <col min="5377" max="5377" width="1.7109375" style="4" customWidth="1"/>
    <col min="5378" max="5378" width="40.7109375" style="4" customWidth="1"/>
    <col min="5379" max="5383" width="10.7109375" style="4" customWidth="1"/>
    <col min="5384" max="5384" width="11.42578125" style="4" customWidth="1"/>
    <col min="5385" max="5386" width="12" style="4" customWidth="1"/>
    <col min="5387" max="5388" width="8.85546875" style="4"/>
    <col min="5389" max="5389" width="10.7109375" style="4" bestFit="1" customWidth="1"/>
    <col min="5390" max="5632" width="8.85546875" style="4"/>
    <col min="5633" max="5633" width="1.7109375" style="4" customWidth="1"/>
    <col min="5634" max="5634" width="40.7109375" style="4" customWidth="1"/>
    <col min="5635" max="5639" width="10.7109375" style="4" customWidth="1"/>
    <col min="5640" max="5640" width="11.42578125" style="4" customWidth="1"/>
    <col min="5641" max="5642" width="12" style="4" customWidth="1"/>
    <col min="5643" max="5644" width="8.85546875" style="4"/>
    <col min="5645" max="5645" width="10.7109375" style="4" bestFit="1" customWidth="1"/>
    <col min="5646" max="5888" width="8.85546875" style="4"/>
    <col min="5889" max="5889" width="1.7109375" style="4" customWidth="1"/>
    <col min="5890" max="5890" width="40.7109375" style="4" customWidth="1"/>
    <col min="5891" max="5895" width="10.7109375" style="4" customWidth="1"/>
    <col min="5896" max="5896" width="11.42578125" style="4" customWidth="1"/>
    <col min="5897" max="5898" width="12" style="4" customWidth="1"/>
    <col min="5899" max="5900" width="8.85546875" style="4"/>
    <col min="5901" max="5901" width="10.7109375" style="4" bestFit="1" customWidth="1"/>
    <col min="5902" max="6144" width="8.85546875" style="4"/>
    <col min="6145" max="6145" width="1.7109375" style="4" customWidth="1"/>
    <col min="6146" max="6146" width="40.7109375" style="4" customWidth="1"/>
    <col min="6147" max="6151" width="10.7109375" style="4" customWidth="1"/>
    <col min="6152" max="6152" width="11.42578125" style="4" customWidth="1"/>
    <col min="6153" max="6154" width="12" style="4" customWidth="1"/>
    <col min="6155" max="6156" width="8.85546875" style="4"/>
    <col min="6157" max="6157" width="10.7109375" style="4" bestFit="1" customWidth="1"/>
    <col min="6158" max="6400" width="8.85546875" style="4"/>
    <col min="6401" max="6401" width="1.7109375" style="4" customWidth="1"/>
    <col min="6402" max="6402" width="40.7109375" style="4" customWidth="1"/>
    <col min="6403" max="6407" width="10.7109375" style="4" customWidth="1"/>
    <col min="6408" max="6408" width="11.42578125" style="4" customWidth="1"/>
    <col min="6409" max="6410" width="12" style="4" customWidth="1"/>
    <col min="6411" max="6412" width="8.85546875" style="4"/>
    <col min="6413" max="6413" width="10.7109375" style="4" bestFit="1" customWidth="1"/>
    <col min="6414" max="6656" width="8.85546875" style="4"/>
    <col min="6657" max="6657" width="1.7109375" style="4" customWidth="1"/>
    <col min="6658" max="6658" width="40.7109375" style="4" customWidth="1"/>
    <col min="6659" max="6663" width="10.7109375" style="4" customWidth="1"/>
    <col min="6664" max="6664" width="11.42578125" style="4" customWidth="1"/>
    <col min="6665" max="6666" width="12" style="4" customWidth="1"/>
    <col min="6667" max="6668" width="8.85546875" style="4"/>
    <col min="6669" max="6669" width="10.7109375" style="4" bestFit="1" customWidth="1"/>
    <col min="6670" max="6912" width="8.85546875" style="4"/>
    <col min="6913" max="6913" width="1.7109375" style="4" customWidth="1"/>
    <col min="6914" max="6914" width="40.7109375" style="4" customWidth="1"/>
    <col min="6915" max="6919" width="10.7109375" style="4" customWidth="1"/>
    <col min="6920" max="6920" width="11.42578125" style="4" customWidth="1"/>
    <col min="6921" max="6922" width="12" style="4" customWidth="1"/>
    <col min="6923" max="6924" width="8.85546875" style="4"/>
    <col min="6925" max="6925" width="10.7109375" style="4" bestFit="1" customWidth="1"/>
    <col min="6926" max="7168" width="8.85546875" style="4"/>
    <col min="7169" max="7169" width="1.7109375" style="4" customWidth="1"/>
    <col min="7170" max="7170" width="40.7109375" style="4" customWidth="1"/>
    <col min="7171" max="7175" width="10.7109375" style="4" customWidth="1"/>
    <col min="7176" max="7176" width="11.42578125" style="4" customWidth="1"/>
    <col min="7177" max="7178" width="12" style="4" customWidth="1"/>
    <col min="7179" max="7180" width="8.85546875" style="4"/>
    <col min="7181" max="7181" width="10.7109375" style="4" bestFit="1" customWidth="1"/>
    <col min="7182" max="7424" width="8.85546875" style="4"/>
    <col min="7425" max="7425" width="1.7109375" style="4" customWidth="1"/>
    <col min="7426" max="7426" width="40.7109375" style="4" customWidth="1"/>
    <col min="7427" max="7431" width="10.7109375" style="4" customWidth="1"/>
    <col min="7432" max="7432" width="11.42578125" style="4" customWidth="1"/>
    <col min="7433" max="7434" width="12" style="4" customWidth="1"/>
    <col min="7435" max="7436" width="8.85546875" style="4"/>
    <col min="7437" max="7437" width="10.7109375" style="4" bestFit="1" customWidth="1"/>
    <col min="7438" max="7680" width="8.85546875" style="4"/>
    <col min="7681" max="7681" width="1.7109375" style="4" customWidth="1"/>
    <col min="7682" max="7682" width="40.7109375" style="4" customWidth="1"/>
    <col min="7683" max="7687" width="10.7109375" style="4" customWidth="1"/>
    <col min="7688" max="7688" width="11.42578125" style="4" customWidth="1"/>
    <col min="7689" max="7690" width="12" style="4" customWidth="1"/>
    <col min="7691" max="7692" width="8.85546875" style="4"/>
    <col min="7693" max="7693" width="10.7109375" style="4" bestFit="1" customWidth="1"/>
    <col min="7694" max="7936" width="8.85546875" style="4"/>
    <col min="7937" max="7937" width="1.7109375" style="4" customWidth="1"/>
    <col min="7938" max="7938" width="40.7109375" style="4" customWidth="1"/>
    <col min="7939" max="7943" width="10.7109375" style="4" customWidth="1"/>
    <col min="7944" max="7944" width="11.42578125" style="4" customWidth="1"/>
    <col min="7945" max="7946" width="12" style="4" customWidth="1"/>
    <col min="7947" max="7948" width="8.85546875" style="4"/>
    <col min="7949" max="7949" width="10.7109375" style="4" bestFit="1" customWidth="1"/>
    <col min="7950" max="8192" width="8.85546875" style="4"/>
    <col min="8193" max="8193" width="1.7109375" style="4" customWidth="1"/>
    <col min="8194" max="8194" width="40.7109375" style="4" customWidth="1"/>
    <col min="8195" max="8199" width="10.7109375" style="4" customWidth="1"/>
    <col min="8200" max="8200" width="11.42578125" style="4" customWidth="1"/>
    <col min="8201" max="8202" width="12" style="4" customWidth="1"/>
    <col min="8203" max="8204" width="8.85546875" style="4"/>
    <col min="8205" max="8205" width="10.7109375" style="4" bestFit="1" customWidth="1"/>
    <col min="8206" max="8448" width="8.85546875" style="4"/>
    <col min="8449" max="8449" width="1.7109375" style="4" customWidth="1"/>
    <col min="8450" max="8450" width="40.7109375" style="4" customWidth="1"/>
    <col min="8451" max="8455" width="10.7109375" style="4" customWidth="1"/>
    <col min="8456" max="8456" width="11.42578125" style="4" customWidth="1"/>
    <col min="8457" max="8458" width="12" style="4" customWidth="1"/>
    <col min="8459" max="8460" width="8.85546875" style="4"/>
    <col min="8461" max="8461" width="10.7109375" style="4" bestFit="1" customWidth="1"/>
    <col min="8462" max="8704" width="8.85546875" style="4"/>
    <col min="8705" max="8705" width="1.7109375" style="4" customWidth="1"/>
    <col min="8706" max="8706" width="40.7109375" style="4" customWidth="1"/>
    <col min="8707" max="8711" width="10.7109375" style="4" customWidth="1"/>
    <col min="8712" max="8712" width="11.42578125" style="4" customWidth="1"/>
    <col min="8713" max="8714" width="12" style="4" customWidth="1"/>
    <col min="8715" max="8716" width="8.85546875" style="4"/>
    <col min="8717" max="8717" width="10.7109375" style="4" bestFit="1" customWidth="1"/>
    <col min="8718" max="8960" width="8.85546875" style="4"/>
    <col min="8961" max="8961" width="1.7109375" style="4" customWidth="1"/>
    <col min="8962" max="8962" width="40.7109375" style="4" customWidth="1"/>
    <col min="8963" max="8967" width="10.7109375" style="4" customWidth="1"/>
    <col min="8968" max="8968" width="11.42578125" style="4" customWidth="1"/>
    <col min="8969" max="8970" width="12" style="4" customWidth="1"/>
    <col min="8971" max="8972" width="8.85546875" style="4"/>
    <col min="8973" max="8973" width="10.7109375" style="4" bestFit="1" customWidth="1"/>
    <col min="8974" max="9216" width="8.85546875" style="4"/>
    <col min="9217" max="9217" width="1.7109375" style="4" customWidth="1"/>
    <col min="9218" max="9218" width="40.7109375" style="4" customWidth="1"/>
    <col min="9219" max="9223" width="10.7109375" style="4" customWidth="1"/>
    <col min="9224" max="9224" width="11.42578125" style="4" customWidth="1"/>
    <col min="9225" max="9226" width="12" style="4" customWidth="1"/>
    <col min="9227" max="9228" width="8.85546875" style="4"/>
    <col min="9229" max="9229" width="10.7109375" style="4" bestFit="1" customWidth="1"/>
    <col min="9230" max="9472" width="8.85546875" style="4"/>
    <col min="9473" max="9473" width="1.7109375" style="4" customWidth="1"/>
    <col min="9474" max="9474" width="40.7109375" style="4" customWidth="1"/>
    <col min="9475" max="9479" width="10.7109375" style="4" customWidth="1"/>
    <col min="9480" max="9480" width="11.42578125" style="4" customWidth="1"/>
    <col min="9481" max="9482" width="12" style="4" customWidth="1"/>
    <col min="9483" max="9484" width="8.85546875" style="4"/>
    <col min="9485" max="9485" width="10.7109375" style="4" bestFit="1" customWidth="1"/>
    <col min="9486" max="9728" width="8.85546875" style="4"/>
    <col min="9729" max="9729" width="1.7109375" style="4" customWidth="1"/>
    <col min="9730" max="9730" width="40.7109375" style="4" customWidth="1"/>
    <col min="9731" max="9735" width="10.7109375" style="4" customWidth="1"/>
    <col min="9736" max="9736" width="11.42578125" style="4" customWidth="1"/>
    <col min="9737" max="9738" width="12" style="4" customWidth="1"/>
    <col min="9739" max="9740" width="8.85546875" style="4"/>
    <col min="9741" max="9741" width="10.7109375" style="4" bestFit="1" customWidth="1"/>
    <col min="9742" max="9984" width="8.85546875" style="4"/>
    <col min="9985" max="9985" width="1.7109375" style="4" customWidth="1"/>
    <col min="9986" max="9986" width="40.7109375" style="4" customWidth="1"/>
    <col min="9987" max="9991" width="10.7109375" style="4" customWidth="1"/>
    <col min="9992" max="9992" width="11.42578125" style="4" customWidth="1"/>
    <col min="9993" max="9994" width="12" style="4" customWidth="1"/>
    <col min="9995" max="9996" width="8.85546875" style="4"/>
    <col min="9997" max="9997" width="10.7109375" style="4" bestFit="1" customWidth="1"/>
    <col min="9998" max="10240" width="8.85546875" style="4"/>
    <col min="10241" max="10241" width="1.7109375" style="4" customWidth="1"/>
    <col min="10242" max="10242" width="40.7109375" style="4" customWidth="1"/>
    <col min="10243" max="10247" width="10.7109375" style="4" customWidth="1"/>
    <col min="10248" max="10248" width="11.42578125" style="4" customWidth="1"/>
    <col min="10249" max="10250" width="12" style="4" customWidth="1"/>
    <col min="10251" max="10252" width="8.85546875" style="4"/>
    <col min="10253" max="10253" width="10.7109375" style="4" bestFit="1" customWidth="1"/>
    <col min="10254" max="10496" width="8.85546875" style="4"/>
    <col min="10497" max="10497" width="1.7109375" style="4" customWidth="1"/>
    <col min="10498" max="10498" width="40.7109375" style="4" customWidth="1"/>
    <col min="10499" max="10503" width="10.7109375" style="4" customWidth="1"/>
    <col min="10504" max="10504" width="11.42578125" style="4" customWidth="1"/>
    <col min="10505" max="10506" width="12" style="4" customWidth="1"/>
    <col min="10507" max="10508" width="8.85546875" style="4"/>
    <col min="10509" max="10509" width="10.7109375" style="4" bestFit="1" customWidth="1"/>
    <col min="10510" max="10752" width="8.85546875" style="4"/>
    <col min="10753" max="10753" width="1.7109375" style="4" customWidth="1"/>
    <col min="10754" max="10754" width="40.7109375" style="4" customWidth="1"/>
    <col min="10755" max="10759" width="10.7109375" style="4" customWidth="1"/>
    <col min="10760" max="10760" width="11.42578125" style="4" customWidth="1"/>
    <col min="10761" max="10762" width="12" style="4" customWidth="1"/>
    <col min="10763" max="10764" width="8.85546875" style="4"/>
    <col min="10765" max="10765" width="10.7109375" style="4" bestFit="1" customWidth="1"/>
    <col min="10766" max="11008" width="8.85546875" style="4"/>
    <col min="11009" max="11009" width="1.7109375" style="4" customWidth="1"/>
    <col min="11010" max="11010" width="40.7109375" style="4" customWidth="1"/>
    <col min="11011" max="11015" width="10.7109375" style="4" customWidth="1"/>
    <col min="11016" max="11016" width="11.42578125" style="4" customWidth="1"/>
    <col min="11017" max="11018" width="12" style="4" customWidth="1"/>
    <col min="11019" max="11020" width="8.85546875" style="4"/>
    <col min="11021" max="11021" width="10.7109375" style="4" bestFit="1" customWidth="1"/>
    <col min="11022" max="11264" width="8.85546875" style="4"/>
    <col min="11265" max="11265" width="1.7109375" style="4" customWidth="1"/>
    <col min="11266" max="11266" width="40.7109375" style="4" customWidth="1"/>
    <col min="11267" max="11271" width="10.7109375" style="4" customWidth="1"/>
    <col min="11272" max="11272" width="11.42578125" style="4" customWidth="1"/>
    <col min="11273" max="11274" width="12" style="4" customWidth="1"/>
    <col min="11275" max="11276" width="8.85546875" style="4"/>
    <col min="11277" max="11277" width="10.7109375" style="4" bestFit="1" customWidth="1"/>
    <col min="11278" max="11520" width="8.85546875" style="4"/>
    <col min="11521" max="11521" width="1.7109375" style="4" customWidth="1"/>
    <col min="11522" max="11522" width="40.7109375" style="4" customWidth="1"/>
    <col min="11523" max="11527" width="10.7109375" style="4" customWidth="1"/>
    <col min="11528" max="11528" width="11.42578125" style="4" customWidth="1"/>
    <col min="11529" max="11530" width="12" style="4" customWidth="1"/>
    <col min="11531" max="11532" width="8.85546875" style="4"/>
    <col min="11533" max="11533" width="10.7109375" style="4" bestFit="1" customWidth="1"/>
    <col min="11534" max="11776" width="8.85546875" style="4"/>
    <col min="11777" max="11777" width="1.7109375" style="4" customWidth="1"/>
    <col min="11778" max="11778" width="40.7109375" style="4" customWidth="1"/>
    <col min="11779" max="11783" width="10.7109375" style="4" customWidth="1"/>
    <col min="11784" max="11784" width="11.42578125" style="4" customWidth="1"/>
    <col min="11785" max="11786" width="12" style="4" customWidth="1"/>
    <col min="11787" max="11788" width="8.85546875" style="4"/>
    <col min="11789" max="11789" width="10.7109375" style="4" bestFit="1" customWidth="1"/>
    <col min="11790" max="12032" width="8.85546875" style="4"/>
    <col min="12033" max="12033" width="1.7109375" style="4" customWidth="1"/>
    <col min="12034" max="12034" width="40.7109375" style="4" customWidth="1"/>
    <col min="12035" max="12039" width="10.7109375" style="4" customWidth="1"/>
    <col min="12040" max="12040" width="11.42578125" style="4" customWidth="1"/>
    <col min="12041" max="12042" width="12" style="4" customWidth="1"/>
    <col min="12043" max="12044" width="8.85546875" style="4"/>
    <col min="12045" max="12045" width="10.7109375" style="4" bestFit="1" customWidth="1"/>
    <col min="12046" max="12288" width="8.85546875" style="4"/>
    <col min="12289" max="12289" width="1.7109375" style="4" customWidth="1"/>
    <col min="12290" max="12290" width="40.7109375" style="4" customWidth="1"/>
    <col min="12291" max="12295" width="10.7109375" style="4" customWidth="1"/>
    <col min="12296" max="12296" width="11.42578125" style="4" customWidth="1"/>
    <col min="12297" max="12298" width="12" style="4" customWidth="1"/>
    <col min="12299" max="12300" width="8.85546875" style="4"/>
    <col min="12301" max="12301" width="10.7109375" style="4" bestFit="1" customWidth="1"/>
    <col min="12302" max="12544" width="8.85546875" style="4"/>
    <col min="12545" max="12545" width="1.7109375" style="4" customWidth="1"/>
    <col min="12546" max="12546" width="40.7109375" style="4" customWidth="1"/>
    <col min="12547" max="12551" width="10.7109375" style="4" customWidth="1"/>
    <col min="12552" max="12552" width="11.42578125" style="4" customWidth="1"/>
    <col min="12553" max="12554" width="12" style="4" customWidth="1"/>
    <col min="12555" max="12556" width="8.85546875" style="4"/>
    <col min="12557" max="12557" width="10.7109375" style="4" bestFit="1" customWidth="1"/>
    <col min="12558" max="12800" width="8.85546875" style="4"/>
    <col min="12801" max="12801" width="1.7109375" style="4" customWidth="1"/>
    <col min="12802" max="12802" width="40.7109375" style="4" customWidth="1"/>
    <col min="12803" max="12807" width="10.7109375" style="4" customWidth="1"/>
    <col min="12808" max="12808" width="11.42578125" style="4" customWidth="1"/>
    <col min="12809" max="12810" width="12" style="4" customWidth="1"/>
    <col min="12811" max="12812" width="8.85546875" style="4"/>
    <col min="12813" max="12813" width="10.7109375" style="4" bestFit="1" customWidth="1"/>
    <col min="12814" max="13056" width="8.85546875" style="4"/>
    <col min="13057" max="13057" width="1.7109375" style="4" customWidth="1"/>
    <col min="13058" max="13058" width="40.7109375" style="4" customWidth="1"/>
    <col min="13059" max="13063" width="10.7109375" style="4" customWidth="1"/>
    <col min="13064" max="13064" width="11.42578125" style="4" customWidth="1"/>
    <col min="13065" max="13066" width="12" style="4" customWidth="1"/>
    <col min="13067" max="13068" width="8.85546875" style="4"/>
    <col min="13069" max="13069" width="10.7109375" style="4" bestFit="1" customWidth="1"/>
    <col min="13070" max="13312" width="8.85546875" style="4"/>
    <col min="13313" max="13313" width="1.7109375" style="4" customWidth="1"/>
    <col min="13314" max="13314" width="40.7109375" style="4" customWidth="1"/>
    <col min="13315" max="13319" width="10.7109375" style="4" customWidth="1"/>
    <col min="13320" max="13320" width="11.42578125" style="4" customWidth="1"/>
    <col min="13321" max="13322" width="12" style="4" customWidth="1"/>
    <col min="13323" max="13324" width="8.85546875" style="4"/>
    <col min="13325" max="13325" width="10.7109375" style="4" bestFit="1" customWidth="1"/>
    <col min="13326" max="13568" width="8.85546875" style="4"/>
    <col min="13569" max="13569" width="1.7109375" style="4" customWidth="1"/>
    <col min="13570" max="13570" width="40.7109375" style="4" customWidth="1"/>
    <col min="13571" max="13575" width="10.7109375" style="4" customWidth="1"/>
    <col min="13576" max="13576" width="11.42578125" style="4" customWidth="1"/>
    <col min="13577" max="13578" width="12" style="4" customWidth="1"/>
    <col min="13579" max="13580" width="8.85546875" style="4"/>
    <col min="13581" max="13581" width="10.7109375" style="4" bestFit="1" customWidth="1"/>
    <col min="13582" max="13824" width="8.85546875" style="4"/>
    <col min="13825" max="13825" width="1.7109375" style="4" customWidth="1"/>
    <col min="13826" max="13826" width="40.7109375" style="4" customWidth="1"/>
    <col min="13827" max="13831" width="10.7109375" style="4" customWidth="1"/>
    <col min="13832" max="13832" width="11.42578125" style="4" customWidth="1"/>
    <col min="13833" max="13834" width="12" style="4" customWidth="1"/>
    <col min="13835" max="13836" width="8.85546875" style="4"/>
    <col min="13837" max="13837" width="10.7109375" style="4" bestFit="1" customWidth="1"/>
    <col min="13838" max="14080" width="8.85546875" style="4"/>
    <col min="14081" max="14081" width="1.7109375" style="4" customWidth="1"/>
    <col min="14082" max="14082" width="40.7109375" style="4" customWidth="1"/>
    <col min="14083" max="14087" width="10.7109375" style="4" customWidth="1"/>
    <col min="14088" max="14088" width="11.42578125" style="4" customWidth="1"/>
    <col min="14089" max="14090" width="12" style="4" customWidth="1"/>
    <col min="14091" max="14092" width="8.85546875" style="4"/>
    <col min="14093" max="14093" width="10.7109375" style="4" bestFit="1" customWidth="1"/>
    <col min="14094" max="14336" width="8.85546875" style="4"/>
    <col min="14337" max="14337" width="1.7109375" style="4" customWidth="1"/>
    <col min="14338" max="14338" width="40.7109375" style="4" customWidth="1"/>
    <col min="14339" max="14343" width="10.7109375" style="4" customWidth="1"/>
    <col min="14344" max="14344" width="11.42578125" style="4" customWidth="1"/>
    <col min="14345" max="14346" width="12" style="4" customWidth="1"/>
    <col min="14347" max="14348" width="8.85546875" style="4"/>
    <col min="14349" max="14349" width="10.7109375" style="4" bestFit="1" customWidth="1"/>
    <col min="14350" max="14592" width="8.85546875" style="4"/>
    <col min="14593" max="14593" width="1.7109375" style="4" customWidth="1"/>
    <col min="14594" max="14594" width="40.7109375" style="4" customWidth="1"/>
    <col min="14595" max="14599" width="10.7109375" style="4" customWidth="1"/>
    <col min="14600" max="14600" width="11.42578125" style="4" customWidth="1"/>
    <col min="14601" max="14602" width="12" style="4" customWidth="1"/>
    <col min="14603" max="14604" width="8.85546875" style="4"/>
    <col min="14605" max="14605" width="10.7109375" style="4" bestFit="1" customWidth="1"/>
    <col min="14606" max="14848" width="8.85546875" style="4"/>
    <col min="14849" max="14849" width="1.7109375" style="4" customWidth="1"/>
    <col min="14850" max="14850" width="40.7109375" style="4" customWidth="1"/>
    <col min="14851" max="14855" width="10.7109375" style="4" customWidth="1"/>
    <col min="14856" max="14856" width="11.42578125" style="4" customWidth="1"/>
    <col min="14857" max="14858" width="12" style="4" customWidth="1"/>
    <col min="14859" max="14860" width="8.85546875" style="4"/>
    <col min="14861" max="14861" width="10.7109375" style="4" bestFit="1" customWidth="1"/>
    <col min="14862" max="15104" width="8.85546875" style="4"/>
    <col min="15105" max="15105" width="1.7109375" style="4" customWidth="1"/>
    <col min="15106" max="15106" width="40.7109375" style="4" customWidth="1"/>
    <col min="15107" max="15111" width="10.7109375" style="4" customWidth="1"/>
    <col min="15112" max="15112" width="11.42578125" style="4" customWidth="1"/>
    <col min="15113" max="15114" width="12" style="4" customWidth="1"/>
    <col min="15115" max="15116" width="8.85546875" style="4"/>
    <col min="15117" max="15117" width="10.7109375" style="4" bestFit="1" customWidth="1"/>
    <col min="15118" max="15360" width="8.85546875" style="4"/>
    <col min="15361" max="15361" width="1.7109375" style="4" customWidth="1"/>
    <col min="15362" max="15362" width="40.7109375" style="4" customWidth="1"/>
    <col min="15363" max="15367" width="10.7109375" style="4" customWidth="1"/>
    <col min="15368" max="15368" width="11.42578125" style="4" customWidth="1"/>
    <col min="15369" max="15370" width="12" style="4" customWidth="1"/>
    <col min="15371" max="15372" width="8.85546875" style="4"/>
    <col min="15373" max="15373" width="10.7109375" style="4" bestFit="1" customWidth="1"/>
    <col min="15374" max="15616" width="8.85546875" style="4"/>
    <col min="15617" max="15617" width="1.7109375" style="4" customWidth="1"/>
    <col min="15618" max="15618" width="40.7109375" style="4" customWidth="1"/>
    <col min="15619" max="15623" width="10.7109375" style="4" customWidth="1"/>
    <col min="15624" max="15624" width="11.42578125" style="4" customWidth="1"/>
    <col min="15625" max="15626" width="12" style="4" customWidth="1"/>
    <col min="15627" max="15628" width="8.85546875" style="4"/>
    <col min="15629" max="15629" width="10.7109375" style="4" bestFit="1" customWidth="1"/>
    <col min="15630" max="15872" width="8.85546875" style="4"/>
    <col min="15873" max="15873" width="1.7109375" style="4" customWidth="1"/>
    <col min="15874" max="15874" width="40.7109375" style="4" customWidth="1"/>
    <col min="15875" max="15879" width="10.7109375" style="4" customWidth="1"/>
    <col min="15880" max="15880" width="11.42578125" style="4" customWidth="1"/>
    <col min="15881" max="15882" width="12" style="4" customWidth="1"/>
    <col min="15883" max="15884" width="8.85546875" style="4"/>
    <col min="15885" max="15885" width="10.7109375" style="4" bestFit="1" customWidth="1"/>
    <col min="15886" max="16128" width="8.85546875" style="4"/>
    <col min="16129" max="16129" width="1.7109375" style="4" customWidth="1"/>
    <col min="16130" max="16130" width="40.7109375" style="4" customWidth="1"/>
    <col min="16131" max="16135" width="10.7109375" style="4" customWidth="1"/>
    <col min="16136" max="16136" width="11.42578125" style="4" customWidth="1"/>
    <col min="16137" max="16138" width="12" style="4" customWidth="1"/>
    <col min="16139" max="16140" width="8.85546875" style="4"/>
    <col min="16141" max="16141" width="10.7109375" style="4" bestFit="1" customWidth="1"/>
    <col min="16142" max="16384" width="8.85546875" style="4"/>
  </cols>
  <sheetData>
    <row r="1" spans="1:15" s="2" customFormat="1" ht="19.5" x14ac:dyDescent="0.3">
      <c r="A1" s="327" t="str">
        <f>CoName</f>
        <v>Adobe Inc.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s="43"/>
      <c r="O1" s="43"/>
    </row>
    <row r="2" spans="1:15" x14ac:dyDescent="0.25">
      <c r="A2" s="17" t="s">
        <v>10</v>
      </c>
      <c r="B2" s="16"/>
      <c r="C2" s="326">
        <v>44926</v>
      </c>
      <c r="D2" s="326">
        <v>45291</v>
      </c>
      <c r="E2" s="326">
        <v>45657</v>
      </c>
      <c r="F2" s="110">
        <v>46022</v>
      </c>
      <c r="G2" s="110">
        <v>46387</v>
      </c>
      <c r="H2" s="110">
        <v>46752</v>
      </c>
      <c r="I2" s="110">
        <v>47118</v>
      </c>
      <c r="J2" s="110">
        <v>47483</v>
      </c>
      <c r="K2" s="219">
        <v>2030</v>
      </c>
      <c r="L2" s="219">
        <v>2031</v>
      </c>
      <c r="M2" s="219">
        <v>2032</v>
      </c>
    </row>
    <row r="3" spans="1:15" x14ac:dyDescent="0.25">
      <c r="A3" s="89"/>
      <c r="C3" s="102"/>
      <c r="D3" s="102"/>
      <c r="E3" s="102"/>
    </row>
    <row r="4" spans="1:15" x14ac:dyDescent="0.25">
      <c r="B4" s="32" t="s">
        <v>42</v>
      </c>
      <c r="C4" s="33"/>
      <c r="D4" s="33"/>
      <c r="E4" s="34"/>
      <c r="F4" s="194">
        <f>Assumptions!F10</f>
        <v>9.8189723320158073E-2</v>
      </c>
      <c r="G4" s="194">
        <f>Assumptions!G10</f>
        <v>9.8834735468566359E-2</v>
      </c>
      <c r="H4" s="194">
        <f>Assumptions!H10</f>
        <v>9.9456567453805267E-2</v>
      </c>
      <c r="I4" s="194">
        <f>Assumptions!I10</f>
        <v>0.10005577000876209</v>
      </c>
      <c r="J4" s="194">
        <f>Assumptions!J10</f>
        <v>0.10063290031409222</v>
      </c>
      <c r="K4" s="194">
        <f>Assumptions!K10</f>
        <v>0.10118852038383097</v>
      </c>
      <c r="L4" s="194">
        <f>Assumptions!L10</f>
        <v>0.10172319553839659</v>
      </c>
      <c r="M4" s="194">
        <f>Assumptions!M10</f>
        <v>0.10223749296158657</v>
      </c>
      <c r="N4" s="235"/>
      <c r="O4" s="235"/>
    </row>
    <row r="5" spans="1:15" x14ac:dyDescent="0.25">
      <c r="B5" s="32" t="s">
        <v>43</v>
      </c>
      <c r="C5" s="33"/>
      <c r="D5" s="33"/>
      <c r="E5" s="33"/>
      <c r="F5" s="194">
        <f>Assumptions!F11</f>
        <v>0.10964891885607998</v>
      </c>
      <c r="G5" s="194">
        <f>Assumptions!G11</f>
        <v>0.10964891885607998</v>
      </c>
      <c r="H5" s="194">
        <f>Assumptions!H11</f>
        <v>0.10964891885607998</v>
      </c>
      <c r="I5" s="194">
        <f>Assumptions!I11</f>
        <v>0.10964891885607998</v>
      </c>
      <c r="J5" s="194">
        <f>Assumptions!J11</f>
        <v>0.10964891885607998</v>
      </c>
      <c r="K5" s="194">
        <f>Assumptions!K11</f>
        <v>0.10964891885607998</v>
      </c>
      <c r="L5" s="194">
        <f>Assumptions!L11</f>
        <v>0.10964891885607998</v>
      </c>
      <c r="M5" s="194">
        <f>Assumptions!M11</f>
        <v>0.10964891885607998</v>
      </c>
      <c r="N5" s="235"/>
      <c r="O5" s="235"/>
    </row>
    <row r="6" spans="1:15" x14ac:dyDescent="0.25">
      <c r="B6" s="32" t="s">
        <v>174</v>
      </c>
      <c r="C6" s="213"/>
      <c r="D6" s="213"/>
      <c r="E6" s="34"/>
      <c r="F6" s="194">
        <f>Assumptions!F12</f>
        <v>0.183399209486166</v>
      </c>
      <c r="G6" s="194">
        <f>Assumptions!G12</f>
        <v>0.183399209486166</v>
      </c>
      <c r="H6" s="194">
        <f>Assumptions!H12</f>
        <v>0.183399209486166</v>
      </c>
      <c r="I6" s="194">
        <f>Assumptions!I12</f>
        <v>0.183399209486166</v>
      </c>
      <c r="J6" s="194">
        <f>Assumptions!J12</f>
        <v>0.183399209486166</v>
      </c>
      <c r="K6" s="194">
        <f>Assumptions!K12</f>
        <v>0.183399209486166</v>
      </c>
      <c r="L6" s="194">
        <f>Assumptions!L12</f>
        <v>0.183399209486166</v>
      </c>
      <c r="M6" s="194">
        <f>Assumptions!M12</f>
        <v>0.183399209486166</v>
      </c>
      <c r="N6" s="235"/>
      <c r="O6" s="235"/>
    </row>
    <row r="7" spans="1:15" x14ac:dyDescent="0.25">
      <c r="B7" s="32" t="s">
        <v>44</v>
      </c>
      <c r="C7" s="33"/>
      <c r="D7" s="33"/>
      <c r="E7" s="33"/>
      <c r="F7" s="194">
        <f>Assumptions!F13</f>
        <v>0.39348988607300628</v>
      </c>
      <c r="G7" s="194">
        <f>Assumptions!G13</f>
        <v>0.39348988607300628</v>
      </c>
      <c r="H7" s="194">
        <f>Assumptions!H13</f>
        <v>0.39348988607300628</v>
      </c>
      <c r="I7" s="194">
        <f>Assumptions!I13</f>
        <v>0.39348988607300628</v>
      </c>
      <c r="J7" s="194">
        <f>Assumptions!J13</f>
        <v>0.39348988607300628</v>
      </c>
      <c r="K7" s="194">
        <f>Assumptions!K13</f>
        <v>0.39348988607300628</v>
      </c>
      <c r="L7" s="194">
        <f>Assumptions!L13</f>
        <v>0.39348988607300628</v>
      </c>
      <c r="M7" s="194">
        <f>Assumptions!M13</f>
        <v>0.39348988607300628</v>
      </c>
      <c r="N7" s="235"/>
      <c r="O7" s="235"/>
    </row>
    <row r="8" spans="1:15" x14ac:dyDescent="0.25">
      <c r="A8" s="89"/>
      <c r="B8" s="4" t="s">
        <v>45</v>
      </c>
      <c r="C8" s="345">
        <f t="shared" ref="C8:D8" si="0">C23</f>
        <v>169</v>
      </c>
      <c r="D8" s="345">
        <f t="shared" si="0"/>
        <v>168</v>
      </c>
      <c r="E8" s="32">
        <f>E23</f>
        <v>169</v>
      </c>
      <c r="F8" s="195">
        <f>Assumptions!F14</f>
        <v>169</v>
      </c>
      <c r="G8" s="195">
        <f>Assumptions!G14</f>
        <v>169</v>
      </c>
      <c r="H8" s="195">
        <f>Assumptions!H14</f>
        <v>169</v>
      </c>
      <c r="I8" s="195">
        <f>Assumptions!I14</f>
        <v>169</v>
      </c>
      <c r="J8" s="195">
        <f>Assumptions!J14</f>
        <v>169</v>
      </c>
      <c r="K8" s="195">
        <f>Assumptions!K14</f>
        <v>169</v>
      </c>
      <c r="L8" s="195">
        <f>Assumptions!L14</f>
        <v>169</v>
      </c>
      <c r="M8" s="195">
        <f>Assumptions!M14</f>
        <v>169</v>
      </c>
      <c r="N8" s="236"/>
      <c r="O8" s="236"/>
    </row>
    <row r="9" spans="1:15" x14ac:dyDescent="0.25">
      <c r="A9" s="89"/>
      <c r="B9" s="4" t="s">
        <v>46</v>
      </c>
      <c r="C9" s="32"/>
      <c r="D9" s="32"/>
      <c r="E9" s="32"/>
      <c r="F9" s="196">
        <f>Assumptions!F15</f>
        <v>0</v>
      </c>
      <c r="G9" s="196">
        <f>Assumptions!G15</f>
        <v>0</v>
      </c>
      <c r="H9" s="196">
        <f>Assumptions!H15</f>
        <v>0</v>
      </c>
      <c r="I9" s="196">
        <f>Assumptions!I15</f>
        <v>0</v>
      </c>
      <c r="J9" s="196">
        <f>Assumptions!J15</f>
        <v>0</v>
      </c>
      <c r="K9" s="196">
        <f>Assumptions!K15</f>
        <v>0</v>
      </c>
      <c r="L9" s="196">
        <f>Assumptions!L15</f>
        <v>0</v>
      </c>
      <c r="M9" s="196">
        <f>Assumptions!M15</f>
        <v>0</v>
      </c>
      <c r="N9" s="237"/>
      <c r="O9" s="237"/>
    </row>
    <row r="10" spans="1:15" x14ac:dyDescent="0.25">
      <c r="B10" s="4" t="s">
        <v>142</v>
      </c>
      <c r="F10" s="196">
        <f>Assumptions!F16</f>
        <v>0</v>
      </c>
      <c r="G10" s="196">
        <f>Assumptions!G16</f>
        <v>0</v>
      </c>
      <c r="H10" s="196">
        <f>Assumptions!H16</f>
        <v>0</v>
      </c>
      <c r="I10" s="196">
        <f>Assumptions!I16</f>
        <v>0</v>
      </c>
      <c r="J10" s="196">
        <f>Assumptions!J16</f>
        <v>0</v>
      </c>
      <c r="K10" s="196">
        <f>Assumptions!K16</f>
        <v>0</v>
      </c>
      <c r="L10" s="196">
        <f>Assumptions!L16</f>
        <v>0</v>
      </c>
      <c r="M10" s="196">
        <f>Assumptions!M16</f>
        <v>0</v>
      </c>
      <c r="N10" s="237"/>
      <c r="O10" s="237"/>
    </row>
    <row r="11" spans="1:15" x14ac:dyDescent="0.25">
      <c r="B11" s="32" t="s">
        <v>47</v>
      </c>
      <c r="C11" s="45"/>
      <c r="D11" s="45"/>
      <c r="E11" s="45"/>
      <c r="F11" s="194">
        <f>Assumptions!F17</f>
        <v>0.19</v>
      </c>
      <c r="G11" s="194">
        <f>Assumptions!G17</f>
        <v>0.19</v>
      </c>
      <c r="H11" s="194">
        <f>Assumptions!H17</f>
        <v>0.19</v>
      </c>
      <c r="I11" s="194">
        <f>Assumptions!I17</f>
        <v>0.19</v>
      </c>
      <c r="J11" s="194">
        <f>Assumptions!J17</f>
        <v>0.19</v>
      </c>
      <c r="K11" s="194">
        <f>Assumptions!K17</f>
        <v>0.19</v>
      </c>
      <c r="L11" s="194">
        <f>Assumptions!L17</f>
        <v>0.19</v>
      </c>
      <c r="M11" s="194">
        <f>Assumptions!M17</f>
        <v>0.19</v>
      </c>
      <c r="N11" s="235"/>
      <c r="O11" s="235"/>
    </row>
    <row r="12" spans="1:15" x14ac:dyDescent="0.25">
      <c r="B12" s="4" t="s">
        <v>48</v>
      </c>
      <c r="C12" s="32"/>
      <c r="D12" s="32"/>
      <c r="E12" s="41"/>
      <c r="F12" s="196">
        <f>Assumptions!F18</f>
        <v>447</v>
      </c>
      <c r="G12" s="196">
        <f>Assumptions!G18</f>
        <v>447</v>
      </c>
      <c r="H12" s="196">
        <f>Assumptions!H18</f>
        <v>447</v>
      </c>
      <c r="I12" s="196">
        <f>Assumptions!I18</f>
        <v>447</v>
      </c>
      <c r="J12" s="196">
        <f>Assumptions!J18</f>
        <v>447</v>
      </c>
      <c r="K12" s="196">
        <f>Assumptions!K18</f>
        <v>447</v>
      </c>
      <c r="L12" s="196">
        <f>Assumptions!L18</f>
        <v>447</v>
      </c>
      <c r="M12" s="196">
        <f>Assumptions!M18</f>
        <v>447</v>
      </c>
      <c r="N12" s="237"/>
      <c r="O12" s="237"/>
    </row>
    <row r="13" spans="1:15" x14ac:dyDescent="0.25">
      <c r="B13" s="4" t="s">
        <v>49</v>
      </c>
      <c r="C13" s="32"/>
      <c r="D13" s="32"/>
      <c r="E13" s="41"/>
      <c r="F13" s="196">
        <f>Assumptions!F19</f>
        <v>450</v>
      </c>
      <c r="G13" s="196">
        <f>Assumptions!G19</f>
        <v>450</v>
      </c>
      <c r="H13" s="196">
        <f>Assumptions!H19</f>
        <v>450</v>
      </c>
      <c r="I13" s="196">
        <f>Assumptions!I19</f>
        <v>450</v>
      </c>
      <c r="J13" s="196">
        <f>Assumptions!J19</f>
        <v>450</v>
      </c>
      <c r="K13" s="196">
        <f>Assumptions!K19</f>
        <v>450</v>
      </c>
      <c r="L13" s="196">
        <f>Assumptions!L19</f>
        <v>450</v>
      </c>
      <c r="M13" s="196">
        <f>Assumptions!M19</f>
        <v>450</v>
      </c>
      <c r="N13" s="237"/>
      <c r="O13" s="237"/>
    </row>
    <row r="14" spans="1:15" x14ac:dyDescent="0.2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</row>
    <row r="15" spans="1:15" ht="14.85" customHeight="1" x14ac:dyDescent="0.25">
      <c r="A15" s="197" t="s">
        <v>41</v>
      </c>
      <c r="B15" s="198"/>
      <c r="C15" s="159">
        <f>C37</f>
        <v>44926</v>
      </c>
      <c r="D15" s="159">
        <f t="shared" ref="D15:J15" si="1">D37</f>
        <v>45291</v>
      </c>
      <c r="E15" s="159">
        <f t="shared" si="1"/>
        <v>45657</v>
      </c>
      <c r="F15" s="159">
        <f t="shared" si="1"/>
        <v>46022</v>
      </c>
      <c r="G15" s="159">
        <f t="shared" ref="G15:M15" si="2">G37</f>
        <v>46022</v>
      </c>
      <c r="H15" s="159">
        <f t="shared" si="2"/>
        <v>46022</v>
      </c>
      <c r="I15" s="159">
        <f t="shared" si="2"/>
        <v>46022</v>
      </c>
      <c r="J15" s="159">
        <f t="shared" si="2"/>
        <v>46022</v>
      </c>
      <c r="K15" s="159">
        <f t="shared" si="2"/>
        <v>46022</v>
      </c>
      <c r="L15" s="159">
        <f t="shared" si="2"/>
        <v>46022</v>
      </c>
      <c r="M15" s="159">
        <f t="shared" si="2"/>
        <v>46022</v>
      </c>
      <c r="N15" s="232"/>
      <c r="O15" s="232"/>
    </row>
    <row r="16" spans="1:15" x14ac:dyDescent="0.25">
      <c r="B16" s="4" t="s">
        <v>50</v>
      </c>
      <c r="C16" s="100">
        <v>17606</v>
      </c>
      <c r="D16" s="130">
        <v>19409</v>
      </c>
      <c r="E16" s="24">
        <v>21505</v>
      </c>
      <c r="F16" s="4">
        <f>E16*(1+F4)</f>
        <v>23616.57</v>
      </c>
      <c r="G16" s="4">
        <f t="shared" ref="G16:M16" si="3">F16*(1+G4)</f>
        <v>25950.707448624878</v>
      </c>
      <c r="H16" s="4">
        <f t="shared" si="3"/>
        <v>28531.675734463006</v>
      </c>
      <c r="I16" s="4">
        <f t="shared" si="3"/>
        <v>31386.434519715014</v>
      </c>
      <c r="J16" s="4">
        <f t="shared" si="3"/>
        <v>34544.942455952281</v>
      </c>
      <c r="K16" s="4">
        <f t="shared" si="3"/>
        <v>38040.494069814675</v>
      </c>
      <c r="L16" s="4">
        <f t="shared" si="3"/>
        <v>41910.094686455646</v>
      </c>
      <c r="M16" s="4">
        <f t="shared" si="3"/>
        <v>46194.877696981581</v>
      </c>
    </row>
    <row r="17" spans="1:15" x14ac:dyDescent="0.25">
      <c r="B17" s="4" t="s">
        <v>154</v>
      </c>
      <c r="C17" s="130">
        <v>2165</v>
      </c>
      <c r="D17" s="130">
        <v>2354</v>
      </c>
      <c r="E17" s="24">
        <v>2358</v>
      </c>
      <c r="F17" s="192">
        <f>F16*F5</f>
        <v>2589.5313675889329</v>
      </c>
      <c r="G17" s="192">
        <f t="shared" ref="G17:M17" si="4">G16*G5</f>
        <v>2845.4670152921399</v>
      </c>
      <c r="H17" s="192">
        <f t="shared" si="4"/>
        <v>3128.4673974361203</v>
      </c>
      <c r="I17" s="192">
        <f t="shared" si="4"/>
        <v>3441.4886118338991</v>
      </c>
      <c r="J17" s="192">
        <f t="shared" si="4"/>
        <v>3787.815592240664</v>
      </c>
      <c r="K17" s="192">
        <f t="shared" si="4"/>
        <v>4171.0990475063008</v>
      </c>
      <c r="L17" s="192">
        <f t="shared" si="4"/>
        <v>4595.3965715258037</v>
      </c>
      <c r="M17" s="192">
        <f t="shared" si="4"/>
        <v>5065.2183961628725</v>
      </c>
      <c r="N17" s="234"/>
      <c r="O17" s="234"/>
    </row>
    <row r="18" spans="1:15" x14ac:dyDescent="0.25">
      <c r="B18" s="4" t="s">
        <v>173</v>
      </c>
      <c r="C18" s="130">
        <v>2987</v>
      </c>
      <c r="D18" s="130">
        <v>2373</v>
      </c>
      <c r="E18" s="24">
        <v>3944</v>
      </c>
      <c r="F18" s="192">
        <f>F16*F6</f>
        <v>4331.260268774703</v>
      </c>
      <c r="G18" s="192">
        <f t="shared" ref="G18:M18" si="5">G16*G6</f>
        <v>4759.3392316845629</v>
      </c>
      <c r="H18" s="192">
        <f t="shared" si="5"/>
        <v>5232.68677501614</v>
      </c>
      <c r="I18" s="192">
        <f t="shared" si="5"/>
        <v>5756.2472795050462</v>
      </c>
      <c r="J18" s="192">
        <f t="shared" si="5"/>
        <v>6335.515138166742</v>
      </c>
      <c r="K18" s="192">
        <f t="shared" si="5"/>
        <v>6976.5965408671973</v>
      </c>
      <c r="L18" s="192">
        <f t="shared" si="5"/>
        <v>7686.2782349863319</v>
      </c>
      <c r="M18" s="192">
        <f t="shared" si="5"/>
        <v>8472.1040519365433</v>
      </c>
      <c r="N18" s="234"/>
      <c r="O18" s="234"/>
    </row>
    <row r="19" spans="1:15" x14ac:dyDescent="0.25">
      <c r="B19" s="4" t="s">
        <v>51</v>
      </c>
      <c r="C19" s="130">
        <f>9343-C18</f>
        <v>6356</v>
      </c>
      <c r="D19" s="130">
        <f>10405-D18</f>
        <v>8032</v>
      </c>
      <c r="E19" s="24">
        <f>12406-E18</f>
        <v>8462</v>
      </c>
      <c r="F19" s="192">
        <f>F7*F16</f>
        <v>9292.8814387351777</v>
      </c>
      <c r="G19" s="192">
        <f t="shared" ref="G19:M19" si="6">G7*G16</f>
        <v>10211.340917473319</v>
      </c>
      <c r="H19" s="192">
        <f t="shared" si="6"/>
        <v>11226.925834225805</v>
      </c>
      <c r="I19" s="192">
        <f t="shared" si="6"/>
        <v>12350.244543400533</v>
      </c>
      <c r="J19" s="192">
        <f t="shared" si="6"/>
        <v>13593.085471391221</v>
      </c>
      <c r="K19" s="192">
        <f t="shared" si="6"/>
        <v>14968.549677692246</v>
      </c>
      <c r="L19" s="192">
        <f t="shared" si="6"/>
        <v>16491.198383482337</v>
      </c>
      <c r="M19" s="192">
        <f t="shared" si="6"/>
        <v>18177.21716214174</v>
      </c>
      <c r="N19" s="234"/>
      <c r="O19" s="234"/>
    </row>
    <row r="20" spans="1:15" s="11" customFormat="1" x14ac:dyDescent="0.25">
      <c r="A20" s="11" t="s">
        <v>122</v>
      </c>
      <c r="B20" s="18" t="s">
        <v>54</v>
      </c>
      <c r="C20" s="19">
        <f>C16-SUM(C17:C19)</f>
        <v>6098</v>
      </c>
      <c r="D20" s="19">
        <f t="shared" ref="D20:F20" si="7">D16-SUM(D17:D19)</f>
        <v>6650</v>
      </c>
      <c r="E20" s="19">
        <f t="shared" si="7"/>
        <v>6741</v>
      </c>
      <c r="F20" s="19">
        <f t="shared" si="7"/>
        <v>7402.8969249011861</v>
      </c>
      <c r="G20" s="19">
        <f t="shared" ref="G20:M20" si="8">G16-SUM(G17:G19)</f>
        <v>8134.5602841748587</v>
      </c>
      <c r="H20" s="19">
        <f t="shared" si="8"/>
        <v>8943.5957277849411</v>
      </c>
      <c r="I20" s="19">
        <f t="shared" si="8"/>
        <v>9838.4540849755358</v>
      </c>
      <c r="J20" s="19">
        <f t="shared" si="8"/>
        <v>10828.526254153654</v>
      </c>
      <c r="K20" s="19">
        <f t="shared" si="8"/>
        <v>11924.248803748931</v>
      </c>
      <c r="L20" s="19">
        <f t="shared" si="8"/>
        <v>13137.221496461174</v>
      </c>
      <c r="M20" s="19">
        <f t="shared" si="8"/>
        <v>14480.338086740427</v>
      </c>
    </row>
    <row r="21" spans="1:15" s="11" customFormat="1" x14ac:dyDescent="0.25">
      <c r="E21" s="37"/>
    </row>
    <row r="22" spans="1:15" s="11" customFormat="1" x14ac:dyDescent="0.25">
      <c r="B22" s="4" t="s">
        <v>15</v>
      </c>
      <c r="C22" s="131">
        <f>856-C23</f>
        <v>687</v>
      </c>
      <c r="D22" s="131">
        <f>872-D23</f>
        <v>704</v>
      </c>
      <c r="E22" s="27">
        <f>857-E23</f>
        <v>688</v>
      </c>
      <c r="F22" s="4">
        <f>Calcs!F8</f>
        <v>638.73366834170861</v>
      </c>
      <c r="G22" s="4">
        <f>Calcs!G8</f>
        <v>546.7812413347516</v>
      </c>
      <c r="H22" s="4">
        <f>Calcs!H8</f>
        <v>490.42081772519907</v>
      </c>
      <c r="I22" s="4">
        <f>Calcs!I8</f>
        <v>460.3603774170407</v>
      </c>
      <c r="J22" s="4">
        <f>Calcs!J8</f>
        <v>450.09010292343658</v>
      </c>
      <c r="K22" s="4">
        <f>Calcs!K8</f>
        <v>455.09249858818532</v>
      </c>
      <c r="L22" s="4">
        <f>Calcs!L8</f>
        <v>472.28139352824007</v>
      </c>
      <c r="M22" s="4">
        <f>Calcs!M8</f>
        <v>499.60403354227691</v>
      </c>
      <c r="N22" s="4"/>
      <c r="O22" s="4"/>
    </row>
    <row r="23" spans="1:15" s="11" customFormat="1" x14ac:dyDescent="0.25">
      <c r="B23" s="4" t="s">
        <v>53</v>
      </c>
      <c r="C23" s="100">
        <v>169</v>
      </c>
      <c r="D23" s="100">
        <v>168</v>
      </c>
      <c r="E23" s="132">
        <v>169</v>
      </c>
      <c r="F23" s="4">
        <f>F8</f>
        <v>169</v>
      </c>
      <c r="G23" s="4">
        <f t="shared" ref="G23:M23" si="9">G8</f>
        <v>169</v>
      </c>
      <c r="H23" s="4">
        <f t="shared" si="9"/>
        <v>169</v>
      </c>
      <c r="I23" s="4">
        <f t="shared" si="9"/>
        <v>169</v>
      </c>
      <c r="J23" s="4">
        <f t="shared" si="9"/>
        <v>169</v>
      </c>
      <c r="K23" s="4">
        <f t="shared" si="9"/>
        <v>169</v>
      </c>
      <c r="L23" s="4">
        <f t="shared" si="9"/>
        <v>169</v>
      </c>
      <c r="M23" s="4">
        <f t="shared" si="9"/>
        <v>169</v>
      </c>
      <c r="N23" s="4"/>
      <c r="O23" s="4"/>
    </row>
    <row r="24" spans="1:15" s="135" customFormat="1" x14ac:dyDescent="0.25">
      <c r="A24" s="135" t="s">
        <v>122</v>
      </c>
      <c r="B24" s="136" t="s">
        <v>52</v>
      </c>
      <c r="C24" s="137">
        <f t="shared" ref="C24:D24" si="10">C20+SUM(C22:C23)</f>
        <v>6954</v>
      </c>
      <c r="D24" s="137">
        <f t="shared" si="10"/>
        <v>7522</v>
      </c>
      <c r="E24" s="137">
        <f>E20+SUM(E22:E23)</f>
        <v>7598</v>
      </c>
      <c r="F24" s="137">
        <f>F20+SUM(F22:F23)</f>
        <v>8210.630593242895</v>
      </c>
      <c r="G24" s="137">
        <f t="shared" ref="G24:M24" si="11">G20+SUM(G22:G23)</f>
        <v>8850.3415255096097</v>
      </c>
      <c r="H24" s="137">
        <f t="shared" si="11"/>
        <v>9603.0165455101396</v>
      </c>
      <c r="I24" s="137">
        <f t="shared" si="11"/>
        <v>10467.814462392576</v>
      </c>
      <c r="J24" s="137">
        <f t="shared" si="11"/>
        <v>11447.616357077091</v>
      </c>
      <c r="K24" s="137">
        <f t="shared" si="11"/>
        <v>12548.341302337116</v>
      </c>
      <c r="L24" s="137">
        <f t="shared" si="11"/>
        <v>13778.502889989413</v>
      </c>
      <c r="M24" s="137">
        <f t="shared" si="11"/>
        <v>15148.942120282703</v>
      </c>
    </row>
    <row r="25" spans="1:15" s="11" customFormat="1" x14ac:dyDescent="0.25">
      <c r="C25" s="14"/>
      <c r="D25" s="4"/>
      <c r="E25" s="38"/>
      <c r="F25" s="4"/>
      <c r="G25" s="4"/>
      <c r="H25" s="4"/>
      <c r="I25" s="4"/>
      <c r="J25" s="4"/>
      <c r="K25" s="4"/>
      <c r="L25" s="4"/>
      <c r="M25" s="4"/>
      <c r="N25" s="14"/>
      <c r="O25" s="14"/>
    </row>
    <row r="26" spans="1:15" s="11" customFormat="1" x14ac:dyDescent="0.25">
      <c r="B26" s="4" t="s">
        <v>55</v>
      </c>
      <c r="C26" s="98">
        <v>-19</v>
      </c>
      <c r="D26" s="98">
        <v>16</v>
      </c>
      <c r="E26" s="99">
        <v>48</v>
      </c>
      <c r="F26" s="4">
        <f>F9</f>
        <v>0</v>
      </c>
      <c r="G26" s="4">
        <f t="shared" ref="G26:M26" si="12">G9</f>
        <v>0</v>
      </c>
      <c r="H26" s="4">
        <f t="shared" si="12"/>
        <v>0</v>
      </c>
      <c r="I26" s="4">
        <f t="shared" si="12"/>
        <v>0</v>
      </c>
      <c r="J26" s="4">
        <f t="shared" si="12"/>
        <v>0</v>
      </c>
      <c r="K26" s="4">
        <f t="shared" si="12"/>
        <v>0</v>
      </c>
      <c r="L26" s="4">
        <f t="shared" si="12"/>
        <v>0</v>
      </c>
      <c r="M26" s="4">
        <f t="shared" si="12"/>
        <v>0</v>
      </c>
      <c r="N26" s="4"/>
      <c r="O26" s="4"/>
    </row>
    <row r="27" spans="1:15" s="11" customFormat="1" x14ac:dyDescent="0.25">
      <c r="B27" s="4" t="s">
        <v>56</v>
      </c>
      <c r="C27" s="98">
        <v>41</v>
      </c>
      <c r="D27" s="98">
        <v>246</v>
      </c>
      <c r="E27" s="99">
        <v>311</v>
      </c>
      <c r="F27" s="4">
        <f>F10</f>
        <v>0</v>
      </c>
      <c r="G27" s="4">
        <f t="shared" ref="G27:M27" si="13">G10</f>
        <v>0</v>
      </c>
      <c r="H27" s="4">
        <f t="shared" si="13"/>
        <v>0</v>
      </c>
      <c r="I27" s="4">
        <f t="shared" si="13"/>
        <v>0</v>
      </c>
      <c r="J27" s="4">
        <f t="shared" si="13"/>
        <v>0</v>
      </c>
      <c r="K27" s="4">
        <f t="shared" si="13"/>
        <v>0</v>
      </c>
      <c r="L27" s="4">
        <f t="shared" si="13"/>
        <v>0</v>
      </c>
      <c r="M27" s="4">
        <f t="shared" si="13"/>
        <v>0</v>
      </c>
      <c r="N27" s="4"/>
      <c r="O27" s="4"/>
    </row>
    <row r="28" spans="1:15" s="11" customFormat="1" x14ac:dyDescent="0.25">
      <c r="B28" s="4"/>
      <c r="C28" s="10"/>
      <c r="D28" s="10"/>
      <c r="E28" s="24"/>
      <c r="F28" s="4"/>
      <c r="G28" s="4"/>
      <c r="H28" s="4"/>
      <c r="I28" s="4"/>
      <c r="J28" s="4"/>
      <c r="K28" s="4"/>
      <c r="L28" s="4"/>
      <c r="M28" s="4"/>
      <c r="N28" s="4"/>
      <c r="O28" s="4"/>
    </row>
    <row r="29" spans="1:15" s="11" customFormat="1" x14ac:dyDescent="0.25">
      <c r="B29" s="4" t="s">
        <v>40</v>
      </c>
      <c r="C29" s="9"/>
      <c r="D29" s="9"/>
      <c r="E29" s="47"/>
      <c r="F29" s="9">
        <f>IF(circ=1,Debt!F33,0)</f>
        <v>0</v>
      </c>
      <c r="G29" s="9">
        <f>IF(circ=1,Debt!G33,0)</f>
        <v>0</v>
      </c>
      <c r="H29" s="9">
        <f>IF(circ=1,Debt!H33,0)</f>
        <v>0</v>
      </c>
      <c r="I29" s="9">
        <f>IF(circ=1,Debt!I33,0)</f>
        <v>0</v>
      </c>
      <c r="J29" s="9">
        <f>IF(circ=1,Debt!J33,0)</f>
        <v>0</v>
      </c>
      <c r="K29" s="9">
        <f>IF(circ=1,Debt!K33,0)</f>
        <v>0</v>
      </c>
      <c r="L29" s="9">
        <f>IF(circ=1,Debt!L33,0)</f>
        <v>0</v>
      </c>
      <c r="M29" s="9">
        <f>IF(circ=1,Debt!M33,0)</f>
        <v>0</v>
      </c>
      <c r="N29" s="201"/>
      <c r="O29" s="201"/>
    </row>
    <row r="30" spans="1:15" x14ac:dyDescent="0.25">
      <c r="B30" s="4" t="s">
        <v>32</v>
      </c>
      <c r="C30" s="9">
        <v>-112</v>
      </c>
      <c r="D30" s="9">
        <v>-113</v>
      </c>
      <c r="E30" s="47">
        <v>-169</v>
      </c>
      <c r="F30" s="9">
        <f>IF(circ=1,Debt!F22,0)</f>
        <v>0</v>
      </c>
      <c r="G30" s="9">
        <f>IF(circ=1,Debt!G22,0)</f>
        <v>0</v>
      </c>
      <c r="H30" s="9">
        <f>IF(circ=1,Debt!H22,0)</f>
        <v>0</v>
      </c>
      <c r="I30" s="9">
        <f>IF(circ=1,Debt!I22,0)</f>
        <v>0</v>
      </c>
      <c r="J30" s="9">
        <f>IF(circ=1,Debt!J22,0)</f>
        <v>0</v>
      </c>
      <c r="K30" s="9">
        <f>IF(circ=1,Debt!K22,0)</f>
        <v>0</v>
      </c>
      <c r="L30" s="9">
        <f>IF(circ=1,Debt!L22,0)</f>
        <v>0</v>
      </c>
      <c r="M30" s="9">
        <f>IF(circ=1,Debt!M22,0)</f>
        <v>0</v>
      </c>
      <c r="N30" s="201"/>
      <c r="O30" s="201"/>
    </row>
    <row r="31" spans="1:15" x14ac:dyDescent="0.25">
      <c r="C31" s="10"/>
      <c r="D31" s="10"/>
      <c r="E31" s="24"/>
      <c r="H31" s="4"/>
    </row>
    <row r="32" spans="1:15" s="11" customFormat="1" x14ac:dyDescent="0.25">
      <c r="A32" s="11" t="s">
        <v>122</v>
      </c>
      <c r="B32" s="18" t="s">
        <v>82</v>
      </c>
      <c r="C32" s="19">
        <f t="shared" ref="C32:D32" si="14">C20+SUM(C26:C27,C29:C30)</f>
        <v>6008</v>
      </c>
      <c r="D32" s="19">
        <f t="shared" si="14"/>
        <v>6799</v>
      </c>
      <c r="E32" s="19">
        <f>E20+SUM(E26:E27,E29:E30)</f>
        <v>6931</v>
      </c>
      <c r="F32" s="19">
        <f>F20+SUM(F26:F27,F29:F30)</f>
        <v>7402.8969249011861</v>
      </c>
      <c r="G32" s="19">
        <f t="shared" ref="G32:M32" si="15">G20+SUM(G26:G27,G29:G30)</f>
        <v>8134.5602841748587</v>
      </c>
      <c r="H32" s="19">
        <f t="shared" si="15"/>
        <v>8943.5957277849411</v>
      </c>
      <c r="I32" s="19">
        <f t="shared" si="15"/>
        <v>9838.4540849755358</v>
      </c>
      <c r="J32" s="19">
        <f t="shared" si="15"/>
        <v>10828.526254153654</v>
      </c>
      <c r="K32" s="19">
        <f t="shared" si="15"/>
        <v>11924.248803748931</v>
      </c>
      <c r="L32" s="19">
        <f t="shared" si="15"/>
        <v>13137.221496461174</v>
      </c>
      <c r="M32" s="19">
        <f t="shared" si="15"/>
        <v>14480.338086740427</v>
      </c>
    </row>
    <row r="33" spans="1:15" x14ac:dyDescent="0.25">
      <c r="E33" s="39"/>
      <c r="H33" s="4"/>
    </row>
    <row r="34" spans="1:15" x14ac:dyDescent="0.25">
      <c r="B34" s="4" t="s">
        <v>57</v>
      </c>
      <c r="C34" s="139">
        <v>1252</v>
      </c>
      <c r="D34" s="4">
        <v>1371</v>
      </c>
      <c r="E34" s="61">
        <v>1371</v>
      </c>
      <c r="F34" s="4">
        <f>F32*F11</f>
        <v>1406.5504157312255</v>
      </c>
      <c r="G34" s="4">
        <f t="shared" ref="G34:M34" si="16">G32*G11</f>
        <v>1545.5664539932231</v>
      </c>
      <c r="H34" s="4">
        <f t="shared" si="16"/>
        <v>1699.2831882791388</v>
      </c>
      <c r="I34" s="4">
        <f t="shared" si="16"/>
        <v>1869.3062761453518</v>
      </c>
      <c r="J34" s="4">
        <f t="shared" si="16"/>
        <v>2057.4199882891944</v>
      </c>
      <c r="K34" s="4">
        <f t="shared" si="16"/>
        <v>2265.6072727122969</v>
      </c>
      <c r="L34" s="4">
        <f t="shared" si="16"/>
        <v>2496.0720843276231</v>
      </c>
      <c r="M34" s="4">
        <f t="shared" si="16"/>
        <v>2751.2642364806811</v>
      </c>
    </row>
    <row r="35" spans="1:15" s="11" customFormat="1" x14ac:dyDescent="0.25">
      <c r="A35" s="11" t="s">
        <v>122</v>
      </c>
      <c r="B35" s="18" t="s">
        <v>58</v>
      </c>
      <c r="C35" s="19">
        <f>C32-C34</f>
        <v>4756</v>
      </c>
      <c r="D35" s="19">
        <f t="shared" ref="D35:F35" si="17">D32-D34</f>
        <v>5428</v>
      </c>
      <c r="E35" s="19">
        <f t="shared" si="17"/>
        <v>5560</v>
      </c>
      <c r="F35" s="19">
        <f t="shared" si="17"/>
        <v>5996.3465091699609</v>
      </c>
      <c r="G35" s="19">
        <f t="shared" ref="G35:M35" si="18">G32-G34</f>
        <v>6588.9938301816355</v>
      </c>
      <c r="H35" s="19">
        <f t="shared" si="18"/>
        <v>7244.3125395058023</v>
      </c>
      <c r="I35" s="19">
        <f t="shared" si="18"/>
        <v>7969.1478088301837</v>
      </c>
      <c r="J35" s="19">
        <f t="shared" si="18"/>
        <v>8771.1062658644587</v>
      </c>
      <c r="K35" s="19">
        <f t="shared" si="18"/>
        <v>9658.6415310366338</v>
      </c>
      <c r="L35" s="19">
        <f t="shared" si="18"/>
        <v>10641.149412133551</v>
      </c>
      <c r="M35" s="19">
        <f t="shared" si="18"/>
        <v>11729.073850259745</v>
      </c>
    </row>
    <row r="36" spans="1:15" x14ac:dyDescent="0.25">
      <c r="B36" s="11"/>
      <c r="C36" s="11"/>
      <c r="D36" s="11"/>
      <c r="E36" s="37"/>
      <c r="F36" s="11"/>
      <c r="G36" s="11"/>
      <c r="H36" s="11"/>
      <c r="I36" s="11"/>
      <c r="J36" s="11"/>
      <c r="K36" s="11"/>
      <c r="L36" s="11"/>
      <c r="M36" s="11"/>
      <c r="N36" s="11"/>
      <c r="O36" s="11"/>
    </row>
    <row r="37" spans="1:15" x14ac:dyDescent="0.25">
      <c r="A37" s="22" t="s">
        <v>59</v>
      </c>
      <c r="B37" s="21"/>
      <c r="C37" s="57">
        <v>44926</v>
      </c>
      <c r="D37" s="57">
        <v>45291</v>
      </c>
      <c r="E37" s="57">
        <v>45657</v>
      </c>
      <c r="F37" s="57">
        <v>46022</v>
      </c>
      <c r="G37" s="57">
        <v>46022</v>
      </c>
      <c r="H37" s="57">
        <v>46022</v>
      </c>
      <c r="I37" s="57">
        <v>46022</v>
      </c>
      <c r="J37" s="57">
        <v>46022</v>
      </c>
      <c r="K37" s="57">
        <v>46022</v>
      </c>
      <c r="L37" s="57">
        <v>46022</v>
      </c>
      <c r="M37" s="57">
        <v>46022</v>
      </c>
      <c r="N37" s="229"/>
      <c r="O37" s="229"/>
    </row>
    <row r="38" spans="1:15" x14ac:dyDescent="0.25">
      <c r="B38" s="4" t="s">
        <v>48</v>
      </c>
      <c r="C38" s="10">
        <v>470</v>
      </c>
      <c r="D38" s="10">
        <v>457</v>
      </c>
      <c r="E38" s="24">
        <v>447</v>
      </c>
      <c r="F38" s="193">
        <f>F12</f>
        <v>447</v>
      </c>
      <c r="G38" s="193">
        <f t="shared" ref="G38:M38" si="19">G12</f>
        <v>447</v>
      </c>
      <c r="H38" s="193">
        <f t="shared" si="19"/>
        <v>447</v>
      </c>
      <c r="I38" s="193">
        <f t="shared" si="19"/>
        <v>447</v>
      </c>
      <c r="J38" s="193">
        <f t="shared" si="19"/>
        <v>447</v>
      </c>
      <c r="K38" s="193">
        <f t="shared" si="19"/>
        <v>447</v>
      </c>
      <c r="L38" s="193">
        <f t="shared" si="19"/>
        <v>447</v>
      </c>
      <c r="M38" s="193">
        <f t="shared" si="19"/>
        <v>447</v>
      </c>
      <c r="N38" s="234"/>
      <c r="O38" s="234"/>
    </row>
    <row r="39" spans="1:15" x14ac:dyDescent="0.25">
      <c r="B39" s="4" t="s">
        <v>49</v>
      </c>
      <c r="C39" s="10">
        <v>471</v>
      </c>
      <c r="D39" s="10">
        <v>459</v>
      </c>
      <c r="E39" s="24">
        <v>450</v>
      </c>
      <c r="F39" s="193">
        <f>F13</f>
        <v>450</v>
      </c>
      <c r="G39" s="193">
        <f t="shared" ref="G39:M39" si="20">G13</f>
        <v>450</v>
      </c>
      <c r="H39" s="193">
        <f t="shared" si="20"/>
        <v>450</v>
      </c>
      <c r="I39" s="193">
        <f t="shared" si="20"/>
        <v>450</v>
      </c>
      <c r="J39" s="193">
        <f t="shared" si="20"/>
        <v>450</v>
      </c>
      <c r="K39" s="193">
        <f t="shared" si="20"/>
        <v>450</v>
      </c>
      <c r="L39" s="193">
        <f t="shared" si="20"/>
        <v>450</v>
      </c>
      <c r="M39" s="193">
        <f t="shared" si="20"/>
        <v>450</v>
      </c>
      <c r="N39" s="234"/>
      <c r="O39" s="234"/>
    </row>
    <row r="40" spans="1:15" x14ac:dyDescent="0.25">
      <c r="B40" s="4" t="s">
        <v>60</v>
      </c>
      <c r="C40" s="200">
        <f>C35/C38</f>
        <v>10.119148936170212</v>
      </c>
      <c r="D40" s="200">
        <f t="shared" ref="D40:E40" si="21">D35/D38</f>
        <v>11.87746170678337</v>
      </c>
      <c r="E40" s="343">
        <f t="shared" si="21"/>
        <v>12.438478747203579</v>
      </c>
      <c r="F40" s="356">
        <f t="shared" ref="F40:M40" si="22">F35/F38</f>
        <v>13.414645434384701</v>
      </c>
      <c r="G40" s="356">
        <f t="shared" si="22"/>
        <v>14.740478367296724</v>
      </c>
      <c r="H40" s="356">
        <f t="shared" si="22"/>
        <v>16.206515748335129</v>
      </c>
      <c r="I40" s="356">
        <f t="shared" si="22"/>
        <v>17.828071160693924</v>
      </c>
      <c r="J40" s="356">
        <f t="shared" si="22"/>
        <v>19.62216166860058</v>
      </c>
      <c r="K40" s="356">
        <f t="shared" si="22"/>
        <v>21.607699174578599</v>
      </c>
      <c r="L40" s="356">
        <f t="shared" si="22"/>
        <v>23.805703382849106</v>
      </c>
      <c r="M40" s="356">
        <f t="shared" si="22"/>
        <v>26.239538814898758</v>
      </c>
      <c r="N40" s="234"/>
      <c r="O40" s="234"/>
    </row>
    <row r="41" spans="1:15" s="11" customFormat="1" x14ac:dyDescent="0.25">
      <c r="A41" s="11" t="s">
        <v>122</v>
      </c>
      <c r="B41" s="18" t="s">
        <v>61</v>
      </c>
      <c r="C41" s="199">
        <f>C35/C39</f>
        <v>10.097664543524417</v>
      </c>
      <c r="D41" s="199">
        <f t="shared" ref="D41:E41" si="23">D35/D39</f>
        <v>11.825708061002178</v>
      </c>
      <c r="E41" s="199">
        <f t="shared" si="23"/>
        <v>12.355555555555556</v>
      </c>
      <c r="F41" s="199">
        <f t="shared" ref="F41:M41" si="24">F35/F39</f>
        <v>13.325214464822135</v>
      </c>
      <c r="G41" s="199">
        <f t="shared" si="24"/>
        <v>14.642208511514745</v>
      </c>
      <c r="H41" s="199">
        <f t="shared" si="24"/>
        <v>16.098472310012895</v>
      </c>
      <c r="I41" s="199">
        <f t="shared" si="24"/>
        <v>17.709217352955964</v>
      </c>
      <c r="J41" s="199">
        <f t="shared" si="24"/>
        <v>19.491347257476576</v>
      </c>
      <c r="K41" s="199">
        <f t="shared" si="24"/>
        <v>21.463647846748074</v>
      </c>
      <c r="L41" s="199">
        <f t="shared" si="24"/>
        <v>23.646998693630113</v>
      </c>
      <c r="M41" s="199">
        <f t="shared" si="24"/>
        <v>26.064608556132768</v>
      </c>
      <c r="N41" s="238"/>
      <c r="O41" s="238"/>
    </row>
    <row r="42" spans="1:15" x14ac:dyDescent="0.25">
      <c r="C42" s="15"/>
      <c r="D42" s="15"/>
      <c r="E42" s="40"/>
      <c r="F42" s="15"/>
      <c r="G42" s="15"/>
      <c r="H42" s="15"/>
      <c r="I42" s="15"/>
      <c r="J42" s="15"/>
    </row>
    <row r="43" spans="1:15" x14ac:dyDescent="0.25">
      <c r="D43" s="15"/>
      <c r="E43" s="15"/>
      <c r="F43" s="15"/>
    </row>
  </sheetData>
  <conditionalFormatting sqref="F4:O13">
    <cfRule type="expression" dxfId="1" priority="34">
      <formula>$E$12&gt;1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10">
    <pageSetUpPr autoPageBreaks="0" fitToPage="1"/>
  </sheetPr>
  <dimension ref="A1:O52"/>
  <sheetViews>
    <sheetView showGridLines="0" zoomScaleNormal="100" workbookViewId="0">
      <selection activeCell="F27" sqref="F27:M27"/>
    </sheetView>
  </sheetViews>
  <sheetFormatPr defaultColWidth="8.85546875" defaultRowHeight="15" x14ac:dyDescent="0.25"/>
  <cols>
    <col min="1" max="1" width="1.7109375" style="4" customWidth="1"/>
    <col min="2" max="2" width="42.85546875" style="4" customWidth="1"/>
    <col min="3" max="8" width="11.7109375" style="4" customWidth="1"/>
    <col min="9" max="10" width="11.7109375" style="6" customWidth="1"/>
    <col min="11" max="13" width="11.7109375" style="4" customWidth="1"/>
    <col min="14" max="256" width="8.85546875" style="4"/>
    <col min="257" max="257" width="1.7109375" style="4" customWidth="1"/>
    <col min="258" max="258" width="42.855468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2.855468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2.855468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2.855468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2.855468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2.855468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2.855468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2.855468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2.855468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2.855468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2.855468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2.855468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2.855468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2.855468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2.855468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2.855468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2.855468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2.855468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2.855468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2.855468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2.855468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2.855468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2.855468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2.855468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2.855468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2.855468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2.855468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2.855468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2.855468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2.855468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2.855468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2.855468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2.855468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2.855468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2.855468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2.855468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2.855468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2.855468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2.855468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2.855468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2.855468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2.855468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2.855468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2.855468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2.855468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2.855468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2.855468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2.855468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2.855468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2.855468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2.855468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2.855468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2.855468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2.855468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2.855468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2.855468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2.855468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2.855468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2.855468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2.855468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2.855468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2.855468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2.855468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327" t="str">
        <f>CoName</f>
        <v>Adobe Inc.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s="43"/>
      <c r="O1" s="43"/>
    </row>
    <row r="2" spans="1:15" x14ac:dyDescent="0.25">
      <c r="A2" s="17" t="s">
        <v>10</v>
      </c>
      <c r="B2" s="66"/>
      <c r="C2" s="117">
        <v>44926</v>
      </c>
      <c r="D2" s="117">
        <v>45291</v>
      </c>
      <c r="E2" s="117">
        <v>45657</v>
      </c>
      <c r="F2" s="117">
        <v>46022</v>
      </c>
      <c r="G2" s="117">
        <v>46387</v>
      </c>
      <c r="H2" s="117">
        <v>46752</v>
      </c>
      <c r="I2" s="117">
        <v>47118</v>
      </c>
      <c r="J2" s="117">
        <v>47483</v>
      </c>
      <c r="K2" s="204">
        <f>2030</f>
        <v>2030</v>
      </c>
      <c r="L2" s="204">
        <f>K2+1</f>
        <v>2031</v>
      </c>
      <c r="M2" s="204">
        <f t="shared" ref="M2" si="0">L2+1</f>
        <v>2032</v>
      </c>
      <c r="N2" s="239"/>
      <c r="O2" s="239"/>
    </row>
    <row r="3" spans="1:15" x14ac:dyDescent="0.25">
      <c r="K3" s="6"/>
      <c r="L3" s="6"/>
      <c r="M3" s="6"/>
      <c r="N3" s="6"/>
      <c r="O3" s="6"/>
    </row>
    <row r="4" spans="1:15" x14ac:dyDescent="0.25">
      <c r="B4" s="4" t="s">
        <v>137</v>
      </c>
      <c r="C4" s="45"/>
      <c r="D4" s="45"/>
      <c r="E4" s="46"/>
      <c r="F4" s="105">
        <f>Assumptions!F43</f>
        <v>0.05</v>
      </c>
      <c r="G4" s="105">
        <f>F4</f>
        <v>0.05</v>
      </c>
      <c r="H4" s="105">
        <f t="shared" ref="H4:J4" si="1">G4</f>
        <v>0.05</v>
      </c>
      <c r="I4" s="105">
        <f t="shared" si="1"/>
        <v>0.05</v>
      </c>
      <c r="J4" s="105">
        <f t="shared" si="1"/>
        <v>0.05</v>
      </c>
      <c r="K4" s="105">
        <f t="shared" ref="K4" si="2">J4</f>
        <v>0.05</v>
      </c>
      <c r="L4" s="105">
        <f t="shared" ref="L4" si="3">K4</f>
        <v>0.05</v>
      </c>
      <c r="M4" s="103">
        <f t="shared" ref="M4" si="4">L4</f>
        <v>0.05</v>
      </c>
      <c r="N4" s="189"/>
      <c r="O4" s="189"/>
    </row>
    <row r="5" spans="1:15" x14ac:dyDescent="0.25">
      <c r="B5" s="4" t="s">
        <v>150</v>
      </c>
      <c r="C5" s="45"/>
      <c r="D5" s="45"/>
      <c r="E5" s="46"/>
      <c r="F5" s="105">
        <f>Assumptions!F44</f>
        <v>9.6349686119507089E-2</v>
      </c>
      <c r="G5" s="105">
        <f>Assumptions!G44</f>
        <v>9.6349686119507089E-2</v>
      </c>
      <c r="H5" s="105">
        <f>Assumptions!H44</f>
        <v>9.6349686119507089E-2</v>
      </c>
      <c r="I5" s="105">
        <f>Assumptions!I44</f>
        <v>9.6349686119507089E-2</v>
      </c>
      <c r="J5" s="105">
        <f>Assumptions!J44</f>
        <v>9.6349686119507089E-2</v>
      </c>
      <c r="K5" s="105">
        <f>Assumptions!K44</f>
        <v>9.6349686119507089E-2</v>
      </c>
      <c r="L5" s="105">
        <f>Assumptions!L44</f>
        <v>9.6349686119507089E-2</v>
      </c>
      <c r="M5" s="103">
        <f>Assumptions!M44</f>
        <v>9.6349686119507089E-2</v>
      </c>
      <c r="N5" s="189"/>
      <c r="O5" s="189"/>
    </row>
    <row r="6" spans="1:15" x14ac:dyDescent="0.25">
      <c r="B6" s="4" t="s">
        <v>63</v>
      </c>
      <c r="C6" s="45"/>
      <c r="D6" s="45"/>
      <c r="E6" s="46"/>
      <c r="F6" s="105">
        <f>Assumptions!F45</f>
        <v>5.9242036735642871E-2</v>
      </c>
      <c r="G6" s="105">
        <f>Assumptions!G45</f>
        <v>5.9242036735642871E-2</v>
      </c>
      <c r="H6" s="105">
        <f>Assumptions!H45</f>
        <v>5.9242036735642871E-2</v>
      </c>
      <c r="I6" s="105">
        <f>Assumptions!I45</f>
        <v>5.9242036735642871E-2</v>
      </c>
      <c r="J6" s="105">
        <f>Assumptions!J45</f>
        <v>5.9242036735642871E-2</v>
      </c>
      <c r="K6" s="105">
        <f>Assumptions!K45</f>
        <v>5.9242036735642871E-2</v>
      </c>
      <c r="L6" s="105">
        <f>Assumptions!L45</f>
        <v>5.9242036735642871E-2</v>
      </c>
      <c r="M6" s="103">
        <f>Assumptions!M45</f>
        <v>5.9242036735642871E-2</v>
      </c>
      <c r="N6" s="189"/>
      <c r="O6" s="189"/>
    </row>
    <row r="7" spans="1:15" x14ac:dyDescent="0.25">
      <c r="B7" s="4" t="s">
        <v>64</v>
      </c>
      <c r="C7" s="45"/>
      <c r="D7" s="45"/>
      <c r="E7" s="46"/>
      <c r="F7" s="105">
        <f>Assumptions!F48</f>
        <v>0.14931411299697744</v>
      </c>
      <c r="G7" s="105">
        <f>Assumptions!G48</f>
        <v>0.14931411299697744</v>
      </c>
      <c r="H7" s="105">
        <f>Assumptions!H48</f>
        <v>0.14931411299697744</v>
      </c>
      <c r="I7" s="105">
        <f>Assumptions!I48</f>
        <v>0.14931411299697744</v>
      </c>
      <c r="J7" s="105">
        <f>Assumptions!J48</f>
        <v>0.14931411299697744</v>
      </c>
      <c r="K7" s="105">
        <f>Assumptions!K48</f>
        <v>0.14931411299697744</v>
      </c>
      <c r="L7" s="105">
        <f>Assumptions!L48</f>
        <v>0.14931411299697744</v>
      </c>
      <c r="M7" s="103">
        <f>Assumptions!M48</f>
        <v>0.14931411299697744</v>
      </c>
      <c r="N7" s="189"/>
      <c r="O7" s="189"/>
    </row>
    <row r="8" spans="1:15" x14ac:dyDescent="0.25">
      <c r="C8" s="32"/>
      <c r="D8" s="32"/>
      <c r="E8" s="32"/>
      <c r="F8" s="106"/>
      <c r="G8" s="106"/>
      <c r="H8" s="106"/>
      <c r="I8" s="106"/>
      <c r="J8" s="106"/>
      <c r="K8" s="106"/>
      <c r="L8" s="106"/>
      <c r="M8" s="106"/>
      <c r="N8" s="189"/>
      <c r="O8" s="189"/>
    </row>
    <row r="9" spans="1:15" x14ac:dyDescent="0.25">
      <c r="B9" s="4" t="s">
        <v>149</v>
      </c>
      <c r="C9" s="45"/>
      <c r="D9" s="45"/>
      <c r="E9" s="46"/>
      <c r="F9" s="105">
        <f>Assumptions!F52</f>
        <v>1.1942324003392706</v>
      </c>
      <c r="G9" s="105">
        <f>Assumptions!G52</f>
        <v>1.1942324003392706</v>
      </c>
      <c r="H9" s="105">
        <f>Assumptions!H52</f>
        <v>1.1942324003392706</v>
      </c>
      <c r="I9" s="105">
        <f>Assumptions!I52</f>
        <v>1.1942324003392706</v>
      </c>
      <c r="J9" s="105">
        <f>Assumptions!J52</f>
        <v>1.1942324003392706</v>
      </c>
      <c r="K9" s="105">
        <f>Assumptions!K52</f>
        <v>1.1942324003392706</v>
      </c>
      <c r="L9" s="105">
        <f>Assumptions!L52</f>
        <v>1.1942324003392706</v>
      </c>
      <c r="M9" s="103">
        <f>Assumptions!M52</f>
        <v>1.1942324003392706</v>
      </c>
      <c r="N9" s="189"/>
      <c r="O9" s="189"/>
    </row>
    <row r="10" spans="1:15" x14ac:dyDescent="0.25">
      <c r="B10" s="4" t="s">
        <v>65</v>
      </c>
      <c r="C10" s="45"/>
      <c r="D10" s="45"/>
      <c r="E10" s="28"/>
      <c r="F10" s="105">
        <f>Assumptions!F53</f>
        <v>0.28858405022087885</v>
      </c>
      <c r="G10" s="105">
        <f>Assumptions!G53</f>
        <v>0.28858405022087885</v>
      </c>
      <c r="H10" s="105">
        <f>Assumptions!H53</f>
        <v>0.28858405022087885</v>
      </c>
      <c r="I10" s="105">
        <f>Assumptions!I53</f>
        <v>0.28858405022087885</v>
      </c>
      <c r="J10" s="105">
        <f>Assumptions!J53</f>
        <v>0.28858405022087885</v>
      </c>
      <c r="K10" s="105">
        <f>Assumptions!K53</f>
        <v>0.28858405022087885</v>
      </c>
      <c r="L10" s="105">
        <f>Assumptions!L53</f>
        <v>0.28858405022087885</v>
      </c>
      <c r="M10" s="105">
        <f>Assumptions!M53</f>
        <v>0.28858405022087885</v>
      </c>
      <c r="N10" s="189"/>
      <c r="O10" s="189"/>
    </row>
    <row r="11" spans="1:15" x14ac:dyDescent="0.25">
      <c r="B11" s="4" t="s">
        <v>66</v>
      </c>
      <c r="C11" s="45"/>
      <c r="D11" s="45"/>
      <c r="E11" s="46"/>
      <c r="F11" s="329">
        <f>Assumptions!F54</f>
        <v>6.8588700302255293E-2</v>
      </c>
      <c r="G11" s="329">
        <f>Assumptions!G54</f>
        <v>6.8588700302255293E-2</v>
      </c>
      <c r="H11" s="329">
        <f>Assumptions!H54</f>
        <v>6.8588700302255293E-2</v>
      </c>
      <c r="I11" s="329">
        <f>Assumptions!I54</f>
        <v>6.8588700302255293E-2</v>
      </c>
      <c r="J11" s="329">
        <f>Assumptions!J54</f>
        <v>6.8588700302255293E-2</v>
      </c>
      <c r="K11" s="329">
        <f>Assumptions!K54</f>
        <v>6.8588700302255293E-2</v>
      </c>
      <c r="L11" s="329">
        <f>Assumptions!L54</f>
        <v>6.8588700302255293E-2</v>
      </c>
      <c r="M11" s="133">
        <f>Assumptions!M54</f>
        <v>6.8588700302255293E-2</v>
      </c>
      <c r="N11" s="189"/>
      <c r="O11" s="189"/>
    </row>
    <row r="12" spans="1:15" x14ac:dyDescent="0.25">
      <c r="C12" s="45"/>
      <c r="D12" s="45"/>
      <c r="E12" s="45"/>
      <c r="F12" s="106"/>
      <c r="G12" s="106"/>
      <c r="H12" s="106"/>
      <c r="I12" s="106"/>
      <c r="J12" s="106"/>
      <c r="K12" s="106"/>
      <c r="L12" s="106"/>
      <c r="M12" s="106"/>
      <c r="N12" s="189"/>
      <c r="O12" s="189"/>
    </row>
    <row r="13" spans="1:15" ht="15" customHeight="1" x14ac:dyDescent="0.25">
      <c r="A13" s="197" t="s">
        <v>62</v>
      </c>
      <c r="B13" s="198"/>
      <c r="C13" s="159">
        <f>C2</f>
        <v>44926</v>
      </c>
      <c r="D13" s="159">
        <f>D2</f>
        <v>45291</v>
      </c>
      <c r="E13" s="159">
        <f>E2</f>
        <v>45657</v>
      </c>
      <c r="F13" s="159">
        <f>F2</f>
        <v>46022</v>
      </c>
      <c r="G13" s="159">
        <f t="shared" ref="G13:M13" si="5">G2</f>
        <v>46387</v>
      </c>
      <c r="H13" s="159">
        <f t="shared" si="5"/>
        <v>46752</v>
      </c>
      <c r="I13" s="159">
        <f t="shared" si="5"/>
        <v>47118</v>
      </c>
      <c r="J13" s="159">
        <f t="shared" si="5"/>
        <v>47483</v>
      </c>
      <c r="K13" s="159">
        <f t="shared" si="5"/>
        <v>2030</v>
      </c>
      <c r="L13" s="159">
        <f t="shared" si="5"/>
        <v>2031</v>
      </c>
      <c r="M13" s="159">
        <f t="shared" si="5"/>
        <v>2032</v>
      </c>
      <c r="N13" s="232"/>
      <c r="O13" s="232"/>
    </row>
    <row r="14" spans="1:15" x14ac:dyDescent="0.25">
      <c r="B14" s="4" t="s">
        <v>155</v>
      </c>
      <c r="C14" s="344">
        <f>5%*IncState!C16</f>
        <v>880.30000000000007</v>
      </c>
      <c r="D14" s="344">
        <f>5%*IncState!D16</f>
        <v>970.45</v>
      </c>
      <c r="E14" s="207">
        <f>5%*IncState!E16</f>
        <v>1075.25</v>
      </c>
      <c r="F14" s="4">
        <f>F4*IncState!F16</f>
        <v>1180.8285000000001</v>
      </c>
      <c r="G14" s="4">
        <f>G4*IncState!G16</f>
        <v>1297.535372431244</v>
      </c>
      <c r="H14" s="4">
        <f>H4*IncState!H16</f>
        <v>1426.5837867231503</v>
      </c>
      <c r="I14" s="4">
        <f>I4*IncState!I16</f>
        <v>1569.3217259857508</v>
      </c>
      <c r="J14" s="4">
        <f>J4*IncState!J16</f>
        <v>1727.2471227976141</v>
      </c>
      <c r="K14" s="4">
        <f>K4*IncState!K16</f>
        <v>1902.0247034907338</v>
      </c>
      <c r="L14" s="4">
        <f>L4*IncState!L16</f>
        <v>2095.5047343227825</v>
      </c>
      <c r="M14" s="4">
        <f>M4*IncState!M16</f>
        <v>2309.7438848490792</v>
      </c>
    </row>
    <row r="15" spans="1:15" x14ac:dyDescent="0.25">
      <c r="B15" s="4" t="s">
        <v>156</v>
      </c>
      <c r="C15" s="206">
        <f>4236+1860-C14</f>
        <v>5215.7</v>
      </c>
      <c r="D15" s="206">
        <f>7141+701-D14</f>
        <v>6871.55</v>
      </c>
      <c r="E15" s="207">
        <f>7613+273-E14</f>
        <v>6810.75</v>
      </c>
      <c r="F15" s="359">
        <f>MAX(CashFlow!F22,0)</f>
        <v>9577.5459779069279</v>
      </c>
      <c r="G15" s="359">
        <f>MAX(CashFlow!G22,0)</f>
        <v>14342.100839630164</v>
      </c>
      <c r="H15" s="359">
        <f>MAX(CashFlow!H22,0)</f>
        <v>19703.570130742872</v>
      </c>
      <c r="I15" s="359">
        <f>MAX(CashFlow!I22,0)</f>
        <v>27357.656916609423</v>
      </c>
      <c r="J15" s="359">
        <f>MAX(CashFlow!J22,0)</f>
        <v>36701.155185218457</v>
      </c>
      <c r="K15" s="359">
        <f>MAX(CashFlow!K22,0)</f>
        <v>46934.78889917233</v>
      </c>
      <c r="L15" s="359">
        <f>MAX(CashFlow!L22,0)</f>
        <v>58165.585239024476</v>
      </c>
      <c r="M15" s="359">
        <f>MAX(CashFlow!M22,0)</f>
        <v>70508.955878910318</v>
      </c>
    </row>
    <row r="16" spans="1:15" x14ac:dyDescent="0.25">
      <c r="B16" s="4" t="s">
        <v>67</v>
      </c>
      <c r="C16" s="208">
        <v>2065</v>
      </c>
      <c r="D16" s="208">
        <v>2224</v>
      </c>
      <c r="E16" s="209">
        <v>2072</v>
      </c>
      <c r="F16" s="4">
        <f>F5*IncState!F16</f>
        <v>2275.4491067193676</v>
      </c>
      <c r="G16" s="4">
        <f>G5*IncState!G16</f>
        <v>2500.3425172541615</v>
      </c>
      <c r="H16" s="4">
        <f>H5*IncState!H16</f>
        <v>2749.0180014790676</v>
      </c>
      <c r="I16" s="4">
        <f>I5*IncState!I16</f>
        <v>3024.0731143850039</v>
      </c>
      <c r="J16" s="4">
        <f>J5*IncState!J16</f>
        <v>3328.3943626474365</v>
      </c>
      <c r="K16" s="4">
        <f>K5*IncState!K16</f>
        <v>3665.1896634576146</v>
      </c>
      <c r="L16" s="4">
        <f>L5*IncState!L16</f>
        <v>4038.0244682788234</v>
      </c>
      <c r="M16" s="4">
        <f>M5*IncState!M16</f>
        <v>4450.8619664331936</v>
      </c>
    </row>
    <row r="17" spans="1:15" x14ac:dyDescent="0.25">
      <c r="B17" s="4" t="s">
        <v>68</v>
      </c>
      <c r="C17" s="208">
        <v>835</v>
      </c>
      <c r="D17" s="208">
        <v>1018</v>
      </c>
      <c r="E17" s="209">
        <v>1274</v>
      </c>
      <c r="F17" s="4">
        <f>F6*IncState!F16</f>
        <v>1399.0937075098814</v>
      </c>
      <c r="G17" s="4">
        <f>G6*IncState!G16</f>
        <v>1537.3727639873562</v>
      </c>
      <c r="H17" s="4">
        <f>H6*IncState!H16</f>
        <v>1690.2745819905076</v>
      </c>
      <c r="I17" s="4">
        <f>I6*IncState!I16</f>
        <v>1859.3963068178064</v>
      </c>
      <c r="J17" s="4">
        <f>J6*IncState!J16</f>
        <v>2046.5127500061942</v>
      </c>
      <c r="K17" s="4">
        <f>K6*IncState!K16</f>
        <v>2253.5963471259656</v>
      </c>
      <c r="L17" s="4">
        <f>L6*IncState!L16</f>
        <v>2482.8393690092767</v>
      </c>
      <c r="M17" s="4">
        <f>M6*IncState!M16</f>
        <v>2736.6786415231122</v>
      </c>
    </row>
    <row r="18" spans="1:15" s="11" customFormat="1" x14ac:dyDescent="0.25">
      <c r="B18" s="11" t="s">
        <v>69</v>
      </c>
      <c r="C18" s="11">
        <f>SUM(C14:C17)</f>
        <v>8996</v>
      </c>
      <c r="D18" s="11">
        <f>SUM(D14:D17)</f>
        <v>11084</v>
      </c>
      <c r="E18" s="26">
        <f>SUM(E14:E17)</f>
        <v>11232</v>
      </c>
      <c r="F18" s="11">
        <f>SUM(F14:F17)</f>
        <v>14432.917292136175</v>
      </c>
      <c r="G18" s="11">
        <f t="shared" ref="G18:M18" si="6">SUM(G14:G17)</f>
        <v>19677.351493302929</v>
      </c>
      <c r="H18" s="11">
        <f t="shared" si="6"/>
        <v>25569.446500935595</v>
      </c>
      <c r="I18" s="11">
        <f t="shared" si="6"/>
        <v>33810.448063797987</v>
      </c>
      <c r="J18" s="11">
        <f t="shared" si="6"/>
        <v>43803.309420669699</v>
      </c>
      <c r="K18" s="11">
        <f t="shared" si="6"/>
        <v>54755.599613246646</v>
      </c>
      <c r="L18" s="11">
        <f t="shared" si="6"/>
        <v>66781.953810635358</v>
      </c>
      <c r="M18" s="11">
        <f t="shared" si="6"/>
        <v>80006.240371715714</v>
      </c>
    </row>
    <row r="19" spans="1:15" x14ac:dyDescent="0.25">
      <c r="A19" s="7"/>
      <c r="E19" s="29"/>
      <c r="I19" s="4"/>
      <c r="J19" s="4"/>
    </row>
    <row r="20" spans="1:15" x14ac:dyDescent="0.25">
      <c r="B20" s="4" t="s">
        <v>70</v>
      </c>
      <c r="C20" s="208">
        <f>1908+407</f>
        <v>2315</v>
      </c>
      <c r="D20" s="208">
        <f>2030+358</f>
        <v>2388</v>
      </c>
      <c r="E20" s="209">
        <f>1936+281</f>
        <v>2217</v>
      </c>
      <c r="F20" s="4">
        <f>Calcs!F9</f>
        <v>1897.8395411444574</v>
      </c>
      <c r="G20" s="4">
        <f>Calcs!G9</f>
        <v>1702.2164429182781</v>
      </c>
      <c r="H20" s="4">
        <f>Calcs!H9</f>
        <v>1597.878751848682</v>
      </c>
      <c r="I20" s="4">
        <f>Calcs!I9</f>
        <v>1562.2313456121606</v>
      </c>
      <c r="J20" s="4">
        <f>Calcs!J9</f>
        <v>1579.5943119601548</v>
      </c>
      <c r="K20" s="4">
        <f>Calcs!K9</f>
        <v>1639.2557670718566</v>
      </c>
      <c r="L20" s="4">
        <f>Calcs!L9</f>
        <v>1734.0907443298797</v>
      </c>
      <c r="M20" s="4">
        <f>Calcs!M9</f>
        <v>1859.5836375405272</v>
      </c>
    </row>
    <row r="21" spans="1:15" x14ac:dyDescent="0.25">
      <c r="B21" s="4" t="s">
        <v>157</v>
      </c>
      <c r="C21" s="208">
        <f>12787+1449</f>
        <v>14236</v>
      </c>
      <c r="D21" s="208">
        <f>12805+1088</f>
        <v>13893</v>
      </c>
      <c r="E21" s="209">
        <f>12788+782</f>
        <v>13570</v>
      </c>
      <c r="F21" s="138">
        <f>E21-IncState!F8</f>
        <v>13401</v>
      </c>
      <c r="G21" s="138">
        <f>F21-IncState!G8</f>
        <v>13232</v>
      </c>
      <c r="H21" s="138">
        <f>G21-IncState!H8</f>
        <v>13063</v>
      </c>
      <c r="I21" s="138">
        <f>H21-IncState!I8</f>
        <v>12894</v>
      </c>
      <c r="J21" s="138">
        <f>I21-IncState!J8</f>
        <v>12725</v>
      </c>
      <c r="K21" s="138">
        <f>J21-IncState!K8</f>
        <v>12556</v>
      </c>
      <c r="L21" s="138">
        <f>K21-IncState!L8</f>
        <v>12387</v>
      </c>
      <c r="M21" s="138">
        <f>L21-IncState!M8</f>
        <v>12218</v>
      </c>
      <c r="N21" s="138"/>
      <c r="O21" s="138"/>
    </row>
    <row r="22" spans="1:15" x14ac:dyDescent="0.25">
      <c r="B22" s="4" t="s">
        <v>158</v>
      </c>
      <c r="C22" s="208">
        <f>777+841</f>
        <v>1618</v>
      </c>
      <c r="D22" s="208">
        <f>1191+1223</f>
        <v>2414</v>
      </c>
      <c r="E22" s="209">
        <f>1554+1657</f>
        <v>3211</v>
      </c>
      <c r="F22" s="4">
        <f>F7*IncState!F16</f>
        <v>3526.2872015810276</v>
      </c>
      <c r="G22" s="4">
        <f>G7*IncState!G16</f>
        <v>3874.8068643354795</v>
      </c>
      <c r="H22" s="4">
        <f>H7*IncState!H16</f>
        <v>4260.1818546087288</v>
      </c>
      <c r="I22" s="4">
        <f>I7*IncState!I16</f>
        <v>4686.4376304489615</v>
      </c>
      <c r="J22" s="4">
        <f>J7*IncState!J16</f>
        <v>5158.0474413421425</v>
      </c>
      <c r="K22" s="4">
        <f>K7*IncState!K16</f>
        <v>5679.9826300011591</v>
      </c>
      <c r="L22" s="4">
        <f>L7*IncState!L16</f>
        <v>6257.7686137274623</v>
      </c>
      <c r="M22" s="4">
        <f>M7*IncState!M16</f>
        <v>6897.5471883286609</v>
      </c>
    </row>
    <row r="23" spans="1:15" s="11" customFormat="1" x14ac:dyDescent="0.25">
      <c r="B23" s="11" t="s">
        <v>71</v>
      </c>
      <c r="C23" s="11">
        <f>SUM(C20:C22)</f>
        <v>18169</v>
      </c>
      <c r="D23" s="11">
        <f>SUM(D20:D22)</f>
        <v>18695</v>
      </c>
      <c r="E23" s="26">
        <f>SUM(E20:E22)</f>
        <v>18998</v>
      </c>
      <c r="F23" s="11">
        <f>SUM(F20:F22)</f>
        <v>18825.126742725486</v>
      </c>
      <c r="G23" s="11">
        <f t="shared" ref="G23:M23" si="7">SUM(G20:G22)</f>
        <v>18809.023307253756</v>
      </c>
      <c r="H23" s="11">
        <f t="shared" si="7"/>
        <v>18921.060606457409</v>
      </c>
      <c r="I23" s="11">
        <f t="shared" si="7"/>
        <v>19142.668976061123</v>
      </c>
      <c r="J23" s="11">
        <f t="shared" si="7"/>
        <v>19462.641753302298</v>
      </c>
      <c r="K23" s="11">
        <f t="shared" si="7"/>
        <v>19875.238397073015</v>
      </c>
      <c r="L23" s="11">
        <f t="shared" si="7"/>
        <v>20378.859358057343</v>
      </c>
      <c r="M23" s="11">
        <f t="shared" si="7"/>
        <v>20975.130825869186</v>
      </c>
    </row>
    <row r="24" spans="1:15" x14ac:dyDescent="0.25">
      <c r="E24" s="29"/>
      <c r="I24" s="4"/>
      <c r="J24" s="4"/>
    </row>
    <row r="25" spans="1:15" s="11" customFormat="1" x14ac:dyDescent="0.25">
      <c r="A25" s="11" t="s">
        <v>122</v>
      </c>
      <c r="B25" s="18" t="s">
        <v>72</v>
      </c>
      <c r="C25" s="19">
        <f>SUM(C23,C18)</f>
        <v>27165</v>
      </c>
      <c r="D25" s="19">
        <f>SUM(D23,D18)</f>
        <v>29779</v>
      </c>
      <c r="E25" s="19">
        <f>SUM(E23,E18)</f>
        <v>30230</v>
      </c>
      <c r="F25" s="19">
        <f>SUM(F23,F18)</f>
        <v>33258.044034861661</v>
      </c>
      <c r="G25" s="19">
        <f t="shared" ref="G25:M25" si="8">SUM(G23,G18)</f>
        <v>38486.374800556689</v>
      </c>
      <c r="H25" s="19">
        <f t="shared" si="8"/>
        <v>44490.507107393001</v>
      </c>
      <c r="I25" s="19">
        <f t="shared" si="8"/>
        <v>52953.117039859106</v>
      </c>
      <c r="J25" s="19">
        <f t="shared" si="8"/>
        <v>63265.951173971996</v>
      </c>
      <c r="K25" s="19">
        <f t="shared" si="8"/>
        <v>74630.838010319654</v>
      </c>
      <c r="L25" s="19">
        <f t="shared" si="8"/>
        <v>87160.813168692694</v>
      </c>
      <c r="M25" s="19">
        <f t="shared" si="8"/>
        <v>100981.3711975849</v>
      </c>
    </row>
    <row r="26" spans="1:15" x14ac:dyDescent="0.25">
      <c r="A26" s="11"/>
      <c r="E26" s="29"/>
      <c r="I26" s="4"/>
      <c r="J26" s="4"/>
      <c r="N26" s="6"/>
      <c r="O26" s="6"/>
    </row>
    <row r="27" spans="1:15" x14ac:dyDescent="0.25">
      <c r="B27" s="4" t="s">
        <v>73</v>
      </c>
      <c r="C27" s="9">
        <v>500</v>
      </c>
      <c r="D27" s="9">
        <v>0</v>
      </c>
      <c r="E27" s="47">
        <v>1499</v>
      </c>
      <c r="F27" s="359">
        <f>MIN(CashFlow!F22,0)</f>
        <v>0</v>
      </c>
      <c r="G27" s="359">
        <f>MIN(CashFlow!G22,0)</f>
        <v>0</v>
      </c>
      <c r="H27" s="359">
        <f>MIN(CashFlow!H22,0)</f>
        <v>0</v>
      </c>
      <c r="I27" s="359">
        <f>MIN(CashFlow!I22,0)</f>
        <v>0</v>
      </c>
      <c r="J27" s="359">
        <f>MIN(CashFlow!J22,0)</f>
        <v>0</v>
      </c>
      <c r="K27" s="359">
        <f>MIN(CashFlow!K22,0)</f>
        <v>0</v>
      </c>
      <c r="L27" s="359">
        <f>MIN(CashFlow!L22,0)</f>
        <v>0</v>
      </c>
      <c r="M27" s="359">
        <f>MIN(CashFlow!M22,0)</f>
        <v>0</v>
      </c>
    </row>
    <row r="28" spans="1:15" x14ac:dyDescent="0.25">
      <c r="B28" s="4" t="s">
        <v>148</v>
      </c>
      <c r="C28" s="208">
        <f>379+1790+75</f>
        <v>2244</v>
      </c>
      <c r="D28" s="9">
        <f>314+1942+85</f>
        <v>2341</v>
      </c>
      <c r="E28" s="47">
        <f>361+119+2336</f>
        <v>2816</v>
      </c>
      <c r="F28" s="4">
        <f>F9*IncState!F17</f>
        <v>3092.5022608695654</v>
      </c>
      <c r="G28" s="4">
        <f>G9*IncState!G17</f>
        <v>3398.148903758552</v>
      </c>
      <c r="H28" s="4">
        <f>H9*IncState!H17</f>
        <v>3736.1171294232886</v>
      </c>
      <c r="I28" s="4">
        <f>I9*IncState!I17</f>
        <v>4109.9372056506618</v>
      </c>
      <c r="J28" s="4">
        <f>J9*IncState!J17</f>
        <v>4523.5321067640843</v>
      </c>
      <c r="K28" s="4">
        <f>K9*IncState!K17</f>
        <v>4981.261627556295</v>
      </c>
      <c r="L28" s="4">
        <f>L9*IncState!L17</f>
        <v>5487.9714781241155</v>
      </c>
      <c r="M28" s="4">
        <f>M9*IncState!M17</f>
        <v>6049.0479234922177</v>
      </c>
    </row>
    <row r="29" spans="1:15" x14ac:dyDescent="0.25">
      <c r="B29" s="4" t="s">
        <v>74</v>
      </c>
      <c r="C29" s="208">
        <f>5297+87</f>
        <v>5384</v>
      </c>
      <c r="D29" s="9">
        <f>73+5837</f>
        <v>5910</v>
      </c>
      <c r="E29" s="47">
        <f>75+6131</f>
        <v>6206</v>
      </c>
      <c r="F29" s="4">
        <f>F10*(IncState!F16)</f>
        <v>6815.3654229249005</v>
      </c>
      <c r="G29" s="4">
        <f>G10*(IncState!G16)</f>
        <v>7488.9602616212969</v>
      </c>
      <c r="H29" s="4">
        <f>H10*(IncState!H16)</f>
        <v>8233.7865430401034</v>
      </c>
      <c r="I29" s="4">
        <f>I10*(IncState!I16)</f>
        <v>9057.6243956917624</v>
      </c>
      <c r="J29" s="4">
        <f>J10*(IncState!J16)</f>
        <v>9969.1194085859024</v>
      </c>
      <c r="K29" s="4">
        <f>K10*(IncState!K16)</f>
        <v>10977.879851070442</v>
      </c>
      <c r="L29" s="4">
        <f>L10*(IncState!L16)</f>
        <v>12094.584869757904</v>
      </c>
      <c r="M29" s="4">
        <f>M10*(IncState!M16)</f>
        <v>13331.104905253089</v>
      </c>
    </row>
    <row r="30" spans="1:15" s="11" customFormat="1" x14ac:dyDescent="0.25">
      <c r="B30" s="11" t="s">
        <v>75</v>
      </c>
      <c r="C30" s="11">
        <f t="shared" ref="C30:E30" si="9">SUM(C27:C29)</f>
        <v>8128</v>
      </c>
      <c r="D30" s="11">
        <f t="shared" si="9"/>
        <v>8251</v>
      </c>
      <c r="E30" s="26">
        <f t="shared" si="9"/>
        <v>10521</v>
      </c>
      <c r="F30" s="11">
        <f>SUM(F27:F29)</f>
        <v>9907.8676837944658</v>
      </c>
      <c r="G30" s="11">
        <f t="shared" ref="G30:M30" si="10">SUM(G27:G29)</f>
        <v>10887.109165379848</v>
      </c>
      <c r="H30" s="11">
        <f t="shared" si="10"/>
        <v>11969.903672463392</v>
      </c>
      <c r="I30" s="11">
        <f t="shared" si="10"/>
        <v>13167.561601342424</v>
      </c>
      <c r="J30" s="11">
        <f t="shared" si="10"/>
        <v>14492.651515349986</v>
      </c>
      <c r="K30" s="11">
        <f t="shared" si="10"/>
        <v>15959.141478626738</v>
      </c>
      <c r="L30" s="11">
        <f t="shared" si="10"/>
        <v>17582.556347882019</v>
      </c>
      <c r="M30" s="11">
        <f t="shared" si="10"/>
        <v>19380.152828745307</v>
      </c>
    </row>
    <row r="31" spans="1:15" x14ac:dyDescent="0.25">
      <c r="B31" s="11"/>
      <c r="E31" s="29"/>
      <c r="I31" s="4"/>
      <c r="J31" s="4"/>
    </row>
    <row r="32" spans="1:15" x14ac:dyDescent="0.25">
      <c r="B32" s="4" t="s">
        <v>76</v>
      </c>
      <c r="C32" s="208">
        <v>3629</v>
      </c>
      <c r="D32" s="9">
        <v>3634</v>
      </c>
      <c r="E32" s="47">
        <v>4129</v>
      </c>
      <c r="F32" s="4">
        <f>Debt!F20</f>
        <v>4129</v>
      </c>
      <c r="G32" s="4">
        <f>Debt!G20</f>
        <v>4129</v>
      </c>
      <c r="H32" s="4">
        <f>Debt!H20</f>
        <v>4129</v>
      </c>
      <c r="I32" s="4">
        <f>Debt!I20</f>
        <v>4129</v>
      </c>
      <c r="J32" s="4">
        <f>Debt!J20</f>
        <v>4129</v>
      </c>
      <c r="K32" s="4">
        <f>Debt!K20</f>
        <v>4129</v>
      </c>
      <c r="L32" s="4">
        <f>Debt!L20</f>
        <v>4129</v>
      </c>
      <c r="M32" s="4">
        <f>Debt!M20</f>
        <v>4129</v>
      </c>
    </row>
    <row r="33" spans="1:15" x14ac:dyDescent="0.25">
      <c r="B33" s="4" t="s">
        <v>77</v>
      </c>
      <c r="C33" s="208">
        <f>117+530+417+293</f>
        <v>1357</v>
      </c>
      <c r="D33" s="9">
        <f>113+514+373+376</f>
        <v>1376</v>
      </c>
      <c r="E33" s="47">
        <f>128+548+353+446</f>
        <v>1475</v>
      </c>
      <c r="F33" s="4">
        <f>F11*IncState!F16</f>
        <v>1619.8298418972333</v>
      </c>
      <c r="G33" s="4">
        <f>G11*IncState!G16</f>
        <v>1779.9252958252359</v>
      </c>
      <c r="H33" s="4">
        <f>H11*IncState!H16</f>
        <v>1956.9505560722127</v>
      </c>
      <c r="I33" s="4">
        <f>I11*IncState!I16</f>
        <v>2152.7547508290932</v>
      </c>
      <c r="J33" s="4">
        <f>J11*IncState!J16</f>
        <v>2369.3927050699658</v>
      </c>
      <c r="K33" s="4">
        <f>K11*IncState!K16</f>
        <v>2609.1480471042382</v>
      </c>
      <c r="L33" s="4">
        <f>L11*IncState!L16</f>
        <v>2874.5589240884483</v>
      </c>
      <c r="M33" s="4">
        <f>M11*IncState!M16</f>
        <v>3168.4466218576067</v>
      </c>
    </row>
    <row r="34" spans="1:15" x14ac:dyDescent="0.25">
      <c r="B34" s="11" t="s">
        <v>78</v>
      </c>
      <c r="C34" s="11">
        <f t="shared" ref="C34:E34" si="11">SUM(C32:C33)</f>
        <v>4986</v>
      </c>
      <c r="D34" s="11">
        <f t="shared" si="11"/>
        <v>5010</v>
      </c>
      <c r="E34" s="26">
        <f t="shared" si="11"/>
        <v>5604</v>
      </c>
      <c r="F34" s="11">
        <f>SUM(F32:F33)</f>
        <v>5748.8298418972336</v>
      </c>
      <c r="G34" s="11">
        <f t="shared" ref="G34:M34" si="12">SUM(G32:G33)</f>
        <v>5908.9252958252364</v>
      </c>
      <c r="H34" s="11">
        <f t="shared" si="12"/>
        <v>6085.9505560722127</v>
      </c>
      <c r="I34" s="11">
        <f t="shared" si="12"/>
        <v>6281.7547508290936</v>
      </c>
      <c r="J34" s="11">
        <f t="shared" si="12"/>
        <v>6498.3927050699658</v>
      </c>
      <c r="K34" s="11">
        <f t="shared" si="12"/>
        <v>6738.1480471042378</v>
      </c>
      <c r="L34" s="11">
        <f t="shared" si="12"/>
        <v>7003.5589240884483</v>
      </c>
      <c r="M34" s="11">
        <f t="shared" si="12"/>
        <v>7297.4466218576072</v>
      </c>
      <c r="N34" s="11"/>
      <c r="O34" s="11"/>
    </row>
    <row r="35" spans="1:15" x14ac:dyDescent="0.25">
      <c r="E35" s="29"/>
      <c r="I35" s="4"/>
      <c r="J35" s="4"/>
    </row>
    <row r="36" spans="1:15" x14ac:dyDescent="0.25">
      <c r="B36" s="4" t="s">
        <v>17</v>
      </c>
      <c r="C36" s="210">
        <v>14051</v>
      </c>
      <c r="D36" s="210">
        <v>16518</v>
      </c>
      <c r="E36" s="244">
        <v>14105</v>
      </c>
      <c r="F36" s="4">
        <f>Calcs!F16</f>
        <v>17601.346509169962</v>
      </c>
      <c r="G36" s="4">
        <f>Calcs!G16</f>
        <v>21690.340339351598</v>
      </c>
      <c r="H36" s="4">
        <f>Calcs!H16</f>
        <v>26434.6528788574</v>
      </c>
      <c r="I36" s="4">
        <f>Calcs!I16</f>
        <v>33503.800687687581</v>
      </c>
      <c r="J36" s="4">
        <f>Calcs!J16</f>
        <v>42274.906953552039</v>
      </c>
      <c r="K36" s="4">
        <f>Calcs!K16</f>
        <v>51933.548484588675</v>
      </c>
      <c r="L36" s="4">
        <f>Calcs!L16</f>
        <v>62574.697896722224</v>
      </c>
      <c r="M36" s="4">
        <f>Calcs!M16</f>
        <v>74303.771746981976</v>
      </c>
    </row>
    <row r="37" spans="1:15" s="11" customFormat="1" x14ac:dyDescent="0.25">
      <c r="A37" s="11" t="s">
        <v>122</v>
      </c>
      <c r="B37" s="18" t="s">
        <v>79</v>
      </c>
      <c r="C37" s="19">
        <f>SUM(C36,C34,C30)</f>
        <v>27165</v>
      </c>
      <c r="D37" s="19">
        <f>SUM(D36,D34,D30)</f>
        <v>29779</v>
      </c>
      <c r="E37" s="19">
        <f t="shared" ref="E37:F37" si="13">SUM(E36,E34,E30)</f>
        <v>30230</v>
      </c>
      <c r="F37" s="19">
        <f t="shared" si="13"/>
        <v>33258.044034861661</v>
      </c>
      <c r="G37" s="19">
        <f t="shared" ref="G37:M37" si="14">SUM(G36,G34,G30)</f>
        <v>38486.374800556681</v>
      </c>
      <c r="H37" s="19">
        <f t="shared" si="14"/>
        <v>44490.507107393001</v>
      </c>
      <c r="I37" s="19">
        <f t="shared" si="14"/>
        <v>52953.117039859098</v>
      </c>
      <c r="J37" s="19">
        <f t="shared" si="14"/>
        <v>63265.951173971989</v>
      </c>
      <c r="K37" s="19">
        <f t="shared" si="14"/>
        <v>74630.838010319654</v>
      </c>
      <c r="L37" s="19">
        <f t="shared" si="14"/>
        <v>87160.813168692694</v>
      </c>
      <c r="M37" s="19">
        <f t="shared" si="14"/>
        <v>100981.3711975849</v>
      </c>
    </row>
    <row r="38" spans="1:15" x14ac:dyDescent="0.25">
      <c r="E38" s="29"/>
      <c r="I38" s="4"/>
      <c r="J38" s="4"/>
      <c r="N38" s="6"/>
      <c r="O38" s="6"/>
    </row>
    <row r="39" spans="1:15" x14ac:dyDescent="0.25">
      <c r="A39" s="4" t="s">
        <v>122</v>
      </c>
      <c r="B39" s="11" t="s">
        <v>80</v>
      </c>
      <c r="C39" s="48">
        <f>C37-C25</f>
        <v>0</v>
      </c>
      <c r="D39" s="48">
        <f t="shared" ref="D39:J39" si="15">D37-D25</f>
        <v>0</v>
      </c>
      <c r="E39" s="160">
        <f t="shared" si="15"/>
        <v>0</v>
      </c>
      <c r="F39" s="48">
        <f t="shared" si="15"/>
        <v>0</v>
      </c>
      <c r="G39" s="48">
        <f t="shared" ref="G39:M39" si="16">G37-G25</f>
        <v>0</v>
      </c>
      <c r="H39" s="48">
        <f t="shared" si="16"/>
        <v>0</v>
      </c>
      <c r="I39" s="48">
        <f t="shared" si="16"/>
        <v>0</v>
      </c>
      <c r="J39" s="48">
        <f t="shared" si="16"/>
        <v>0</v>
      </c>
      <c r="K39" s="48">
        <f t="shared" si="16"/>
        <v>0</v>
      </c>
      <c r="L39" s="48">
        <f t="shared" si="16"/>
        <v>0</v>
      </c>
      <c r="M39" s="48">
        <f t="shared" si="16"/>
        <v>0</v>
      </c>
      <c r="N39" s="48"/>
      <c r="O39" s="48"/>
    </row>
    <row r="40" spans="1:15" x14ac:dyDescent="0.25">
      <c r="I40" s="4"/>
      <c r="J40" s="4"/>
    </row>
    <row r="41" spans="1:15" x14ac:dyDescent="0.25">
      <c r="H41" s="6"/>
    </row>
    <row r="42" spans="1:15" x14ac:dyDescent="0.25">
      <c r="H42" s="6"/>
    </row>
    <row r="43" spans="1:15" x14ac:dyDescent="0.25">
      <c r="H43" s="6"/>
    </row>
    <row r="44" spans="1:15" x14ac:dyDescent="0.25">
      <c r="H44" s="6"/>
    </row>
    <row r="45" spans="1:15" x14ac:dyDescent="0.25">
      <c r="H45" s="6"/>
    </row>
    <row r="46" spans="1:15" x14ac:dyDescent="0.25">
      <c r="H46" s="6"/>
    </row>
    <row r="47" spans="1:15" x14ac:dyDescent="0.25">
      <c r="H47" s="6"/>
    </row>
    <row r="48" spans="1:15" x14ac:dyDescent="0.25">
      <c r="H48" s="6"/>
    </row>
    <row r="49" spans="8:8" x14ac:dyDescent="0.25">
      <c r="H49" s="6"/>
    </row>
    <row r="50" spans="8:8" x14ac:dyDescent="0.25">
      <c r="H50" s="6"/>
    </row>
    <row r="51" spans="8:8" x14ac:dyDescent="0.25">
      <c r="H51" s="6"/>
    </row>
    <row r="52" spans="8:8" x14ac:dyDescent="0.25">
      <c r="H52" s="6"/>
    </row>
  </sheetData>
  <conditionalFormatting sqref="F4:O12">
    <cfRule type="expression" dxfId="0" priority="37">
      <formula>$E$11&gt;1</formula>
    </cfRule>
  </conditionalFormatting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11">
    <pageSetUpPr autoPageBreaks="0" fitToPage="1"/>
  </sheetPr>
  <dimension ref="A1:O22"/>
  <sheetViews>
    <sheetView showGridLines="0" topLeftCell="C1" zoomScaleNormal="100" workbookViewId="0">
      <selection activeCell="F22" sqref="F4:M22"/>
    </sheetView>
  </sheetViews>
  <sheetFormatPr defaultColWidth="8.85546875" defaultRowHeight="15" x14ac:dyDescent="0.25"/>
  <cols>
    <col min="1" max="1" width="1.7109375" style="4" customWidth="1"/>
    <col min="2" max="2" width="40.7109375" style="4" customWidth="1"/>
    <col min="3" max="8" width="11.7109375" style="4" customWidth="1"/>
    <col min="9" max="10" width="11.7109375" style="6" customWidth="1"/>
    <col min="11" max="13" width="11.7109375" style="4" customWidth="1"/>
    <col min="14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327" t="str">
        <f>CoName</f>
        <v>Adobe Inc.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s="43"/>
      <c r="O1" s="43"/>
    </row>
    <row r="2" spans="1:15" s="2" customFormat="1" x14ac:dyDescent="0.25">
      <c r="A2" s="197" t="s">
        <v>81</v>
      </c>
      <c r="B2" s="198"/>
      <c r="C2" s="203">
        <v>2022</v>
      </c>
      <c r="D2" s="203">
        <f>C2+1</f>
        <v>2023</v>
      </c>
      <c r="E2" s="203">
        <f t="shared" ref="E2:M2" si="0">D2+1</f>
        <v>2024</v>
      </c>
      <c r="F2" s="203">
        <f t="shared" si="0"/>
        <v>2025</v>
      </c>
      <c r="G2" s="203">
        <f t="shared" si="0"/>
        <v>2026</v>
      </c>
      <c r="H2" s="203">
        <f t="shared" si="0"/>
        <v>2027</v>
      </c>
      <c r="I2" s="203">
        <f t="shared" si="0"/>
        <v>2028</v>
      </c>
      <c r="J2" s="203">
        <f t="shared" si="0"/>
        <v>2029</v>
      </c>
      <c r="K2" s="203">
        <f t="shared" si="0"/>
        <v>2030</v>
      </c>
      <c r="L2" s="203">
        <f t="shared" si="0"/>
        <v>2031</v>
      </c>
      <c r="M2" s="203">
        <f t="shared" si="0"/>
        <v>2032</v>
      </c>
      <c r="N2" s="232"/>
      <c r="O2" s="232"/>
    </row>
    <row r="3" spans="1:15" x14ac:dyDescent="0.25">
      <c r="B3" s="4" t="s">
        <v>153</v>
      </c>
      <c r="F3" s="4">
        <f>IncState!F35</f>
        <v>5996.3465091699609</v>
      </c>
      <c r="G3" s="4">
        <f>IncState!G35</f>
        <v>6588.9938301816355</v>
      </c>
      <c r="H3" s="4">
        <f>IncState!H35</f>
        <v>7244.3125395058023</v>
      </c>
      <c r="I3" s="4">
        <f>IncState!I35</f>
        <v>7969.1478088301837</v>
      </c>
      <c r="J3" s="4">
        <f>IncState!J35</f>
        <v>8771.1062658644587</v>
      </c>
      <c r="K3" s="4">
        <f>IncState!K35</f>
        <v>9658.6415310366338</v>
      </c>
      <c r="L3" s="4">
        <f>IncState!L35</f>
        <v>10641.149412133551</v>
      </c>
      <c r="M3" s="4">
        <f>IncState!M35</f>
        <v>11729.073850259745</v>
      </c>
    </row>
    <row r="4" spans="1:15" x14ac:dyDescent="0.25">
      <c r="B4" s="4" t="s">
        <v>15</v>
      </c>
      <c r="F4" s="4">
        <f>Calcs!F8</f>
        <v>638.73366834170861</v>
      </c>
      <c r="G4" s="4">
        <f>Calcs!G8</f>
        <v>546.7812413347516</v>
      </c>
      <c r="H4" s="4">
        <f>Calcs!H8</f>
        <v>490.42081772519907</v>
      </c>
      <c r="I4" s="4">
        <f>Calcs!I8</f>
        <v>460.3603774170407</v>
      </c>
      <c r="J4" s="4">
        <f>Calcs!J8</f>
        <v>450.09010292343658</v>
      </c>
      <c r="K4" s="4">
        <f>Calcs!K8</f>
        <v>455.09249858818532</v>
      </c>
      <c r="L4" s="4">
        <f>Calcs!L8</f>
        <v>472.28139352824007</v>
      </c>
      <c r="M4" s="4">
        <f>Calcs!M8</f>
        <v>499.60403354227691</v>
      </c>
    </row>
    <row r="5" spans="1:15" x14ac:dyDescent="0.25">
      <c r="B5" s="4" t="s">
        <v>53</v>
      </c>
      <c r="F5" s="4">
        <f>IncState!F23</f>
        <v>169</v>
      </c>
      <c r="G5" s="4">
        <f>IncState!G23</f>
        <v>169</v>
      </c>
      <c r="H5" s="4">
        <f>IncState!H23</f>
        <v>169</v>
      </c>
      <c r="I5" s="4">
        <f>IncState!I23</f>
        <v>169</v>
      </c>
      <c r="J5" s="4">
        <f>IncState!J23</f>
        <v>169</v>
      </c>
      <c r="K5" s="4">
        <f>IncState!K23</f>
        <v>169</v>
      </c>
      <c r="L5" s="4">
        <f>IncState!L23</f>
        <v>169</v>
      </c>
      <c r="M5" s="4">
        <f>IncState!M23</f>
        <v>169</v>
      </c>
    </row>
    <row r="6" spans="1:15" x14ac:dyDescent="0.25">
      <c r="B6" s="4" t="s">
        <v>87</v>
      </c>
      <c r="F6" s="4">
        <f>Calcs!F24</f>
        <v>451.74636956521681</v>
      </c>
      <c r="G6" s="4">
        <f>Calcs!G24</f>
        <v>499.36214214187021</v>
      </c>
      <c r="H6" s="4">
        <f>Calcs!H24</f>
        <v>552.16879056357902</v>
      </c>
      <c r="I6" s="4">
        <f>Calcs!I24</f>
        <v>610.74315188319724</v>
      </c>
      <c r="J6" s="4">
        <f>Calcs!J24</f>
        <v>675.72682574487771</v>
      </c>
      <c r="K6" s="4">
        <f>Calcs!K24</f>
        <v>747.83348465368272</v>
      </c>
      <c r="L6" s="4">
        <f>Calcs!L24</f>
        <v>827.85701171871187</v>
      </c>
      <c r="M6" s="4">
        <f>Calcs!M24</f>
        <v>916.68055966878637</v>
      </c>
    </row>
    <row r="7" spans="1:15" x14ac:dyDescent="0.25">
      <c r="B7" s="4" t="s">
        <v>219</v>
      </c>
      <c r="F7" s="4">
        <f>BalSheet!E22-BalSheet!F22</f>
        <v>-315.2872015810276</v>
      </c>
      <c r="G7" s="4">
        <f>BalSheet!F22-BalSheet!G22</f>
        <v>-348.51966275445193</v>
      </c>
      <c r="H7" s="4">
        <f>BalSheet!G22-BalSheet!H22</f>
        <v>-385.3749902732493</v>
      </c>
      <c r="I7" s="4">
        <f>BalSheet!H22-BalSheet!I22</f>
        <v>-426.25577584023267</v>
      </c>
      <c r="J7" s="4">
        <f>BalSheet!I22-BalSheet!J22</f>
        <v>-471.60981089318102</v>
      </c>
      <c r="K7" s="4">
        <f>BalSheet!J22-BalSheet!K22</f>
        <v>-521.9351886590166</v>
      </c>
      <c r="L7" s="4">
        <f>BalSheet!K22-BalSheet!L22</f>
        <v>-577.78598372630313</v>
      </c>
      <c r="M7" s="4">
        <f>BalSheet!L22-BalSheet!M22</f>
        <v>-639.77857460119867</v>
      </c>
    </row>
    <row r="8" spans="1:15" x14ac:dyDescent="0.25">
      <c r="B8" s="4" t="s">
        <v>220</v>
      </c>
      <c r="F8" s="4">
        <f>BalSheet!F33-BalSheet!E33</f>
        <v>144.82984189723334</v>
      </c>
      <c r="G8" s="4">
        <f>BalSheet!G33-BalSheet!F33</f>
        <v>160.0954539280026</v>
      </c>
      <c r="H8" s="4">
        <f>BalSheet!H33-BalSheet!G33</f>
        <v>177.02526024697681</v>
      </c>
      <c r="I8" s="4">
        <f>BalSheet!I33-BalSheet!H33</f>
        <v>195.80419475688041</v>
      </c>
      <c r="J8" s="4">
        <f>BalSheet!J33-BalSheet!I33</f>
        <v>216.63795424087266</v>
      </c>
      <c r="K8" s="4">
        <f>BalSheet!K33-BalSheet!J33</f>
        <v>239.75534203427242</v>
      </c>
      <c r="L8" s="4">
        <f>BalSheet!L33-BalSheet!K33</f>
        <v>265.41087698421006</v>
      </c>
      <c r="M8" s="4">
        <f>BalSheet!M33-BalSheet!L33</f>
        <v>293.88769776915842</v>
      </c>
    </row>
    <row r="9" spans="1:15" s="11" customFormat="1" x14ac:dyDescent="0.25">
      <c r="B9" s="11" t="s">
        <v>221</v>
      </c>
      <c r="F9" s="11">
        <f>SUM(F3:F8)</f>
        <v>7085.3691873930929</v>
      </c>
      <c r="G9" s="11">
        <f t="shared" ref="G9:M9" si="1">SUM(G3:G8)</f>
        <v>7615.7130048318086</v>
      </c>
      <c r="H9" s="11">
        <f t="shared" si="1"/>
        <v>8247.5524177683092</v>
      </c>
      <c r="I9" s="11">
        <f t="shared" si="1"/>
        <v>8978.7997570470707</v>
      </c>
      <c r="J9" s="11">
        <f t="shared" si="1"/>
        <v>9810.9513378804659</v>
      </c>
      <c r="K9" s="11">
        <f t="shared" si="1"/>
        <v>10748.387667653757</v>
      </c>
      <c r="L9" s="11">
        <f t="shared" si="1"/>
        <v>11797.912710638408</v>
      </c>
      <c r="M9" s="11">
        <f t="shared" si="1"/>
        <v>12968.467566638767</v>
      </c>
    </row>
    <row r="10" spans="1:15" x14ac:dyDescent="0.25">
      <c r="I10" s="4"/>
      <c r="J10" s="4"/>
    </row>
    <row r="11" spans="1:15" x14ac:dyDescent="0.25">
      <c r="B11" s="4" t="s">
        <v>14</v>
      </c>
      <c r="F11" s="4">
        <f>Calcs!F7</f>
        <v>319.57320948616598</v>
      </c>
      <c r="G11" s="4">
        <f>Calcs!G7</f>
        <v>351.15814310857195</v>
      </c>
      <c r="H11" s="4">
        <f>Calcs!H7</f>
        <v>386.08312665560265</v>
      </c>
      <c r="I11" s="4">
        <f>Calcs!I7</f>
        <v>424.71297118051939</v>
      </c>
      <c r="J11" s="4">
        <f>Calcs!J7</f>
        <v>467.45306927143054</v>
      </c>
      <c r="K11" s="4">
        <f>Calcs!K7</f>
        <v>514.75395369988701</v>
      </c>
      <c r="L11" s="4">
        <f>Calcs!L7</f>
        <v>567.11637078626336</v>
      </c>
      <c r="M11" s="4">
        <f>Calcs!M7</f>
        <v>625.09692675292445</v>
      </c>
    </row>
    <row r="12" spans="1:15" s="11" customFormat="1" x14ac:dyDescent="0.25">
      <c r="B12" s="11" t="s">
        <v>222</v>
      </c>
      <c r="F12" s="11">
        <f>-F11</f>
        <v>-319.57320948616598</v>
      </c>
      <c r="G12" s="11">
        <f t="shared" ref="G12:M12" si="2">-G11</f>
        <v>-351.15814310857195</v>
      </c>
      <c r="H12" s="11">
        <f t="shared" si="2"/>
        <v>-386.08312665560265</v>
      </c>
      <c r="I12" s="11">
        <f t="shared" si="2"/>
        <v>-424.71297118051939</v>
      </c>
      <c r="J12" s="11">
        <f t="shared" si="2"/>
        <v>-467.45306927143054</v>
      </c>
      <c r="K12" s="11">
        <f t="shared" si="2"/>
        <v>-514.75395369988701</v>
      </c>
      <c r="L12" s="11">
        <f t="shared" si="2"/>
        <v>-567.11637078626336</v>
      </c>
      <c r="M12" s="11">
        <f t="shared" si="2"/>
        <v>-625.09692675292445</v>
      </c>
    </row>
    <row r="13" spans="1:15" x14ac:dyDescent="0.25">
      <c r="I13" s="4"/>
      <c r="J13" s="4"/>
    </row>
    <row r="14" spans="1:15" x14ac:dyDescent="0.25">
      <c r="B14" s="4" t="s">
        <v>223</v>
      </c>
      <c r="F14" s="4">
        <f>Calcs!F11</f>
        <v>-2500</v>
      </c>
      <c r="G14" s="4">
        <f>Calcs!G11</f>
        <v>-2500</v>
      </c>
      <c r="H14" s="4">
        <f>Calcs!H11</f>
        <v>-2500</v>
      </c>
      <c r="I14" s="4">
        <f>Calcs!I11</f>
        <v>-900</v>
      </c>
      <c r="J14" s="4">
        <f>Calcs!J11</f>
        <v>0</v>
      </c>
      <c r="K14" s="4">
        <f>Calcs!K11</f>
        <v>0</v>
      </c>
      <c r="L14" s="4">
        <f>Calcs!L11</f>
        <v>0</v>
      </c>
      <c r="M14" s="4">
        <f>Calcs!M11</f>
        <v>0</v>
      </c>
    </row>
    <row r="15" spans="1:15" x14ac:dyDescent="0.25">
      <c r="B15" s="4" t="s">
        <v>224</v>
      </c>
      <c r="F15" s="4">
        <f>SUM(Debt!F8:F9)</f>
        <v>-1499</v>
      </c>
      <c r="G15" s="4">
        <f>SUM(Debt!G8:G9)</f>
        <v>0</v>
      </c>
      <c r="H15" s="4">
        <f>SUM(Debt!H8:H9)</f>
        <v>0</v>
      </c>
      <c r="I15" s="4">
        <f>SUM(Debt!I8:I9)</f>
        <v>0</v>
      </c>
      <c r="J15" s="4">
        <f>SUM(Debt!J8:J9)</f>
        <v>0</v>
      </c>
      <c r="K15" s="4">
        <f>SUM(Debt!K8:K9)</f>
        <v>0</v>
      </c>
      <c r="L15" s="4">
        <f>SUM(Debt!L8:L9)</f>
        <v>0</v>
      </c>
      <c r="M15" s="4">
        <f>SUM(Debt!M8:M9)</f>
        <v>0</v>
      </c>
    </row>
    <row r="16" spans="1:15" s="11" customFormat="1" x14ac:dyDescent="0.25">
      <c r="B16" s="11" t="s">
        <v>225</v>
      </c>
      <c r="F16" s="11">
        <f>SUM(F14:F15)</f>
        <v>-3999</v>
      </c>
      <c r="G16" s="11">
        <f t="shared" ref="G16:M16" si="3">SUM(G14:G15)</f>
        <v>-2500</v>
      </c>
      <c r="H16" s="11">
        <f t="shared" si="3"/>
        <v>-2500</v>
      </c>
      <c r="I16" s="11">
        <f t="shared" si="3"/>
        <v>-900</v>
      </c>
      <c r="J16" s="11">
        <f t="shared" si="3"/>
        <v>0</v>
      </c>
      <c r="K16" s="11">
        <f t="shared" si="3"/>
        <v>0</v>
      </c>
      <c r="L16" s="11">
        <f t="shared" si="3"/>
        <v>0</v>
      </c>
      <c r="M16" s="11">
        <f t="shared" si="3"/>
        <v>0</v>
      </c>
    </row>
    <row r="17" spans="2:13" x14ac:dyDescent="0.25">
      <c r="I17" s="4"/>
      <c r="J17" s="4"/>
    </row>
    <row r="18" spans="2:13" x14ac:dyDescent="0.25">
      <c r="B18" s="4" t="s">
        <v>226</v>
      </c>
      <c r="F18" s="4">
        <f>SUM(F16,F12,F9)</f>
        <v>2766.795977906927</v>
      </c>
      <c r="G18" s="4">
        <f t="shared" ref="G18:M18" si="4">SUM(G16,G12,G9)</f>
        <v>4764.5548617232362</v>
      </c>
      <c r="H18" s="4">
        <f t="shared" si="4"/>
        <v>5361.4692911127067</v>
      </c>
      <c r="I18" s="4">
        <f t="shared" si="4"/>
        <v>7654.0867858665515</v>
      </c>
      <c r="J18" s="4">
        <f t="shared" si="4"/>
        <v>9343.4982686090352</v>
      </c>
      <c r="K18" s="4">
        <f t="shared" si="4"/>
        <v>10233.63371395387</v>
      </c>
      <c r="L18" s="4">
        <f t="shared" si="4"/>
        <v>11230.796339852144</v>
      </c>
      <c r="M18" s="4">
        <f t="shared" si="4"/>
        <v>12343.370639885841</v>
      </c>
    </row>
    <row r="19" spans="2:13" x14ac:dyDescent="0.25">
      <c r="I19" s="4"/>
      <c r="J19" s="4"/>
    </row>
    <row r="20" spans="2:13" x14ac:dyDescent="0.25">
      <c r="B20" s="4" t="s">
        <v>227</v>
      </c>
      <c r="F20" s="4">
        <f>BalSheet!E15</f>
        <v>6810.75</v>
      </c>
      <c r="G20" s="4">
        <f>BalSheet!F15</f>
        <v>9577.5459779069279</v>
      </c>
      <c r="H20" s="4">
        <f>BalSheet!G15</f>
        <v>14342.100839630164</v>
      </c>
      <c r="I20" s="4">
        <f>BalSheet!H15</f>
        <v>19703.570130742872</v>
      </c>
      <c r="J20" s="4">
        <f>BalSheet!I15</f>
        <v>27357.656916609423</v>
      </c>
      <c r="K20" s="4">
        <f>BalSheet!J15</f>
        <v>36701.155185218457</v>
      </c>
      <c r="L20" s="4">
        <f>BalSheet!K15</f>
        <v>46934.78889917233</v>
      </c>
      <c r="M20" s="4">
        <f>BalSheet!L15</f>
        <v>58165.585239024476</v>
      </c>
    </row>
    <row r="21" spans="2:13" x14ac:dyDescent="0.25">
      <c r="B21" s="4" t="s">
        <v>228</v>
      </c>
      <c r="F21" s="4">
        <f>F18</f>
        <v>2766.795977906927</v>
      </c>
      <c r="G21" s="4">
        <f t="shared" ref="G21:M21" si="5">G18</f>
        <v>4764.5548617232362</v>
      </c>
      <c r="H21" s="4">
        <f t="shared" si="5"/>
        <v>5361.4692911127067</v>
      </c>
      <c r="I21" s="4">
        <f t="shared" si="5"/>
        <v>7654.0867858665515</v>
      </c>
      <c r="J21" s="4">
        <f t="shared" si="5"/>
        <v>9343.4982686090352</v>
      </c>
      <c r="K21" s="4">
        <f t="shared" si="5"/>
        <v>10233.63371395387</v>
      </c>
      <c r="L21" s="4">
        <f t="shared" si="5"/>
        <v>11230.796339852144</v>
      </c>
      <c r="M21" s="4">
        <f t="shared" si="5"/>
        <v>12343.370639885841</v>
      </c>
    </row>
    <row r="22" spans="2:13" x14ac:dyDescent="0.25">
      <c r="B22" s="4" t="s">
        <v>229</v>
      </c>
      <c r="F22" s="4">
        <f>SUM(F20:F21)</f>
        <v>9577.5459779069279</v>
      </c>
      <c r="G22" s="4">
        <f t="shared" ref="G22:M22" si="6">SUM(G20:G21)</f>
        <v>14342.100839630164</v>
      </c>
      <c r="H22" s="4">
        <f t="shared" si="6"/>
        <v>19703.570130742872</v>
      </c>
      <c r="I22" s="4">
        <f t="shared" si="6"/>
        <v>27357.656916609423</v>
      </c>
      <c r="J22" s="4">
        <f t="shared" si="6"/>
        <v>36701.155185218457</v>
      </c>
      <c r="K22" s="4">
        <f t="shared" si="6"/>
        <v>46934.78889917233</v>
      </c>
      <c r="L22" s="4">
        <f t="shared" si="6"/>
        <v>58165.585239024476</v>
      </c>
      <c r="M22" s="4">
        <f t="shared" si="6"/>
        <v>70508.955878910318</v>
      </c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12">
    <pageSetUpPr autoPageBreaks="0" fitToPage="1"/>
  </sheetPr>
  <dimension ref="A1:O30"/>
  <sheetViews>
    <sheetView showGridLines="0" zoomScaleNormal="100" workbookViewId="0">
      <selection activeCell="F13" sqref="F3:M13"/>
    </sheetView>
  </sheetViews>
  <sheetFormatPr defaultColWidth="8.85546875" defaultRowHeight="15" x14ac:dyDescent="0.25"/>
  <cols>
    <col min="1" max="1" width="1.7109375" style="11" customWidth="1"/>
    <col min="2" max="2" width="40.7109375" style="4" customWidth="1"/>
    <col min="3" max="8" width="11.7109375" style="4" customWidth="1"/>
    <col min="9" max="10" width="11.7109375" style="6" customWidth="1"/>
    <col min="11" max="13" width="11.7109375" style="4" customWidth="1"/>
    <col min="14" max="256" width="8.85546875" style="4"/>
    <col min="257" max="257" width="1.7109375" style="4" customWidth="1"/>
    <col min="258" max="258" width="40.7109375" style="4" customWidth="1"/>
    <col min="259" max="264" width="10.7109375" style="4" customWidth="1"/>
    <col min="265" max="266" width="9.42578125" style="4" bestFit="1" customWidth="1"/>
    <col min="267" max="512" width="8.85546875" style="4"/>
    <col min="513" max="513" width="1.7109375" style="4" customWidth="1"/>
    <col min="514" max="514" width="40.7109375" style="4" customWidth="1"/>
    <col min="515" max="520" width="10.7109375" style="4" customWidth="1"/>
    <col min="521" max="522" width="9.42578125" style="4" bestFit="1" customWidth="1"/>
    <col min="523" max="768" width="8.85546875" style="4"/>
    <col min="769" max="769" width="1.7109375" style="4" customWidth="1"/>
    <col min="770" max="770" width="40.7109375" style="4" customWidth="1"/>
    <col min="771" max="776" width="10.7109375" style="4" customWidth="1"/>
    <col min="777" max="778" width="9.42578125" style="4" bestFit="1" customWidth="1"/>
    <col min="779" max="1024" width="8.85546875" style="4"/>
    <col min="1025" max="1025" width="1.7109375" style="4" customWidth="1"/>
    <col min="1026" max="1026" width="40.7109375" style="4" customWidth="1"/>
    <col min="1027" max="1032" width="10.7109375" style="4" customWidth="1"/>
    <col min="1033" max="1034" width="9.42578125" style="4" bestFit="1" customWidth="1"/>
    <col min="1035" max="1280" width="8.85546875" style="4"/>
    <col min="1281" max="1281" width="1.7109375" style="4" customWidth="1"/>
    <col min="1282" max="1282" width="40.7109375" style="4" customWidth="1"/>
    <col min="1283" max="1288" width="10.7109375" style="4" customWidth="1"/>
    <col min="1289" max="1290" width="9.42578125" style="4" bestFit="1" customWidth="1"/>
    <col min="1291" max="1536" width="8.85546875" style="4"/>
    <col min="1537" max="1537" width="1.7109375" style="4" customWidth="1"/>
    <col min="1538" max="1538" width="40.7109375" style="4" customWidth="1"/>
    <col min="1539" max="1544" width="10.7109375" style="4" customWidth="1"/>
    <col min="1545" max="1546" width="9.42578125" style="4" bestFit="1" customWidth="1"/>
    <col min="1547" max="1792" width="8.85546875" style="4"/>
    <col min="1793" max="1793" width="1.7109375" style="4" customWidth="1"/>
    <col min="1794" max="1794" width="40.7109375" style="4" customWidth="1"/>
    <col min="1795" max="1800" width="10.7109375" style="4" customWidth="1"/>
    <col min="1801" max="1802" width="9.42578125" style="4" bestFit="1" customWidth="1"/>
    <col min="1803" max="2048" width="8.85546875" style="4"/>
    <col min="2049" max="2049" width="1.7109375" style="4" customWidth="1"/>
    <col min="2050" max="2050" width="40.7109375" style="4" customWidth="1"/>
    <col min="2051" max="2056" width="10.7109375" style="4" customWidth="1"/>
    <col min="2057" max="2058" width="9.42578125" style="4" bestFit="1" customWidth="1"/>
    <col min="2059" max="2304" width="8.85546875" style="4"/>
    <col min="2305" max="2305" width="1.7109375" style="4" customWidth="1"/>
    <col min="2306" max="2306" width="40.7109375" style="4" customWidth="1"/>
    <col min="2307" max="2312" width="10.7109375" style="4" customWidth="1"/>
    <col min="2313" max="2314" width="9.42578125" style="4" bestFit="1" customWidth="1"/>
    <col min="2315" max="2560" width="8.85546875" style="4"/>
    <col min="2561" max="2561" width="1.7109375" style="4" customWidth="1"/>
    <col min="2562" max="2562" width="40.7109375" style="4" customWidth="1"/>
    <col min="2563" max="2568" width="10.7109375" style="4" customWidth="1"/>
    <col min="2569" max="2570" width="9.42578125" style="4" bestFit="1" customWidth="1"/>
    <col min="2571" max="2816" width="8.85546875" style="4"/>
    <col min="2817" max="2817" width="1.7109375" style="4" customWidth="1"/>
    <col min="2818" max="2818" width="40.7109375" style="4" customWidth="1"/>
    <col min="2819" max="2824" width="10.7109375" style="4" customWidth="1"/>
    <col min="2825" max="2826" width="9.42578125" style="4" bestFit="1" customWidth="1"/>
    <col min="2827" max="3072" width="8.85546875" style="4"/>
    <col min="3073" max="3073" width="1.7109375" style="4" customWidth="1"/>
    <col min="3074" max="3074" width="40.7109375" style="4" customWidth="1"/>
    <col min="3075" max="3080" width="10.7109375" style="4" customWidth="1"/>
    <col min="3081" max="3082" width="9.42578125" style="4" bestFit="1" customWidth="1"/>
    <col min="3083" max="3328" width="8.85546875" style="4"/>
    <col min="3329" max="3329" width="1.7109375" style="4" customWidth="1"/>
    <col min="3330" max="3330" width="40.7109375" style="4" customWidth="1"/>
    <col min="3331" max="3336" width="10.7109375" style="4" customWidth="1"/>
    <col min="3337" max="3338" width="9.42578125" style="4" bestFit="1" customWidth="1"/>
    <col min="3339" max="3584" width="8.85546875" style="4"/>
    <col min="3585" max="3585" width="1.7109375" style="4" customWidth="1"/>
    <col min="3586" max="3586" width="40.7109375" style="4" customWidth="1"/>
    <col min="3587" max="3592" width="10.7109375" style="4" customWidth="1"/>
    <col min="3593" max="3594" width="9.42578125" style="4" bestFit="1" customWidth="1"/>
    <col min="3595" max="3840" width="8.85546875" style="4"/>
    <col min="3841" max="3841" width="1.7109375" style="4" customWidth="1"/>
    <col min="3842" max="3842" width="40.7109375" style="4" customWidth="1"/>
    <col min="3843" max="3848" width="10.7109375" style="4" customWidth="1"/>
    <col min="3849" max="3850" width="9.42578125" style="4" bestFit="1" customWidth="1"/>
    <col min="3851" max="4096" width="8.85546875" style="4"/>
    <col min="4097" max="4097" width="1.7109375" style="4" customWidth="1"/>
    <col min="4098" max="4098" width="40.7109375" style="4" customWidth="1"/>
    <col min="4099" max="4104" width="10.7109375" style="4" customWidth="1"/>
    <col min="4105" max="4106" width="9.42578125" style="4" bestFit="1" customWidth="1"/>
    <col min="4107" max="4352" width="8.85546875" style="4"/>
    <col min="4353" max="4353" width="1.7109375" style="4" customWidth="1"/>
    <col min="4354" max="4354" width="40.7109375" style="4" customWidth="1"/>
    <col min="4355" max="4360" width="10.7109375" style="4" customWidth="1"/>
    <col min="4361" max="4362" width="9.42578125" style="4" bestFit="1" customWidth="1"/>
    <col min="4363" max="4608" width="8.85546875" style="4"/>
    <col min="4609" max="4609" width="1.7109375" style="4" customWidth="1"/>
    <col min="4610" max="4610" width="40.7109375" style="4" customWidth="1"/>
    <col min="4611" max="4616" width="10.7109375" style="4" customWidth="1"/>
    <col min="4617" max="4618" width="9.42578125" style="4" bestFit="1" customWidth="1"/>
    <col min="4619" max="4864" width="8.85546875" style="4"/>
    <col min="4865" max="4865" width="1.7109375" style="4" customWidth="1"/>
    <col min="4866" max="4866" width="40.7109375" style="4" customWidth="1"/>
    <col min="4867" max="4872" width="10.7109375" style="4" customWidth="1"/>
    <col min="4873" max="4874" width="9.42578125" style="4" bestFit="1" customWidth="1"/>
    <col min="4875" max="5120" width="8.85546875" style="4"/>
    <col min="5121" max="5121" width="1.7109375" style="4" customWidth="1"/>
    <col min="5122" max="5122" width="40.7109375" style="4" customWidth="1"/>
    <col min="5123" max="5128" width="10.7109375" style="4" customWidth="1"/>
    <col min="5129" max="5130" width="9.42578125" style="4" bestFit="1" customWidth="1"/>
    <col min="5131" max="5376" width="8.85546875" style="4"/>
    <col min="5377" max="5377" width="1.7109375" style="4" customWidth="1"/>
    <col min="5378" max="5378" width="40.7109375" style="4" customWidth="1"/>
    <col min="5379" max="5384" width="10.7109375" style="4" customWidth="1"/>
    <col min="5385" max="5386" width="9.42578125" style="4" bestFit="1" customWidth="1"/>
    <col min="5387" max="5632" width="8.85546875" style="4"/>
    <col min="5633" max="5633" width="1.7109375" style="4" customWidth="1"/>
    <col min="5634" max="5634" width="40.7109375" style="4" customWidth="1"/>
    <col min="5635" max="5640" width="10.7109375" style="4" customWidth="1"/>
    <col min="5641" max="5642" width="9.42578125" style="4" bestFit="1" customWidth="1"/>
    <col min="5643" max="5888" width="8.85546875" style="4"/>
    <col min="5889" max="5889" width="1.7109375" style="4" customWidth="1"/>
    <col min="5890" max="5890" width="40.7109375" style="4" customWidth="1"/>
    <col min="5891" max="5896" width="10.7109375" style="4" customWidth="1"/>
    <col min="5897" max="5898" width="9.42578125" style="4" bestFit="1" customWidth="1"/>
    <col min="5899" max="6144" width="8.85546875" style="4"/>
    <col min="6145" max="6145" width="1.7109375" style="4" customWidth="1"/>
    <col min="6146" max="6146" width="40.7109375" style="4" customWidth="1"/>
    <col min="6147" max="6152" width="10.7109375" style="4" customWidth="1"/>
    <col min="6153" max="6154" width="9.42578125" style="4" bestFit="1" customWidth="1"/>
    <col min="6155" max="6400" width="8.85546875" style="4"/>
    <col min="6401" max="6401" width="1.7109375" style="4" customWidth="1"/>
    <col min="6402" max="6402" width="40.7109375" style="4" customWidth="1"/>
    <col min="6403" max="6408" width="10.7109375" style="4" customWidth="1"/>
    <col min="6409" max="6410" width="9.42578125" style="4" bestFit="1" customWidth="1"/>
    <col min="6411" max="6656" width="8.85546875" style="4"/>
    <col min="6657" max="6657" width="1.7109375" style="4" customWidth="1"/>
    <col min="6658" max="6658" width="40.7109375" style="4" customWidth="1"/>
    <col min="6659" max="6664" width="10.7109375" style="4" customWidth="1"/>
    <col min="6665" max="6666" width="9.42578125" style="4" bestFit="1" customWidth="1"/>
    <col min="6667" max="6912" width="8.85546875" style="4"/>
    <col min="6913" max="6913" width="1.7109375" style="4" customWidth="1"/>
    <col min="6914" max="6914" width="40.7109375" style="4" customWidth="1"/>
    <col min="6915" max="6920" width="10.7109375" style="4" customWidth="1"/>
    <col min="6921" max="6922" width="9.42578125" style="4" bestFit="1" customWidth="1"/>
    <col min="6923" max="7168" width="8.85546875" style="4"/>
    <col min="7169" max="7169" width="1.7109375" style="4" customWidth="1"/>
    <col min="7170" max="7170" width="40.7109375" style="4" customWidth="1"/>
    <col min="7171" max="7176" width="10.7109375" style="4" customWidth="1"/>
    <col min="7177" max="7178" width="9.42578125" style="4" bestFit="1" customWidth="1"/>
    <col min="7179" max="7424" width="8.85546875" style="4"/>
    <col min="7425" max="7425" width="1.7109375" style="4" customWidth="1"/>
    <col min="7426" max="7426" width="40.7109375" style="4" customWidth="1"/>
    <col min="7427" max="7432" width="10.7109375" style="4" customWidth="1"/>
    <col min="7433" max="7434" width="9.42578125" style="4" bestFit="1" customWidth="1"/>
    <col min="7435" max="7680" width="8.85546875" style="4"/>
    <col min="7681" max="7681" width="1.7109375" style="4" customWidth="1"/>
    <col min="7682" max="7682" width="40.7109375" style="4" customWidth="1"/>
    <col min="7683" max="7688" width="10.7109375" style="4" customWidth="1"/>
    <col min="7689" max="7690" width="9.42578125" style="4" bestFit="1" customWidth="1"/>
    <col min="7691" max="7936" width="8.85546875" style="4"/>
    <col min="7937" max="7937" width="1.7109375" style="4" customWidth="1"/>
    <col min="7938" max="7938" width="40.7109375" style="4" customWidth="1"/>
    <col min="7939" max="7944" width="10.7109375" style="4" customWidth="1"/>
    <col min="7945" max="7946" width="9.42578125" style="4" bestFit="1" customWidth="1"/>
    <col min="7947" max="8192" width="8.85546875" style="4"/>
    <col min="8193" max="8193" width="1.7109375" style="4" customWidth="1"/>
    <col min="8194" max="8194" width="40.7109375" style="4" customWidth="1"/>
    <col min="8195" max="8200" width="10.7109375" style="4" customWidth="1"/>
    <col min="8201" max="8202" width="9.42578125" style="4" bestFit="1" customWidth="1"/>
    <col min="8203" max="8448" width="8.85546875" style="4"/>
    <col min="8449" max="8449" width="1.7109375" style="4" customWidth="1"/>
    <col min="8450" max="8450" width="40.7109375" style="4" customWidth="1"/>
    <col min="8451" max="8456" width="10.7109375" style="4" customWidth="1"/>
    <col min="8457" max="8458" width="9.42578125" style="4" bestFit="1" customWidth="1"/>
    <col min="8459" max="8704" width="8.85546875" style="4"/>
    <col min="8705" max="8705" width="1.7109375" style="4" customWidth="1"/>
    <col min="8706" max="8706" width="40.7109375" style="4" customWidth="1"/>
    <col min="8707" max="8712" width="10.7109375" style="4" customWidth="1"/>
    <col min="8713" max="8714" width="9.42578125" style="4" bestFit="1" customWidth="1"/>
    <col min="8715" max="8960" width="8.85546875" style="4"/>
    <col min="8961" max="8961" width="1.7109375" style="4" customWidth="1"/>
    <col min="8962" max="8962" width="40.7109375" style="4" customWidth="1"/>
    <col min="8963" max="8968" width="10.7109375" style="4" customWidth="1"/>
    <col min="8969" max="8970" width="9.42578125" style="4" bestFit="1" customWidth="1"/>
    <col min="8971" max="9216" width="8.85546875" style="4"/>
    <col min="9217" max="9217" width="1.7109375" style="4" customWidth="1"/>
    <col min="9218" max="9218" width="40.7109375" style="4" customWidth="1"/>
    <col min="9219" max="9224" width="10.7109375" style="4" customWidth="1"/>
    <col min="9225" max="9226" width="9.42578125" style="4" bestFit="1" customWidth="1"/>
    <col min="9227" max="9472" width="8.85546875" style="4"/>
    <col min="9473" max="9473" width="1.7109375" style="4" customWidth="1"/>
    <col min="9474" max="9474" width="40.7109375" style="4" customWidth="1"/>
    <col min="9475" max="9480" width="10.7109375" style="4" customWidth="1"/>
    <col min="9481" max="9482" width="9.42578125" style="4" bestFit="1" customWidth="1"/>
    <col min="9483" max="9728" width="8.85546875" style="4"/>
    <col min="9729" max="9729" width="1.7109375" style="4" customWidth="1"/>
    <col min="9730" max="9730" width="40.7109375" style="4" customWidth="1"/>
    <col min="9731" max="9736" width="10.7109375" style="4" customWidth="1"/>
    <col min="9737" max="9738" width="9.42578125" style="4" bestFit="1" customWidth="1"/>
    <col min="9739" max="9984" width="8.85546875" style="4"/>
    <col min="9985" max="9985" width="1.7109375" style="4" customWidth="1"/>
    <col min="9986" max="9986" width="40.7109375" style="4" customWidth="1"/>
    <col min="9987" max="9992" width="10.7109375" style="4" customWidth="1"/>
    <col min="9993" max="9994" width="9.42578125" style="4" bestFit="1" customWidth="1"/>
    <col min="9995" max="10240" width="8.85546875" style="4"/>
    <col min="10241" max="10241" width="1.7109375" style="4" customWidth="1"/>
    <col min="10242" max="10242" width="40.7109375" style="4" customWidth="1"/>
    <col min="10243" max="10248" width="10.7109375" style="4" customWidth="1"/>
    <col min="10249" max="10250" width="9.42578125" style="4" bestFit="1" customWidth="1"/>
    <col min="10251" max="10496" width="8.85546875" style="4"/>
    <col min="10497" max="10497" width="1.7109375" style="4" customWidth="1"/>
    <col min="10498" max="10498" width="40.7109375" style="4" customWidth="1"/>
    <col min="10499" max="10504" width="10.7109375" style="4" customWidth="1"/>
    <col min="10505" max="10506" width="9.42578125" style="4" bestFit="1" customWidth="1"/>
    <col min="10507" max="10752" width="8.85546875" style="4"/>
    <col min="10753" max="10753" width="1.7109375" style="4" customWidth="1"/>
    <col min="10754" max="10754" width="40.7109375" style="4" customWidth="1"/>
    <col min="10755" max="10760" width="10.7109375" style="4" customWidth="1"/>
    <col min="10761" max="10762" width="9.42578125" style="4" bestFit="1" customWidth="1"/>
    <col min="10763" max="11008" width="8.85546875" style="4"/>
    <col min="11009" max="11009" width="1.7109375" style="4" customWidth="1"/>
    <col min="11010" max="11010" width="40.7109375" style="4" customWidth="1"/>
    <col min="11011" max="11016" width="10.7109375" style="4" customWidth="1"/>
    <col min="11017" max="11018" width="9.42578125" style="4" bestFit="1" customWidth="1"/>
    <col min="11019" max="11264" width="8.85546875" style="4"/>
    <col min="11265" max="11265" width="1.7109375" style="4" customWidth="1"/>
    <col min="11266" max="11266" width="40.7109375" style="4" customWidth="1"/>
    <col min="11267" max="11272" width="10.7109375" style="4" customWidth="1"/>
    <col min="11273" max="11274" width="9.42578125" style="4" bestFit="1" customWidth="1"/>
    <col min="11275" max="11520" width="8.85546875" style="4"/>
    <col min="11521" max="11521" width="1.7109375" style="4" customWidth="1"/>
    <col min="11522" max="11522" width="40.7109375" style="4" customWidth="1"/>
    <col min="11523" max="11528" width="10.7109375" style="4" customWidth="1"/>
    <col min="11529" max="11530" width="9.42578125" style="4" bestFit="1" customWidth="1"/>
    <col min="11531" max="11776" width="8.85546875" style="4"/>
    <col min="11777" max="11777" width="1.7109375" style="4" customWidth="1"/>
    <col min="11778" max="11778" width="40.7109375" style="4" customWidth="1"/>
    <col min="11779" max="11784" width="10.7109375" style="4" customWidth="1"/>
    <col min="11785" max="11786" width="9.42578125" style="4" bestFit="1" customWidth="1"/>
    <col min="11787" max="12032" width="8.85546875" style="4"/>
    <col min="12033" max="12033" width="1.7109375" style="4" customWidth="1"/>
    <col min="12034" max="12034" width="40.7109375" style="4" customWidth="1"/>
    <col min="12035" max="12040" width="10.7109375" style="4" customWidth="1"/>
    <col min="12041" max="12042" width="9.42578125" style="4" bestFit="1" customWidth="1"/>
    <col min="12043" max="12288" width="8.85546875" style="4"/>
    <col min="12289" max="12289" width="1.7109375" style="4" customWidth="1"/>
    <col min="12290" max="12290" width="40.7109375" style="4" customWidth="1"/>
    <col min="12291" max="12296" width="10.7109375" style="4" customWidth="1"/>
    <col min="12297" max="12298" width="9.42578125" style="4" bestFit="1" customWidth="1"/>
    <col min="12299" max="12544" width="8.85546875" style="4"/>
    <col min="12545" max="12545" width="1.7109375" style="4" customWidth="1"/>
    <col min="12546" max="12546" width="40.7109375" style="4" customWidth="1"/>
    <col min="12547" max="12552" width="10.7109375" style="4" customWidth="1"/>
    <col min="12553" max="12554" width="9.42578125" style="4" bestFit="1" customWidth="1"/>
    <col min="12555" max="12800" width="8.85546875" style="4"/>
    <col min="12801" max="12801" width="1.7109375" style="4" customWidth="1"/>
    <col min="12802" max="12802" width="40.7109375" style="4" customWidth="1"/>
    <col min="12803" max="12808" width="10.7109375" style="4" customWidth="1"/>
    <col min="12809" max="12810" width="9.42578125" style="4" bestFit="1" customWidth="1"/>
    <col min="12811" max="13056" width="8.85546875" style="4"/>
    <col min="13057" max="13057" width="1.7109375" style="4" customWidth="1"/>
    <col min="13058" max="13058" width="40.7109375" style="4" customWidth="1"/>
    <col min="13059" max="13064" width="10.7109375" style="4" customWidth="1"/>
    <col min="13065" max="13066" width="9.42578125" style="4" bestFit="1" customWidth="1"/>
    <col min="13067" max="13312" width="8.85546875" style="4"/>
    <col min="13313" max="13313" width="1.7109375" style="4" customWidth="1"/>
    <col min="13314" max="13314" width="40.7109375" style="4" customWidth="1"/>
    <col min="13315" max="13320" width="10.7109375" style="4" customWidth="1"/>
    <col min="13321" max="13322" width="9.42578125" style="4" bestFit="1" customWidth="1"/>
    <col min="13323" max="13568" width="8.85546875" style="4"/>
    <col min="13569" max="13569" width="1.7109375" style="4" customWidth="1"/>
    <col min="13570" max="13570" width="40.7109375" style="4" customWidth="1"/>
    <col min="13571" max="13576" width="10.7109375" style="4" customWidth="1"/>
    <col min="13577" max="13578" width="9.42578125" style="4" bestFit="1" customWidth="1"/>
    <col min="13579" max="13824" width="8.85546875" style="4"/>
    <col min="13825" max="13825" width="1.7109375" style="4" customWidth="1"/>
    <col min="13826" max="13826" width="40.7109375" style="4" customWidth="1"/>
    <col min="13827" max="13832" width="10.7109375" style="4" customWidth="1"/>
    <col min="13833" max="13834" width="9.42578125" style="4" bestFit="1" customWidth="1"/>
    <col min="13835" max="14080" width="8.85546875" style="4"/>
    <col min="14081" max="14081" width="1.7109375" style="4" customWidth="1"/>
    <col min="14082" max="14082" width="40.7109375" style="4" customWidth="1"/>
    <col min="14083" max="14088" width="10.7109375" style="4" customWidth="1"/>
    <col min="14089" max="14090" width="9.42578125" style="4" bestFit="1" customWidth="1"/>
    <col min="14091" max="14336" width="8.85546875" style="4"/>
    <col min="14337" max="14337" width="1.7109375" style="4" customWidth="1"/>
    <col min="14338" max="14338" width="40.7109375" style="4" customWidth="1"/>
    <col min="14339" max="14344" width="10.7109375" style="4" customWidth="1"/>
    <col min="14345" max="14346" width="9.42578125" style="4" bestFit="1" customWidth="1"/>
    <col min="14347" max="14592" width="8.85546875" style="4"/>
    <col min="14593" max="14593" width="1.7109375" style="4" customWidth="1"/>
    <col min="14594" max="14594" width="40.7109375" style="4" customWidth="1"/>
    <col min="14595" max="14600" width="10.7109375" style="4" customWidth="1"/>
    <col min="14601" max="14602" width="9.42578125" style="4" bestFit="1" customWidth="1"/>
    <col min="14603" max="14848" width="8.85546875" style="4"/>
    <col min="14849" max="14849" width="1.7109375" style="4" customWidth="1"/>
    <col min="14850" max="14850" width="40.7109375" style="4" customWidth="1"/>
    <col min="14851" max="14856" width="10.7109375" style="4" customWidth="1"/>
    <col min="14857" max="14858" width="9.42578125" style="4" bestFit="1" customWidth="1"/>
    <col min="14859" max="15104" width="8.85546875" style="4"/>
    <col min="15105" max="15105" width="1.7109375" style="4" customWidth="1"/>
    <col min="15106" max="15106" width="40.7109375" style="4" customWidth="1"/>
    <col min="15107" max="15112" width="10.7109375" style="4" customWidth="1"/>
    <col min="15113" max="15114" width="9.42578125" style="4" bestFit="1" customWidth="1"/>
    <col min="15115" max="15360" width="8.85546875" style="4"/>
    <col min="15361" max="15361" width="1.7109375" style="4" customWidth="1"/>
    <col min="15362" max="15362" width="40.7109375" style="4" customWidth="1"/>
    <col min="15363" max="15368" width="10.7109375" style="4" customWidth="1"/>
    <col min="15369" max="15370" width="9.42578125" style="4" bestFit="1" customWidth="1"/>
    <col min="15371" max="15616" width="8.85546875" style="4"/>
    <col min="15617" max="15617" width="1.7109375" style="4" customWidth="1"/>
    <col min="15618" max="15618" width="40.7109375" style="4" customWidth="1"/>
    <col min="15619" max="15624" width="10.7109375" style="4" customWidth="1"/>
    <col min="15625" max="15626" width="9.42578125" style="4" bestFit="1" customWidth="1"/>
    <col min="15627" max="15872" width="8.85546875" style="4"/>
    <col min="15873" max="15873" width="1.7109375" style="4" customWidth="1"/>
    <col min="15874" max="15874" width="40.7109375" style="4" customWidth="1"/>
    <col min="15875" max="15880" width="10.7109375" style="4" customWidth="1"/>
    <col min="15881" max="15882" width="9.42578125" style="4" bestFit="1" customWidth="1"/>
    <col min="15883" max="16128" width="8.85546875" style="4"/>
    <col min="16129" max="16129" width="1.7109375" style="4" customWidth="1"/>
    <col min="16130" max="16130" width="40.7109375" style="4" customWidth="1"/>
    <col min="16131" max="16136" width="10.7109375" style="4" customWidth="1"/>
    <col min="16137" max="16138" width="9.42578125" style="4" bestFit="1" customWidth="1"/>
    <col min="16139" max="16384" width="8.85546875" style="4"/>
  </cols>
  <sheetData>
    <row r="1" spans="1:15" s="2" customFormat="1" ht="19.5" x14ac:dyDescent="0.3">
      <c r="A1" s="327" t="str">
        <f>CoName</f>
        <v>Adobe Inc.</v>
      </c>
      <c r="B1" s="3"/>
      <c r="C1" s="43" t="s">
        <v>0</v>
      </c>
      <c r="D1" s="43" t="s">
        <v>0</v>
      </c>
      <c r="E1" s="43" t="s">
        <v>0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 t="s">
        <v>1</v>
      </c>
      <c r="M1" s="43" t="s">
        <v>1</v>
      </c>
      <c r="N1" s="43"/>
      <c r="O1" s="43"/>
    </row>
    <row r="2" spans="1:15" s="2" customFormat="1" ht="16.350000000000001" customHeight="1" x14ac:dyDescent="0.25">
      <c r="A2" s="197" t="s">
        <v>84</v>
      </c>
      <c r="B2" s="198"/>
      <c r="C2" s="203">
        <v>2022</v>
      </c>
      <c r="D2" s="203">
        <f>C2+1</f>
        <v>2023</v>
      </c>
      <c r="E2" s="203">
        <f t="shared" ref="E2:J2" si="0">D2+1</f>
        <v>2024</v>
      </c>
      <c r="F2" s="203">
        <f t="shared" si="0"/>
        <v>2025</v>
      </c>
      <c r="G2" s="203">
        <f t="shared" si="0"/>
        <v>2026</v>
      </c>
      <c r="H2" s="203">
        <f t="shared" si="0"/>
        <v>2027</v>
      </c>
      <c r="I2" s="203">
        <f t="shared" si="0"/>
        <v>2028</v>
      </c>
      <c r="J2" s="203">
        <f t="shared" si="0"/>
        <v>2029</v>
      </c>
      <c r="K2" s="203">
        <f t="shared" ref="K2:M2" si="1">J2+1</f>
        <v>2030</v>
      </c>
      <c r="L2" s="203">
        <f t="shared" si="1"/>
        <v>2031</v>
      </c>
      <c r="M2" s="203">
        <f t="shared" si="1"/>
        <v>2032</v>
      </c>
      <c r="N2" s="232"/>
      <c r="O2" s="232"/>
    </row>
    <row r="3" spans="1:15" x14ac:dyDescent="0.25">
      <c r="A3" s="11" t="s">
        <v>122</v>
      </c>
      <c r="B3" s="4" t="s">
        <v>85</v>
      </c>
      <c r="D3" s="299"/>
      <c r="E3" s="25"/>
      <c r="F3" s="300">
        <f>IncState!F16</f>
        <v>23616.57</v>
      </c>
      <c r="G3" s="300">
        <f>IncState!G16</f>
        <v>25950.707448624878</v>
      </c>
      <c r="H3" s="300">
        <f>IncState!H16</f>
        <v>28531.675734463006</v>
      </c>
      <c r="I3" s="300">
        <f>IncState!I16</f>
        <v>31386.434519715014</v>
      </c>
      <c r="J3" s="300">
        <f>IncState!J16</f>
        <v>34544.942455952281</v>
      </c>
      <c r="K3" s="300">
        <f>IncState!K16</f>
        <v>38040.494069814675</v>
      </c>
      <c r="L3" s="300">
        <f>IncState!L16</f>
        <v>41910.094686455646</v>
      </c>
      <c r="M3" s="300">
        <f>IncState!M16</f>
        <v>46194.877696981581</v>
      </c>
      <c r="N3" s="241"/>
      <c r="O3" s="241"/>
    </row>
    <row r="4" spans="1:15" x14ac:dyDescent="0.25">
      <c r="B4" s="4" t="s">
        <v>54</v>
      </c>
      <c r="E4" s="29"/>
      <c r="F4" s="4">
        <f>IncState!F20</f>
        <v>7402.8969249011861</v>
      </c>
      <c r="G4" s="4">
        <f>IncState!G20</f>
        <v>8134.5602841748587</v>
      </c>
      <c r="H4" s="4">
        <f>IncState!H20</f>
        <v>8943.5957277849411</v>
      </c>
      <c r="I4" s="4">
        <f>IncState!I20</f>
        <v>9838.4540849755358</v>
      </c>
      <c r="J4" s="4">
        <f>IncState!J20</f>
        <v>10828.526254153654</v>
      </c>
      <c r="K4" s="4">
        <f>IncState!K20</f>
        <v>11924.248803748931</v>
      </c>
      <c r="L4" s="4">
        <f>IncState!L20</f>
        <v>13137.221496461174</v>
      </c>
      <c r="M4" s="4">
        <f>IncState!M20</f>
        <v>14480.338086740427</v>
      </c>
    </row>
    <row r="5" spans="1:15" x14ac:dyDescent="0.25">
      <c r="B5" s="32" t="s">
        <v>90</v>
      </c>
      <c r="C5" s="32"/>
      <c r="D5" s="32"/>
      <c r="E5" s="41"/>
      <c r="F5" s="45">
        <f>IncState!F11</f>
        <v>0.19</v>
      </c>
      <c r="G5" s="45">
        <f>IncState!G11</f>
        <v>0.19</v>
      </c>
      <c r="H5" s="45">
        <f>IncState!H11</f>
        <v>0.19</v>
      </c>
      <c r="I5" s="45">
        <f>IncState!I11</f>
        <v>0.19</v>
      </c>
      <c r="J5" s="45">
        <f>IncState!J11</f>
        <v>0.19</v>
      </c>
      <c r="K5" s="45">
        <f>IncState!K11</f>
        <v>0.19</v>
      </c>
      <c r="L5" s="45">
        <f>IncState!L11</f>
        <v>0.19</v>
      </c>
      <c r="M5" s="45">
        <f>IncState!M11</f>
        <v>0.19</v>
      </c>
      <c r="N5" s="45"/>
      <c r="O5" s="45"/>
    </row>
    <row r="6" spans="1:15" x14ac:dyDescent="0.25">
      <c r="C6" s="5"/>
      <c r="D6" s="5"/>
      <c r="E6" s="25"/>
      <c r="F6" s="5"/>
      <c r="G6" s="5"/>
      <c r="H6" s="5"/>
      <c r="I6" s="5"/>
      <c r="J6" s="5"/>
      <c r="K6" s="5"/>
      <c r="L6" s="5"/>
      <c r="M6" s="5"/>
      <c r="N6" s="190"/>
      <c r="O6" s="190"/>
    </row>
    <row r="7" spans="1:15" x14ac:dyDescent="0.25">
      <c r="A7" s="26" t="s">
        <v>122</v>
      </c>
      <c r="B7" s="23" t="s">
        <v>86</v>
      </c>
      <c r="C7" s="125"/>
      <c r="D7" s="125"/>
      <c r="E7" s="125"/>
      <c r="F7" s="140">
        <f t="shared" ref="F7:M7" si="2">F4*(1-F5)</f>
        <v>5996.3465091699609</v>
      </c>
      <c r="G7" s="140">
        <f t="shared" ref="G7:M7" si="3">G4*(1-G5)</f>
        <v>6588.9938301816355</v>
      </c>
      <c r="H7" s="140">
        <f t="shared" si="3"/>
        <v>7244.3125395058032</v>
      </c>
      <c r="I7" s="140">
        <f t="shared" si="3"/>
        <v>7969.1478088301847</v>
      </c>
      <c r="J7" s="140">
        <f t="shared" si="3"/>
        <v>8771.1062658644605</v>
      </c>
      <c r="K7" s="140">
        <f t="shared" si="3"/>
        <v>9658.6415310366356</v>
      </c>
      <c r="L7" s="140">
        <f t="shared" si="3"/>
        <v>10641.149412133551</v>
      </c>
      <c r="M7" s="140">
        <f t="shared" si="3"/>
        <v>11729.073850259747</v>
      </c>
      <c r="N7" s="241"/>
      <c r="O7" s="241"/>
    </row>
    <row r="8" spans="1:15" x14ac:dyDescent="0.25">
      <c r="B8" s="4" t="s">
        <v>15</v>
      </c>
      <c r="C8" s="125"/>
      <c r="D8" s="125"/>
      <c r="E8" s="126"/>
      <c r="F8" s="141">
        <f>CashFlow!F4</f>
        <v>638.73366834170861</v>
      </c>
      <c r="G8" s="141">
        <f>CashFlow!G4</f>
        <v>546.7812413347516</v>
      </c>
      <c r="H8" s="141">
        <f>CashFlow!H4</f>
        <v>490.42081772519907</v>
      </c>
      <c r="I8" s="141">
        <f>CashFlow!I4</f>
        <v>460.3603774170407</v>
      </c>
      <c r="J8" s="141">
        <f>CashFlow!J4</f>
        <v>450.09010292343658</v>
      </c>
      <c r="K8" s="141">
        <f>CashFlow!K4</f>
        <v>455.09249858818532</v>
      </c>
      <c r="L8" s="141">
        <f>CashFlow!L4</f>
        <v>472.28139352824007</v>
      </c>
      <c r="M8" s="141">
        <f>CashFlow!M4</f>
        <v>499.60403354227691</v>
      </c>
      <c r="N8" s="240"/>
      <c r="O8" s="240"/>
    </row>
    <row r="9" spans="1:15" x14ac:dyDescent="0.25">
      <c r="B9" s="4" t="s">
        <v>53</v>
      </c>
      <c r="C9" s="5"/>
      <c r="D9" s="5"/>
      <c r="E9" s="25"/>
      <c r="F9" s="205">
        <f>CashFlow!F5</f>
        <v>169</v>
      </c>
      <c r="G9" s="205">
        <f>CashFlow!G5</f>
        <v>169</v>
      </c>
      <c r="H9" s="205">
        <f>CashFlow!H5</f>
        <v>169</v>
      </c>
      <c r="I9" s="205">
        <f>CashFlow!I5</f>
        <v>169</v>
      </c>
      <c r="J9" s="205">
        <f>CashFlow!J5</f>
        <v>169</v>
      </c>
      <c r="K9" s="205">
        <f>CashFlow!K5</f>
        <v>169</v>
      </c>
      <c r="L9" s="205">
        <f>CashFlow!L5</f>
        <v>169</v>
      </c>
      <c r="M9" s="205">
        <f>CashFlow!M5</f>
        <v>169</v>
      </c>
      <c r="N9" s="240"/>
      <c r="O9" s="240"/>
    </row>
    <row r="10" spans="1:15" x14ac:dyDescent="0.25">
      <c r="B10" s="4" t="s">
        <v>87</v>
      </c>
      <c r="C10" s="5"/>
      <c r="D10" s="5"/>
      <c r="E10" s="25"/>
      <c r="F10" s="205">
        <f>CashFlow!F6</f>
        <v>451.74636956521681</v>
      </c>
      <c r="G10" s="205">
        <f>CashFlow!G6</f>
        <v>499.36214214187021</v>
      </c>
      <c r="H10" s="205">
        <f>CashFlow!H6</f>
        <v>552.16879056357902</v>
      </c>
      <c r="I10" s="205">
        <f>CashFlow!I6</f>
        <v>610.74315188319724</v>
      </c>
      <c r="J10" s="205">
        <f>CashFlow!J6</f>
        <v>675.72682574487771</v>
      </c>
      <c r="K10" s="205">
        <f>CashFlow!K6</f>
        <v>747.83348465368272</v>
      </c>
      <c r="L10" s="205">
        <f>CashFlow!L6</f>
        <v>827.85701171871187</v>
      </c>
      <c r="M10" s="205">
        <f>CashFlow!M6</f>
        <v>916.68055966878637</v>
      </c>
      <c r="N10" s="240"/>
      <c r="O10" s="240"/>
    </row>
    <row r="11" spans="1:15" x14ac:dyDescent="0.25">
      <c r="B11" s="4" t="s">
        <v>160</v>
      </c>
      <c r="C11" s="5"/>
      <c r="D11" s="5"/>
      <c r="E11" s="25"/>
      <c r="F11" s="205">
        <f>CashFlow!F7</f>
        <v>-315.2872015810276</v>
      </c>
      <c r="G11" s="205">
        <f>CashFlow!G7</f>
        <v>-348.51966275445193</v>
      </c>
      <c r="H11" s="205">
        <f>CashFlow!H7</f>
        <v>-385.3749902732493</v>
      </c>
      <c r="I11" s="205">
        <f>CashFlow!I7</f>
        <v>-426.25577584023267</v>
      </c>
      <c r="J11" s="205">
        <f>CashFlow!J7</f>
        <v>-471.60981089318102</v>
      </c>
      <c r="K11" s="205">
        <f>CashFlow!K7</f>
        <v>-521.9351886590166</v>
      </c>
      <c r="L11" s="205">
        <f>CashFlow!L7</f>
        <v>-577.78598372630313</v>
      </c>
      <c r="M11" s="205">
        <f>CashFlow!M7</f>
        <v>-639.77857460119867</v>
      </c>
      <c r="N11" s="240"/>
      <c r="O11" s="240"/>
    </row>
    <row r="12" spans="1:15" x14ac:dyDescent="0.25">
      <c r="B12" s="4" t="s">
        <v>161</v>
      </c>
      <c r="E12" s="29"/>
      <c r="F12" s="205">
        <f>CashFlow!F8</f>
        <v>144.82984189723334</v>
      </c>
      <c r="G12" s="205">
        <f>CashFlow!G8</f>
        <v>160.0954539280026</v>
      </c>
      <c r="H12" s="205">
        <f>CashFlow!H8</f>
        <v>177.02526024697681</v>
      </c>
      <c r="I12" s="205">
        <f>CashFlow!I8</f>
        <v>195.80419475688041</v>
      </c>
      <c r="J12" s="205">
        <f>CashFlow!J8</f>
        <v>216.63795424087266</v>
      </c>
      <c r="K12" s="205">
        <f>CashFlow!K8</f>
        <v>239.75534203427242</v>
      </c>
      <c r="L12" s="205">
        <f>CashFlow!L8</f>
        <v>265.41087698421006</v>
      </c>
      <c r="M12" s="205">
        <f>CashFlow!M8</f>
        <v>293.88769776915842</v>
      </c>
      <c r="N12" s="240"/>
      <c r="O12" s="240"/>
    </row>
    <row r="13" spans="1:15" x14ac:dyDescent="0.25">
      <c r="B13" s="4" t="s">
        <v>88</v>
      </c>
      <c r="E13" s="29"/>
      <c r="F13" s="138">
        <f>CashFlow!F12</f>
        <v>-319.57320948616598</v>
      </c>
      <c r="G13" s="138">
        <f>CashFlow!G12</f>
        <v>-351.15814310857195</v>
      </c>
      <c r="H13" s="138">
        <f>CashFlow!H12</f>
        <v>-386.08312665560265</v>
      </c>
      <c r="I13" s="138">
        <f>CashFlow!I12</f>
        <v>-424.71297118051939</v>
      </c>
      <c r="J13" s="138">
        <f>CashFlow!J12</f>
        <v>-467.45306927143054</v>
      </c>
      <c r="K13" s="138">
        <f>CashFlow!K12</f>
        <v>-514.75395369988701</v>
      </c>
      <c r="L13" s="138">
        <f>CashFlow!L12</f>
        <v>-567.11637078626336</v>
      </c>
      <c r="M13" s="138">
        <f>CashFlow!M12</f>
        <v>-625.09692675292445</v>
      </c>
      <c r="N13" s="138"/>
      <c r="O13" s="138"/>
    </row>
    <row r="14" spans="1:15" x14ac:dyDescent="0.25">
      <c r="E14" s="65"/>
      <c r="F14" s="142"/>
      <c r="G14" s="142"/>
      <c r="H14" s="142"/>
      <c r="I14" s="142"/>
      <c r="J14" s="142"/>
      <c r="K14" s="142"/>
      <c r="L14" s="142"/>
      <c r="M14" s="142"/>
      <c r="N14" s="142"/>
      <c r="O14" s="142"/>
    </row>
    <row r="15" spans="1:15" s="11" customFormat="1" x14ac:dyDescent="0.25">
      <c r="A15" s="26" t="s">
        <v>122</v>
      </c>
      <c r="B15" s="36" t="s">
        <v>89</v>
      </c>
      <c r="C15" s="36"/>
      <c r="D15" s="36"/>
      <c r="E15" s="36"/>
      <c r="F15" s="36">
        <f>SUM(F7:F13)</f>
        <v>6765.795977906927</v>
      </c>
      <c r="G15" s="36">
        <f t="shared" ref="G15:M15" si="4">SUM(G7:G13)</f>
        <v>7264.5548617232362</v>
      </c>
      <c r="H15" s="36">
        <f t="shared" si="4"/>
        <v>7861.4692911127086</v>
      </c>
      <c r="I15" s="36">
        <f t="shared" si="4"/>
        <v>8554.0867858665515</v>
      </c>
      <c r="J15" s="19">
        <f t="shared" si="4"/>
        <v>9343.4982686090352</v>
      </c>
      <c r="K15" s="19">
        <f t="shared" si="4"/>
        <v>10233.633713953874</v>
      </c>
      <c r="L15" s="19">
        <f t="shared" si="4"/>
        <v>11230.796339852144</v>
      </c>
      <c r="M15" s="20">
        <f t="shared" si="4"/>
        <v>12343.370639885845</v>
      </c>
    </row>
    <row r="16" spans="1:15" x14ac:dyDescent="0.25">
      <c r="B16" s="68"/>
      <c r="C16" s="68"/>
      <c r="D16" s="68"/>
      <c r="E16" s="68"/>
      <c r="F16" s="68"/>
      <c r="G16" s="68"/>
      <c r="H16" s="68"/>
      <c r="I16" s="86"/>
      <c r="J16" s="86"/>
    </row>
    <row r="17" spans="3:8" x14ac:dyDescent="0.25">
      <c r="C17" s="5"/>
      <c r="D17" s="5"/>
      <c r="E17" s="5"/>
      <c r="F17" s="5"/>
      <c r="G17" s="5"/>
      <c r="H17" s="5"/>
    </row>
    <row r="20" spans="3:8" x14ac:dyDescent="0.25">
      <c r="C20" s="5"/>
      <c r="D20" s="5"/>
      <c r="E20" s="5"/>
      <c r="F20" s="5"/>
      <c r="G20" s="5"/>
      <c r="H20" s="5"/>
    </row>
    <row r="28" spans="3:8" x14ac:dyDescent="0.25">
      <c r="C28" s="5"/>
      <c r="D28" s="5"/>
      <c r="E28" s="5"/>
      <c r="F28" s="5"/>
      <c r="G28" s="5"/>
      <c r="H28" s="5"/>
    </row>
    <row r="29" spans="3:8" x14ac:dyDescent="0.25">
      <c r="C29" s="5"/>
      <c r="D29" s="5"/>
      <c r="E29" s="5"/>
      <c r="F29" s="5"/>
      <c r="G29" s="5"/>
      <c r="H29" s="5"/>
    </row>
    <row r="30" spans="3:8" x14ac:dyDescent="0.25">
      <c r="C30" s="5"/>
      <c r="D30" s="5"/>
      <c r="E30" s="5"/>
      <c r="F30" s="5"/>
      <c r="G30" s="5"/>
      <c r="H30" s="5"/>
    </row>
  </sheetData>
  <pageMargins left="0.74803149606299213" right="0.74803149606299213" top="0.98425196850393704" bottom="0.98425196850393704" header="0.51181102362204722" footer="0.51181102362204722"/>
  <pageSetup paperSize="9" orientation="landscape" r:id="rId1"/>
  <headerFooter alignWithMargins="0">
    <oddHeader>&amp;L&amp;8&amp;F &amp;A</oddHeader>
    <oddFooter>&amp;R&amp;8&amp;P of &amp;N&amp;L&amp;8© AMT Training 2008 - 2017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C759-7EE8-4F94-A92F-62A3DBDD70DA}">
  <sheetPr codeName="Sheet13"/>
  <dimension ref="A1:M15"/>
  <sheetViews>
    <sheetView showGridLines="0" zoomScaleNormal="100" workbookViewId="0">
      <selection activeCell="K17" sqref="K17"/>
    </sheetView>
  </sheetViews>
  <sheetFormatPr defaultColWidth="9" defaultRowHeight="15" x14ac:dyDescent="0.25"/>
  <cols>
    <col min="1" max="1" width="2.7109375" style="4" customWidth="1"/>
    <col min="2" max="3" width="9" style="4"/>
    <col min="4" max="4" width="11" style="4" customWidth="1"/>
    <col min="5" max="5" width="8.28515625" style="4" customWidth="1"/>
    <col min="6" max="7" width="9" style="4"/>
    <col min="8" max="8" width="12.28515625" style="4" customWidth="1"/>
    <col min="9" max="9" width="10.140625" style="4" customWidth="1"/>
    <col min="10" max="10" width="14.28515625" style="4" bestFit="1" customWidth="1"/>
    <col min="11" max="11" width="11.42578125" style="4" customWidth="1"/>
    <col min="12" max="12" width="13.140625" style="4" customWidth="1"/>
    <col min="13" max="13" width="15" style="4" bestFit="1" customWidth="1"/>
    <col min="14" max="16384" width="9" style="4"/>
  </cols>
  <sheetData>
    <row r="1" spans="1:13" ht="19.5" x14ac:dyDescent="0.3">
      <c r="A1" s="327" t="str">
        <f>CoName</f>
        <v>Adobe Inc.</v>
      </c>
    </row>
    <row r="2" spans="1:13" x14ac:dyDescent="0.25">
      <c r="G2" s="152"/>
    </row>
    <row r="3" spans="1:13" x14ac:dyDescent="0.25">
      <c r="A3" s="29" t="s">
        <v>122</v>
      </c>
      <c r="B3" s="172" t="s">
        <v>98</v>
      </c>
      <c r="C3" s="173"/>
      <c r="D3" s="173"/>
      <c r="E3" s="174"/>
      <c r="F3" s="11"/>
      <c r="G3" s="79" t="s">
        <v>106</v>
      </c>
      <c r="H3" s="79" t="s">
        <v>101</v>
      </c>
      <c r="I3" s="79" t="s">
        <v>102</v>
      </c>
      <c r="J3" s="79" t="s">
        <v>103</v>
      </c>
      <c r="K3" s="79" t="s">
        <v>104</v>
      </c>
      <c r="L3" s="79" t="s">
        <v>109</v>
      </c>
      <c r="M3" s="79" t="s">
        <v>105</v>
      </c>
    </row>
    <row r="4" spans="1:13" x14ac:dyDescent="0.25">
      <c r="A4" s="29"/>
      <c r="B4" s="330" t="s">
        <v>162</v>
      </c>
      <c r="C4" s="69"/>
      <c r="D4" s="74"/>
      <c r="E4" s="331">
        <v>0.185</v>
      </c>
      <c r="G4" s="144" t="s">
        <v>233</v>
      </c>
      <c r="H4" s="145">
        <v>1.24</v>
      </c>
      <c r="I4" s="82">
        <v>8436</v>
      </c>
      <c r="J4" s="83">
        <f>238.94*952</f>
        <v>227470.88</v>
      </c>
      <c r="K4" s="147">
        <f>I4/J4</f>
        <v>3.7086065697727988E-2</v>
      </c>
      <c r="L4" s="161">
        <f>E4</f>
        <v>0.185</v>
      </c>
      <c r="M4" s="148">
        <f>H4/((1+K4*(1-L4)))</f>
        <v>1.2036204006192206</v>
      </c>
    </row>
    <row r="5" spans="1:13" x14ac:dyDescent="0.25">
      <c r="A5" s="29"/>
      <c r="B5" s="69" t="s">
        <v>91</v>
      </c>
      <c r="C5" s="69"/>
      <c r="D5" s="74"/>
      <c r="E5" s="143">
        <v>4.0899999999999999E-2</v>
      </c>
      <c r="G5" s="144" t="s">
        <v>230</v>
      </c>
      <c r="H5" s="145">
        <v>1.26</v>
      </c>
      <c r="I5" s="82">
        <v>5973</v>
      </c>
      <c r="J5" s="83">
        <f>646.95*278.8</f>
        <v>180369.66000000003</v>
      </c>
      <c r="K5" s="147">
        <f t="shared" ref="K5:K7" si="0">I5/J5</f>
        <v>3.3115325493212104E-2</v>
      </c>
      <c r="L5" s="161">
        <f>L4</f>
        <v>0.185</v>
      </c>
      <c r="M5" s="148">
        <f t="shared" ref="M5:M7" si="1">H5/((1+K5*(1-L5)))</f>
        <v>1.2268875440039446</v>
      </c>
    </row>
    <row r="6" spans="1:13" x14ac:dyDescent="0.25">
      <c r="A6" s="29"/>
      <c r="B6" s="69" t="s">
        <v>92</v>
      </c>
      <c r="C6" s="69"/>
      <c r="D6" s="74"/>
      <c r="E6" s="143">
        <v>0.05</v>
      </c>
      <c r="G6" s="144" t="s">
        <v>231</v>
      </c>
      <c r="H6" s="146">
        <v>1.48</v>
      </c>
      <c r="I6" s="84">
        <v>2481</v>
      </c>
      <c r="J6" s="83">
        <f>213*295.84</f>
        <v>63013.919999999998</v>
      </c>
      <c r="K6" s="147">
        <f t="shared" si="0"/>
        <v>3.9372252987911242E-2</v>
      </c>
      <c r="L6" s="161">
        <f t="shared" ref="L6:L7" si="2">L5</f>
        <v>0.185</v>
      </c>
      <c r="M6" s="148">
        <f t="shared" si="1"/>
        <v>1.4339857126679272</v>
      </c>
    </row>
    <row r="7" spans="1:13" x14ac:dyDescent="0.25">
      <c r="A7" s="29"/>
      <c r="B7" s="69" t="s">
        <v>93</v>
      </c>
      <c r="C7" s="69"/>
      <c r="D7" s="74"/>
      <c r="E7" s="246">
        <v>1</v>
      </c>
      <c r="G7" s="144" t="s">
        <v>232</v>
      </c>
      <c r="H7" s="146">
        <v>1.06</v>
      </c>
      <c r="I7" s="84">
        <f>7832+35376</f>
        <v>43208</v>
      </c>
      <c r="J7" s="85">
        <f>7400*496.77</f>
        <v>3676098</v>
      </c>
      <c r="K7" s="147">
        <f t="shared" si="0"/>
        <v>1.1753767173780459E-2</v>
      </c>
      <c r="L7" s="161">
        <f t="shared" si="2"/>
        <v>0.185</v>
      </c>
      <c r="M7" s="148">
        <f t="shared" si="1"/>
        <v>1.0499422667859835</v>
      </c>
    </row>
    <row r="8" spans="1:13" x14ac:dyDescent="0.25">
      <c r="A8" s="29"/>
      <c r="B8" s="69" t="s">
        <v>94</v>
      </c>
      <c r="C8" s="69"/>
      <c r="D8" s="74"/>
      <c r="E8" s="143">
        <f>E5+E6*E7</f>
        <v>9.0900000000000009E-2</v>
      </c>
      <c r="L8" s="68"/>
    </row>
    <row r="9" spans="1:13" x14ac:dyDescent="0.25">
      <c r="A9" s="29"/>
      <c r="B9" s="70" t="s">
        <v>95</v>
      </c>
      <c r="C9" s="70"/>
      <c r="D9" s="75"/>
      <c r="E9" s="149">
        <f>1-E10</f>
        <v>0.95490691201107925</v>
      </c>
      <c r="G9" s="4" t="s">
        <v>107</v>
      </c>
      <c r="L9" s="29"/>
      <c r="M9" s="245">
        <f>AVERAGE(M4:M7)</f>
        <v>1.2286089810192689</v>
      </c>
    </row>
    <row r="10" spans="1:13" x14ac:dyDescent="0.25">
      <c r="A10" s="29"/>
      <c r="B10" s="71" t="s">
        <v>96</v>
      </c>
      <c r="C10" s="71"/>
      <c r="D10" s="76"/>
      <c r="E10" s="150">
        <f>MAIN!F8/MAIN!F6</f>
        <v>4.5093087988920713E-2</v>
      </c>
      <c r="M10" s="68"/>
    </row>
    <row r="11" spans="1:13" x14ac:dyDescent="0.25">
      <c r="A11" s="29"/>
      <c r="B11" s="171" t="s">
        <v>176</v>
      </c>
      <c r="C11" s="72"/>
      <c r="D11" s="77"/>
      <c r="E11" s="151">
        <f>Debt!F5</f>
        <v>3.5999999999999997E-2</v>
      </c>
      <c r="G11" s="4" t="s">
        <v>108</v>
      </c>
      <c r="L11" s="29"/>
      <c r="M11" s="245">
        <f>M9*(1+E10*(1-E4))</f>
        <v>1.2737614259206091</v>
      </c>
    </row>
    <row r="12" spans="1:13" x14ac:dyDescent="0.25">
      <c r="A12" s="29"/>
      <c r="B12" s="73" t="s">
        <v>97</v>
      </c>
      <c r="C12" s="73"/>
      <c r="D12" s="78"/>
      <c r="E12" s="151">
        <f>E11*(1-E4)</f>
        <v>2.9339999999999995E-2</v>
      </c>
      <c r="M12" s="68"/>
    </row>
    <row r="13" spans="1:13" s="11" customFormat="1" x14ac:dyDescent="0.25">
      <c r="A13" s="26" t="s">
        <v>122</v>
      </c>
      <c r="B13" s="172" t="s">
        <v>98</v>
      </c>
      <c r="C13" s="173"/>
      <c r="D13" s="174"/>
      <c r="E13" s="168">
        <f>WACC!E8*WACC!E9+WACC!E12*WACC!E10</f>
        <v>8.8124069503402055E-2</v>
      </c>
      <c r="F13" s="4"/>
    </row>
    <row r="14" spans="1:13" s="11" customFormat="1" x14ac:dyDescent="0.25">
      <c r="A14" s="26"/>
      <c r="B14" s="79" t="s">
        <v>99</v>
      </c>
      <c r="C14" s="79"/>
      <c r="D14" s="118"/>
      <c r="E14" s="153">
        <v>2.5000000000000001E-2</v>
      </c>
      <c r="F14" s="4"/>
    </row>
    <row r="15" spans="1:13" x14ac:dyDescent="0.25">
      <c r="B15" s="68"/>
      <c r="C15" s="68"/>
      <c r="D15" s="68"/>
      <c r="E15" s="68"/>
    </row>
  </sheetData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340EB-072D-4DA9-B457-4757931D9A4D}">
  <sheetPr codeName="Sheet14"/>
  <dimension ref="A1:S45"/>
  <sheetViews>
    <sheetView showGridLines="0" topLeftCell="C1" zoomScaleNormal="100" workbookViewId="0">
      <selection activeCell="R16" sqref="R16"/>
    </sheetView>
  </sheetViews>
  <sheetFormatPr defaultColWidth="9" defaultRowHeight="15" x14ac:dyDescent="0.25"/>
  <cols>
    <col min="1" max="1" width="2" style="4" customWidth="1"/>
    <col min="2" max="2" width="22.42578125" style="4" bestFit="1" customWidth="1"/>
    <col min="3" max="3" width="12.7109375" style="4" customWidth="1"/>
    <col min="4" max="4" width="15.85546875" style="4" customWidth="1"/>
    <col min="5" max="5" width="10.42578125" style="4" customWidth="1"/>
    <col min="6" max="6" width="12.140625" style="4" customWidth="1"/>
    <col min="7" max="7" width="11.42578125" style="4" bestFit="1" customWidth="1"/>
    <col min="8" max="12" width="11.7109375" style="4" customWidth="1"/>
    <col min="13" max="16384" width="9" style="4"/>
  </cols>
  <sheetData>
    <row r="1" spans="1:19" ht="19.5" x14ac:dyDescent="0.3">
      <c r="A1" s="327" t="str">
        <f>CoName</f>
        <v>Adobe Inc.</v>
      </c>
      <c r="B1" s="3"/>
      <c r="C1" s="3"/>
      <c r="D1" s="43" t="s">
        <v>1</v>
      </c>
      <c r="E1" s="43" t="s">
        <v>1</v>
      </c>
      <c r="F1" s="43" t="s">
        <v>1</v>
      </c>
      <c r="G1" s="43" t="s">
        <v>1</v>
      </c>
      <c r="H1" s="43" t="s">
        <v>1</v>
      </c>
      <c r="I1" s="43" t="s">
        <v>1</v>
      </c>
      <c r="J1" s="43" t="s">
        <v>1</v>
      </c>
      <c r="K1" s="43" t="s">
        <v>1</v>
      </c>
      <c r="L1" s="43"/>
      <c r="M1" s="43"/>
    </row>
    <row r="2" spans="1:19" x14ac:dyDescent="0.25">
      <c r="A2" s="79" t="s">
        <v>110</v>
      </c>
      <c r="B2" s="21"/>
      <c r="C2" s="44"/>
      <c r="D2" s="79">
        <v>0.5</v>
      </c>
      <c r="E2" s="79">
        <f>D2+1</f>
        <v>1.5</v>
      </c>
      <c r="F2" s="79">
        <f t="shared" ref="F2:H2" si="0">E2+1</f>
        <v>2.5</v>
      </c>
      <c r="G2" s="79">
        <f t="shared" si="0"/>
        <v>3.5</v>
      </c>
      <c r="H2" s="79">
        <f t="shared" si="0"/>
        <v>4.5</v>
      </c>
      <c r="I2" s="79">
        <f t="shared" ref="I2" si="1">H2+1</f>
        <v>5.5</v>
      </c>
      <c r="J2" s="79">
        <f t="shared" ref="J2" si="2">I2+1</f>
        <v>6.5</v>
      </c>
      <c r="K2" s="79">
        <f t="shared" ref="K2" si="3">J2+1</f>
        <v>7.5</v>
      </c>
      <c r="L2" s="169"/>
      <c r="M2" s="169"/>
      <c r="N2" s="169"/>
    </row>
    <row r="3" spans="1:19" x14ac:dyDescent="0.25">
      <c r="B3" s="4" t="s">
        <v>234</v>
      </c>
      <c r="D3" s="8">
        <f>1/(1+$O$3)^D2</f>
        <v>0.95865157795507372</v>
      </c>
      <c r="E3" s="8">
        <f t="shared" ref="E3:K3" si="4">1/(1+$O$3)^E2</f>
        <v>0.8810131168154226</v>
      </c>
      <c r="F3" s="8">
        <f t="shared" si="4"/>
        <v>0.80966237353567527</v>
      </c>
      <c r="G3" s="8">
        <f t="shared" si="4"/>
        <v>0.7440901237532489</v>
      </c>
      <c r="H3" s="8">
        <f t="shared" si="4"/>
        <v>0.68382838373645827</v>
      </c>
      <c r="I3" s="8">
        <f t="shared" si="4"/>
        <v>0.62844707042326875</v>
      </c>
      <c r="J3" s="8">
        <f t="shared" si="4"/>
        <v>0.57755093195399987</v>
      </c>
      <c r="K3" s="8">
        <f t="shared" si="4"/>
        <v>0.5307767267914425</v>
      </c>
      <c r="L3" s="172" t="s">
        <v>98</v>
      </c>
      <c r="M3" s="173"/>
      <c r="N3" s="174"/>
      <c r="O3" s="168">
        <f>WACC!E13</f>
        <v>8.8124069503402055E-2</v>
      </c>
    </row>
    <row r="4" spans="1:19" x14ac:dyDescent="0.25">
      <c r="B4" s="4" t="s">
        <v>235</v>
      </c>
      <c r="D4" s="4">
        <f>D3*'Free Cash Flow'!F15</f>
        <v>6486.0409903425671</v>
      </c>
      <c r="E4" s="4">
        <f>E3*'Free Cash Flow'!G15</f>
        <v>6400.1681210034194</v>
      </c>
      <c r="F4" s="4">
        <f>F3*'Free Cash Flow'!H15</f>
        <v>6365.1358857201385</v>
      </c>
      <c r="G4" s="4">
        <f>G3*'Free Cash Flow'!I15</f>
        <v>6365.0114950914731</v>
      </c>
      <c r="H4" s="4">
        <f>H3*'Free Cash Flow'!J15</f>
        <v>6389.3493194673129</v>
      </c>
      <c r="I4" s="4">
        <f>I3*'Free Cash Flow'!K15</f>
        <v>6431.2971273191069</v>
      </c>
      <c r="J4" s="4">
        <f>J3*'Free Cash Flow'!L15</f>
        <v>6486.3568926671769</v>
      </c>
      <c r="K4" s="4">
        <f>K3*'Free Cash Flow'!M15</f>
        <v>6551.5738658122018</v>
      </c>
      <c r="L4" s="79" t="s">
        <v>99</v>
      </c>
      <c r="M4" s="79"/>
      <c r="N4" s="118"/>
      <c r="O4" s="153">
        <v>2.5000000000000001E-2</v>
      </c>
    </row>
    <row r="5" spans="1:19" x14ac:dyDescent="0.25">
      <c r="G5" s="152"/>
      <c r="K5" s="4">
        <f>((K4*(1+O4)))/(O3-O4)</f>
        <v>106383.55963560911</v>
      </c>
    </row>
    <row r="6" spans="1:19" x14ac:dyDescent="0.25">
      <c r="A6" s="79" t="s">
        <v>111</v>
      </c>
      <c r="B6" s="21"/>
      <c r="C6" s="44"/>
      <c r="D6" s="88"/>
      <c r="E6" s="79" t="s">
        <v>167</v>
      </c>
      <c r="F6" s="21"/>
      <c r="G6" s="44"/>
      <c r="H6" s="88" t="s">
        <v>163</v>
      </c>
    </row>
    <row r="7" spans="1:19" x14ac:dyDescent="0.25">
      <c r="B7" s="4" t="s">
        <v>112</v>
      </c>
      <c r="C7" s="4">
        <f>SUM(D4:K4)</f>
        <v>51474.933697423396</v>
      </c>
      <c r="E7" s="4" t="s">
        <v>112</v>
      </c>
      <c r="G7" s="4">
        <f>C7</f>
        <v>51474.933697423396</v>
      </c>
      <c r="K7" s="179"/>
      <c r="L7" s="179"/>
      <c r="M7" s="179" t="s">
        <v>236</v>
      </c>
      <c r="N7" s="179"/>
      <c r="P7" s="179"/>
      <c r="Q7" s="179"/>
      <c r="R7" s="179" t="s">
        <v>196</v>
      </c>
      <c r="S7" s="179"/>
    </row>
    <row r="8" spans="1:19" x14ac:dyDescent="0.25">
      <c r="B8" s="4" t="s">
        <v>113</v>
      </c>
      <c r="C8" s="4">
        <f>K5*K3</f>
        <v>56465.917567810829</v>
      </c>
      <c r="E8" s="4" t="s">
        <v>168</v>
      </c>
      <c r="G8" s="4">
        <f>G10*K3*IncState!M24</f>
        <v>140712.35347674167</v>
      </c>
      <c r="K8" s="179">
        <f>C18</f>
        <v>257.24044736080799</v>
      </c>
      <c r="L8" s="291">
        <f>M8-E23</f>
        <v>2.2500000000000003E-2</v>
      </c>
      <c r="M8" s="291">
        <v>2.5000000000000001E-2</v>
      </c>
      <c r="N8" s="291">
        <f>M8+E23</f>
        <v>2.75E-2</v>
      </c>
      <c r="P8" s="179">
        <f>G18</f>
        <v>458.49805822781906</v>
      </c>
      <c r="Q8" s="278">
        <f>R8-1</f>
        <v>16.5</v>
      </c>
      <c r="R8" s="278">
        <v>17.5</v>
      </c>
      <c r="S8" s="278">
        <f>R8+1</f>
        <v>18.5</v>
      </c>
    </row>
    <row r="9" spans="1:19" x14ac:dyDescent="0.25">
      <c r="B9" s="4" t="s">
        <v>114</v>
      </c>
      <c r="C9" s="4">
        <f>SUM(C7:C8)</f>
        <v>107940.85126523423</v>
      </c>
      <c r="E9" s="4" t="s">
        <v>114</v>
      </c>
      <c r="G9" s="4">
        <f>SUM(G7:G8)</f>
        <v>192187.28717416507</v>
      </c>
      <c r="K9" s="360">
        <f>K10+$E$22</f>
        <v>9.8124069503402064E-2</v>
      </c>
      <c r="L9" s="361">
        <f t="dataTable" ref="L9:N13" dt2D="1" dtr="1" r1="O4" r2="O3" ca="1"/>
        <v>215.86315684513093</v>
      </c>
      <c r="M9" s="362">
        <v>219.45845081265196</v>
      </c>
      <c r="N9" s="361">
        <v>223.30828221994395</v>
      </c>
      <c r="P9" s="360">
        <f t="shared" ref="P9:P10" si="5">K9</f>
        <v>9.8124069503402064E-2</v>
      </c>
      <c r="Q9" s="361">
        <f t="dataTable" ref="Q9:S13" dt2D="1" dtr="1" r1="G10" r2="O3"/>
        <v>413.86908371349938</v>
      </c>
      <c r="R9" s="362">
        <v>431.80392348104925</v>
      </c>
      <c r="S9" s="361">
        <v>449.73876324859901</v>
      </c>
    </row>
    <row r="10" spans="1:19" x14ac:dyDescent="0.25">
      <c r="C10" s="87"/>
      <c r="E10" s="4" t="s">
        <v>115</v>
      </c>
      <c r="G10" s="87">
        <v>17.5</v>
      </c>
      <c r="K10" s="360">
        <f>K11+$E$22</f>
        <v>9.312406950340206E-2</v>
      </c>
      <c r="L10" s="363">
        <v>232.39461842838142</v>
      </c>
      <c r="M10" s="275">
        <v>236.79964804226583</v>
      </c>
      <c r="N10" s="363">
        <v>241.54030371890579</v>
      </c>
      <c r="P10" s="360">
        <f t="shared" si="5"/>
        <v>9.312406950340206E-2</v>
      </c>
      <c r="Q10" s="363">
        <v>426.34324152924273</v>
      </c>
      <c r="R10" s="275">
        <v>444.90256553724277</v>
      </c>
      <c r="S10" s="363">
        <v>463.46188954524297</v>
      </c>
    </row>
    <row r="11" spans="1:19" x14ac:dyDescent="0.25">
      <c r="I11" s="169"/>
      <c r="K11" s="360">
        <v>8.8124069503402055E-2</v>
      </c>
      <c r="L11" s="275">
        <v>251.78514825057096</v>
      </c>
      <c r="M11" s="275">
        <v>257.24044736080799</v>
      </c>
      <c r="N11" s="275">
        <v>263.14567495282824</v>
      </c>
      <c r="P11" s="360">
        <v>8.8124069503402055E-2</v>
      </c>
      <c r="Q11" s="275">
        <v>439.28949178501773</v>
      </c>
      <c r="R11" s="275">
        <v>458.49805822781906</v>
      </c>
      <c r="S11" s="275">
        <v>477.70662467062056</v>
      </c>
    </row>
    <row r="12" spans="1:19" x14ac:dyDescent="0.25">
      <c r="B12" s="29" t="s">
        <v>116</v>
      </c>
      <c r="C12" s="39">
        <f>MAIN!F7</f>
        <v>5940</v>
      </c>
      <c r="E12" s="29" t="s">
        <v>116</v>
      </c>
      <c r="F12" s="165"/>
      <c r="G12" s="39">
        <f>C12</f>
        <v>5940</v>
      </c>
      <c r="I12" s="169"/>
      <c r="K12" s="360">
        <f>K11-$E$22</f>
        <v>8.3124069503402051E-2</v>
      </c>
      <c r="L12" s="363">
        <v>274.78203035938776</v>
      </c>
      <c r="M12" s="275">
        <v>281.62238404605836</v>
      </c>
      <c r="N12" s="363">
        <v>289.07761127108557</v>
      </c>
      <c r="P12" s="360">
        <f t="shared" ref="P12:P13" si="6">K12</f>
        <v>8.3124069503402051E-2</v>
      </c>
      <c r="Q12" s="363">
        <v>452.72835954884653</v>
      </c>
      <c r="R12" s="275">
        <v>472.61202878512461</v>
      </c>
      <c r="S12" s="363">
        <v>492.49569802140275</v>
      </c>
    </row>
    <row r="13" spans="1:19" x14ac:dyDescent="0.25">
      <c r="B13" s="29" t="s">
        <v>117</v>
      </c>
      <c r="C13" s="39">
        <f>MAIN!F8</f>
        <v>6200</v>
      </c>
      <c r="E13" s="29" t="s">
        <v>117</v>
      </c>
      <c r="F13" s="165"/>
      <c r="G13" s="39">
        <f t="shared" ref="G13:G14" si="7">C13</f>
        <v>6200</v>
      </c>
      <c r="K13" s="360">
        <f>K12-$E$22</f>
        <v>7.8124069503402047E-2</v>
      </c>
      <c r="L13" s="363">
        <v>302.4055062802513</v>
      </c>
      <c r="M13" s="275">
        <v>311.10828763010915</v>
      </c>
      <c r="N13" s="363">
        <v>320.67061873912587</v>
      </c>
      <c r="P13" s="360">
        <f t="shared" si="6"/>
        <v>7.8124069503402047E-2</v>
      </c>
      <c r="Q13" s="363">
        <v>466.68137004908141</v>
      </c>
      <c r="R13" s="275">
        <v>487.26715908647878</v>
      </c>
      <c r="S13" s="363">
        <v>507.85294812387616</v>
      </c>
    </row>
    <row r="14" spans="1:19" x14ac:dyDescent="0.25">
      <c r="B14" s="29" t="s">
        <v>118</v>
      </c>
      <c r="C14" s="81">
        <v>0</v>
      </c>
      <c r="E14" s="4" t="s">
        <v>118</v>
      </c>
      <c r="F14" s="29"/>
      <c r="G14" s="39">
        <f t="shared" si="7"/>
        <v>0</v>
      </c>
      <c r="K14" s="179"/>
      <c r="L14" s="179"/>
      <c r="M14" s="179"/>
      <c r="N14" s="179"/>
      <c r="P14" s="179"/>
      <c r="Q14" s="179"/>
      <c r="R14" s="179"/>
      <c r="S14" s="179"/>
    </row>
    <row r="15" spans="1:19" x14ac:dyDescent="0.25">
      <c r="B15" s="4" t="s">
        <v>119</v>
      </c>
      <c r="C15" s="68">
        <f>C9+C12-C13</f>
        <v>107680.85126523423</v>
      </c>
      <c r="E15" s="4" t="s">
        <v>119</v>
      </c>
      <c r="G15" s="68">
        <f>G9+G12-G13</f>
        <v>191927.28717416507</v>
      </c>
      <c r="K15" s="179"/>
      <c r="L15" s="179"/>
      <c r="M15" s="179" t="s">
        <v>179</v>
      </c>
      <c r="N15" s="179"/>
      <c r="P15" s="179"/>
      <c r="Q15" s="179"/>
      <c r="R15" s="179" t="s">
        <v>179</v>
      </c>
      <c r="S15" s="179"/>
    </row>
    <row r="16" spans="1:19" x14ac:dyDescent="0.25">
      <c r="K16" s="179"/>
      <c r="L16" s="179"/>
      <c r="M16" s="275">
        <f>AVERAGE(L9:N13)</f>
        <v>261.41347793050033</v>
      </c>
      <c r="N16" s="179"/>
      <c r="P16" s="179"/>
      <c r="Q16" s="179"/>
      <c r="R16" s="275">
        <f>AVERAGE(Q9:S13)</f>
        <v>459.01674702354285</v>
      </c>
      <c r="S16" s="179"/>
    </row>
    <row r="17" spans="1:17" x14ac:dyDescent="0.25">
      <c r="B17" s="4" t="s">
        <v>120</v>
      </c>
      <c r="C17" s="4">
        <f>MAIN!F5</f>
        <v>418.6</v>
      </c>
      <c r="E17" s="4" t="s">
        <v>120</v>
      </c>
      <c r="G17" s="4">
        <f>C17</f>
        <v>418.6</v>
      </c>
    </row>
    <row r="18" spans="1:17" x14ac:dyDescent="0.25">
      <c r="A18" s="4" t="s">
        <v>122</v>
      </c>
      <c r="B18" s="154" t="s">
        <v>121</v>
      </c>
      <c r="C18" s="167">
        <f>C15/C17</f>
        <v>257.24044736080799</v>
      </c>
      <c r="E18" s="154" t="s">
        <v>121</v>
      </c>
      <c r="F18" s="165"/>
      <c r="G18" s="167">
        <f>G15/G17</f>
        <v>458.49805822781906</v>
      </c>
    </row>
    <row r="19" spans="1:17" x14ac:dyDescent="0.25">
      <c r="C19" s="23"/>
    </row>
    <row r="20" spans="1:17" x14ac:dyDescent="0.25">
      <c r="A20" s="121" t="s">
        <v>143</v>
      </c>
      <c r="B20" s="21"/>
      <c r="C20" s="127"/>
      <c r="D20" s="127"/>
      <c r="E20" s="127"/>
      <c r="F20" s="127"/>
      <c r="G20" s="127"/>
      <c r="H20" s="127"/>
      <c r="I20" s="127"/>
      <c r="J20" s="127"/>
      <c r="K20" s="127"/>
      <c r="L20" s="127"/>
      <c r="M20" s="127"/>
      <c r="N20" s="242"/>
    </row>
    <row r="21" spans="1:17" x14ac:dyDescent="0.25">
      <c r="B21" s="122"/>
      <c r="C21" s="122"/>
      <c r="D21" s="122"/>
      <c r="E21" s="122"/>
      <c r="F21" s="122"/>
      <c r="G21" s="122"/>
      <c r="H21" s="122"/>
      <c r="I21" s="122"/>
    </row>
    <row r="22" spans="1:17" x14ac:dyDescent="0.25">
      <c r="B22" s="122"/>
      <c r="C22" s="122" t="s">
        <v>144</v>
      </c>
      <c r="D22" s="122"/>
      <c r="E22" s="123">
        <v>5.0000000000000001E-3</v>
      </c>
      <c r="F22" s="122"/>
      <c r="G22" s="122"/>
      <c r="J22" s="122" t="s">
        <v>144</v>
      </c>
      <c r="K22" s="122"/>
      <c r="L22" s="123">
        <v>5.0000000000000001E-3</v>
      </c>
    </row>
    <row r="23" spans="1:17" x14ac:dyDescent="0.25">
      <c r="B23" s="122"/>
      <c r="C23" s="122" t="s">
        <v>145</v>
      </c>
      <c r="D23" s="122"/>
      <c r="E23" s="155">
        <v>2.5000000000000001E-3</v>
      </c>
      <c r="F23" s="122"/>
      <c r="G23" s="122"/>
      <c r="J23" s="122" t="s">
        <v>166</v>
      </c>
      <c r="K23" s="122"/>
      <c r="L23" s="164">
        <v>1</v>
      </c>
    </row>
    <row r="24" spans="1:17" x14ac:dyDescent="0.25">
      <c r="B24" s="122"/>
      <c r="C24" s="122"/>
      <c r="D24" s="122"/>
      <c r="E24" s="177"/>
      <c r="F24" s="122"/>
      <c r="G24" s="122"/>
      <c r="J24" s="122"/>
      <c r="K24" s="122"/>
      <c r="L24" s="176"/>
    </row>
    <row r="25" spans="1:17" x14ac:dyDescent="0.25">
      <c r="A25" s="158" t="s">
        <v>169</v>
      </c>
      <c r="B25" s="16"/>
      <c r="C25" s="156"/>
      <c r="D25" s="156"/>
      <c r="E25" s="157"/>
      <c r="F25" s="156"/>
      <c r="G25" s="156"/>
      <c r="H25" s="156"/>
      <c r="I25" s="156"/>
      <c r="J25" s="166"/>
      <c r="K25" s="16"/>
      <c r="L25" s="16"/>
      <c r="M25" s="16"/>
      <c r="N25" s="16"/>
      <c r="O25" s="16"/>
      <c r="P25" s="16"/>
    </row>
    <row r="26" spans="1:17" x14ac:dyDescent="0.25">
      <c r="B26" s="122"/>
      <c r="C26" s="122"/>
      <c r="D26" s="122"/>
      <c r="E26" s="122"/>
      <c r="F26" s="122"/>
      <c r="H26" s="122"/>
      <c r="I26" s="179"/>
      <c r="P26" s="179"/>
    </row>
    <row r="27" spans="1:17" x14ac:dyDescent="0.25">
      <c r="B27" s="169"/>
      <c r="C27" s="175"/>
      <c r="D27" s="122"/>
      <c r="E27" s="301"/>
      <c r="F27" s="302"/>
      <c r="G27" s="301"/>
      <c r="I27" s="122"/>
      <c r="J27" s="301"/>
    </row>
    <row r="28" spans="1:17" x14ac:dyDescent="0.25">
      <c r="B28" s="169"/>
      <c r="C28" s="303"/>
      <c r="E28" s="122"/>
      <c r="F28" s="304"/>
      <c r="G28" s="304"/>
      <c r="H28" s="304"/>
      <c r="I28" s="179"/>
      <c r="J28" s="179"/>
      <c r="N28" s="305"/>
      <c r="P28" s="179"/>
    </row>
    <row r="29" spans="1:17" x14ac:dyDescent="0.25">
      <c r="B29" s="169"/>
      <c r="C29" s="303"/>
      <c r="E29" s="306"/>
      <c r="F29" s="179"/>
      <c r="G29" s="179"/>
      <c r="H29" s="284"/>
      <c r="I29" s="284"/>
      <c r="J29" s="284"/>
      <c r="N29" s="307"/>
      <c r="O29" s="49"/>
      <c r="P29" s="49"/>
      <c r="Q29" s="49"/>
    </row>
    <row r="30" spans="1:17" x14ac:dyDescent="0.25">
      <c r="E30" s="271"/>
      <c r="F30" s="179"/>
      <c r="G30" s="308"/>
      <c r="H30" s="309"/>
      <c r="I30" s="309"/>
      <c r="J30" s="309"/>
      <c r="N30" s="310"/>
      <c r="O30" s="175"/>
      <c r="P30" s="175"/>
      <c r="Q30" s="175"/>
    </row>
    <row r="31" spans="1:17" x14ac:dyDescent="0.25">
      <c r="F31" s="284"/>
      <c r="G31" s="309"/>
      <c r="H31" s="287"/>
      <c r="I31" s="287"/>
      <c r="J31" s="287"/>
      <c r="K31" s="311"/>
      <c r="M31" s="49"/>
      <c r="N31" s="175"/>
      <c r="O31" s="87"/>
      <c r="P31" s="87"/>
      <c r="Q31" s="87"/>
    </row>
    <row r="32" spans="1:17" x14ac:dyDescent="0.25">
      <c r="F32" s="284"/>
      <c r="G32" s="309"/>
      <c r="H32" s="287"/>
      <c r="I32" s="287"/>
      <c r="J32" s="287"/>
      <c r="K32" s="311"/>
      <c r="M32" s="49"/>
      <c r="N32" s="175"/>
      <c r="O32" s="87"/>
      <c r="P32" s="87"/>
      <c r="Q32" s="87"/>
    </row>
    <row r="33" spans="2:17" x14ac:dyDescent="0.25">
      <c r="D33" s="49"/>
      <c r="E33" s="152"/>
      <c r="F33" s="284"/>
      <c r="G33" s="309"/>
      <c r="H33" s="287"/>
      <c r="I33" s="287"/>
      <c r="J33" s="287"/>
      <c r="K33" s="311"/>
      <c r="L33" s="152"/>
      <c r="M33" s="49"/>
      <c r="N33" s="175"/>
      <c r="O33" s="87"/>
      <c r="P33" s="87"/>
      <c r="Q33" s="87"/>
    </row>
    <row r="34" spans="2:17" x14ac:dyDescent="0.25">
      <c r="D34" s="49"/>
      <c r="E34" s="271"/>
      <c r="F34" s="284"/>
      <c r="G34" s="309"/>
      <c r="H34" s="287"/>
      <c r="I34" s="287"/>
      <c r="J34" s="287"/>
      <c r="K34" s="305"/>
      <c r="M34" s="49"/>
      <c r="N34" s="175"/>
      <c r="O34" s="87"/>
      <c r="P34" s="87"/>
      <c r="Q34" s="87"/>
    </row>
    <row r="35" spans="2:17" x14ac:dyDescent="0.25">
      <c r="D35" s="49"/>
      <c r="E35" s="271"/>
      <c r="F35" s="284"/>
      <c r="G35" s="309"/>
      <c r="H35" s="287"/>
      <c r="I35" s="287"/>
      <c r="J35" s="287"/>
      <c r="K35" s="305"/>
      <c r="M35" s="49"/>
      <c r="N35" s="175"/>
      <c r="O35" s="87"/>
      <c r="P35" s="87"/>
      <c r="Q35" s="87"/>
    </row>
    <row r="36" spans="2:17" x14ac:dyDescent="0.25">
      <c r="B36" s="312"/>
      <c r="C36" s="312"/>
      <c r="D36" s="312"/>
      <c r="E36" s="313"/>
      <c r="F36" s="314"/>
      <c r="G36" s="313"/>
    </row>
    <row r="37" spans="2:17" x14ac:dyDescent="0.25">
      <c r="B37" s="122"/>
      <c r="C37" s="122"/>
      <c r="D37" s="122"/>
      <c r="E37" s="122"/>
      <c r="F37" s="302"/>
      <c r="G37" s="302"/>
      <c r="H37" s="302"/>
      <c r="I37" s="179"/>
      <c r="J37" s="179"/>
      <c r="P37" s="179"/>
    </row>
    <row r="38" spans="2:17" x14ac:dyDescent="0.25">
      <c r="F38" s="291"/>
      <c r="G38" s="291"/>
      <c r="H38" s="284"/>
      <c r="I38" s="284"/>
      <c r="J38" s="284"/>
      <c r="M38" s="179"/>
      <c r="O38" s="87"/>
      <c r="P38" s="87"/>
      <c r="Q38" s="87"/>
    </row>
    <row r="39" spans="2:17" x14ac:dyDescent="0.25">
      <c r="E39" s="49"/>
      <c r="F39" s="278"/>
      <c r="G39" s="315"/>
      <c r="H39" s="309"/>
      <c r="I39" s="309"/>
      <c r="J39" s="309"/>
      <c r="L39" s="87"/>
      <c r="M39" s="87"/>
      <c r="N39" s="316"/>
      <c r="O39" s="178"/>
      <c r="P39" s="178"/>
      <c r="Q39" s="178"/>
    </row>
    <row r="40" spans="2:17" x14ac:dyDescent="0.25">
      <c r="E40" s="49"/>
      <c r="F40" s="284"/>
      <c r="G40" s="309"/>
      <c r="H40" s="278"/>
      <c r="I40" s="278"/>
      <c r="J40" s="278"/>
      <c r="K40" s="49"/>
      <c r="M40" s="49"/>
      <c r="N40" s="175"/>
      <c r="O40" s="317"/>
      <c r="P40" s="317"/>
      <c r="Q40" s="317"/>
    </row>
    <row r="41" spans="2:17" x14ac:dyDescent="0.25">
      <c r="D41" s="8"/>
      <c r="E41" s="49"/>
      <c r="F41" s="284"/>
      <c r="G41" s="309"/>
      <c r="H41" s="278"/>
      <c r="I41" s="278"/>
      <c r="J41" s="278"/>
      <c r="K41" s="8"/>
      <c r="L41" s="49"/>
      <c r="M41" s="49"/>
      <c r="N41" s="175"/>
      <c r="O41" s="317"/>
      <c r="P41" s="317"/>
      <c r="Q41" s="317"/>
    </row>
    <row r="42" spans="2:17" x14ac:dyDescent="0.25">
      <c r="D42" s="8"/>
      <c r="E42" s="152"/>
      <c r="F42" s="284"/>
      <c r="G42" s="309"/>
      <c r="H42" s="278"/>
      <c r="I42" s="278"/>
      <c r="J42" s="278"/>
      <c r="K42" s="8"/>
      <c r="L42" s="152"/>
      <c r="M42" s="49"/>
      <c r="N42" s="175"/>
      <c r="O42" s="317"/>
      <c r="P42" s="317"/>
      <c r="Q42" s="317"/>
    </row>
    <row r="43" spans="2:17" x14ac:dyDescent="0.25">
      <c r="D43" s="8"/>
      <c r="E43" s="49"/>
      <c r="F43" s="284"/>
      <c r="G43" s="309"/>
      <c r="H43" s="278"/>
      <c r="I43" s="278"/>
      <c r="J43" s="278"/>
      <c r="K43" s="8"/>
      <c r="L43" s="49"/>
      <c r="M43" s="49"/>
      <c r="N43" s="175"/>
      <c r="O43" s="317"/>
      <c r="P43" s="317"/>
      <c r="Q43" s="317"/>
    </row>
    <row r="44" spans="2:17" x14ac:dyDescent="0.25">
      <c r="D44" s="8"/>
      <c r="E44" s="8"/>
      <c r="F44" s="284"/>
      <c r="G44" s="309"/>
      <c r="H44" s="278"/>
      <c r="I44" s="278"/>
      <c r="J44" s="278"/>
      <c r="K44" s="8"/>
      <c r="L44" s="49"/>
      <c r="M44" s="49"/>
      <c r="N44" s="175"/>
      <c r="O44" s="317"/>
      <c r="P44" s="317"/>
      <c r="Q44" s="317"/>
    </row>
    <row r="45" spans="2:17" x14ac:dyDescent="0.25">
      <c r="D45" s="8"/>
      <c r="E45" s="8"/>
      <c r="F45" s="87"/>
      <c r="G45" s="87"/>
      <c r="H45" s="87"/>
      <c r="J45" s="8"/>
      <c r="K45" s="8"/>
      <c r="L45" s="49"/>
      <c r="M45" s="49"/>
      <c r="N45" s="49"/>
    </row>
  </sheetData>
  <pageMargins left="0.7" right="0.7" top="0.75" bottom="0.75" header="0.3" footer="0.3"/>
  <pageSetup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EF967-9893-4C24-9902-E3B112D5E747}">
  <sheetPr codeName="Sheet15"/>
  <dimension ref="A1:Q45"/>
  <sheetViews>
    <sheetView showGridLines="0" zoomScaleNormal="100" workbookViewId="0"/>
  </sheetViews>
  <sheetFormatPr defaultColWidth="9.140625" defaultRowHeight="15" x14ac:dyDescent="0.25"/>
  <cols>
    <col min="1" max="1" width="2.140625" style="4" bestFit="1" customWidth="1"/>
    <col min="2" max="2" width="22.7109375" style="4" bestFit="1" customWidth="1"/>
    <col min="3" max="3" width="14.42578125" style="4" bestFit="1" customWidth="1"/>
    <col min="4" max="4" width="12.42578125" style="4" customWidth="1"/>
    <col min="5" max="5" width="12.140625" style="4" bestFit="1" customWidth="1"/>
    <col min="6" max="6" width="11.28515625" style="4" customWidth="1"/>
    <col min="7" max="7" width="12.140625" style="4" customWidth="1"/>
    <col min="8" max="8" width="12.140625" style="4" bestFit="1" customWidth="1"/>
    <col min="9" max="9" width="12.28515625" style="4" bestFit="1" customWidth="1"/>
    <col min="10" max="10" width="12.140625" style="4" bestFit="1" customWidth="1"/>
    <col min="11" max="11" width="10.42578125" style="4" bestFit="1" customWidth="1"/>
    <col min="12" max="12" width="12" style="4" customWidth="1"/>
    <col min="13" max="13" width="10.42578125" style="4" bestFit="1" customWidth="1"/>
    <col min="14" max="17" width="11.42578125" style="4" bestFit="1" customWidth="1"/>
    <col min="18" max="16384" width="9.140625" style="4"/>
  </cols>
  <sheetData>
    <row r="1" spans="1:17" ht="19.5" x14ac:dyDescent="0.3">
      <c r="A1" s="327" t="str">
        <f>CoName</f>
        <v>Adobe Inc.</v>
      </c>
    </row>
    <row r="2" spans="1:17" ht="30" x14ac:dyDescent="0.25">
      <c r="A2" s="4" t="s">
        <v>122</v>
      </c>
      <c r="B2" s="252"/>
      <c r="C2" s="251" t="s">
        <v>183</v>
      </c>
      <c r="D2" s="251" t="s">
        <v>177</v>
      </c>
      <c r="E2" s="251" t="s">
        <v>184</v>
      </c>
      <c r="F2" s="251" t="s">
        <v>178</v>
      </c>
      <c r="G2" s="251" t="s">
        <v>181</v>
      </c>
      <c r="H2" s="253" t="s">
        <v>187</v>
      </c>
      <c r="I2" s="253" t="s">
        <v>182</v>
      </c>
      <c r="J2" s="253" t="s">
        <v>185</v>
      </c>
      <c r="K2" s="253" t="s">
        <v>186</v>
      </c>
      <c r="L2" s="253" t="s">
        <v>188</v>
      </c>
      <c r="M2" s="253" t="s">
        <v>189</v>
      </c>
      <c r="N2" s="253" t="s">
        <v>190</v>
      </c>
    </row>
    <row r="3" spans="1:17" x14ac:dyDescent="0.25">
      <c r="A3" s="29"/>
      <c r="D3" s="254"/>
      <c r="E3" s="215"/>
      <c r="F3" s="87"/>
      <c r="G3" s="87"/>
      <c r="H3" s="87"/>
      <c r="I3" s="87"/>
      <c r="J3" s="87"/>
      <c r="K3" s="87"/>
      <c r="L3" s="87"/>
      <c r="M3" s="260"/>
    </row>
    <row r="4" spans="1:17" x14ac:dyDescent="0.25">
      <c r="A4" s="29"/>
      <c r="D4" s="254"/>
      <c r="E4" s="215"/>
      <c r="F4" s="87"/>
      <c r="G4" s="87"/>
      <c r="H4" s="87"/>
      <c r="I4" s="87"/>
      <c r="J4" s="87"/>
      <c r="K4" s="87"/>
      <c r="L4" s="87"/>
      <c r="M4" s="260"/>
    </row>
    <row r="5" spans="1:17" x14ac:dyDescent="0.25">
      <c r="A5" s="29"/>
      <c r="D5" s="254"/>
      <c r="E5" s="215"/>
      <c r="F5" s="87"/>
      <c r="G5" s="87"/>
      <c r="H5" s="87"/>
      <c r="I5" s="87"/>
      <c r="J5" s="87"/>
      <c r="K5" s="87"/>
      <c r="L5" s="87"/>
      <c r="M5" s="260"/>
    </row>
    <row r="6" spans="1:17" x14ac:dyDescent="0.25">
      <c r="A6" s="29"/>
      <c r="D6" s="254"/>
      <c r="E6" s="215"/>
      <c r="F6" s="87"/>
      <c r="G6" s="87"/>
      <c r="H6" s="87"/>
      <c r="I6" s="87"/>
      <c r="J6" s="87"/>
      <c r="K6" s="87"/>
      <c r="L6" s="87"/>
      <c r="M6" s="260"/>
    </row>
    <row r="7" spans="1:17" x14ac:dyDescent="0.25">
      <c r="A7" s="29"/>
      <c r="D7" s="254"/>
      <c r="E7" s="215"/>
      <c r="F7" s="87"/>
      <c r="G7" s="87"/>
      <c r="H7" s="87"/>
      <c r="I7" s="264"/>
      <c r="J7" s="264"/>
      <c r="K7" s="264"/>
      <c r="L7" s="264"/>
      <c r="M7" s="261"/>
    </row>
    <row r="8" spans="1:17" x14ac:dyDescent="0.25">
      <c r="A8" s="29" t="s">
        <v>122</v>
      </c>
      <c r="B8" s="248" t="s">
        <v>179</v>
      </c>
      <c r="C8" s="248"/>
      <c r="D8" s="255"/>
      <c r="E8" s="257"/>
      <c r="F8" s="266"/>
      <c r="G8" s="266"/>
      <c r="H8" s="266"/>
      <c r="I8" s="267"/>
      <c r="J8" s="267"/>
      <c r="K8" s="267"/>
      <c r="L8" s="267"/>
      <c r="M8" s="268"/>
    </row>
    <row r="9" spans="1:17" x14ac:dyDescent="0.25">
      <c r="B9" s="68"/>
      <c r="C9" s="247"/>
      <c r="D9" s="256"/>
      <c r="E9" s="216"/>
      <c r="F9" s="247"/>
      <c r="G9" s="68"/>
      <c r="H9" s="68"/>
      <c r="I9" s="68"/>
      <c r="J9" s="68"/>
      <c r="K9" s="68"/>
      <c r="L9" s="68"/>
      <c r="M9" s="68"/>
    </row>
    <row r="10" spans="1:17" x14ac:dyDescent="0.25">
      <c r="A10" s="4" t="s">
        <v>122</v>
      </c>
      <c r="B10" s="11" t="s">
        <v>198</v>
      </c>
      <c r="C10" s="87"/>
      <c r="D10" s="254"/>
      <c r="E10" s="215"/>
      <c r="F10" s="87"/>
      <c r="G10" s="87"/>
      <c r="H10" s="87"/>
      <c r="I10" s="87"/>
      <c r="J10" s="87"/>
      <c r="K10" s="87"/>
      <c r="L10" s="87"/>
      <c r="M10" s="87"/>
      <c r="N10" s="178"/>
      <c r="O10" s="178"/>
      <c r="P10" s="178"/>
      <c r="Q10" s="178"/>
    </row>
    <row r="11" spans="1:17" x14ac:dyDescent="0.25">
      <c r="A11" s="65"/>
      <c r="B11" s="248" t="s">
        <v>180</v>
      </c>
      <c r="C11" s="248"/>
      <c r="D11" s="258"/>
      <c r="E11" s="258"/>
      <c r="F11" s="258"/>
      <c r="G11" s="258"/>
      <c r="H11" s="258"/>
      <c r="I11" s="265"/>
      <c r="J11" s="265"/>
      <c r="K11" s="265"/>
      <c r="L11" s="265"/>
      <c r="M11" s="259"/>
      <c r="N11" s="270"/>
    </row>
    <row r="12" spans="1:17" x14ac:dyDescent="0.25">
      <c r="A12" s="152"/>
      <c r="B12" s="249"/>
      <c r="C12" s="250"/>
      <c r="D12" s="250"/>
      <c r="E12" s="250"/>
      <c r="F12" s="250"/>
      <c r="G12" s="68"/>
      <c r="H12" s="68"/>
      <c r="I12" s="68"/>
      <c r="J12" s="68"/>
      <c r="K12" s="68"/>
      <c r="L12" s="68"/>
      <c r="M12" s="68"/>
      <c r="N12" s="269"/>
    </row>
    <row r="13" spans="1:17" x14ac:dyDescent="0.25">
      <c r="B13" s="11"/>
      <c r="C13" s="318"/>
      <c r="D13" s="319"/>
      <c r="E13" s="320"/>
      <c r="F13" s="185"/>
      <c r="G13" s="185"/>
      <c r="H13" s="185"/>
      <c r="I13" s="185"/>
      <c r="J13" s="185"/>
      <c r="K13" s="185"/>
      <c r="L13" s="185"/>
      <c r="M13" s="185"/>
      <c r="N13" s="8"/>
    </row>
    <row r="14" spans="1:17" x14ac:dyDescent="0.25">
      <c r="A14" s="152"/>
      <c r="D14" s="8"/>
      <c r="E14" s="8"/>
      <c r="F14" s="8"/>
      <c r="G14" s="8"/>
      <c r="H14" s="8"/>
      <c r="I14" s="8"/>
      <c r="J14" s="8"/>
      <c r="K14" s="8"/>
      <c r="L14" s="8"/>
      <c r="M14" s="8"/>
      <c r="N14" s="12"/>
    </row>
    <row r="15" spans="1:17" x14ac:dyDescent="0.25">
      <c r="A15" s="152"/>
      <c r="B15" s="152"/>
      <c r="C15" s="152"/>
      <c r="D15" s="152"/>
      <c r="E15" s="152"/>
      <c r="F15" s="152"/>
      <c r="N15" s="8"/>
    </row>
    <row r="16" spans="1:17" x14ac:dyDescent="0.25">
      <c r="B16" s="12"/>
      <c r="C16" s="8"/>
      <c r="D16" s="319"/>
      <c r="E16" s="320"/>
      <c r="F16" s="321"/>
      <c r="G16" s="321"/>
      <c r="H16" s="321"/>
      <c r="I16" s="321"/>
      <c r="J16" s="321"/>
      <c r="K16" s="321"/>
      <c r="L16" s="321"/>
      <c r="M16" s="321"/>
      <c r="N16" s="8"/>
    </row>
    <row r="17" spans="1:14" x14ac:dyDescent="0.25">
      <c r="D17" s="8"/>
      <c r="E17" s="8"/>
      <c r="F17" s="8"/>
      <c r="G17" s="8"/>
      <c r="H17" s="8"/>
      <c r="I17" s="8"/>
      <c r="J17" s="8"/>
      <c r="K17" s="8"/>
      <c r="L17" s="8"/>
      <c r="M17" s="8"/>
      <c r="N17" s="12"/>
    </row>
    <row r="18" spans="1:14" x14ac:dyDescent="0.25">
      <c r="D18" s="179"/>
    </row>
    <row r="20" spans="1:14" x14ac:dyDescent="0.25">
      <c r="D20" s="322"/>
      <c r="E20" s="322"/>
      <c r="F20" s="322"/>
    </row>
    <row r="21" spans="1:14" x14ac:dyDescent="0.25">
      <c r="C21" s="322"/>
      <c r="E21" s="322"/>
    </row>
    <row r="22" spans="1:14" x14ac:dyDescent="0.25">
      <c r="C22" s="322"/>
      <c r="D22" s="322"/>
      <c r="E22" s="322"/>
      <c r="G22" s="322"/>
    </row>
    <row r="23" spans="1:14" x14ac:dyDescent="0.25">
      <c r="C23" s="322"/>
      <c r="D23" s="322"/>
      <c r="E23" s="322"/>
      <c r="G23" s="322"/>
    </row>
    <row r="24" spans="1:14" x14ac:dyDescent="0.25">
      <c r="C24" s="322"/>
      <c r="D24" s="322"/>
      <c r="E24" s="322"/>
      <c r="G24" s="322"/>
    </row>
    <row r="25" spans="1:14" x14ac:dyDescent="0.25">
      <c r="C25" s="322"/>
      <c r="D25" s="322"/>
      <c r="E25" s="322"/>
      <c r="H25" s="322"/>
    </row>
    <row r="26" spans="1:14" x14ac:dyDescent="0.25">
      <c r="C26" s="322"/>
      <c r="D26" s="322"/>
    </row>
    <row r="28" spans="1:14" x14ac:dyDescent="0.25">
      <c r="A28" s="32"/>
      <c r="D28" s="322"/>
    </row>
    <row r="29" spans="1:14" x14ac:dyDescent="0.25">
      <c r="C29" s="323"/>
      <c r="D29" s="323"/>
    </row>
    <row r="30" spans="1:14" x14ac:dyDescent="0.25">
      <c r="C30" s="323"/>
      <c r="D30" s="323"/>
    </row>
    <row r="31" spans="1:14" x14ac:dyDescent="0.25">
      <c r="C31" s="323"/>
      <c r="D31" s="323"/>
    </row>
    <row r="32" spans="1:14" x14ac:dyDescent="0.25">
      <c r="C32" s="323"/>
      <c r="D32" s="323"/>
    </row>
    <row r="33" spans="2:7" x14ac:dyDescent="0.25">
      <c r="C33" s="323"/>
      <c r="D33" s="323"/>
    </row>
    <row r="34" spans="2:7" x14ac:dyDescent="0.25">
      <c r="C34" s="323"/>
      <c r="D34" s="323"/>
      <c r="E34" s="323"/>
    </row>
    <row r="36" spans="2:7" x14ac:dyDescent="0.25">
      <c r="B36" s="11"/>
    </row>
    <row r="45" spans="2:7" x14ac:dyDescent="0.25">
      <c r="G45" s="272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7B6C6-A523-4E35-8D77-94DE15CE59A2}">
  <sheetPr codeName="Sheet16"/>
  <dimension ref="A1:R58"/>
  <sheetViews>
    <sheetView showGridLines="0" zoomScaleNormal="100" workbookViewId="0"/>
  </sheetViews>
  <sheetFormatPr defaultColWidth="9.140625" defaultRowHeight="15" x14ac:dyDescent="0.25"/>
  <cols>
    <col min="1" max="1" width="3.42578125" style="4" customWidth="1"/>
    <col min="2" max="2" width="9.140625" style="4"/>
    <col min="3" max="3" width="12.140625" style="4" customWidth="1"/>
    <col min="4" max="4" width="12.28515625" style="4" bestFit="1" customWidth="1"/>
    <col min="5" max="5" width="9.140625" style="4"/>
    <col min="6" max="10" width="12.42578125" style="4" customWidth="1"/>
    <col min="11" max="11" width="22.42578125" style="4" customWidth="1"/>
    <col min="12" max="12" width="13.28515625" style="4" customWidth="1"/>
    <col min="13" max="13" width="12.42578125" style="4" customWidth="1"/>
    <col min="14" max="14" width="12.28515625" style="4" bestFit="1" customWidth="1"/>
    <col min="15" max="15" width="11" style="4" bestFit="1" customWidth="1"/>
    <col min="16" max="18" width="12.42578125" style="4" customWidth="1"/>
    <col min="19" max="16384" width="9.140625" style="4"/>
  </cols>
  <sheetData>
    <row r="1" spans="1:18" ht="19.5" x14ac:dyDescent="0.3">
      <c r="A1" s="327" t="str">
        <f>CoName</f>
        <v>Adobe Inc.</v>
      </c>
    </row>
    <row r="2" spans="1:18" x14ac:dyDescent="0.25">
      <c r="A2" s="11" t="s">
        <v>191</v>
      </c>
    </row>
    <row r="3" spans="1:18" x14ac:dyDescent="0.25">
      <c r="A3" s="109" t="s">
        <v>192</v>
      </c>
      <c r="B3" s="16"/>
      <c r="C3" s="16"/>
      <c r="D3" s="16"/>
      <c r="E3" s="16"/>
      <c r="F3" s="16"/>
      <c r="G3" s="16"/>
      <c r="H3" s="16"/>
      <c r="I3" s="16"/>
      <c r="J3" s="16"/>
      <c r="K3" s="16"/>
      <c r="L3" s="16"/>
      <c r="M3" s="16"/>
      <c r="N3" s="16"/>
      <c r="O3" s="16"/>
      <c r="P3" s="16"/>
    </row>
    <row r="4" spans="1:18" x14ac:dyDescent="0.25">
      <c r="A4" s="169"/>
      <c r="F4" s="263"/>
    </row>
    <row r="5" spans="1:18" x14ac:dyDescent="0.25">
      <c r="F5" s="275"/>
    </row>
    <row r="6" spans="1:18" ht="11.85" customHeight="1" x14ac:dyDescent="0.25">
      <c r="A6" s="169"/>
    </row>
    <row r="7" spans="1:18" x14ac:dyDescent="0.25">
      <c r="K7" s="279"/>
      <c r="L7" s="280"/>
      <c r="M7" s="280"/>
      <c r="N7" s="280"/>
    </row>
    <row r="8" spans="1:18" x14ac:dyDescent="0.25">
      <c r="B8" s="182"/>
      <c r="C8" s="182"/>
      <c r="D8" s="182"/>
      <c r="E8" s="182"/>
      <c r="F8" s="182"/>
      <c r="G8" s="182"/>
      <c r="H8" s="182"/>
      <c r="I8" s="182"/>
      <c r="J8" s="182"/>
      <c r="L8" s="281"/>
      <c r="M8" s="278"/>
      <c r="P8" s="169"/>
      <c r="Q8" s="169"/>
      <c r="R8" s="169"/>
    </row>
    <row r="9" spans="1:18" x14ac:dyDescent="0.25">
      <c r="B9" s="88"/>
      <c r="C9" s="88"/>
      <c r="D9" s="88"/>
      <c r="E9" s="88"/>
      <c r="F9" s="88"/>
      <c r="G9" s="88"/>
      <c r="H9" s="88"/>
      <c r="I9" s="88"/>
      <c r="J9" s="88"/>
      <c r="L9" s="281"/>
      <c r="M9" s="278"/>
      <c r="R9" s="8"/>
    </row>
    <row r="10" spans="1:18" x14ac:dyDescent="0.25">
      <c r="B10" s="163"/>
      <c r="C10" s="163"/>
      <c r="D10" s="163"/>
      <c r="E10" s="163"/>
      <c r="F10" s="163"/>
      <c r="G10" s="163"/>
      <c r="H10" s="163"/>
      <c r="I10" s="163"/>
      <c r="J10" s="163"/>
      <c r="L10" s="281"/>
      <c r="M10" s="278"/>
      <c r="R10" s="8"/>
    </row>
    <row r="11" spans="1:18" x14ac:dyDescent="0.25">
      <c r="L11" s="281"/>
      <c r="M11" s="278"/>
    </row>
    <row r="12" spans="1:18" x14ac:dyDescent="0.25">
      <c r="L12" s="281"/>
      <c r="M12" s="278"/>
      <c r="R12" s="8"/>
    </row>
    <row r="13" spans="1:18" x14ac:dyDescent="0.25">
      <c r="L13" s="281"/>
      <c r="M13" s="278"/>
      <c r="R13" s="8"/>
    </row>
    <row r="14" spans="1:18" x14ac:dyDescent="0.25">
      <c r="L14" s="11"/>
      <c r="N14" s="11"/>
      <c r="R14" s="8"/>
    </row>
    <row r="15" spans="1:18" x14ac:dyDescent="0.25">
      <c r="N15" s="11"/>
      <c r="R15" s="8"/>
    </row>
    <row r="16" spans="1:18" x14ac:dyDescent="0.25">
      <c r="N16" s="282"/>
      <c r="P16" s="169"/>
      <c r="Q16" s="169"/>
      <c r="R16" s="163"/>
    </row>
    <row r="17" spans="1:18" x14ac:dyDescent="0.25">
      <c r="P17" s="169"/>
      <c r="Q17" s="169"/>
      <c r="R17" s="175"/>
    </row>
    <row r="20" spans="1:18" x14ac:dyDescent="0.25">
      <c r="A20" s="169"/>
    </row>
    <row r="21" spans="1:18" x14ac:dyDescent="0.25">
      <c r="A21" s="109" t="s">
        <v>194</v>
      </c>
      <c r="B21" s="276"/>
      <c r="C21" s="276"/>
      <c r="D21" s="276"/>
      <c r="E21" s="276"/>
      <c r="F21" s="276"/>
      <c r="G21" s="276"/>
      <c r="H21" s="276"/>
      <c r="I21" s="276"/>
      <c r="J21" s="276"/>
      <c r="K21" s="276"/>
      <c r="L21" s="276"/>
      <c r="M21" s="276"/>
      <c r="N21" s="276"/>
      <c r="O21" s="276"/>
      <c r="P21" s="276"/>
    </row>
    <row r="22" spans="1:18" x14ac:dyDescent="0.25">
      <c r="B22" s="179"/>
      <c r="C22" s="179"/>
      <c r="D22" s="179"/>
      <c r="E22" s="179"/>
      <c r="F22" s="179"/>
      <c r="G22" s="179"/>
      <c r="H22" s="179"/>
      <c r="I22" s="179"/>
      <c r="J22" s="179"/>
      <c r="K22" s="179"/>
      <c r="L22" s="179"/>
      <c r="M22" s="179"/>
      <c r="N22" s="179"/>
      <c r="O22" s="179"/>
      <c r="P22" s="179"/>
      <c r="R22" s="183"/>
    </row>
    <row r="23" spans="1:18" x14ac:dyDescent="0.25">
      <c r="B23" s="179"/>
      <c r="C23" s="283"/>
      <c r="D23" s="283"/>
      <c r="E23" s="179"/>
      <c r="F23" s="283"/>
      <c r="G23" s="179"/>
      <c r="H23" s="179"/>
      <c r="I23" s="179"/>
      <c r="J23" s="179"/>
      <c r="K23" s="179"/>
      <c r="L23" s="179"/>
      <c r="M23" s="179"/>
      <c r="N23" s="179"/>
      <c r="O23" s="179"/>
      <c r="P23" s="179"/>
    </row>
    <row r="24" spans="1:18" x14ac:dyDescent="0.25">
      <c r="B24" s="179"/>
      <c r="C24" s="283"/>
      <c r="D24" s="283"/>
      <c r="E24" s="283"/>
      <c r="F24" s="179"/>
      <c r="G24" s="283"/>
      <c r="H24" s="283"/>
      <c r="I24" s="179"/>
      <c r="J24" s="179"/>
      <c r="K24" s="179"/>
      <c r="L24" s="179"/>
      <c r="M24" s="179"/>
      <c r="N24" s="179"/>
      <c r="O24" s="179"/>
      <c r="P24" s="179"/>
      <c r="R24" s="87"/>
    </row>
    <row r="25" spans="1:18" x14ac:dyDescent="0.25">
      <c r="B25" s="179"/>
      <c r="C25" s="283"/>
      <c r="D25" s="284"/>
      <c r="E25" s="284"/>
      <c r="F25" s="284"/>
      <c r="G25" s="179"/>
      <c r="H25" s="179"/>
      <c r="I25" s="179"/>
      <c r="J25" s="179"/>
      <c r="K25" s="179"/>
      <c r="L25" s="152"/>
      <c r="M25" s="179"/>
      <c r="N25" s="179"/>
      <c r="O25" s="179"/>
      <c r="P25" s="179"/>
      <c r="R25" s="87"/>
    </row>
    <row r="26" spans="1:18" x14ac:dyDescent="0.25">
      <c r="B26" s="179"/>
      <c r="C26" s="285"/>
      <c r="D26" s="179"/>
      <c r="E26" s="179"/>
      <c r="F26" s="284"/>
      <c r="G26" s="284"/>
      <c r="H26" s="284"/>
      <c r="I26" s="179"/>
      <c r="J26" s="179"/>
      <c r="K26" s="179"/>
      <c r="L26" s="152"/>
      <c r="M26" s="278"/>
      <c r="N26" s="278"/>
      <c r="O26" s="278"/>
      <c r="P26" s="179"/>
      <c r="R26" s="87"/>
    </row>
    <row r="27" spans="1:18" x14ac:dyDescent="0.25">
      <c r="B27" s="179"/>
      <c r="C27" s="179"/>
      <c r="D27" s="179"/>
      <c r="E27" s="286"/>
      <c r="F27" s="287"/>
      <c r="G27" s="287"/>
      <c r="H27" s="287"/>
      <c r="I27" s="284"/>
      <c r="J27" s="179"/>
      <c r="K27" s="179"/>
      <c r="L27" s="286"/>
      <c r="M27" s="287"/>
      <c r="N27" s="287"/>
      <c r="O27" s="287"/>
      <c r="P27" s="179"/>
    </row>
    <row r="28" spans="1:18" x14ac:dyDescent="0.25">
      <c r="B28" s="179"/>
      <c r="C28" s="179"/>
      <c r="D28" s="179"/>
      <c r="E28" s="286"/>
      <c r="F28" s="287"/>
      <c r="G28" s="287"/>
      <c r="H28" s="287"/>
      <c r="I28" s="284"/>
      <c r="J28" s="179"/>
      <c r="K28" s="179"/>
      <c r="L28" s="286"/>
      <c r="M28" s="287"/>
      <c r="N28" s="287"/>
      <c r="O28" s="287"/>
      <c r="P28" s="179"/>
      <c r="R28" s="183"/>
    </row>
    <row r="29" spans="1:18" x14ac:dyDescent="0.25">
      <c r="B29" s="179"/>
      <c r="C29" s="179"/>
      <c r="D29" s="179"/>
      <c r="E29" s="286"/>
      <c r="F29" s="287"/>
      <c r="G29" s="287"/>
      <c r="H29" s="287"/>
      <c r="I29" s="284"/>
      <c r="J29" s="179"/>
      <c r="K29" s="179"/>
      <c r="L29" s="286"/>
      <c r="M29" s="287"/>
      <c r="N29" s="287"/>
      <c r="O29" s="287"/>
      <c r="P29" s="179"/>
    </row>
    <row r="30" spans="1:18" x14ac:dyDescent="0.25">
      <c r="B30" s="179"/>
      <c r="C30" s="284"/>
      <c r="D30" s="179"/>
      <c r="E30" s="286"/>
      <c r="F30" s="287"/>
      <c r="G30" s="287"/>
      <c r="H30" s="287"/>
      <c r="I30" s="284"/>
      <c r="J30" s="179"/>
      <c r="K30" s="179"/>
      <c r="L30" s="286"/>
      <c r="M30" s="287"/>
      <c r="N30" s="287"/>
      <c r="O30" s="287"/>
      <c r="P30" s="179"/>
      <c r="R30" s="87"/>
    </row>
    <row r="31" spans="1:18" x14ac:dyDescent="0.25">
      <c r="B31" s="179"/>
      <c r="C31" s="284"/>
      <c r="D31" s="179"/>
      <c r="E31" s="286"/>
      <c r="F31" s="287"/>
      <c r="G31" s="287"/>
      <c r="H31" s="287"/>
      <c r="I31" s="284"/>
      <c r="J31" s="179"/>
      <c r="K31" s="179"/>
      <c r="L31" s="286"/>
      <c r="M31" s="287"/>
      <c r="N31" s="287"/>
      <c r="O31" s="287"/>
      <c r="P31" s="179"/>
      <c r="R31" s="87"/>
    </row>
    <row r="32" spans="1:18" x14ac:dyDescent="0.25">
      <c r="B32" s="179"/>
      <c r="C32" s="288"/>
      <c r="D32" s="179"/>
      <c r="E32" s="289"/>
      <c r="F32" s="179"/>
      <c r="G32" s="179"/>
      <c r="H32" s="179"/>
      <c r="I32" s="179"/>
      <c r="J32" s="179"/>
      <c r="K32" s="179"/>
      <c r="P32" s="179"/>
      <c r="R32" s="87"/>
    </row>
    <row r="33" spans="1:18" x14ac:dyDescent="0.25">
      <c r="B33" s="179"/>
      <c r="C33" s="283"/>
      <c r="D33" s="179"/>
      <c r="E33" s="290"/>
      <c r="F33" s="283"/>
      <c r="G33" s="179"/>
      <c r="H33" s="179"/>
      <c r="I33" s="179"/>
      <c r="J33" s="179"/>
      <c r="K33" s="179"/>
      <c r="L33" s="284"/>
      <c r="M33" s="179"/>
      <c r="N33" s="179"/>
      <c r="O33" s="179"/>
      <c r="P33" s="179"/>
      <c r="R33" s="87"/>
    </row>
    <row r="34" spans="1:18" x14ac:dyDescent="0.25">
      <c r="B34" s="179"/>
      <c r="C34" s="179"/>
      <c r="D34" s="179"/>
      <c r="E34" s="181"/>
      <c r="F34" s="284"/>
      <c r="G34" s="284"/>
      <c r="H34" s="284"/>
      <c r="I34" s="179"/>
      <c r="J34" s="179"/>
      <c r="K34" s="179"/>
      <c r="L34" s="179"/>
      <c r="M34" s="284"/>
      <c r="N34" s="284"/>
      <c r="O34" s="284"/>
      <c r="P34" s="179"/>
    </row>
    <row r="35" spans="1:18" x14ac:dyDescent="0.25">
      <c r="B35" s="179"/>
      <c r="C35" s="284"/>
      <c r="D35" s="179"/>
      <c r="E35" s="286"/>
      <c r="F35" s="278"/>
      <c r="G35" s="278"/>
      <c r="H35" s="278"/>
      <c r="I35" s="284"/>
      <c r="J35" s="179"/>
      <c r="K35" s="179"/>
      <c r="L35" s="286"/>
      <c r="M35" s="278"/>
      <c r="N35" s="278"/>
      <c r="O35" s="278"/>
      <c r="P35" s="179"/>
    </row>
    <row r="36" spans="1:18" x14ac:dyDescent="0.25">
      <c r="A36" s="169"/>
      <c r="B36" s="179"/>
      <c r="C36" s="284"/>
      <c r="D36" s="179"/>
      <c r="E36" s="286"/>
      <c r="F36" s="278"/>
      <c r="G36" s="278"/>
      <c r="H36" s="278"/>
      <c r="I36" s="291"/>
      <c r="J36" s="284"/>
      <c r="K36" s="179"/>
      <c r="L36" s="286"/>
      <c r="M36" s="278"/>
      <c r="N36" s="278"/>
      <c r="O36" s="278"/>
      <c r="P36" s="179"/>
    </row>
    <row r="37" spans="1:18" x14ac:dyDescent="0.25">
      <c r="B37" s="179"/>
      <c r="C37" s="179"/>
      <c r="D37" s="179"/>
      <c r="E37" s="286"/>
      <c r="F37" s="278"/>
      <c r="G37" s="278"/>
      <c r="H37" s="278"/>
      <c r="I37" s="291"/>
      <c r="J37" s="179"/>
      <c r="K37" s="179"/>
      <c r="L37" s="286"/>
      <c r="M37" s="278"/>
      <c r="N37" s="278"/>
      <c r="O37" s="278"/>
      <c r="P37" s="179"/>
    </row>
    <row r="38" spans="1:18" x14ac:dyDescent="0.25">
      <c r="A38" s="180"/>
      <c r="B38" s="179"/>
      <c r="C38" s="284"/>
      <c r="D38" s="179"/>
      <c r="E38" s="286"/>
      <c r="F38" s="278"/>
      <c r="G38" s="278"/>
      <c r="H38" s="278"/>
      <c r="I38" s="291"/>
      <c r="J38" s="284"/>
      <c r="K38" s="179"/>
      <c r="L38" s="286"/>
      <c r="M38" s="278"/>
      <c r="N38" s="278"/>
      <c r="O38" s="278"/>
      <c r="P38" s="179"/>
    </row>
    <row r="39" spans="1:18" x14ac:dyDescent="0.25">
      <c r="B39" s="292"/>
      <c r="C39" s="291"/>
      <c r="D39" s="179"/>
      <c r="E39" s="286"/>
      <c r="F39" s="278"/>
      <c r="G39" s="278"/>
      <c r="H39" s="278"/>
      <c r="I39" s="291"/>
      <c r="J39" s="284"/>
      <c r="K39" s="179"/>
      <c r="L39" s="286"/>
      <c r="M39" s="278"/>
      <c r="N39" s="278"/>
      <c r="O39" s="278"/>
      <c r="P39" s="179"/>
    </row>
    <row r="41" spans="1:18" x14ac:dyDescent="0.25">
      <c r="A41" s="109" t="s">
        <v>195</v>
      </c>
      <c r="B41" s="276"/>
      <c r="C41" s="276"/>
      <c r="D41" s="276"/>
      <c r="E41" s="276"/>
      <c r="F41" s="276"/>
      <c r="G41" s="276"/>
      <c r="H41" s="276"/>
      <c r="I41" s="276"/>
      <c r="J41" s="276"/>
      <c r="K41" s="276"/>
      <c r="L41" s="276"/>
      <c r="M41" s="276"/>
      <c r="N41" s="276"/>
      <c r="O41" s="276"/>
      <c r="P41" s="276"/>
      <c r="Q41" s="49"/>
      <c r="R41" s="49"/>
    </row>
    <row r="42" spans="1:18" x14ac:dyDescent="0.25">
      <c r="E42" s="8"/>
      <c r="F42" s="273"/>
      <c r="G42" s="273"/>
      <c r="H42" s="273"/>
      <c r="I42" s="184"/>
      <c r="J42" s="184"/>
      <c r="K42" s="184"/>
      <c r="P42" s="87"/>
      <c r="Q42" s="185"/>
      <c r="R42" s="87"/>
    </row>
    <row r="43" spans="1:18" x14ac:dyDescent="0.25">
      <c r="E43" s="8"/>
      <c r="F43" s="273"/>
      <c r="G43" s="273"/>
      <c r="H43" s="273"/>
      <c r="I43" s="184"/>
      <c r="J43" s="184"/>
      <c r="K43" s="184"/>
      <c r="P43" s="87"/>
      <c r="Q43" s="185"/>
      <c r="R43" s="87"/>
    </row>
    <row r="44" spans="1:18" x14ac:dyDescent="0.25">
      <c r="D44" s="179"/>
      <c r="E44" s="8"/>
      <c r="F44" s="184"/>
      <c r="G44" s="184"/>
      <c r="H44" s="184"/>
      <c r="I44" s="184"/>
      <c r="J44" s="184"/>
      <c r="K44" s="184"/>
      <c r="P44" s="185"/>
      <c r="Q44" s="185"/>
      <c r="R44" s="185"/>
    </row>
    <row r="45" spans="1:18" x14ac:dyDescent="0.25">
      <c r="E45" s="8"/>
      <c r="F45" s="273"/>
      <c r="G45" s="273"/>
      <c r="H45" s="273"/>
      <c r="I45" s="184"/>
      <c r="J45" s="184"/>
      <c r="K45" s="184"/>
      <c r="P45" s="87"/>
      <c r="Q45" s="185"/>
      <c r="R45" s="87"/>
    </row>
    <row r="46" spans="1:18" x14ac:dyDescent="0.25">
      <c r="E46" s="8"/>
      <c r="F46" s="273"/>
      <c r="G46" s="273"/>
      <c r="H46" s="273"/>
      <c r="I46" s="184"/>
      <c r="J46" s="184"/>
      <c r="K46" s="184"/>
      <c r="P46" s="87"/>
      <c r="Q46" s="185"/>
      <c r="R46" s="87"/>
    </row>
    <row r="48" spans="1:18" x14ac:dyDescent="0.25">
      <c r="A48" s="180"/>
    </row>
    <row r="49" spans="2:18" x14ac:dyDescent="0.25">
      <c r="B49" s="186"/>
    </row>
    <row r="51" spans="2:18" x14ac:dyDescent="0.25">
      <c r="I51" s="179"/>
      <c r="J51" s="179"/>
      <c r="K51" s="179"/>
      <c r="Q51" s="179"/>
    </row>
    <row r="52" spans="2:18" x14ac:dyDescent="0.25">
      <c r="F52" s="87"/>
      <c r="G52" s="87"/>
      <c r="H52" s="87"/>
      <c r="I52" s="87"/>
      <c r="J52" s="87"/>
      <c r="K52" s="87"/>
      <c r="L52" s="87"/>
      <c r="P52" s="87"/>
      <c r="Q52" s="87"/>
      <c r="R52" s="87"/>
    </row>
    <row r="53" spans="2:18" x14ac:dyDescent="0.25">
      <c r="E53" s="8"/>
      <c r="F53" s="148"/>
      <c r="G53" s="148"/>
      <c r="H53" s="148"/>
      <c r="I53" s="187"/>
      <c r="J53" s="187"/>
      <c r="K53" s="187"/>
      <c r="L53" s="148"/>
      <c r="O53" s="49"/>
      <c r="P53" s="49"/>
      <c r="Q53" s="188"/>
      <c r="R53" s="49"/>
    </row>
    <row r="54" spans="2:18" x14ac:dyDescent="0.25">
      <c r="E54" s="8"/>
      <c r="F54" s="148"/>
      <c r="G54" s="148"/>
      <c r="H54" s="148"/>
      <c r="I54" s="187"/>
      <c r="J54" s="187"/>
      <c r="K54" s="187"/>
      <c r="L54" s="148"/>
      <c r="O54" s="49"/>
      <c r="P54" s="49"/>
      <c r="Q54" s="188"/>
      <c r="R54" s="49"/>
    </row>
    <row r="55" spans="2:18" x14ac:dyDescent="0.25">
      <c r="E55" s="8"/>
      <c r="F55" s="187"/>
      <c r="G55" s="187"/>
      <c r="H55" s="187"/>
      <c r="I55" s="187"/>
      <c r="J55" s="187"/>
      <c r="K55" s="187"/>
      <c r="L55" s="187"/>
      <c r="O55" s="49"/>
      <c r="P55" s="188"/>
      <c r="Q55" s="188"/>
      <c r="R55" s="188"/>
    </row>
    <row r="56" spans="2:18" x14ac:dyDescent="0.25">
      <c r="E56" s="8"/>
      <c r="F56" s="148"/>
      <c r="G56" s="148"/>
      <c r="H56" s="148"/>
      <c r="I56" s="187"/>
      <c r="J56" s="187"/>
      <c r="K56" s="187"/>
      <c r="L56" s="148"/>
      <c r="O56" s="49"/>
      <c r="P56" s="49"/>
      <c r="Q56" s="188"/>
      <c r="R56" s="49"/>
    </row>
    <row r="57" spans="2:18" x14ac:dyDescent="0.25">
      <c r="E57" s="8"/>
      <c r="F57" s="148"/>
      <c r="G57" s="148"/>
      <c r="H57" s="148"/>
      <c r="I57" s="187"/>
      <c r="J57" s="187"/>
      <c r="K57" s="187"/>
      <c r="L57" s="148"/>
      <c r="O57" s="49"/>
      <c r="P57" s="49"/>
      <c r="Q57" s="188"/>
      <c r="R57" s="49"/>
    </row>
    <row r="58" spans="2:18" x14ac:dyDescent="0.25">
      <c r="O58" s="4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88a26cf8-717e-46a4-ac0d-03f11284dc6b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D67CCE9C46594A83EA9A0A36DAF059" ma:contentTypeVersion="5" ma:contentTypeDescription="Create a new document." ma:contentTypeScope="" ma:versionID="5fd8b8fd27f650b6dd5d0d1126d790d5">
  <xsd:schema xmlns:xsd="http://www.w3.org/2001/XMLSchema" xmlns:xs="http://www.w3.org/2001/XMLSchema" xmlns:p="http://schemas.microsoft.com/office/2006/metadata/properties" xmlns:ns3="88a26cf8-717e-46a4-ac0d-03f11284dc6b" targetNamespace="http://schemas.microsoft.com/office/2006/metadata/properties" ma:root="true" ma:fieldsID="dfdbcf1abf95335456703ce8a00489ec" ns3:_="">
    <xsd:import namespace="88a26cf8-717e-46a4-ac0d-03f11284dc6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a26cf8-717e-46a4-ac0d-03f11284dc6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2CEB71-5BFB-4E6E-B188-5D9054FB6C0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D9B163E-8FD9-4F0C-B1E1-F38F6A6548CE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purl.org/dc/dcmitype/"/>
    <ds:schemaRef ds:uri="88a26cf8-717e-46a4-ac0d-03f11284dc6b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C0E718D7-04AA-4DF9-97B6-37DAC0AD128C}">
  <ds:schemaRefs>
    <ds:schemaRef ds:uri="http://schemas.microsoft.com/office/2006/metadata/contentType"/>
    <ds:schemaRef ds:uri="http://schemas.microsoft.com/office/2006/metadata/properties/metaAttributes"/>
    <ds:schemaRef ds:uri="http://www.w3.org/2000/xmlns/"/>
    <ds:schemaRef ds:uri="http://www.w3.org/2001/XMLSchema"/>
    <ds:schemaRef ds:uri="88a26cf8-717e-46a4-ac0d-03f11284dc6b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MAIN</vt:lpstr>
      <vt:lpstr>Assumptions</vt:lpstr>
      <vt:lpstr>Revenue</vt:lpstr>
      <vt:lpstr>Calcs</vt:lpstr>
      <vt:lpstr>Debt</vt:lpstr>
      <vt:lpstr>IncState</vt:lpstr>
      <vt:lpstr>BalSheet</vt:lpstr>
      <vt:lpstr>CashFlow</vt:lpstr>
      <vt:lpstr>Free Cash Flow</vt:lpstr>
      <vt:lpstr>WACC</vt:lpstr>
      <vt:lpstr>DCF Model</vt:lpstr>
      <vt:lpstr>COMPS</vt:lpstr>
      <vt:lpstr>Presentation</vt:lpstr>
      <vt:lpstr>Ccy</vt:lpstr>
      <vt:lpstr>circ</vt:lpstr>
      <vt:lpstr>CoName</vt:lpstr>
      <vt:lpstr>g</vt:lpstr>
      <vt:lpstr>ScenarioREV</vt:lpstr>
      <vt:lpstr>Units</vt:lpstr>
    </vt:vector>
  </TitlesOfParts>
  <Company>AMT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Chen</dc:creator>
  <dc:description>AMTX-V1/2765</dc:description>
  <cp:lastModifiedBy>Alan Chen</cp:lastModifiedBy>
  <cp:lastPrinted>2017-12-06T12:46:42Z</cp:lastPrinted>
  <dcterms:created xsi:type="dcterms:W3CDTF">2008-02-13T09:24:48Z</dcterms:created>
  <dcterms:modified xsi:type="dcterms:W3CDTF">2025-11-07T20:40:20Z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0x01010001D67CCE9C46594A83EA9A0A36DAF059</vt:lpwstr>
  </property>
  <property fmtid="{D5CDD505-2E9C-101B-9397-08002B2CF9AE}" pid="3" name="MSIP_Label_a73fd474-4f3c-44ed-88fb-5cc4bd2471bf_Enabled">
    <vt:lpwstr>true</vt:lpwstr>
  </property>
  <property fmtid="{D5CDD505-2E9C-101B-9397-08002B2CF9AE}" pid="4" name="MSIP_Label_a73fd474-4f3c-44ed-88fb-5cc4bd2471bf_SetDate">
    <vt:lpwstr>2025-09-20T21:06:41Z</vt:lpwstr>
  </property>
  <property fmtid="{D5CDD505-2E9C-101B-9397-08002B2CF9AE}" pid="5" name="MSIP_Label_a73fd474-4f3c-44ed-88fb-5cc4bd2471bf_Method">
    <vt:lpwstr>Standard</vt:lpwstr>
  </property>
  <property fmtid="{D5CDD505-2E9C-101B-9397-08002B2CF9AE}" pid="6" name="MSIP_Label_a73fd474-4f3c-44ed-88fb-5cc4bd2471bf_Name">
    <vt:lpwstr>defa4170-0d19-0005-0004-bc88714345d2</vt:lpwstr>
  </property>
  <property fmtid="{D5CDD505-2E9C-101B-9397-08002B2CF9AE}" pid="7" name="MSIP_Label_a73fd474-4f3c-44ed-88fb-5cc4bd2471bf_SiteId">
    <vt:lpwstr>8d1a69ec-03b5-4345-ae21-dad112f5fb4f</vt:lpwstr>
  </property>
  <property fmtid="{D5CDD505-2E9C-101B-9397-08002B2CF9AE}" pid="8" name="MSIP_Label_a73fd474-4f3c-44ed-88fb-5cc4bd2471bf_ActionId">
    <vt:lpwstr>ea478097-4d4f-4597-be52-84b7b54bb9e8</vt:lpwstr>
  </property>
  <property fmtid="{D5CDD505-2E9C-101B-9397-08002B2CF9AE}" pid="9" name="MSIP_Label_a73fd474-4f3c-44ed-88fb-5cc4bd2471bf_ContentBits">
    <vt:lpwstr>0</vt:lpwstr>
  </property>
  <property fmtid="{D5CDD505-2E9C-101B-9397-08002B2CF9AE}" pid="10" name="MSIP_Label_a73fd474-4f3c-44ed-88fb-5cc4bd2471bf_Tag">
    <vt:lpwstr>10, 3, 0, 1</vt:lpwstr>
  </property>
</Properties>
</file>