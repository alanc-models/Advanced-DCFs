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726" documentId="8_{7AE64F78-4F13-4413-A321-D18350E554D7}" xr6:coauthVersionLast="47" xr6:coauthVersionMax="47" xr10:uidLastSave="{18E9BFEB-78EC-4318-AD16-53890787618D}"/>
  <bookViews>
    <workbookView xWindow="-120" yWindow="-120" windowWidth="38640" windowHeight="21840" tabRatio="808" xr2:uid="{00000000-000D-0000-FFFF-FFFF00000000}"/>
  </bookViews>
  <sheets>
    <sheet name="MAIN" sheetId="3" r:id="rId1"/>
    <sheet name="Revenue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3" l="1"/>
  <c r="F40" i="13"/>
  <c r="F41" i="13"/>
  <c r="F42" i="13"/>
  <c r="F39" i="13"/>
  <c r="U16" i="12"/>
  <c r="S13" i="12"/>
  <c r="S12" i="12"/>
  <c r="S10" i="12"/>
  <c r="S9" i="12"/>
  <c r="S11" i="12"/>
  <c r="V8" i="12"/>
  <c r="T8" i="12"/>
  <c r="P16" i="12"/>
  <c r="N13" i="12"/>
  <c r="N12" i="12"/>
  <c r="N9" i="12"/>
  <c r="N10" i="12"/>
  <c r="O8" i="12"/>
  <c r="Q8" i="12"/>
  <c r="AG9" i="32"/>
  <c r="AH9" i="32"/>
  <c r="AI9" i="32"/>
  <c r="AG10" i="32"/>
  <c r="AH10" i="32"/>
  <c r="AI10" i="32"/>
  <c r="AG11" i="32"/>
  <c r="AH11" i="32"/>
  <c r="AI11" i="32"/>
  <c r="AG12" i="32"/>
  <c r="AH12" i="32"/>
  <c r="AI12" i="32"/>
  <c r="AE9" i="32"/>
  <c r="AF9" i="32" s="1"/>
  <c r="AE10" i="32"/>
  <c r="AF10" i="32"/>
  <c r="AE11" i="32"/>
  <c r="AF11" i="32"/>
  <c r="AE12" i="32"/>
  <c r="AF12" i="32"/>
  <c r="AD10" i="32"/>
  <c r="AD11" i="32"/>
  <c r="AD12" i="32"/>
  <c r="AD9" i="32"/>
  <c r="G11" i="13"/>
  <c r="H11" i="13"/>
  <c r="I11" i="13"/>
  <c r="J11" i="13" s="1"/>
  <c r="K11" i="13" s="1"/>
  <c r="L11" i="13" s="1"/>
  <c r="M11" i="13" s="1"/>
  <c r="N11" i="13" s="1"/>
  <c r="O11" i="13" s="1"/>
  <c r="F11" i="13"/>
  <c r="G17" i="12"/>
  <c r="C17" i="12"/>
  <c r="G13" i="12"/>
  <c r="G12" i="12"/>
  <c r="C13" i="12"/>
  <c r="C12" i="12"/>
  <c r="F13" i="13"/>
  <c r="G13" i="13" s="1"/>
  <c r="H13" i="13" s="1"/>
  <c r="I13" i="13" s="1"/>
  <c r="J13" i="13" s="1"/>
  <c r="K13" i="13" s="1"/>
  <c r="L13" i="13" s="1"/>
  <c r="M13" i="13" s="1"/>
  <c r="N13" i="13" s="1"/>
  <c r="O13" i="13" s="1"/>
  <c r="G12" i="13"/>
  <c r="H12" i="13" s="1"/>
  <c r="I12" i="13" s="1"/>
  <c r="J12" i="13" s="1"/>
  <c r="K12" i="13" s="1"/>
  <c r="L12" i="13" s="1"/>
  <c r="M12" i="13" s="1"/>
  <c r="N12" i="13" s="1"/>
  <c r="O12" i="13" s="1"/>
  <c r="F12" i="13"/>
  <c r="E11" i="11"/>
  <c r="E9" i="11"/>
  <c r="E10" i="11"/>
  <c r="K5" i="11"/>
  <c r="K6" i="11"/>
  <c r="K7" i="11"/>
  <c r="K4" i="11"/>
  <c r="J7" i="11"/>
  <c r="I7" i="11"/>
  <c r="H7" i="11"/>
  <c r="J6" i="11"/>
  <c r="I6" i="11"/>
  <c r="H6" i="11"/>
  <c r="J5" i="11"/>
  <c r="I5" i="11"/>
  <c r="H5" i="11"/>
  <c r="J4" i="11"/>
  <c r="I4" i="11"/>
  <c r="H4" i="11"/>
  <c r="G3" i="10" l="1"/>
  <c r="H3" i="10"/>
  <c r="I3" i="10"/>
  <c r="G5" i="10"/>
  <c r="H5" i="10"/>
  <c r="I5" i="10"/>
  <c r="J5" i="10"/>
  <c r="K5" i="10"/>
  <c r="L5" i="10"/>
  <c r="M5" i="10"/>
  <c r="N5" i="10"/>
  <c r="O5" i="10"/>
  <c r="G8" i="10"/>
  <c r="H8" i="10"/>
  <c r="I8" i="10"/>
  <c r="J8" i="10"/>
  <c r="G9" i="10"/>
  <c r="H9" i="10"/>
  <c r="I9" i="10"/>
  <c r="J9" i="10"/>
  <c r="K9" i="10"/>
  <c r="L9" i="10"/>
  <c r="M9" i="10"/>
  <c r="N9" i="10"/>
  <c r="O9" i="10"/>
  <c r="G12" i="10"/>
  <c r="H12" i="10"/>
  <c r="I12" i="10"/>
  <c r="G13" i="10"/>
  <c r="H13" i="10"/>
  <c r="I13" i="10"/>
  <c r="F13" i="10"/>
  <c r="F9" i="10"/>
  <c r="F12" i="10"/>
  <c r="F8" i="10"/>
  <c r="F5" i="10"/>
  <c r="F3" i="10"/>
  <c r="G4" i="9"/>
  <c r="H4" i="9"/>
  <c r="I4" i="9"/>
  <c r="J4" i="9"/>
  <c r="G5" i="9"/>
  <c r="H5" i="9"/>
  <c r="I5" i="9"/>
  <c r="J5" i="9"/>
  <c r="K5" i="9"/>
  <c r="L5" i="9"/>
  <c r="M5" i="9"/>
  <c r="N5" i="9"/>
  <c r="O5" i="9"/>
  <c r="G8" i="9"/>
  <c r="H8" i="9"/>
  <c r="I8" i="9"/>
  <c r="G11" i="9"/>
  <c r="H11" i="9"/>
  <c r="H12" i="9" s="1"/>
  <c r="I11" i="9"/>
  <c r="I12" i="9" s="1"/>
  <c r="G12" i="9"/>
  <c r="G14" i="9"/>
  <c r="H14" i="9"/>
  <c r="I14" i="9"/>
  <c r="J14" i="9"/>
  <c r="K14" i="9"/>
  <c r="L14" i="9"/>
  <c r="M14" i="9"/>
  <c r="M16" i="9" s="1"/>
  <c r="N14" i="9"/>
  <c r="N16" i="9" s="1"/>
  <c r="O14" i="9"/>
  <c r="O16" i="9" s="1"/>
  <c r="G15" i="9"/>
  <c r="H15" i="9"/>
  <c r="I15" i="9"/>
  <c r="J15" i="9"/>
  <c r="K15" i="9"/>
  <c r="L15" i="9"/>
  <c r="M15" i="9"/>
  <c r="N15" i="9"/>
  <c r="O15" i="9"/>
  <c r="G16" i="9"/>
  <c r="H16" i="9"/>
  <c r="I16" i="9"/>
  <c r="J16" i="9"/>
  <c r="K16" i="9"/>
  <c r="L16" i="9"/>
  <c r="G17" i="8"/>
  <c r="G18" i="5" s="1"/>
  <c r="H17" i="8"/>
  <c r="H18" i="5" s="1"/>
  <c r="I17" i="8"/>
  <c r="G24" i="8"/>
  <c r="H24" i="8"/>
  <c r="I24" i="8"/>
  <c r="G25" i="8"/>
  <c r="H25" i="8"/>
  <c r="I25" i="8" s="1"/>
  <c r="G34" i="8"/>
  <c r="G23" i="5" s="1"/>
  <c r="H34" i="8"/>
  <c r="H23" i="5" s="1"/>
  <c r="I34" i="8"/>
  <c r="I23" i="5" s="1"/>
  <c r="G37" i="8"/>
  <c r="H37" i="8"/>
  <c r="H39" i="8" s="1"/>
  <c r="I37" i="8"/>
  <c r="I39" i="8" s="1"/>
  <c r="J37" i="8"/>
  <c r="K37" i="8"/>
  <c r="L37" i="8"/>
  <c r="M37" i="8"/>
  <c r="N37" i="8"/>
  <c r="O37" i="8"/>
  <c r="G38" i="8"/>
  <c r="H38" i="8"/>
  <c r="I38" i="8"/>
  <c r="G39" i="8"/>
  <c r="G15" i="7"/>
  <c r="H15" i="7"/>
  <c r="I15" i="7"/>
  <c r="J15" i="7"/>
  <c r="K15" i="7"/>
  <c r="L15" i="7"/>
  <c r="M15" i="7"/>
  <c r="N15" i="7"/>
  <c r="O15" i="7"/>
  <c r="G16" i="7"/>
  <c r="H16" i="7"/>
  <c r="I16" i="7"/>
  <c r="I7" i="5" s="1"/>
  <c r="G22" i="7"/>
  <c r="G23" i="7"/>
  <c r="H23" i="7"/>
  <c r="I23" i="7"/>
  <c r="J23" i="7"/>
  <c r="K23" i="7"/>
  <c r="L23" i="7"/>
  <c r="M23" i="7"/>
  <c r="N23" i="7"/>
  <c r="O23" i="7"/>
  <c r="G26" i="7"/>
  <c r="H26" i="7"/>
  <c r="I26" i="7"/>
  <c r="J26" i="7"/>
  <c r="K26" i="7"/>
  <c r="L26" i="7"/>
  <c r="M26" i="7"/>
  <c r="N26" i="7"/>
  <c r="O26" i="7"/>
  <c r="G27" i="7"/>
  <c r="H27" i="7"/>
  <c r="I27" i="7"/>
  <c r="J27" i="7"/>
  <c r="K27" i="7"/>
  <c r="L27" i="7"/>
  <c r="M27" i="7"/>
  <c r="N27" i="7"/>
  <c r="O27" i="7"/>
  <c r="G29" i="7"/>
  <c r="H29" i="7"/>
  <c r="I29" i="7"/>
  <c r="J29" i="7"/>
  <c r="K29" i="7"/>
  <c r="L29" i="7"/>
  <c r="M29" i="7"/>
  <c r="N29" i="7"/>
  <c r="O29" i="7"/>
  <c r="G30" i="7"/>
  <c r="H30" i="7"/>
  <c r="I30" i="7"/>
  <c r="J30" i="7"/>
  <c r="K30" i="7"/>
  <c r="L30" i="7"/>
  <c r="M30" i="7"/>
  <c r="N30" i="7"/>
  <c r="O30" i="7"/>
  <c r="G38" i="7"/>
  <c r="H38" i="7"/>
  <c r="I38" i="7"/>
  <c r="J38" i="7"/>
  <c r="K38" i="7"/>
  <c r="L38" i="7"/>
  <c r="M38" i="7"/>
  <c r="N38" i="7"/>
  <c r="O38" i="7"/>
  <c r="G39" i="7"/>
  <c r="H39" i="7"/>
  <c r="I39" i="7"/>
  <c r="J39" i="7"/>
  <c r="K39" i="7"/>
  <c r="L39" i="7"/>
  <c r="M39" i="7"/>
  <c r="N39" i="7"/>
  <c r="O39" i="7"/>
  <c r="F30" i="7"/>
  <c r="F29" i="7"/>
  <c r="G17" i="6"/>
  <c r="G20" i="6" s="1"/>
  <c r="G18" i="6"/>
  <c r="H18" i="6"/>
  <c r="I18" i="6"/>
  <c r="J18" i="6"/>
  <c r="K18" i="6"/>
  <c r="L18" i="6"/>
  <c r="M18" i="6"/>
  <c r="N18" i="6"/>
  <c r="O18" i="6"/>
  <c r="G19" i="6"/>
  <c r="H19" i="6"/>
  <c r="I19" i="6"/>
  <c r="J19" i="6"/>
  <c r="K19" i="6"/>
  <c r="L19" i="6"/>
  <c r="M19" i="6"/>
  <c r="N19" i="6"/>
  <c r="O19" i="6"/>
  <c r="G21" i="6"/>
  <c r="H21" i="6"/>
  <c r="I21" i="6"/>
  <c r="J21" i="6"/>
  <c r="K21" i="6"/>
  <c r="L21" i="6"/>
  <c r="M21" i="6"/>
  <c r="N21" i="6"/>
  <c r="O21" i="6"/>
  <c r="G25" i="6"/>
  <c r="H25" i="6"/>
  <c r="I25" i="6"/>
  <c r="J25" i="6"/>
  <c r="K25" i="6"/>
  <c r="L25" i="6"/>
  <c r="M25" i="6"/>
  <c r="N25" i="6"/>
  <c r="O25" i="6"/>
  <c r="G32" i="6"/>
  <c r="H32" i="6"/>
  <c r="I32" i="6"/>
  <c r="J32" i="6"/>
  <c r="K32" i="6"/>
  <c r="L32" i="6"/>
  <c r="M32" i="6"/>
  <c r="N32" i="6"/>
  <c r="O32" i="6"/>
  <c r="G15" i="5"/>
  <c r="H15" i="5"/>
  <c r="I15" i="5"/>
  <c r="J15" i="5"/>
  <c r="K15" i="5"/>
  <c r="L15" i="5"/>
  <c r="M15" i="5"/>
  <c r="N15" i="5"/>
  <c r="O15" i="5"/>
  <c r="G6" i="5"/>
  <c r="G7" i="5"/>
  <c r="G9" i="5" s="1"/>
  <c r="H6" i="5" s="1"/>
  <c r="H7" i="5"/>
  <c r="G8" i="5"/>
  <c r="F20" i="9"/>
  <c r="B21" i="9"/>
  <c r="F16" i="9"/>
  <c r="F15" i="9"/>
  <c r="F14" i="9"/>
  <c r="F11" i="9"/>
  <c r="F12" i="9" s="1"/>
  <c r="F15" i="5"/>
  <c r="E16" i="5"/>
  <c r="F13" i="5" s="1"/>
  <c r="F8" i="9"/>
  <c r="F5" i="9"/>
  <c r="F18" i="5"/>
  <c r="F23" i="5"/>
  <c r="E23" i="5"/>
  <c r="E22" i="5"/>
  <c r="E21" i="5"/>
  <c r="E20" i="5"/>
  <c r="E19" i="5"/>
  <c r="E18" i="5"/>
  <c r="E24" i="5" s="1"/>
  <c r="F37" i="8"/>
  <c r="F32" i="6"/>
  <c r="F28" i="6"/>
  <c r="F27" i="6"/>
  <c r="F26" i="6"/>
  <c r="F25" i="6"/>
  <c r="F22" i="6"/>
  <c r="F21" i="6"/>
  <c r="F20" i="6"/>
  <c r="F19" i="6"/>
  <c r="F18" i="6"/>
  <c r="F17" i="6"/>
  <c r="E20" i="6"/>
  <c r="F38" i="8"/>
  <c r="F34" i="8"/>
  <c r="F25" i="8"/>
  <c r="E9" i="5"/>
  <c r="F6" i="5" s="1"/>
  <c r="F17" i="8"/>
  <c r="F39" i="7"/>
  <c r="F38" i="7"/>
  <c r="F27" i="7"/>
  <c r="F26" i="7"/>
  <c r="F23" i="7"/>
  <c r="F16" i="7"/>
  <c r="E49" i="13"/>
  <c r="D49" i="13"/>
  <c r="C49" i="13"/>
  <c r="E48" i="13"/>
  <c r="D48" i="13"/>
  <c r="C48" i="13"/>
  <c r="E47" i="13"/>
  <c r="D47" i="13"/>
  <c r="C47" i="13"/>
  <c r="E43" i="13"/>
  <c r="D43" i="13"/>
  <c r="C43" i="13"/>
  <c r="E42" i="13"/>
  <c r="G42" i="13" s="1"/>
  <c r="D42" i="13"/>
  <c r="C42" i="13"/>
  <c r="E41" i="13"/>
  <c r="D41" i="13"/>
  <c r="C41" i="13"/>
  <c r="E40" i="13"/>
  <c r="D40" i="13"/>
  <c r="C40" i="13"/>
  <c r="E39" i="13"/>
  <c r="D39" i="13"/>
  <c r="C39" i="13"/>
  <c r="D33" i="13"/>
  <c r="E33" i="13"/>
  <c r="F33" i="13" s="1"/>
  <c r="G33" i="13" s="1"/>
  <c r="H33" i="13" s="1"/>
  <c r="I33" i="13" s="1"/>
  <c r="J33" i="13" s="1"/>
  <c r="K33" i="13" s="1"/>
  <c r="L33" i="13" s="1"/>
  <c r="M33" i="13" s="1"/>
  <c r="N33" i="13" s="1"/>
  <c r="O33" i="13" s="1"/>
  <c r="C32" i="13"/>
  <c r="D32" i="13"/>
  <c r="E32" i="13"/>
  <c r="F32" i="13" s="1"/>
  <c r="F3" i="5" s="1"/>
  <c r="F7" i="5" s="1"/>
  <c r="E19" i="13"/>
  <c r="D19" i="13"/>
  <c r="C19" i="13"/>
  <c r="E18" i="13"/>
  <c r="D18" i="13"/>
  <c r="C18" i="13"/>
  <c r="E16" i="13"/>
  <c r="D16" i="13"/>
  <c r="C16" i="13"/>
  <c r="E15" i="13"/>
  <c r="D15" i="13"/>
  <c r="C15" i="13"/>
  <c r="E14" i="13"/>
  <c r="F8" i="7" s="1"/>
  <c r="D14" i="13"/>
  <c r="E13" i="13"/>
  <c r="D13" i="13"/>
  <c r="E12" i="13"/>
  <c r="D12" i="13"/>
  <c r="C12" i="13"/>
  <c r="E11" i="13"/>
  <c r="D11" i="13"/>
  <c r="C11" i="13"/>
  <c r="C38" i="8"/>
  <c r="C39" i="8" s="1"/>
  <c r="C34" i="8"/>
  <c r="C35" i="8" s="1"/>
  <c r="C33" i="8"/>
  <c r="C27" i="8"/>
  <c r="C25" i="8"/>
  <c r="C24" i="8"/>
  <c r="C28" i="8" s="1"/>
  <c r="C21" i="8"/>
  <c r="C19" i="8"/>
  <c r="D38" i="8"/>
  <c r="D34" i="8"/>
  <c r="D33" i="8"/>
  <c r="D27" i="8"/>
  <c r="D26" i="8"/>
  <c r="D25" i="8"/>
  <c r="D24" i="8"/>
  <c r="D21" i="8"/>
  <c r="D19" i="8"/>
  <c r="E38" i="8"/>
  <c r="E39" i="8" s="1"/>
  <c r="E37" i="8"/>
  <c r="E34" i="8"/>
  <c r="E33" i="8"/>
  <c r="E27" i="8"/>
  <c r="E28" i="8" s="1"/>
  <c r="E25" i="8"/>
  <c r="E24" i="8"/>
  <c r="E21" i="8"/>
  <c r="E19" i="8"/>
  <c r="E17" i="8"/>
  <c r="E38" i="13" s="1"/>
  <c r="D17" i="8"/>
  <c r="D38" i="13" s="1"/>
  <c r="C17" i="8"/>
  <c r="C18" i="8" s="1"/>
  <c r="C25" i="13" s="1"/>
  <c r="C23" i="7"/>
  <c r="C14" i="13" s="1"/>
  <c r="C19" i="7"/>
  <c r="C20" i="7" s="1"/>
  <c r="C32" i="7" s="1"/>
  <c r="C35" i="7" s="1"/>
  <c r="C41" i="7" s="1"/>
  <c r="D23" i="7"/>
  <c r="D19" i="7"/>
  <c r="E34" i="7"/>
  <c r="E19" i="7"/>
  <c r="E23" i="7"/>
  <c r="H6" i="13"/>
  <c r="H7" i="13" s="1"/>
  <c r="I6" i="13"/>
  <c r="I7" i="13" s="1"/>
  <c r="G6" i="13"/>
  <c r="G10" i="13" s="1"/>
  <c r="G4" i="7" s="1"/>
  <c r="F6" i="13"/>
  <c r="F7" i="13" s="1"/>
  <c r="AC4" i="32"/>
  <c r="AD4" i="32"/>
  <c r="AE4" i="32" s="1"/>
  <c r="AF4" i="32" s="1"/>
  <c r="AG4" i="32" s="1"/>
  <c r="AH4" i="32" s="1"/>
  <c r="AI4" i="32" s="1"/>
  <c r="AC5" i="32"/>
  <c r="AD5" i="32"/>
  <c r="AC6" i="32"/>
  <c r="AD6" i="32"/>
  <c r="AB4" i="32"/>
  <c r="AB5" i="32"/>
  <c r="AB6" i="32"/>
  <c r="AE5" i="32"/>
  <c r="AF5" i="32" s="1"/>
  <c r="AE6" i="32"/>
  <c r="AF6" i="32" s="1"/>
  <c r="AC2" i="32"/>
  <c r="AD2" i="32" s="1"/>
  <c r="AE2" i="32" s="1"/>
  <c r="AF2" i="32" s="1"/>
  <c r="AG2" i="32" s="1"/>
  <c r="AH2" i="32" s="1"/>
  <c r="AI2" i="32" s="1"/>
  <c r="AB2" i="32"/>
  <c r="W10" i="32"/>
  <c r="Y10" i="32" s="1"/>
  <c r="Y4" i="32" s="1"/>
  <c r="W11" i="32"/>
  <c r="W5" i="32" s="1"/>
  <c r="W12" i="32"/>
  <c r="Y12" i="32" s="1"/>
  <c r="Y6" i="32" s="1"/>
  <c r="W9" i="32"/>
  <c r="Y3" i="32" s="1"/>
  <c r="U4" i="32"/>
  <c r="V4" i="32" s="1"/>
  <c r="U5" i="32"/>
  <c r="V5" i="32" s="1"/>
  <c r="U6" i="32"/>
  <c r="V6" i="32" s="1"/>
  <c r="U3" i="32"/>
  <c r="T12" i="32"/>
  <c r="S12" i="32"/>
  <c r="R12" i="32"/>
  <c r="T11" i="32"/>
  <c r="S11" i="32"/>
  <c r="R11" i="32"/>
  <c r="T10" i="32"/>
  <c r="S10" i="32"/>
  <c r="R10" i="32"/>
  <c r="T9" i="32"/>
  <c r="S9" i="32"/>
  <c r="R9" i="32"/>
  <c r="P12" i="32"/>
  <c r="O12" i="32"/>
  <c r="N12" i="32"/>
  <c r="M12" i="32"/>
  <c r="P11" i="32"/>
  <c r="O11" i="32"/>
  <c r="N11" i="32"/>
  <c r="M11" i="32"/>
  <c r="P10" i="32"/>
  <c r="O10" i="32"/>
  <c r="N10" i="32"/>
  <c r="M10" i="32"/>
  <c r="P9" i="32"/>
  <c r="O9" i="32"/>
  <c r="N9" i="32"/>
  <c r="M9" i="32"/>
  <c r="I9" i="32"/>
  <c r="J9" i="32"/>
  <c r="K9" i="32"/>
  <c r="I10" i="32"/>
  <c r="J10" i="32"/>
  <c r="K10" i="32"/>
  <c r="I11" i="32"/>
  <c r="J11" i="32"/>
  <c r="K11" i="32"/>
  <c r="I12" i="32"/>
  <c r="J12" i="32"/>
  <c r="K12" i="32"/>
  <c r="H10" i="32"/>
  <c r="H11" i="32"/>
  <c r="H12" i="32"/>
  <c r="H9" i="32"/>
  <c r="G6" i="32"/>
  <c r="G5" i="32"/>
  <c r="G4" i="32"/>
  <c r="G3" i="32"/>
  <c r="L6" i="32"/>
  <c r="L5" i="32"/>
  <c r="L4" i="32"/>
  <c r="L3" i="32"/>
  <c r="Q6" i="32"/>
  <c r="Q5" i="32"/>
  <c r="Q4" i="32"/>
  <c r="Q3" i="32"/>
  <c r="Q9" i="32" s="1"/>
  <c r="F7" i="32"/>
  <c r="E7" i="32"/>
  <c r="D7" i="32"/>
  <c r="C7" i="32"/>
  <c r="S7" i="32"/>
  <c r="R7" i="32"/>
  <c r="P7" i="32"/>
  <c r="O7" i="32"/>
  <c r="N7" i="32"/>
  <c r="M7" i="32"/>
  <c r="K7" i="32"/>
  <c r="J7" i="32"/>
  <c r="I7" i="32"/>
  <c r="H7" i="32"/>
  <c r="T7" i="32"/>
  <c r="A1" i="32"/>
  <c r="L2" i="12"/>
  <c r="M2" i="12" s="1"/>
  <c r="N2" i="10"/>
  <c r="O2" i="10"/>
  <c r="N2" i="8"/>
  <c r="O2" i="8" s="1"/>
  <c r="O16" i="8" s="1"/>
  <c r="N2" i="7"/>
  <c r="O2" i="7" s="1"/>
  <c r="N9" i="7"/>
  <c r="O9" i="7"/>
  <c r="N10" i="7"/>
  <c r="O10" i="7"/>
  <c r="N2" i="6"/>
  <c r="O2" i="6"/>
  <c r="N8" i="6"/>
  <c r="O8" i="6"/>
  <c r="N9" i="6"/>
  <c r="O9" i="6"/>
  <c r="N11" i="6"/>
  <c r="O11" i="6"/>
  <c r="N16" i="6"/>
  <c r="O16" i="6"/>
  <c r="N24" i="6"/>
  <c r="O24" i="6"/>
  <c r="N30" i="6"/>
  <c r="O30" i="6"/>
  <c r="N11" i="5"/>
  <c r="O11" i="5"/>
  <c r="N2" i="13"/>
  <c r="N21" i="13" s="1"/>
  <c r="F8" i="3"/>
  <c r="F7" i="3"/>
  <c r="G9" i="7"/>
  <c r="H9" i="7"/>
  <c r="I9" i="7"/>
  <c r="J9" i="7"/>
  <c r="K9" i="7"/>
  <c r="L9" i="7"/>
  <c r="M9" i="7"/>
  <c r="G10" i="7"/>
  <c r="H10" i="7"/>
  <c r="I10" i="7"/>
  <c r="J10" i="7"/>
  <c r="K10" i="7"/>
  <c r="L10" i="7"/>
  <c r="M10" i="7"/>
  <c r="A1" i="10"/>
  <c r="E35" i="8"/>
  <c r="D35" i="8"/>
  <c r="D39" i="8"/>
  <c r="C10" i="5"/>
  <c r="C17" i="5" s="1"/>
  <c r="D2" i="5"/>
  <c r="E2" i="5" s="1"/>
  <c r="F6" i="3"/>
  <c r="K2" i="6"/>
  <c r="K11" i="6" s="1"/>
  <c r="K8" i="6"/>
  <c r="L8" i="6"/>
  <c r="M8" i="6"/>
  <c r="K9" i="6"/>
  <c r="L9" i="6"/>
  <c r="M9" i="6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K11" i="5"/>
  <c r="L11" i="5"/>
  <c r="M11" i="5"/>
  <c r="F24" i="13"/>
  <c r="G24" i="13" s="1"/>
  <c r="F23" i="13"/>
  <c r="F4" i="6" s="1"/>
  <c r="L45" i="13"/>
  <c r="M45" i="13" s="1"/>
  <c r="N45" i="13" s="1"/>
  <c r="O45" i="13" s="1"/>
  <c r="L36" i="13"/>
  <c r="M36" i="13" s="1"/>
  <c r="N36" i="13" s="1"/>
  <c r="O36" i="13" s="1"/>
  <c r="L30" i="13"/>
  <c r="M30" i="13" s="1"/>
  <c r="N30" i="13" s="1"/>
  <c r="O30" i="13" s="1"/>
  <c r="M21" i="13"/>
  <c r="L21" i="13"/>
  <c r="K21" i="13"/>
  <c r="D2" i="10"/>
  <c r="E2" i="10" s="1"/>
  <c r="F2" i="10" s="1"/>
  <c r="G2" i="10" s="1"/>
  <c r="H2" i="10" s="1"/>
  <c r="I2" i="10" s="1"/>
  <c r="J2" i="10" s="1"/>
  <c r="K2" i="10" s="1"/>
  <c r="L2" i="10" s="1"/>
  <c r="M2" i="10" s="1"/>
  <c r="D2" i="9"/>
  <c r="E2" i="9"/>
  <c r="F2" i="9"/>
  <c r="G2" i="9"/>
  <c r="H2" i="9"/>
  <c r="I2" i="9"/>
  <c r="J2" i="9"/>
  <c r="K2" i="9"/>
  <c r="L2" i="9"/>
  <c r="M2" i="9" s="1"/>
  <c r="N2" i="9" s="1"/>
  <c r="O2" i="9" s="1"/>
  <c r="J16" i="8"/>
  <c r="I16" i="8"/>
  <c r="H16" i="8"/>
  <c r="G16" i="8"/>
  <c r="F16" i="8"/>
  <c r="E16" i="8"/>
  <c r="D16" i="8"/>
  <c r="C16" i="8"/>
  <c r="K2" i="8"/>
  <c r="K16" i="8" s="1"/>
  <c r="L2" i="8"/>
  <c r="M2" i="8" s="1"/>
  <c r="M16" i="8" s="1"/>
  <c r="F10" i="7"/>
  <c r="F15" i="7"/>
  <c r="E15" i="7"/>
  <c r="D15" i="7"/>
  <c r="C15" i="7"/>
  <c r="F47" i="13"/>
  <c r="F12" i="8" s="1"/>
  <c r="D20" i="7"/>
  <c r="D32" i="7" s="1"/>
  <c r="D35" i="7" s="1"/>
  <c r="D41" i="7" s="1"/>
  <c r="A1" i="3"/>
  <c r="A1" i="13"/>
  <c r="A1" i="5"/>
  <c r="A1" i="6"/>
  <c r="A1" i="7"/>
  <c r="A1" i="8"/>
  <c r="A1" i="9"/>
  <c r="A1" i="11"/>
  <c r="A1" i="12"/>
  <c r="F8" i="6"/>
  <c r="F11" i="5"/>
  <c r="B20" i="5"/>
  <c r="B19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/>
  <c r="H2" i="12"/>
  <c r="I2" i="12"/>
  <c r="J2" i="12"/>
  <c r="K2" i="12"/>
  <c r="F9" i="7"/>
  <c r="G11" i="5"/>
  <c r="AG6" i="32" l="1"/>
  <c r="AG5" i="32"/>
  <c r="AH5" i="32" s="1"/>
  <c r="AI5" i="32" s="1"/>
  <c r="AH6" i="32"/>
  <c r="AI6" i="32" s="1"/>
  <c r="J25" i="8"/>
  <c r="I18" i="5"/>
  <c r="H17" i="6"/>
  <c r="H20" i="6" s="1"/>
  <c r="G22" i="6"/>
  <c r="G28" i="6" s="1"/>
  <c r="G27" i="6"/>
  <c r="G26" i="6"/>
  <c r="H8" i="5"/>
  <c r="H22" i="7" s="1"/>
  <c r="H9" i="5"/>
  <c r="I6" i="5" s="1"/>
  <c r="C38" i="13"/>
  <c r="C17" i="13"/>
  <c r="C13" i="13"/>
  <c r="D18" i="8"/>
  <c r="D25" i="13" s="1"/>
  <c r="E18" i="8"/>
  <c r="E25" i="13" s="1"/>
  <c r="F25" i="13" s="1"/>
  <c r="F6" i="6" s="1"/>
  <c r="D17" i="13"/>
  <c r="C22" i="8"/>
  <c r="C30" i="8" s="1"/>
  <c r="D22" i="8"/>
  <c r="F6" i="8"/>
  <c r="G40" i="13"/>
  <c r="H40" i="13" s="1"/>
  <c r="H6" i="8" s="1"/>
  <c r="I8" i="13"/>
  <c r="H8" i="13"/>
  <c r="G8" i="13"/>
  <c r="I10" i="13"/>
  <c r="I4" i="7" s="1"/>
  <c r="G7" i="13"/>
  <c r="O2" i="13"/>
  <c r="O21" i="13" s="1"/>
  <c r="F8" i="13"/>
  <c r="H10" i="13"/>
  <c r="H4" i="7" s="1"/>
  <c r="C42" i="8"/>
  <c r="D42" i="8"/>
  <c r="D28" i="8"/>
  <c r="C40" i="7"/>
  <c r="D40" i="7"/>
  <c r="D24" i="7"/>
  <c r="I8" i="32"/>
  <c r="S8" i="32"/>
  <c r="H8" i="32"/>
  <c r="L10" i="32"/>
  <c r="L12" i="32"/>
  <c r="Q11" i="32"/>
  <c r="G7" i="32"/>
  <c r="W6" i="32"/>
  <c r="W4" i="32"/>
  <c r="Q10" i="32"/>
  <c r="Q12" i="32"/>
  <c r="L9" i="32"/>
  <c r="Q7" i="32"/>
  <c r="L11" i="32"/>
  <c r="Y11" i="32"/>
  <c r="Y5" i="32" s="1"/>
  <c r="W3" i="32"/>
  <c r="L7" i="32"/>
  <c r="L8" i="32" s="1"/>
  <c r="U7" i="32"/>
  <c r="U8" i="32" s="1"/>
  <c r="V12" i="32"/>
  <c r="X12" i="32" s="1"/>
  <c r="V10" i="32"/>
  <c r="X10" i="32" s="1"/>
  <c r="V11" i="32"/>
  <c r="X11" i="32" s="1"/>
  <c r="V3" i="32"/>
  <c r="V9" i="32" s="1"/>
  <c r="X9" i="32" s="1"/>
  <c r="K8" i="32"/>
  <c r="M8" i="32"/>
  <c r="O8" i="32"/>
  <c r="P8" i="32"/>
  <c r="R8" i="32"/>
  <c r="N8" i="32"/>
  <c r="T8" i="32"/>
  <c r="J8" i="32"/>
  <c r="N16" i="8"/>
  <c r="F9" i="3"/>
  <c r="G30" i="6"/>
  <c r="E30" i="6"/>
  <c r="F5" i="6"/>
  <c r="F10" i="8"/>
  <c r="F26" i="8" s="1"/>
  <c r="G5" i="6"/>
  <c r="H24" i="13"/>
  <c r="G25" i="13"/>
  <c r="G6" i="6" s="1"/>
  <c r="G47" i="13"/>
  <c r="G14" i="13"/>
  <c r="G23" i="13"/>
  <c r="G4" i="6" s="1"/>
  <c r="D10" i="5"/>
  <c r="D17" i="5" s="1"/>
  <c r="E10" i="5"/>
  <c r="E17" i="5" s="1"/>
  <c r="F2" i="5"/>
  <c r="F16" i="6"/>
  <c r="F24" i="6" s="1"/>
  <c r="L2" i="6"/>
  <c r="L11" i="6" s="1"/>
  <c r="L30" i="6" s="1"/>
  <c r="K16" i="6"/>
  <c r="K24" i="6" s="1"/>
  <c r="K30" i="6"/>
  <c r="D30" i="6"/>
  <c r="M2" i="6"/>
  <c r="M11" i="6" s="1"/>
  <c r="J16" i="6"/>
  <c r="J24" i="6" s="1"/>
  <c r="L16" i="8"/>
  <c r="C16" i="6"/>
  <c r="C24" i="6" s="1"/>
  <c r="I16" i="6"/>
  <c r="I24" i="6" s="1"/>
  <c r="H30" i="6"/>
  <c r="E42" i="8"/>
  <c r="G10" i="8"/>
  <c r="G26" i="8" s="1"/>
  <c r="H42" i="13"/>
  <c r="H10" i="8" s="1"/>
  <c r="H26" i="8" s="1"/>
  <c r="G32" i="13"/>
  <c r="F4" i="5"/>
  <c r="G4" i="5" s="1"/>
  <c r="H4" i="5" s="1"/>
  <c r="I4" i="5" s="1"/>
  <c r="J4" i="5" s="1"/>
  <c r="K4" i="5" s="1"/>
  <c r="L4" i="5" s="1"/>
  <c r="M4" i="5" s="1"/>
  <c r="N4" i="5" s="1"/>
  <c r="O4" i="5" s="1"/>
  <c r="C24" i="7"/>
  <c r="F7" i="8"/>
  <c r="G41" i="13"/>
  <c r="F38" i="13"/>
  <c r="F48" i="13"/>
  <c r="E20" i="7"/>
  <c r="E32" i="7" s="1"/>
  <c r="E17" i="13" s="1"/>
  <c r="F17" i="13" s="1"/>
  <c r="G17" i="13" s="1"/>
  <c r="G11" i="7" s="1"/>
  <c r="F49" i="13"/>
  <c r="F27" i="8" l="1"/>
  <c r="F21" i="8"/>
  <c r="F21" i="5" s="1"/>
  <c r="K25" i="8"/>
  <c r="I17" i="6"/>
  <c r="I20" i="6" s="1"/>
  <c r="H27" i="6"/>
  <c r="H22" i="6"/>
  <c r="H28" i="6" s="1"/>
  <c r="H26" i="6"/>
  <c r="I8" i="5"/>
  <c r="I22" i="7" s="1"/>
  <c r="I9" i="5"/>
  <c r="J6" i="5" s="1"/>
  <c r="F8" i="5"/>
  <c r="E22" i="8"/>
  <c r="E30" i="8" s="1"/>
  <c r="H17" i="13"/>
  <c r="D30" i="8"/>
  <c r="G6" i="8"/>
  <c r="I40" i="13"/>
  <c r="C44" i="8"/>
  <c r="D44" i="8"/>
  <c r="E44" i="8"/>
  <c r="Y7" i="32"/>
  <c r="Y8" i="32" s="1"/>
  <c r="Z11" i="32"/>
  <c r="Z5" i="32" s="1"/>
  <c r="X5" i="32"/>
  <c r="Z12" i="32"/>
  <c r="Z6" i="32" s="1"/>
  <c r="X6" i="32"/>
  <c r="Q8" i="32"/>
  <c r="Z9" i="32"/>
  <c r="Z3" i="32" s="1"/>
  <c r="X3" i="32"/>
  <c r="Z10" i="32"/>
  <c r="Z4" i="32" s="1"/>
  <c r="X4" i="32"/>
  <c r="W7" i="32"/>
  <c r="W8" i="32" s="1"/>
  <c r="V7" i="32"/>
  <c r="V8" i="32" s="1"/>
  <c r="H25" i="13"/>
  <c r="I25" i="13" s="1"/>
  <c r="H11" i="7"/>
  <c r="I17" i="13"/>
  <c r="H5" i="6"/>
  <c r="I24" i="13"/>
  <c r="G6" i="7"/>
  <c r="G18" i="7" s="1"/>
  <c r="I42" i="13"/>
  <c r="J42" i="13" s="1"/>
  <c r="H23" i="13"/>
  <c r="H4" i="6" s="1"/>
  <c r="H14" i="13"/>
  <c r="G8" i="7"/>
  <c r="G12" i="8"/>
  <c r="H47" i="13"/>
  <c r="G2" i="5"/>
  <c r="F10" i="5"/>
  <c r="F17" i="5" s="1"/>
  <c r="L16" i="6"/>
  <c r="L24" i="6" s="1"/>
  <c r="M16" i="6"/>
  <c r="M24" i="6" s="1"/>
  <c r="M30" i="6"/>
  <c r="H32" i="13"/>
  <c r="G3" i="5"/>
  <c r="I6" i="8"/>
  <c r="J40" i="13"/>
  <c r="F5" i="8"/>
  <c r="F19" i="8" s="1"/>
  <c r="F20" i="5" s="1"/>
  <c r="G39" i="13"/>
  <c r="G38" i="13"/>
  <c r="H38" i="13" s="1"/>
  <c r="I38" i="13" s="1"/>
  <c r="J38" i="13" s="1"/>
  <c r="K38" i="13" s="1"/>
  <c r="L38" i="13" s="1"/>
  <c r="M38" i="13" s="1"/>
  <c r="N38" i="13" s="1"/>
  <c r="O38" i="13" s="1"/>
  <c r="F4" i="8"/>
  <c r="F6" i="7"/>
  <c r="F18" i="7" s="1"/>
  <c r="F14" i="8"/>
  <c r="G49" i="13"/>
  <c r="G43" i="13"/>
  <c r="F9" i="8"/>
  <c r="E35" i="7"/>
  <c r="E24" i="7"/>
  <c r="F13" i="8"/>
  <c r="G48" i="13"/>
  <c r="G7" i="8"/>
  <c r="H41" i="13"/>
  <c r="G27" i="8" l="1"/>
  <c r="G7" i="9" s="1"/>
  <c r="G11" i="10" s="1"/>
  <c r="G21" i="8"/>
  <c r="G21" i="5" s="1"/>
  <c r="F7" i="9"/>
  <c r="F11" i="10" s="1"/>
  <c r="L25" i="8"/>
  <c r="I26" i="6"/>
  <c r="J17" i="6"/>
  <c r="J20" i="6" s="1"/>
  <c r="I27" i="6"/>
  <c r="I22" i="6"/>
  <c r="I28" i="6" s="1"/>
  <c r="J8" i="5"/>
  <c r="J22" i="7" s="1"/>
  <c r="F22" i="7"/>
  <c r="F9" i="5"/>
  <c r="F24" i="8" s="1"/>
  <c r="F28" i="8" s="1"/>
  <c r="E41" i="7"/>
  <c r="E40" i="7"/>
  <c r="I10" i="8"/>
  <c r="I26" i="8" s="1"/>
  <c r="I23" i="13"/>
  <c r="I4" i="6" s="1"/>
  <c r="AA4" i="32"/>
  <c r="AA3" i="32"/>
  <c r="AB3" i="32" s="1"/>
  <c r="AA6" i="32"/>
  <c r="AA5" i="32"/>
  <c r="AA7" i="32"/>
  <c r="AA8" i="32" s="1"/>
  <c r="AA9" i="32"/>
  <c r="X7" i="32"/>
  <c r="X8" i="32" s="1"/>
  <c r="Z7" i="32"/>
  <c r="Z8" i="32" s="1"/>
  <c r="H6" i="6"/>
  <c r="I11" i="7"/>
  <c r="J17" i="13"/>
  <c r="J24" i="13"/>
  <c r="I5" i="6"/>
  <c r="H12" i="8"/>
  <c r="I47" i="13"/>
  <c r="G5" i="7"/>
  <c r="G17" i="7" s="1"/>
  <c r="I14" i="13"/>
  <c r="H8" i="7"/>
  <c r="G7" i="7"/>
  <c r="G19" i="7" s="1"/>
  <c r="H6" i="7"/>
  <c r="H18" i="7" s="1"/>
  <c r="H2" i="5"/>
  <c r="G10" i="5"/>
  <c r="G17" i="5" s="1"/>
  <c r="I32" i="13"/>
  <c r="H3" i="5"/>
  <c r="K42" i="13"/>
  <c r="J10" i="8"/>
  <c r="J26" i="8" s="1"/>
  <c r="J25" i="13"/>
  <c r="I6" i="6"/>
  <c r="J6" i="8"/>
  <c r="K40" i="13"/>
  <c r="H48" i="13"/>
  <c r="G13" i="8"/>
  <c r="F5" i="7"/>
  <c r="F17" i="7" s="1"/>
  <c r="H43" i="13"/>
  <c r="G9" i="8"/>
  <c r="H49" i="13"/>
  <c r="G14" i="8"/>
  <c r="F39" i="8"/>
  <c r="I41" i="13"/>
  <c r="H7" i="8"/>
  <c r="F7" i="7"/>
  <c r="F19" i="7" s="1"/>
  <c r="G4" i="8"/>
  <c r="H39" i="13"/>
  <c r="G5" i="8"/>
  <c r="G19" i="8" s="1"/>
  <c r="G20" i="5" s="1"/>
  <c r="G28" i="8" l="1"/>
  <c r="H27" i="8"/>
  <c r="H21" i="8"/>
  <c r="H21" i="5" s="1"/>
  <c r="F33" i="8"/>
  <c r="F22" i="5" s="1"/>
  <c r="F20" i="8"/>
  <c r="F19" i="5" s="1"/>
  <c r="F20" i="7"/>
  <c r="F24" i="7" s="1"/>
  <c r="G20" i="8"/>
  <c r="G19" i="5" s="1"/>
  <c r="G33" i="8"/>
  <c r="G22" i="5" s="1"/>
  <c r="G20" i="7"/>
  <c r="M25" i="8"/>
  <c r="J26" i="6"/>
  <c r="K17" i="6"/>
  <c r="K20" i="6" s="1"/>
  <c r="J22" i="6"/>
  <c r="J28" i="6" s="1"/>
  <c r="J27" i="6"/>
  <c r="F4" i="9"/>
  <c r="J23" i="13"/>
  <c r="J4" i="6" s="1"/>
  <c r="AC3" i="32"/>
  <c r="AB7" i="32"/>
  <c r="AB8" i="32" s="1"/>
  <c r="AA11" i="32"/>
  <c r="AA12" i="32"/>
  <c r="AA10" i="32"/>
  <c r="J11" i="7"/>
  <c r="K17" i="13"/>
  <c r="K24" i="13"/>
  <c r="J5" i="6"/>
  <c r="I6" i="7"/>
  <c r="I18" i="7" s="1"/>
  <c r="H7" i="7"/>
  <c r="H19" i="7" s="1"/>
  <c r="J14" i="13"/>
  <c r="I8" i="7"/>
  <c r="H5" i="7"/>
  <c r="H17" i="7" s="1"/>
  <c r="J47" i="13"/>
  <c r="I12" i="8"/>
  <c r="I2" i="5"/>
  <c r="H10" i="5"/>
  <c r="H17" i="5" s="1"/>
  <c r="I3" i="5"/>
  <c r="J32" i="13"/>
  <c r="L42" i="13"/>
  <c r="K10" i="8"/>
  <c r="K26" i="8" s="1"/>
  <c r="J6" i="6"/>
  <c r="K25" i="13"/>
  <c r="L40" i="13"/>
  <c r="K6" i="8"/>
  <c r="F18" i="13"/>
  <c r="G18" i="13" s="1"/>
  <c r="J41" i="13"/>
  <c r="I7" i="8"/>
  <c r="H14" i="8"/>
  <c r="I49" i="13"/>
  <c r="I43" i="13"/>
  <c r="H9" i="8"/>
  <c r="I39" i="13"/>
  <c r="H5" i="8"/>
  <c r="H19" i="8" s="1"/>
  <c r="H20" i="5" s="1"/>
  <c r="H4" i="8"/>
  <c r="E4" i="11"/>
  <c r="L4" i="11" s="1"/>
  <c r="L5" i="11" s="1"/>
  <c r="L6" i="11" s="1"/>
  <c r="L7" i="11" s="1"/>
  <c r="I48" i="13"/>
  <c r="H13" i="8"/>
  <c r="H28" i="8" l="1"/>
  <c r="H7" i="9"/>
  <c r="H11" i="10" s="1"/>
  <c r="I27" i="8"/>
  <c r="I28" i="8" s="1"/>
  <c r="I21" i="8"/>
  <c r="I21" i="5" s="1"/>
  <c r="F24" i="5"/>
  <c r="F25" i="5" s="1"/>
  <c r="F6" i="9" s="1"/>
  <c r="F10" i="10" s="1"/>
  <c r="H20" i="8"/>
  <c r="H19" i="5" s="1"/>
  <c r="H33" i="8"/>
  <c r="H22" i="5" s="1"/>
  <c r="H20" i="7"/>
  <c r="G4" i="10"/>
  <c r="G7" i="10" s="1"/>
  <c r="G24" i="7"/>
  <c r="G32" i="7"/>
  <c r="G34" i="7" s="1"/>
  <c r="G35" i="7" s="1"/>
  <c r="F4" i="10"/>
  <c r="F32" i="7"/>
  <c r="F34" i="7" s="1"/>
  <c r="F35" i="7" s="1"/>
  <c r="G24" i="5"/>
  <c r="N25" i="8"/>
  <c r="K26" i="6"/>
  <c r="K27" i="6"/>
  <c r="L17" i="6"/>
  <c r="L20" i="6" s="1"/>
  <c r="K22" i="6"/>
  <c r="K28" i="6" s="1"/>
  <c r="K23" i="13"/>
  <c r="L23" i="13" s="1"/>
  <c r="AC7" i="32"/>
  <c r="AC8" i="32" s="1"/>
  <c r="AD3" i="32"/>
  <c r="K11" i="7"/>
  <c r="L17" i="13"/>
  <c r="L24" i="13"/>
  <c r="K5" i="6"/>
  <c r="H18" i="13"/>
  <c r="G12" i="7"/>
  <c r="J12" i="8"/>
  <c r="K47" i="13"/>
  <c r="I5" i="7"/>
  <c r="I17" i="7" s="1"/>
  <c r="K14" i="13"/>
  <c r="J8" i="7"/>
  <c r="I7" i="7"/>
  <c r="I19" i="7" s="1"/>
  <c r="J6" i="7"/>
  <c r="J2" i="5"/>
  <c r="I10" i="5"/>
  <c r="I17" i="5" s="1"/>
  <c r="K32" i="13"/>
  <c r="J3" i="5"/>
  <c r="K4" i="6"/>
  <c r="M42" i="13"/>
  <c r="L10" i="8"/>
  <c r="L26" i="8" s="1"/>
  <c r="K6" i="6"/>
  <c r="L25" i="13"/>
  <c r="M40" i="13"/>
  <c r="L6" i="8"/>
  <c r="I4" i="8"/>
  <c r="F19" i="13"/>
  <c r="G19" i="13" s="1"/>
  <c r="I5" i="8"/>
  <c r="I19" i="8" s="1"/>
  <c r="I20" i="5" s="1"/>
  <c r="J39" i="13"/>
  <c r="J43" i="13"/>
  <c r="I9" i="8"/>
  <c r="I14" i="8"/>
  <c r="J49" i="13"/>
  <c r="J7" i="8"/>
  <c r="K41" i="13"/>
  <c r="J48" i="13"/>
  <c r="I13" i="8"/>
  <c r="F11" i="7"/>
  <c r="E12" i="11"/>
  <c r="F12" i="7"/>
  <c r="I7" i="9" l="1"/>
  <c r="I11" i="10" s="1"/>
  <c r="G25" i="5"/>
  <c r="G6" i="9" s="1"/>
  <c r="G10" i="10" s="1"/>
  <c r="G15" i="10" s="1"/>
  <c r="I20" i="8"/>
  <c r="I19" i="5" s="1"/>
  <c r="I33" i="8"/>
  <c r="I22" i="5" s="1"/>
  <c r="I20" i="7"/>
  <c r="G41" i="7"/>
  <c r="G40" i="7"/>
  <c r="G14" i="5"/>
  <c r="F41" i="7"/>
  <c r="F14" i="5"/>
  <c r="F16" i="5" s="1"/>
  <c r="F40" i="7"/>
  <c r="H4" i="10"/>
  <c r="H7" i="10" s="1"/>
  <c r="H32" i="7"/>
  <c r="H24" i="7"/>
  <c r="H24" i="5"/>
  <c r="O25" i="8"/>
  <c r="L26" i="6"/>
  <c r="M17" i="6"/>
  <c r="M20" i="6" s="1"/>
  <c r="L27" i="6"/>
  <c r="L22" i="6"/>
  <c r="L28" i="6" s="1"/>
  <c r="M6" i="8"/>
  <c r="N40" i="13"/>
  <c r="M10" i="8"/>
  <c r="M26" i="8" s="1"/>
  <c r="N42" i="13"/>
  <c r="AE3" i="32"/>
  <c r="AD7" i="32"/>
  <c r="AD8" i="32" s="1"/>
  <c r="J6" i="13" s="1"/>
  <c r="L11" i="7"/>
  <c r="M17" i="13"/>
  <c r="M24" i="13"/>
  <c r="L5" i="6"/>
  <c r="G13" i="7"/>
  <c r="H19" i="13"/>
  <c r="K6" i="7"/>
  <c r="J7" i="7"/>
  <c r="L47" i="13"/>
  <c r="K12" i="8"/>
  <c r="L14" i="13"/>
  <c r="K8" i="7"/>
  <c r="J5" i="7"/>
  <c r="I18" i="13"/>
  <c r="H12" i="7"/>
  <c r="K2" i="5"/>
  <c r="J10" i="5"/>
  <c r="J17" i="5" s="1"/>
  <c r="L4" i="6"/>
  <c r="M23" i="13"/>
  <c r="L32" i="13"/>
  <c r="K3" i="5"/>
  <c r="M25" i="13"/>
  <c r="L6" i="6"/>
  <c r="K43" i="13"/>
  <c r="J9" i="8"/>
  <c r="M4" i="11"/>
  <c r="J14" i="8"/>
  <c r="K49" i="13"/>
  <c r="K48" i="13"/>
  <c r="J13" i="8"/>
  <c r="L41" i="13"/>
  <c r="K7" i="8"/>
  <c r="F7" i="10"/>
  <c r="F15" i="10" s="1"/>
  <c r="J5" i="8"/>
  <c r="K39" i="13"/>
  <c r="F13" i="7"/>
  <c r="J4" i="8"/>
  <c r="J10" i="13" l="1"/>
  <c r="J4" i="7" s="1"/>
  <c r="J16" i="7" s="1"/>
  <c r="J17" i="7" s="1"/>
  <c r="J7" i="13"/>
  <c r="J8" i="13"/>
  <c r="J19" i="7"/>
  <c r="I24" i="5"/>
  <c r="I25" i="5" s="1"/>
  <c r="I6" i="9" s="1"/>
  <c r="I10" i="10" s="1"/>
  <c r="I4" i="10"/>
  <c r="I7" i="10" s="1"/>
  <c r="I32" i="7"/>
  <c r="I24" i="7"/>
  <c r="G13" i="5"/>
  <c r="G16" i="5" s="1"/>
  <c r="F41" i="8"/>
  <c r="H25" i="5"/>
  <c r="H6" i="9" s="1"/>
  <c r="H10" i="10" s="1"/>
  <c r="H15" i="10" s="1"/>
  <c r="H34" i="7"/>
  <c r="H35" i="7" s="1"/>
  <c r="M22" i="6"/>
  <c r="M28" i="6" s="1"/>
  <c r="M26" i="6"/>
  <c r="M27" i="6"/>
  <c r="N17" i="6"/>
  <c r="N20" i="6" s="1"/>
  <c r="M5" i="6"/>
  <c r="N24" i="13"/>
  <c r="M11" i="7"/>
  <c r="N17" i="13"/>
  <c r="M4" i="6"/>
  <c r="N23" i="13"/>
  <c r="N10" i="8"/>
  <c r="N26" i="8" s="1"/>
  <c r="O42" i="13"/>
  <c r="O10" i="8" s="1"/>
  <c r="O26" i="8" s="1"/>
  <c r="O40" i="13"/>
  <c r="O6" i="8" s="1"/>
  <c r="N6" i="8"/>
  <c r="M6" i="6"/>
  <c r="N25" i="13"/>
  <c r="AF3" i="32"/>
  <c r="AE7" i="32"/>
  <c r="AE8" i="32" s="1"/>
  <c r="K6" i="13" s="1"/>
  <c r="H13" i="7"/>
  <c r="I19" i="13"/>
  <c r="J18" i="13"/>
  <c r="I12" i="7"/>
  <c r="K5" i="7"/>
  <c r="M14" i="13"/>
  <c r="L8" i="7"/>
  <c r="M47" i="13"/>
  <c r="L12" i="8"/>
  <c r="K7" i="7"/>
  <c r="L6" i="7"/>
  <c r="L2" i="5"/>
  <c r="K10" i="5"/>
  <c r="K17" i="5" s="1"/>
  <c r="M32" i="13"/>
  <c r="L3" i="5"/>
  <c r="L39" i="13"/>
  <c r="K5" i="8"/>
  <c r="F3" i="9"/>
  <c r="F9" i="9" s="1"/>
  <c r="F18" i="9" s="1"/>
  <c r="F21" i="9" s="1"/>
  <c r="F22" i="9" s="1"/>
  <c r="M5" i="11"/>
  <c r="K14" i="8"/>
  <c r="L49" i="13"/>
  <c r="L7" i="8"/>
  <c r="M41" i="13"/>
  <c r="K13" i="8"/>
  <c r="L48" i="13"/>
  <c r="K9" i="8"/>
  <c r="L43" i="13"/>
  <c r="K4" i="8"/>
  <c r="J33" i="8" l="1"/>
  <c r="J22" i="5" s="1"/>
  <c r="J20" i="8"/>
  <c r="J19" i="5" s="1"/>
  <c r="K8" i="13"/>
  <c r="K10" i="13"/>
  <c r="K4" i="7" s="1"/>
  <c r="K16" i="7" s="1"/>
  <c r="K7" i="13"/>
  <c r="J27" i="8"/>
  <c r="J21" i="8"/>
  <c r="J21" i="5" s="1"/>
  <c r="J3" i="10"/>
  <c r="J19" i="8"/>
  <c r="J20" i="5" s="1"/>
  <c r="J34" i="8"/>
  <c r="J23" i="5" s="1"/>
  <c r="J38" i="8"/>
  <c r="J17" i="8"/>
  <c r="J18" i="5" s="1"/>
  <c r="J7" i="5"/>
  <c r="J18" i="7"/>
  <c r="J20" i="7" s="1"/>
  <c r="I15" i="10"/>
  <c r="H13" i="5"/>
  <c r="G41" i="8"/>
  <c r="H40" i="7"/>
  <c r="H41" i="7"/>
  <c r="H14" i="5"/>
  <c r="J4" i="10"/>
  <c r="J7" i="10" s="1"/>
  <c r="J32" i="7"/>
  <c r="J24" i="7"/>
  <c r="J24" i="5"/>
  <c r="I34" i="7"/>
  <c r="I35" i="7" s="1"/>
  <c r="F32" i="8"/>
  <c r="F18" i="8"/>
  <c r="N27" i="6"/>
  <c r="N26" i="6"/>
  <c r="O17" i="6"/>
  <c r="O20" i="6" s="1"/>
  <c r="N22" i="6"/>
  <c r="N28" i="6" s="1"/>
  <c r="M7" i="8"/>
  <c r="N41" i="13"/>
  <c r="O24" i="13"/>
  <c r="O5" i="6" s="1"/>
  <c r="N5" i="6"/>
  <c r="M3" i="5"/>
  <c r="N32" i="13"/>
  <c r="M6" i="7"/>
  <c r="M12" i="8"/>
  <c r="N47" i="13"/>
  <c r="M8" i="7"/>
  <c r="N14" i="13"/>
  <c r="O25" i="13"/>
  <c r="O6" i="6" s="1"/>
  <c r="N6" i="6"/>
  <c r="N4" i="6"/>
  <c r="O23" i="13"/>
  <c r="O4" i="6" s="1"/>
  <c r="O17" i="13"/>
  <c r="O11" i="7" s="1"/>
  <c r="N11" i="7"/>
  <c r="AG3" i="32"/>
  <c r="AF7" i="32"/>
  <c r="AF8" i="32" s="1"/>
  <c r="L6" i="13" s="1"/>
  <c r="L7" i="7"/>
  <c r="K18" i="13"/>
  <c r="J12" i="7"/>
  <c r="L5" i="7"/>
  <c r="J19" i="13"/>
  <c r="I13" i="7"/>
  <c r="M2" i="5"/>
  <c r="L10" i="5"/>
  <c r="L17" i="5" s="1"/>
  <c r="G3" i="9"/>
  <c r="G9" i="9" s="1"/>
  <c r="G18" i="9" s="1"/>
  <c r="G21" i="9" s="1"/>
  <c r="L5" i="8"/>
  <c r="M39" i="13"/>
  <c r="L4" i="8"/>
  <c r="M49" i="13"/>
  <c r="L14" i="8"/>
  <c r="L9" i="8"/>
  <c r="M43" i="13"/>
  <c r="M6" i="11"/>
  <c r="M7" i="11"/>
  <c r="M48" i="13"/>
  <c r="L13" i="8"/>
  <c r="L10" i="13" l="1"/>
  <c r="L4" i="7" s="1"/>
  <c r="L7" i="13"/>
  <c r="L8" i="13"/>
  <c r="K3" i="10"/>
  <c r="K38" i="8"/>
  <c r="K21" i="8"/>
  <c r="K21" i="5" s="1"/>
  <c r="K34" i="8"/>
  <c r="K23" i="5" s="1"/>
  <c r="K17" i="8"/>
  <c r="K18" i="5" s="1"/>
  <c r="K27" i="8"/>
  <c r="K19" i="8"/>
  <c r="K20" i="5" s="1"/>
  <c r="K7" i="5"/>
  <c r="K11" i="9" s="1"/>
  <c r="K12" i="9" s="1"/>
  <c r="K13" i="10" s="1"/>
  <c r="L16" i="7"/>
  <c r="K18" i="7"/>
  <c r="K17" i="7"/>
  <c r="L17" i="7"/>
  <c r="L20" i="8" s="1"/>
  <c r="L19" i="5" s="1"/>
  <c r="L19" i="7"/>
  <c r="K19" i="7"/>
  <c r="J11" i="9"/>
  <c r="J12" i="9" s="1"/>
  <c r="J13" i="10" s="1"/>
  <c r="J9" i="5"/>
  <c r="J8" i="9"/>
  <c r="J12" i="10" s="1"/>
  <c r="J39" i="8"/>
  <c r="K7" i="9"/>
  <c r="K11" i="10" s="1"/>
  <c r="J7" i="9"/>
  <c r="J11" i="10" s="1"/>
  <c r="I40" i="7"/>
  <c r="I41" i="7"/>
  <c r="I14" i="5"/>
  <c r="J25" i="5"/>
  <c r="J6" i="9" s="1"/>
  <c r="J10" i="10" s="1"/>
  <c r="J15" i="10" s="1"/>
  <c r="F31" i="6"/>
  <c r="F33" i="6" s="1"/>
  <c r="G20" i="9"/>
  <c r="G22" i="9" s="1"/>
  <c r="J34" i="7"/>
  <c r="J35" i="7" s="1"/>
  <c r="H16" i="5"/>
  <c r="O22" i="6"/>
  <c r="O28" i="6" s="1"/>
  <c r="O26" i="6"/>
  <c r="O27" i="6"/>
  <c r="M10" i="5"/>
  <c r="M17" i="5" s="1"/>
  <c r="N2" i="5"/>
  <c r="M7" i="7"/>
  <c r="M13" i="8"/>
  <c r="N48" i="13"/>
  <c r="N8" i="7"/>
  <c r="O14" i="13"/>
  <c r="O8" i="7" s="1"/>
  <c r="M9" i="8"/>
  <c r="N43" i="13"/>
  <c r="M14" i="8"/>
  <c r="N49" i="13"/>
  <c r="O41" i="13"/>
  <c r="O7" i="8" s="1"/>
  <c r="N7" i="8"/>
  <c r="M5" i="7"/>
  <c r="N12" i="8"/>
  <c r="O47" i="13"/>
  <c r="O12" i="8" s="1"/>
  <c r="O6" i="7"/>
  <c r="N6" i="7"/>
  <c r="O32" i="13"/>
  <c r="O3" i="5" s="1"/>
  <c r="N3" i="5"/>
  <c r="M5" i="8"/>
  <c r="N39" i="13"/>
  <c r="AG7" i="32"/>
  <c r="AG8" i="32" s="1"/>
  <c r="M6" i="13" s="1"/>
  <c r="AH3" i="32"/>
  <c r="K19" i="13"/>
  <c r="J13" i="7"/>
  <c r="L18" i="13"/>
  <c r="K12" i="7"/>
  <c r="M9" i="11"/>
  <c r="M11" i="11" s="1"/>
  <c r="E7" i="11" s="1"/>
  <c r="E8" i="11" s="1"/>
  <c r="E13" i="11" s="1"/>
  <c r="Q3" i="12" s="1"/>
  <c r="M4" i="8"/>
  <c r="N4" i="8" s="1"/>
  <c r="O4" i="8" s="1"/>
  <c r="H3" i="9"/>
  <c r="H9" i="9" s="1"/>
  <c r="H18" i="9" s="1"/>
  <c r="H21" i="9" s="1"/>
  <c r="F22" i="8"/>
  <c r="F30" i="8" s="1"/>
  <c r="F35" i="8"/>
  <c r="E3" i="12" l="1"/>
  <c r="E4" i="12" s="1"/>
  <c r="H3" i="12"/>
  <c r="H4" i="12" s="1"/>
  <c r="I3" i="12"/>
  <c r="J3" i="12"/>
  <c r="K3" i="12"/>
  <c r="L3" i="12"/>
  <c r="M3" i="12"/>
  <c r="D3" i="12"/>
  <c r="D4" i="12" s="1"/>
  <c r="F3" i="12"/>
  <c r="F4" i="12" s="1"/>
  <c r="G3" i="12"/>
  <c r="G4" i="12" s="1"/>
  <c r="K6" i="5"/>
  <c r="J24" i="8"/>
  <c r="J28" i="8" s="1"/>
  <c r="K33" i="8"/>
  <c r="K22" i="5" s="1"/>
  <c r="K20" i="7"/>
  <c r="K20" i="8"/>
  <c r="K19" i="5" s="1"/>
  <c r="K24" i="5" s="1"/>
  <c r="K25" i="5" s="1"/>
  <c r="K6" i="9" s="1"/>
  <c r="K10" i="10" s="1"/>
  <c r="L34" i="8"/>
  <c r="L23" i="5" s="1"/>
  <c r="L21" i="8"/>
  <c r="L21" i="5" s="1"/>
  <c r="L17" i="8"/>
  <c r="L18" i="5" s="1"/>
  <c r="L19" i="8"/>
  <c r="L20" i="5" s="1"/>
  <c r="L3" i="10"/>
  <c r="L27" i="8"/>
  <c r="L7" i="9" s="1"/>
  <c r="L11" i="10" s="1"/>
  <c r="L38" i="8"/>
  <c r="L7" i="5"/>
  <c r="L11" i="9" s="1"/>
  <c r="L12" i="9" s="1"/>
  <c r="L13" i="10" s="1"/>
  <c r="L18" i="7"/>
  <c r="L33" i="8"/>
  <c r="L22" i="5" s="1"/>
  <c r="K8" i="9"/>
  <c r="K12" i="10" s="1"/>
  <c r="K39" i="8"/>
  <c r="L20" i="7"/>
  <c r="L32" i="7" s="1"/>
  <c r="M10" i="13"/>
  <c r="M4" i="7" s="1"/>
  <c r="M16" i="7" s="1"/>
  <c r="M17" i="7" s="1"/>
  <c r="M7" i="13"/>
  <c r="M8" i="13"/>
  <c r="G32" i="8"/>
  <c r="G35" i="8" s="1"/>
  <c r="G42" i="8" s="1"/>
  <c r="G18" i="8"/>
  <c r="G31" i="6" s="1"/>
  <c r="G33" i="6" s="1"/>
  <c r="J40" i="7"/>
  <c r="J14" i="5"/>
  <c r="J41" i="7"/>
  <c r="I13" i="5"/>
  <c r="I16" i="5" s="1"/>
  <c r="H41" i="8"/>
  <c r="L4" i="10"/>
  <c r="L7" i="10" s="1"/>
  <c r="N10" i="5"/>
  <c r="N17" i="5" s="1"/>
  <c r="O2" i="5"/>
  <c r="O10" i="5" s="1"/>
  <c r="O17" i="5" s="1"/>
  <c r="O39" i="13"/>
  <c r="O5" i="8" s="1"/>
  <c r="N5" i="8"/>
  <c r="O49" i="13"/>
  <c r="O14" i="8" s="1"/>
  <c r="N14" i="8"/>
  <c r="N9" i="8"/>
  <c r="O43" i="13"/>
  <c r="O9" i="8" s="1"/>
  <c r="N7" i="7"/>
  <c r="O7" i="7"/>
  <c r="O5" i="7"/>
  <c r="N5" i="7"/>
  <c r="N13" i="8"/>
  <c r="O48" i="13"/>
  <c r="O13" i="8" s="1"/>
  <c r="AI3" i="32"/>
  <c r="AI7" i="32" s="1"/>
  <c r="AH7" i="32"/>
  <c r="AH8" i="32" s="1"/>
  <c r="N6" i="13" s="1"/>
  <c r="M18" i="13"/>
  <c r="L12" i="7"/>
  <c r="L19" i="13"/>
  <c r="K13" i="7"/>
  <c r="F42" i="8"/>
  <c r="F44" i="8" s="1"/>
  <c r="J3" i="9"/>
  <c r="J9" i="9" s="1"/>
  <c r="J18" i="9" s="1"/>
  <c r="J21" i="9" s="1"/>
  <c r="I3" i="9"/>
  <c r="I9" i="9" s="1"/>
  <c r="I18" i="9" s="1"/>
  <c r="I21" i="9" s="1"/>
  <c r="L24" i="5" l="1"/>
  <c r="L25" i="5"/>
  <c r="L6" i="9" s="1"/>
  <c r="L10" i="10" s="1"/>
  <c r="L8" i="9"/>
  <c r="L12" i="10" s="1"/>
  <c r="L39" i="8"/>
  <c r="K8" i="5"/>
  <c r="K22" i="7" s="1"/>
  <c r="K4" i="9" s="1"/>
  <c r="K8" i="10" s="1"/>
  <c r="K9" i="5"/>
  <c r="K4" i="10"/>
  <c r="K7" i="10" s="1"/>
  <c r="K15" i="10" s="1"/>
  <c r="I4" i="12" s="1"/>
  <c r="K32" i="7"/>
  <c r="K34" i="7" s="1"/>
  <c r="K35" i="7" s="1"/>
  <c r="M33" i="8"/>
  <c r="M22" i="5" s="1"/>
  <c r="M20" i="8"/>
  <c r="M19" i="5" s="1"/>
  <c r="N10" i="13"/>
  <c r="N4" i="7" s="1"/>
  <c r="N16" i="7" s="1"/>
  <c r="N19" i="7" s="1"/>
  <c r="N8" i="13"/>
  <c r="N7" i="13"/>
  <c r="M27" i="8"/>
  <c r="M21" i="8"/>
  <c r="M21" i="5" s="1"/>
  <c r="M3" i="10"/>
  <c r="M38" i="8"/>
  <c r="M19" i="8"/>
  <c r="M20" i="5" s="1"/>
  <c r="M34" i="8"/>
  <c r="M23" i="5" s="1"/>
  <c r="M17" i="8"/>
  <c r="M18" i="5" s="1"/>
  <c r="M7" i="5"/>
  <c r="M18" i="7"/>
  <c r="M19" i="7"/>
  <c r="G22" i="8"/>
  <c r="G30" i="8" s="1"/>
  <c r="G44" i="8" s="1"/>
  <c r="H20" i="9"/>
  <c r="H22" i="9" s="1"/>
  <c r="H32" i="8" s="1"/>
  <c r="H35" i="8" s="1"/>
  <c r="H42" i="8" s="1"/>
  <c r="L34" i="7"/>
  <c r="L35" i="7" s="1"/>
  <c r="J13" i="5"/>
  <c r="J16" i="5" s="1"/>
  <c r="I41" i="8"/>
  <c r="M12" i="7"/>
  <c r="N18" i="13"/>
  <c r="AI8" i="32"/>
  <c r="O6" i="13" s="1"/>
  <c r="M19" i="13"/>
  <c r="L13" i="7"/>
  <c r="H18" i="8" l="1"/>
  <c r="M24" i="5"/>
  <c r="K24" i="7"/>
  <c r="L6" i="5"/>
  <c r="K24" i="8"/>
  <c r="K28" i="8" s="1"/>
  <c r="K40" i="7"/>
  <c r="K14" i="5"/>
  <c r="K41" i="7"/>
  <c r="K3" i="9"/>
  <c r="K9" i="9" s="1"/>
  <c r="K18" i="9" s="1"/>
  <c r="K21" i="9" s="1"/>
  <c r="M20" i="7"/>
  <c r="M32" i="7" s="1"/>
  <c r="M34" i="7" s="1"/>
  <c r="M35" i="7" s="1"/>
  <c r="M4" i="10"/>
  <c r="M7" i="10" s="1"/>
  <c r="M8" i="9"/>
  <c r="M12" i="10" s="1"/>
  <c r="M39" i="8"/>
  <c r="M7" i="9"/>
  <c r="M11" i="10" s="1"/>
  <c r="N27" i="8"/>
  <c r="N7" i="9" s="1"/>
  <c r="N11" i="10" s="1"/>
  <c r="N21" i="8"/>
  <c r="N21" i="5" s="1"/>
  <c r="N3" i="10"/>
  <c r="N17" i="8"/>
  <c r="N18" i="5" s="1"/>
  <c r="N19" i="8"/>
  <c r="N20" i="5" s="1"/>
  <c r="N34" i="8"/>
  <c r="N23" i="5" s="1"/>
  <c r="N38" i="8"/>
  <c r="N7" i="5"/>
  <c r="N11" i="9" s="1"/>
  <c r="N12" i="9" s="1"/>
  <c r="N13" i="10" s="1"/>
  <c r="N18" i="7"/>
  <c r="O10" i="13"/>
  <c r="O4" i="7" s="1"/>
  <c r="O16" i="7" s="1"/>
  <c r="O7" i="13"/>
  <c r="O8" i="13"/>
  <c r="N17" i="7"/>
  <c r="M11" i="9"/>
  <c r="M12" i="9" s="1"/>
  <c r="M13" i="10" s="1"/>
  <c r="M25" i="5"/>
  <c r="M6" i="9" s="1"/>
  <c r="M10" i="10" s="1"/>
  <c r="J41" i="8"/>
  <c r="K13" i="5"/>
  <c r="K16" i="5" s="1"/>
  <c r="L14" i="5"/>
  <c r="L40" i="7"/>
  <c r="L41" i="7"/>
  <c r="H31" i="6"/>
  <c r="H33" i="6" s="1"/>
  <c r="I20" i="9"/>
  <c r="I22" i="9" s="1"/>
  <c r="H22" i="8"/>
  <c r="H30" i="8" s="1"/>
  <c r="H44" i="8" s="1"/>
  <c r="M13" i="7"/>
  <c r="N19" i="13"/>
  <c r="N12" i="7"/>
  <c r="O18" i="13"/>
  <c r="L3" i="9"/>
  <c r="L8" i="5" l="1"/>
  <c r="L22" i="7" s="1"/>
  <c r="L9" i="5"/>
  <c r="M14" i="5"/>
  <c r="M41" i="7"/>
  <c r="M40" i="7"/>
  <c r="O27" i="8"/>
  <c r="O21" i="8"/>
  <c r="O21" i="5" s="1"/>
  <c r="O3" i="10"/>
  <c r="O19" i="8"/>
  <c r="O20" i="5" s="1"/>
  <c r="O38" i="8"/>
  <c r="O34" i="8"/>
  <c r="O23" i="5" s="1"/>
  <c r="O17" i="8"/>
  <c r="O18" i="5" s="1"/>
  <c r="O7" i="5"/>
  <c r="O11" i="9" s="1"/>
  <c r="O12" i="9" s="1"/>
  <c r="O13" i="10" s="1"/>
  <c r="O18" i="7"/>
  <c r="O19" i="7"/>
  <c r="O17" i="7"/>
  <c r="N33" i="8"/>
  <c r="N22" i="5" s="1"/>
  <c r="N20" i="8"/>
  <c r="N19" i="5" s="1"/>
  <c r="N20" i="7"/>
  <c r="N8" i="9"/>
  <c r="N12" i="10" s="1"/>
  <c r="N39" i="8"/>
  <c r="O7" i="9"/>
  <c r="O11" i="10" s="1"/>
  <c r="L13" i="5"/>
  <c r="L16" i="5" s="1"/>
  <c r="K41" i="8"/>
  <c r="I18" i="8"/>
  <c r="I32" i="8"/>
  <c r="I35" i="8" s="1"/>
  <c r="I42" i="8" s="1"/>
  <c r="O12" i="7"/>
  <c r="N13" i="7"/>
  <c r="O19" i="13"/>
  <c r="M3" i="9"/>
  <c r="L4" i="9" l="1"/>
  <c r="L24" i="7"/>
  <c r="M6" i="5"/>
  <c r="L24" i="8"/>
  <c r="L28" i="8" s="1"/>
  <c r="O20" i="7"/>
  <c r="N32" i="7"/>
  <c r="N34" i="7" s="1"/>
  <c r="N35" i="7" s="1"/>
  <c r="N4" i="10"/>
  <c r="N7" i="10" s="1"/>
  <c r="O20" i="8"/>
  <c r="O19" i="5" s="1"/>
  <c r="O33" i="8"/>
  <c r="O22" i="5" s="1"/>
  <c r="O8" i="9"/>
  <c r="O12" i="10" s="1"/>
  <c r="O39" i="8"/>
  <c r="N24" i="5"/>
  <c r="O32" i="7"/>
  <c r="O34" i="7" s="1"/>
  <c r="O35" i="7" s="1"/>
  <c r="O4" i="10"/>
  <c r="O7" i="10" s="1"/>
  <c r="N41" i="7"/>
  <c r="N40" i="7"/>
  <c r="N3" i="9"/>
  <c r="N14" i="5"/>
  <c r="L41" i="8"/>
  <c r="M13" i="5"/>
  <c r="M16" i="5" s="1"/>
  <c r="I31" i="6"/>
  <c r="I33" i="6" s="1"/>
  <c r="J20" i="9"/>
  <c r="J22" i="9" s="1"/>
  <c r="I22" i="8"/>
  <c r="I30" i="8" s="1"/>
  <c r="I44" i="8" s="1"/>
  <c r="O13" i="7"/>
  <c r="M8" i="5" l="1"/>
  <c r="M22" i="7" s="1"/>
  <c r="L8" i="10"/>
  <c r="L15" i="10" s="1"/>
  <c r="J4" i="12" s="1"/>
  <c r="L9" i="9"/>
  <c r="L18" i="9" s="1"/>
  <c r="L21" i="9" s="1"/>
  <c r="O24" i="5"/>
  <c r="O25" i="5"/>
  <c r="O6" i="9" s="1"/>
  <c r="O10" i="10" s="1"/>
  <c r="N25" i="5"/>
  <c r="N6" i="9" s="1"/>
  <c r="N10" i="10" s="1"/>
  <c r="O14" i="5"/>
  <c r="O40" i="7"/>
  <c r="O3" i="9"/>
  <c r="O41" i="7"/>
  <c r="N13" i="5"/>
  <c r="N16" i="5" s="1"/>
  <c r="M41" i="8"/>
  <c r="J32" i="8"/>
  <c r="J35" i="8" s="1"/>
  <c r="J42" i="8" s="1"/>
  <c r="J18" i="8"/>
  <c r="M9" i="5" l="1"/>
  <c r="M4" i="9"/>
  <c r="M24" i="7"/>
  <c r="N41" i="8"/>
  <c r="O13" i="5"/>
  <c r="O16" i="5" s="1"/>
  <c r="O41" i="8" s="1"/>
  <c r="J22" i="8"/>
  <c r="J30" i="8" s="1"/>
  <c r="J44" i="8" s="1"/>
  <c r="K20" i="9"/>
  <c r="K22" i="9" s="1"/>
  <c r="J31" i="6"/>
  <c r="J33" i="6" s="1"/>
  <c r="M8" i="10" l="1"/>
  <c r="M15" i="10" s="1"/>
  <c r="K4" i="12" s="1"/>
  <c r="M9" i="9"/>
  <c r="M18" i="9" s="1"/>
  <c r="M21" i="9" s="1"/>
  <c r="N6" i="5"/>
  <c r="M24" i="8"/>
  <c r="M28" i="8" s="1"/>
  <c r="K18" i="8"/>
  <c r="K32" i="8"/>
  <c r="K35" i="8" s="1"/>
  <c r="K42" i="8" s="1"/>
  <c r="N8" i="5" l="1"/>
  <c r="N22" i="7" s="1"/>
  <c r="L20" i="9"/>
  <c r="L22" i="9" s="1"/>
  <c r="K31" i="6"/>
  <c r="K33" i="6" s="1"/>
  <c r="K22" i="8"/>
  <c r="K30" i="8" s="1"/>
  <c r="K44" i="8" s="1"/>
  <c r="F10" i="13"/>
  <c r="N4" i="9" l="1"/>
  <c r="N24" i="7"/>
  <c r="N9" i="5"/>
  <c r="L32" i="8"/>
  <c r="L35" i="8" s="1"/>
  <c r="L42" i="8" s="1"/>
  <c r="L18" i="8"/>
  <c r="F4" i="7"/>
  <c r="O6" i="5" l="1"/>
  <c r="N24" i="8"/>
  <c r="N28" i="8" s="1"/>
  <c r="N8" i="10"/>
  <c r="N15" i="10" s="1"/>
  <c r="L4" i="12" s="1"/>
  <c r="N9" i="9"/>
  <c r="N18" i="9" s="1"/>
  <c r="N21" i="9" s="1"/>
  <c r="L31" i="6"/>
  <c r="L33" i="6" s="1"/>
  <c r="M20" i="9"/>
  <c r="M22" i="9" s="1"/>
  <c r="L22" i="8"/>
  <c r="L30" i="8" s="1"/>
  <c r="L44" i="8" s="1"/>
  <c r="O8" i="5" l="1"/>
  <c r="O22" i="7" s="1"/>
  <c r="M32" i="8"/>
  <c r="M35" i="8" s="1"/>
  <c r="M42" i="8" s="1"/>
  <c r="M18" i="8"/>
  <c r="O9" i="5" l="1"/>
  <c r="O24" i="8" s="1"/>
  <c r="O28" i="8" s="1"/>
  <c r="O24" i="7"/>
  <c r="G8" i="12" s="1"/>
  <c r="O4" i="9"/>
  <c r="N20" i="9"/>
  <c r="N22" i="9" s="1"/>
  <c r="M31" i="6"/>
  <c r="M33" i="6" s="1"/>
  <c r="M22" i="8"/>
  <c r="M30" i="8" s="1"/>
  <c r="M44" i="8" s="1"/>
  <c r="O8" i="10" l="1"/>
  <c r="O15" i="10" s="1"/>
  <c r="M4" i="12" s="1"/>
  <c r="O9" i="9"/>
  <c r="O18" i="9" s="1"/>
  <c r="O21" i="9" s="1"/>
  <c r="N32" i="8"/>
  <c r="N35" i="8" s="1"/>
  <c r="N42" i="8" s="1"/>
  <c r="N18" i="8"/>
  <c r="M5" i="12" l="1"/>
  <c r="C8" i="12" s="1"/>
  <c r="C7" i="12"/>
  <c r="N31" i="6"/>
  <c r="N33" i="6" s="1"/>
  <c r="O20" i="9"/>
  <c r="O22" i="9" s="1"/>
  <c r="N22" i="8"/>
  <c r="N30" i="8" s="1"/>
  <c r="N44" i="8" s="1"/>
  <c r="C9" i="12" l="1"/>
  <c r="C15" i="12" s="1"/>
  <c r="C18" i="12" s="1"/>
  <c r="G7" i="12"/>
  <c r="G9" i="12" s="1"/>
  <c r="G15" i="12" s="1"/>
  <c r="G18" i="12" s="1"/>
  <c r="O18" i="8"/>
  <c r="O32" i="8"/>
  <c r="O35" i="8" s="1"/>
  <c r="O42" i="8" s="1"/>
  <c r="I5" i="3" l="1"/>
  <c r="S8" i="12"/>
  <c r="J5" i="3"/>
  <c r="J6" i="3" s="1"/>
  <c r="N8" i="12"/>
  <c r="I6" i="3"/>
  <c r="O31" i="6"/>
  <c r="O33" i="6" s="1"/>
  <c r="O22" i="8"/>
  <c r="O30" i="8" s="1"/>
  <c r="O44" i="8" s="1"/>
  <c r="K5" i="3" l="1"/>
  <c r="K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<sst xmlns="http://schemas.openxmlformats.org/spreadsheetml/2006/main" count="419" uniqueCount="236">
  <si>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</si>
  <si>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</si>
  <si>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</si>
  <si>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</si>
  <si>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</si>
  <si>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</si>
  <si>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</si>
  <si>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</si>
  <si>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</si>
  <si>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</si>
  <si>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</si>
  <si>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</si>
  <si>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</si>
  <si>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</si>
  <si>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</si>
  <si>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</si>
  <si>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</si>
  <si>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</si>
  <si>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</si>
  <si>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</si>
  <si>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</si>
  <si>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</si>
  <si>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</si>
  <si>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</si>
  <si>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</si>
  <si>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</si>
  <si>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</si>
  <si>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</si>
  <si>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</si>
  <si>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</si>
  <si>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</si>
  <si>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</si>
  <si>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</si>
  <si>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</si>
  <si>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</si>
  <si>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</si>
  <si>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</si>
  <si>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</si>
  <si>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</si>
  <si>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</si>
  <si>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</si>
  <si>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</si>
  <si>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</si>
  <si>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</si>
  <si>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</si>
  <si>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</si>
  <si>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</si>
  <si>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</si>
  <si>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</si>
  <si>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</si>
  <si>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</si>
  <si>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</si>
  <si>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</si>
  <si>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</si>
  <si>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</si>
  <si>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</si>
  <si>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</si>
  <si>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</si>
  <si>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</si>
  <si>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</si>
  <si>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</si>
  <si>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</si>
  <si>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</si>
  <si>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</si>
  <si>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</si>
  <si>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</si>
  <si>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</si>
  <si>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</si>
  <si>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</si>
  <si>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</si>
  <si>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</si>
  <si>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</si>
  <si>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</si>
  <si>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</si>
  <si>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</si>
  <si>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</si>
  <si>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</si>
  <si>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</si>
  <si>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</si>
  <si>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</si>
  <si>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</si>
  <si>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</si>
  <si>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</si>
  <si>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</si>
  <si>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</si>
  <si>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</si>
  <si>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</si>
  <si>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</si>
  <si>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</si>
  <si>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</si>
  <si>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</si>
  <si>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</si>
  <si>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</si>
  <si>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</si>
  <si>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</si>
  <si>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</si>
  <si>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</si>
  <si>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</si>
  <si>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</si>
  <si>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</si>
  <si>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</si>
  <si>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</si>
  <si>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</si>
  <si>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</si>
  <si>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</si>
  <si>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</si>
  <si>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</si>
  <si>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</si>
  <si>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</si>
  <si>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</si>
  <si>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</si>
  <si>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</si>
  <si>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</si>
  <si>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</si>
  <si>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</si>
  <si>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</si>
  <si>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</si>
  <si>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</si>
  <si>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</si>
  <si>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</si>
  <si>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</si>
  <si>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</si>
  <si>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</si>
  <si>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</si>
  <si>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</si>
  <si>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</si>
  <si>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</si>
  <si>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</si>
  <si>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</si>
  <si>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</si>
  <si>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</si>
  <si>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</si>
  <si>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</si>
  <si>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</si>
  <si>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</si>
  <si>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</si>
  <si>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</si>
  <si>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</si>
  <si>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</si>
  <si>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</si>
  <si>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</si>
  <si>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</si>
  <si>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</si>
  <si>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</si>
  <si>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</si>
  <si>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</si>
  <si>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</si>
  <si>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</si>
  <si>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</si>
  <si>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</si>
  <si>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</si>
  <si>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</si>
  <si>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</si>
  <si>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</si>
  <si>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</si>
  <si>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</si>
  <si>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</si>
  <si>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</si>
  <si>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</si>
  <si>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</si>
  <si>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</si>
  <si>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</si>
  <si>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</si>
  <si>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</si>
  <si>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</si>
  <si>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</si>
  <si>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</si>
  <si>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</si>
  <si>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</si>
  <si>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</si>
  <si>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</si>
  <si>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</si>
  <si>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</si>
  <si>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</si>
  <si>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Cash</t>
  </si>
  <si>
    <t>Implied Price</t>
  </si>
  <si>
    <t>Difference</t>
  </si>
  <si>
    <t>R&amp;D</t>
  </si>
  <si>
    <t>R&amp;D % of sales</t>
  </si>
  <si>
    <t>Investments in unconsolidated entities</t>
  </si>
  <si>
    <t>Cost of debt</t>
  </si>
  <si>
    <t>Perpetuity</t>
  </si>
  <si>
    <t>Terminal Mult</t>
  </si>
  <si>
    <t>Model Details</t>
  </si>
  <si>
    <t>Operating Case One</t>
  </si>
  <si>
    <t>Advanced Micro Devices Inc.</t>
  </si>
  <si>
    <t>S/O</t>
  </si>
  <si>
    <t>Revenues</t>
  </si>
  <si>
    <t>Data Centers</t>
  </si>
  <si>
    <t>Client</t>
  </si>
  <si>
    <t>Gaming</t>
  </si>
  <si>
    <t>Embedded</t>
  </si>
  <si>
    <t>TOTAL REVENUES</t>
  </si>
  <si>
    <t>y/y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</si>
  <si>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</si>
  <si>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</si>
  <si>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</si>
  <si>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</si>
  <si>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</si>
  <si>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</si>
  <si>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</si>
  <si>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</si>
  <si>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</si>
  <si>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</si>
  <si>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</si>
  <si>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</si>
  <si>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</si>
  <si>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</si>
  <si>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</si>
  <si>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</si>
  <si>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%</t>
  </si>
  <si>
    <t>Q122</t>
  </si>
  <si>
    <t>Q222</t>
  </si>
  <si>
    <t>Q322</t>
  </si>
  <si>
    <t>Q422</t>
  </si>
  <si>
    <t>NO REVOLVER</t>
  </si>
  <si>
    <t>(inc) / dec In LT assets</t>
  </si>
  <si>
    <t>(inc) / dec In OWC</t>
  </si>
  <si>
    <t>inc / (dec) in LT liabilities</t>
  </si>
  <si>
    <t>Cash Flow From Operations</t>
  </si>
  <si>
    <t>Cash Flow From Investing</t>
  </si>
  <si>
    <t>Share Issuance / (repayment)</t>
  </si>
  <si>
    <t>Debt Issuance / (repayment)</t>
  </si>
  <si>
    <t>Cash Flow From Financing</t>
  </si>
  <si>
    <t>Net changes in Cash</t>
  </si>
  <si>
    <t>Beginning Cash</t>
  </si>
  <si>
    <t>Ending Cash</t>
  </si>
  <si>
    <t>NVDA</t>
  </si>
  <si>
    <t>INTC</t>
  </si>
  <si>
    <t>ASML</t>
  </si>
  <si>
    <t>TSM</t>
  </si>
  <si>
    <t>Discount Factor</t>
  </si>
  <si>
    <t>PV FCF</t>
  </si>
  <si>
    <t>Average</t>
  </si>
  <si>
    <t>LTGR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</si>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</sst>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03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45" fillId="0" borderId="14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75" fontId="33" fillId="35" borderId="0" xfId="0" applyNumberFormat="1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75" fontId="33" fillId="35" borderId="0" xfId="0" applyNumberFormat="1" applyFont="1" applyFill="1" applyAlignment="1">
      <alignment horizontal="right"/>
    </xf>
    <xf numFmtId="167" fontId="33" fillId="34" borderId="17" xfId="0" applyFont="1" applyFill="1" applyBorder="1"/>
    <xf numFmtId="175" fontId="58" fillId="35" borderId="0" xfId="0" applyNumberFormat="1" applyFont="1" applyFill="1"/>
    <xf numFmtId="175" fontId="59" fillId="35" borderId="0" xfId="3" applyNumberFormat="1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6" fontId="39" fillId="35" borderId="0" xfId="59" applyFont="1" applyFill="1" applyProtection="1"/>
    <xf numFmtId="172" fontId="37" fillId="35" borderId="0" xfId="3" applyNumberFormat="1" applyFont="1" applyFill="1" applyBorder="1" applyProtection="1"/>
    <xf numFmtId="166" fontId="33" fillId="35" borderId="0" xfId="59" applyFont="1" applyFill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67" fontId="39" fillId="35" borderId="15" xfId="0" applyFont="1" applyFill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0" applyNumberFormat="1" applyFont="1" applyFill="1"/>
    <xf numFmtId="0" fontId="33" fillId="34" borderId="0" xfId="52" applyNumberFormat="1" applyFont="1" applyFill="1" applyBorder="1" applyAlignment="1">
      <alignment horizontal="right" vertical="center"/>
    </xf>
    <xf numFmtId="0" fontId="33" fillId="35" borderId="0" xfId="0" applyNumberFormat="1" applyFont="1" applyFill="1" applyAlignment="1">
      <alignment horizontal="right"/>
    </xf>
    <xf numFmtId="179" fontId="39" fillId="0" borderId="0" xfId="4" applyNumberFormat="1" applyFont="1" applyBorder="1"/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0" fontId="59" fillId="35" borderId="0" xfId="3" applyNumberFormat="1" applyFont="1" applyFill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0" fontId="33" fillId="35" borderId="0" xfId="0" applyNumberFormat="1" applyFont="1" applyFill="1"/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3" fontId="56" fillId="40" borderId="1" xfId="0" applyNumberFormat="1" applyFont="1" applyFill="1" applyBorder="1"/>
    <xf numFmtId="0" fontId="33" fillId="0" borderId="0" xfId="0" applyNumberFormat="1" applyFont="1"/>
    <xf numFmtId="167" fontId="30" fillId="40" borderId="1" xfId="0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73" fontId="56" fillId="40" borderId="16" xfId="0" applyNumberFormat="1" applyFont="1" applyFill="1" applyBorder="1"/>
    <xf numFmtId="175" fontId="33" fillId="35" borderId="0" xfId="4" applyNumberFormat="1" applyFont="1" applyFill="1"/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67" fontId="39" fillId="0" borderId="0" xfId="0" applyFont="1" applyFill="1"/>
    <xf numFmtId="167" fontId="39" fillId="0" borderId="0" xfId="0" applyFont="1" applyBorder="1"/>
    <xf numFmtId="167" fontId="39" fillId="0" borderId="0" xfId="0" applyFont="1" applyFill="1" applyBorder="1"/>
    <xf numFmtId="167" fontId="45" fillId="0" borderId="0" xfId="0" applyFont="1" applyFill="1" applyBorder="1"/>
    <xf numFmtId="173" fontId="39" fillId="0" borderId="0" xfId="0" applyNumberFormat="1" applyFont="1" applyFill="1" applyBorder="1"/>
    <xf numFmtId="173" fontId="39" fillId="0" borderId="17" xfId="0" applyNumberFormat="1" applyFont="1" applyBorder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3" fillId="42" borderId="18" xfId="0" applyNumberFormat="1" applyFont="1" applyFill="1" applyBorder="1" applyAlignment="1">
      <alignment horizontal="right"/>
    </xf>
    <xf numFmtId="178" fontId="33" fillId="0" borderId="0" xfId="0" applyNumberFormat="1" applyFont="1" applyFill="1" applyBorder="1"/>
    <xf numFmtId="178" fontId="33" fillId="42" borderId="21" xfId="0" applyNumberFormat="1" applyFont="1" applyFill="1" applyBorder="1" applyAlignment="1">
      <alignment horizontal="right"/>
    </xf>
    <xf numFmtId="167" fontId="45" fillId="0" borderId="21" xfId="0" applyFont="1" applyBorder="1"/>
    <xf numFmtId="173" fontId="39" fillId="0" borderId="21" xfId="0" applyNumberFormat="1" applyFont="1" applyBorder="1"/>
    <xf numFmtId="167" fontId="0" fillId="0" borderId="15" xfId="0" applyBorder="1"/>
    <xf numFmtId="173" fontId="40" fillId="0" borderId="15" xfId="0" applyNumberFormat="1" applyFont="1" applyBorder="1"/>
    <xf numFmtId="173" fontId="40" fillId="0" borderId="16" xfId="0" applyNumberFormat="1" applyFont="1" applyBorder="1"/>
    <xf numFmtId="173" fontId="40" fillId="0" borderId="19" xfId="0" applyNumberFormat="1" applyFont="1" applyBorder="1"/>
    <xf numFmtId="173" fontId="67" fillId="43" borderId="15" xfId="0" applyNumberFormat="1" applyFont="1" applyFill="1" applyBorder="1"/>
    <xf numFmtId="173" fontId="40" fillId="0" borderId="21" xfId="0" applyNumberFormat="1" applyFont="1" applyBorder="1"/>
    <xf numFmtId="173" fontId="67" fillId="43" borderId="0" xfId="0" applyNumberFormat="1" applyFont="1" applyFill="1"/>
    <xf numFmtId="178" fontId="33" fillId="42" borderId="23" xfId="0" applyNumberFormat="1" applyFont="1" applyFill="1" applyBorder="1" applyAlignment="1">
      <alignment horizontal="right"/>
    </xf>
    <xf numFmtId="167" fontId="39" fillId="0" borderId="23" xfId="0" applyFont="1" applyBorder="1"/>
    <xf numFmtId="167" fontId="45" fillId="0" borderId="23" xfId="0" applyFont="1" applyBorder="1"/>
    <xf numFmtId="173" fontId="39" fillId="0" borderId="23" xfId="0" applyNumberFormat="1" applyFont="1" applyBorder="1"/>
    <xf numFmtId="173" fontId="40" fillId="0" borderId="20" xfId="0" applyNumberFormat="1" applyFont="1" applyBorder="1"/>
    <xf numFmtId="173" fontId="40" fillId="0" borderId="23" xfId="0" applyNumberFormat="1" applyFont="1" applyBorder="1"/>
    <xf numFmtId="167" fontId="45" fillId="0" borderId="0" xfId="0" applyFont="1" applyBorder="1"/>
    <xf numFmtId="173" fontId="39" fillId="0" borderId="0" xfId="0" applyNumberFormat="1" applyFont="1" applyBorder="1"/>
    <xf numFmtId="173" fontId="67" fillId="43" borderId="0" xfId="0" applyNumberFormat="1" applyFont="1" applyFill="1" applyBorder="1"/>
    <xf numFmtId="166" fontId="37" fillId="0" borderId="0" xfId="0" applyNumberFormat="1" applyFont="1" applyBorder="1"/>
    <xf numFmtId="179" fontId="37" fillId="0" borderId="0" xfId="0" applyNumberFormat="1" applyFont="1" applyBorder="1"/>
    <xf numFmtId="167" fontId="37" fillId="0" borderId="0" xfId="0" applyFont="1" applyBorder="1"/>
    <xf numFmtId="10" fontId="71" fillId="33" borderId="1" xfId="3" applyNumberFormat="1" applyFont="1" applyAlignment="1">
      <alignment horizontal="center"/>
    </xf>
    <xf numFmtId="180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67" fontId="45" fillId="0" borderId="0" xfId="0" applyFont="1" applyAlignment="1"/>
    <xf numFmtId="180" fontId="45" fillId="0" borderId="0" xfId="0" applyNumberFormat="1" applyFont="1" applyAlignment="1"/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D1" zoomScaleNormal="100" workbookViewId="0">
      <selection activeCell="H6" sqref="H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6.57031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0" customFormat="1" ht="19.5" x14ac:dyDescent="0.3">
      <c r="A1" s="258" t="str">
        <f>CoName</f>
        <v>Advanced Micro Devices Inc.</v>
      </c>
      <c r="B1" s="2"/>
      <c r="C1" s="2"/>
      <c r="D1" s="162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5" customFormat="1" x14ac:dyDescent="0.25">
      <c r="A2" s="66" t="s">
        <v>183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25">
      <c r="B4" s="4" t="s">
        <v>3</v>
      </c>
      <c r="C4" s="52" t="s">
        <v>185</v>
      </c>
      <c r="E4" s="4" t="s">
        <v>168</v>
      </c>
      <c r="F4" s="222">
        <v>254.77</v>
      </c>
      <c r="H4" s="179" t="s">
        <v>184</v>
      </c>
      <c r="I4" s="178" t="s">
        <v>182</v>
      </c>
      <c r="J4" s="178" t="s">
        <v>181</v>
      </c>
      <c r="K4" s="178" t="s">
        <v>233</v>
      </c>
    </row>
    <row r="5" spans="1:15" x14ac:dyDescent="0.25">
      <c r="B5" s="4" t="s">
        <v>4</v>
      </c>
      <c r="C5" s="53">
        <v>247.43</v>
      </c>
      <c r="E5" s="4" t="s">
        <v>186</v>
      </c>
      <c r="F5" s="169">
        <v>1628.0415399999999</v>
      </c>
      <c r="H5" s="178" t="s">
        <v>175</v>
      </c>
      <c r="I5" s="229">
        <f>'DCF Model'!G18</f>
        <v>300.82362007819569</v>
      </c>
      <c r="J5" s="228">
        <f>'DCF Model'!C18</f>
        <v>193.96931795468819</v>
      </c>
      <c r="K5" s="228">
        <f>AVERAGE(I5:J5)</f>
        <v>247.39646901644193</v>
      </c>
    </row>
    <row r="6" spans="1:15" x14ac:dyDescent="0.25">
      <c r="B6" s="4" t="s">
        <v>5</v>
      </c>
      <c r="C6" s="52" t="s">
        <v>9</v>
      </c>
      <c r="E6" s="4" t="s">
        <v>102</v>
      </c>
      <c r="F6" s="169">
        <f>F5*F4</f>
        <v>414776.14314579999</v>
      </c>
      <c r="H6" s="178" t="s">
        <v>176</v>
      </c>
      <c r="I6" s="298">
        <f>I5/$F$4-1</f>
        <v>0.18076547504885054</v>
      </c>
      <c r="J6" s="223">
        <f>J5/$F$4-1</f>
        <v>-0.2386492995459113</v>
      </c>
      <c r="K6" s="223">
        <f>K5/$F$4-1</f>
        <v>-2.8941912248530377E-2</v>
      </c>
    </row>
    <row r="7" spans="1:15" x14ac:dyDescent="0.25">
      <c r="B7" s="4" t="s">
        <v>6</v>
      </c>
      <c r="C7" s="52" t="s">
        <v>8</v>
      </c>
      <c r="E7" s="4" t="s">
        <v>174</v>
      </c>
      <c r="F7" s="52">
        <f>13182.9+5.6</f>
        <v>13188.5</v>
      </c>
    </row>
    <row r="8" spans="1:15" x14ac:dyDescent="0.25">
      <c r="B8" s="4" t="s">
        <v>2</v>
      </c>
      <c r="C8" s="52" t="s">
        <v>85</v>
      </c>
      <c r="E8" s="4" t="s">
        <v>143</v>
      </c>
      <c r="F8" s="52">
        <f>1045.1+3806.4</f>
        <v>4851.5</v>
      </c>
    </row>
    <row r="9" spans="1:15" x14ac:dyDescent="0.25">
      <c r="B9" s="4" t="s">
        <v>7</v>
      </c>
      <c r="C9" s="52">
        <v>0</v>
      </c>
      <c r="E9" s="4" t="s">
        <v>116</v>
      </c>
      <c r="F9" s="52">
        <f>F6-F7+F8</f>
        <v>406439.14314579999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I13"/>
  <sheetViews>
    <sheetView showGridLines="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F9" sqref="AF9:AI12"/>
    </sheetView>
  </sheetViews>
  <sheetFormatPr defaultColWidth="11.7109375" defaultRowHeight="15" x14ac:dyDescent="0.25"/>
  <cols>
    <col min="1" max="1" width="2" style="4" bestFit="1" customWidth="1"/>
    <col min="2" max="2" width="16.42578125" style="4" bestFit="1" customWidth="1"/>
    <col min="3" max="3" width="0" hidden="1" customWidth="1"/>
    <col min="4" max="7" width="0" style="4" hidden="1" customWidth="1"/>
    <col min="8" max="16384" width="11.7109375" style="4"/>
  </cols>
  <sheetData>
    <row r="1" spans="1:35" ht="19.5" x14ac:dyDescent="0.3">
      <c r="A1" s="258" t="str">
        <f>CoName</f>
        <v>Advanced Micro Devices Inc.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35" s="275" customFormat="1" x14ac:dyDescent="0.25">
      <c r="A2" s="272" t="s">
        <v>187</v>
      </c>
      <c r="B2" s="272"/>
      <c r="C2" s="273" t="s">
        <v>211</v>
      </c>
      <c r="D2" s="273" t="s">
        <v>212</v>
      </c>
      <c r="E2" s="273" t="s">
        <v>213</v>
      </c>
      <c r="F2" s="273" t="s">
        <v>214</v>
      </c>
      <c r="G2" s="273">
        <v>2022</v>
      </c>
      <c r="H2" s="273" t="s">
        <v>194</v>
      </c>
      <c r="I2" s="273" t="s">
        <v>195</v>
      </c>
      <c r="J2" s="273" t="s">
        <v>196</v>
      </c>
      <c r="K2" s="274" t="s">
        <v>197</v>
      </c>
      <c r="L2" s="276">
        <v>2023</v>
      </c>
      <c r="M2" s="273" t="s">
        <v>198</v>
      </c>
      <c r="N2" s="273" t="s">
        <v>199</v>
      </c>
      <c r="O2" s="273" t="s">
        <v>200</v>
      </c>
      <c r="P2" s="274" t="s">
        <v>201</v>
      </c>
      <c r="Q2" s="276">
        <v>2024</v>
      </c>
      <c r="R2" s="273" t="s">
        <v>202</v>
      </c>
      <c r="S2" s="273" t="s">
        <v>203</v>
      </c>
      <c r="T2" s="273" t="s">
        <v>204</v>
      </c>
      <c r="U2" s="274" t="s">
        <v>205</v>
      </c>
      <c r="V2" s="276">
        <v>2025</v>
      </c>
      <c r="W2" s="273" t="s">
        <v>206</v>
      </c>
      <c r="X2" s="273" t="s">
        <v>207</v>
      </c>
      <c r="Y2" s="273" t="s">
        <v>208</v>
      </c>
      <c r="Z2" s="274" t="s">
        <v>209</v>
      </c>
      <c r="AA2" s="286">
        <v>2026</v>
      </c>
      <c r="AB2" s="286">
        <f>AA2+1</f>
        <v>2027</v>
      </c>
      <c r="AC2" s="286">
        <f t="shared" ref="AC2:AI2" si="0">AB2+1</f>
        <v>2028</v>
      </c>
      <c r="AD2" s="286">
        <f t="shared" si="0"/>
        <v>2029</v>
      </c>
      <c r="AE2" s="286">
        <f t="shared" si="0"/>
        <v>2030</v>
      </c>
      <c r="AF2" s="286">
        <f t="shared" si="0"/>
        <v>2031</v>
      </c>
      <c r="AG2" s="286">
        <f t="shared" si="0"/>
        <v>2032</v>
      </c>
      <c r="AH2" s="286">
        <f t="shared" si="0"/>
        <v>2033</v>
      </c>
      <c r="AI2" s="286">
        <f t="shared" si="0"/>
        <v>2034</v>
      </c>
    </row>
    <row r="3" spans="1:35" s="268" customFormat="1" x14ac:dyDescent="0.25">
      <c r="A3" s="4" t="s">
        <v>124</v>
      </c>
      <c r="B3" s="4" t="s">
        <v>188</v>
      </c>
      <c r="C3">
        <v>1293</v>
      </c>
      <c r="D3" s="4">
        <v>1486</v>
      </c>
      <c r="E3" s="4">
        <v>1609</v>
      </c>
      <c r="F3" s="4">
        <v>1655</v>
      </c>
      <c r="G3" s="4">
        <f>SUM(C3:F3)</f>
        <v>6043</v>
      </c>
      <c r="H3" s="4">
        <v>1295</v>
      </c>
      <c r="I3" s="4">
        <v>1321</v>
      </c>
      <c r="J3" s="4">
        <v>1598</v>
      </c>
      <c r="K3" s="28">
        <v>3549</v>
      </c>
      <c r="L3" s="164">
        <f>SUM(H3:K3)</f>
        <v>7763</v>
      </c>
      <c r="M3" s="4">
        <v>2337</v>
      </c>
      <c r="N3" s="4">
        <v>2834</v>
      </c>
      <c r="O3" s="4">
        <v>3549</v>
      </c>
      <c r="P3" s="28">
        <v>3859</v>
      </c>
      <c r="Q3" s="164">
        <f>SUM(M3:P3)</f>
        <v>12579</v>
      </c>
      <c r="R3" s="4">
        <v>3674</v>
      </c>
      <c r="S3" s="4">
        <v>3240</v>
      </c>
      <c r="T3" s="4">
        <v>4341</v>
      </c>
      <c r="U3" s="28">
        <f>P3*(1+U9)</f>
        <v>4630.8</v>
      </c>
      <c r="V3" s="164">
        <f>SUM(R3:U3)</f>
        <v>15885.8</v>
      </c>
      <c r="W3" s="4">
        <f>R3*(1+W9)</f>
        <v>4408.8</v>
      </c>
      <c r="X3" s="4">
        <f>S3*(1+X9)</f>
        <v>4091.7395659432382</v>
      </c>
      <c r="Y3" s="4">
        <f>T3*(1+Y9)</f>
        <v>5209.2</v>
      </c>
      <c r="Z3" s="4">
        <f>U3*(1+Z9)</f>
        <v>5848.1566611018361</v>
      </c>
      <c r="AA3" s="287">
        <f>SUM(W3:Z3)</f>
        <v>19557.896227045072</v>
      </c>
      <c r="AB3" s="267">
        <f>AA3*(1+AB9)</f>
        <v>27381.054717863099</v>
      </c>
      <c r="AC3" s="267">
        <f t="shared" ref="AC3:AI3" si="1">AB3*(1+AC9)</f>
        <v>38881.0976993656</v>
      </c>
      <c r="AD3" s="267">
        <f t="shared" si="1"/>
        <v>53655.914825124528</v>
      </c>
      <c r="AE3" s="267">
        <f t="shared" si="1"/>
        <v>71898.925865666868</v>
      </c>
      <c r="AF3" s="267">
        <f t="shared" si="1"/>
        <v>93468.60362536693</v>
      </c>
      <c r="AG3" s="267">
        <f t="shared" si="1"/>
        <v>117770.44056796233</v>
      </c>
      <c r="AH3" s="267">
        <f t="shared" si="1"/>
        <v>143679.93749291403</v>
      </c>
      <c r="AI3" s="28">
        <f t="shared" si="1"/>
        <v>169542.32624163857</v>
      </c>
    </row>
    <row r="4" spans="1:35" s="268" customFormat="1" x14ac:dyDescent="0.25">
      <c r="A4" s="4"/>
      <c r="B4" s="4" t="s">
        <v>189</v>
      </c>
      <c r="C4">
        <v>2124</v>
      </c>
      <c r="D4" s="4">
        <v>2152</v>
      </c>
      <c r="E4" s="4">
        <v>1022</v>
      </c>
      <c r="F4" s="4">
        <v>903</v>
      </c>
      <c r="G4" s="4">
        <f t="shared" ref="G4:G6" si="2">SUM(C4:F4)</f>
        <v>6201</v>
      </c>
      <c r="H4" s="4">
        <v>739</v>
      </c>
      <c r="I4" s="4">
        <v>998</v>
      </c>
      <c r="J4" s="4">
        <v>1453</v>
      </c>
      <c r="K4" s="28">
        <v>1881</v>
      </c>
      <c r="L4" s="164">
        <f t="shared" ref="L4:L6" si="3">SUM(H4:K4)</f>
        <v>5071</v>
      </c>
      <c r="M4" s="4">
        <v>1368</v>
      </c>
      <c r="N4" s="4">
        <v>1492</v>
      </c>
      <c r="O4" s="4">
        <v>1881</v>
      </c>
      <c r="P4" s="28">
        <v>2313</v>
      </c>
      <c r="Q4" s="164">
        <f t="shared" ref="Q4:Q6" si="4">SUM(M4:P4)</f>
        <v>7054</v>
      </c>
      <c r="R4" s="4">
        <v>2294</v>
      </c>
      <c r="S4" s="4">
        <v>2499</v>
      </c>
      <c r="T4" s="4">
        <v>2750</v>
      </c>
      <c r="U4" s="28">
        <f>P4*(1+U10)</f>
        <v>3469.5</v>
      </c>
      <c r="V4" s="164">
        <f t="shared" ref="V4:V6" si="5">SUM(R4:U4)</f>
        <v>11012.5</v>
      </c>
      <c r="W4" s="4">
        <f>R4*(1+W10)</f>
        <v>3441</v>
      </c>
      <c r="X4" s="4">
        <f>S4*(1+X10)</f>
        <v>3901.3662461015024</v>
      </c>
      <c r="Y4" s="4">
        <f>T4*(1+Y10)</f>
        <v>4125</v>
      </c>
      <c r="Z4" s="4">
        <f>U4*(1+Z10)</f>
        <v>5416.4826694074281</v>
      </c>
      <c r="AA4" s="287">
        <f t="shared" ref="AA4:AA6" si="6">SUM(W4:Z4)</f>
        <v>16883.84891550893</v>
      </c>
      <c r="AB4" s="267">
        <f t="shared" ref="AB4:AI6" si="7">AA4*(1+AB10)</f>
        <v>23637.3884817125</v>
      </c>
      <c r="AC4" s="267">
        <f t="shared" si="7"/>
        <v>33565.091644031745</v>
      </c>
      <c r="AD4" s="267">
        <f t="shared" si="7"/>
        <v>46319.826468763807</v>
      </c>
      <c r="AE4" s="267">
        <f t="shared" si="7"/>
        <v>62068.567468143505</v>
      </c>
      <c r="AF4" s="267">
        <f t="shared" si="7"/>
        <v>80689.137708586553</v>
      </c>
      <c r="AG4" s="267">
        <f t="shared" si="7"/>
        <v>101668.31351281906</v>
      </c>
      <c r="AH4" s="267">
        <f t="shared" si="7"/>
        <v>124035.34248563925</v>
      </c>
      <c r="AI4" s="28">
        <f t="shared" si="7"/>
        <v>146361.70413305433</v>
      </c>
    </row>
    <row r="5" spans="1:35" s="268" customFormat="1" x14ac:dyDescent="0.25">
      <c r="A5" s="4"/>
      <c r="B5" s="4" t="s">
        <v>190</v>
      </c>
      <c r="C5">
        <v>1875</v>
      </c>
      <c r="D5" s="4">
        <v>1655</v>
      </c>
      <c r="E5" s="4">
        <v>1631</v>
      </c>
      <c r="F5" s="4">
        <v>1644</v>
      </c>
      <c r="G5" s="4">
        <f t="shared" si="2"/>
        <v>6805</v>
      </c>
      <c r="H5" s="4">
        <v>1575</v>
      </c>
      <c r="I5" s="4">
        <v>1581</v>
      </c>
      <c r="J5" s="4">
        <v>1506</v>
      </c>
      <c r="K5" s="28">
        <v>462</v>
      </c>
      <c r="L5" s="164">
        <f t="shared" si="3"/>
        <v>5124</v>
      </c>
      <c r="M5" s="4">
        <v>922</v>
      </c>
      <c r="N5" s="4">
        <v>648</v>
      </c>
      <c r="O5" s="4">
        <v>462</v>
      </c>
      <c r="P5" s="28">
        <v>563</v>
      </c>
      <c r="Q5" s="164">
        <f t="shared" si="4"/>
        <v>2595</v>
      </c>
      <c r="R5" s="4">
        <v>647</v>
      </c>
      <c r="S5" s="4">
        <v>1122</v>
      </c>
      <c r="T5" s="4">
        <v>1298</v>
      </c>
      <c r="U5" s="28">
        <f>P5*(1+U11)</f>
        <v>844.5</v>
      </c>
      <c r="V5" s="164">
        <f t="shared" si="5"/>
        <v>3911.5</v>
      </c>
      <c r="W5" s="4">
        <f>R5*(1+W11)</f>
        <v>970.5</v>
      </c>
      <c r="X5" s="4">
        <f>S5*(1+X11)</f>
        <v>1691.2150289017341</v>
      </c>
      <c r="Y5" s="4">
        <f>T5*(1+Y11)</f>
        <v>1947</v>
      </c>
      <c r="Z5" s="4">
        <f>U5*(1+Z11)</f>
        <v>1272.9332369942197</v>
      </c>
      <c r="AA5" s="287">
        <f t="shared" si="6"/>
        <v>5881.648265895953</v>
      </c>
      <c r="AB5" s="267">
        <f t="shared" si="7"/>
        <v>8234.3075722543344</v>
      </c>
      <c r="AC5" s="267">
        <f t="shared" si="7"/>
        <v>11692.716752601154</v>
      </c>
      <c r="AD5" s="267">
        <f t="shared" si="7"/>
        <v>16135.949118589591</v>
      </c>
      <c r="AE5" s="267">
        <f t="shared" si="7"/>
        <v>21622.171818910054</v>
      </c>
      <c r="AF5" s="267">
        <f t="shared" si="7"/>
        <v>28108.82336458307</v>
      </c>
      <c r="AG5" s="267">
        <f t="shared" si="7"/>
        <v>35417.11743937467</v>
      </c>
      <c r="AH5" s="267">
        <f t="shared" si="7"/>
        <v>43208.883276037093</v>
      </c>
      <c r="AI5" s="28">
        <f t="shared" si="7"/>
        <v>50986.482265723775</v>
      </c>
    </row>
    <row r="6" spans="1:35" s="268" customFormat="1" x14ac:dyDescent="0.25">
      <c r="A6" s="4"/>
      <c r="B6" s="4" t="s">
        <v>191</v>
      </c>
      <c r="C6">
        <v>595</v>
      </c>
      <c r="D6" s="4">
        <v>1257</v>
      </c>
      <c r="E6" s="4">
        <v>1303</v>
      </c>
      <c r="F6" s="4">
        <v>1397</v>
      </c>
      <c r="G6" s="4">
        <f t="shared" si="2"/>
        <v>4552</v>
      </c>
      <c r="H6" s="4">
        <v>1562</v>
      </c>
      <c r="I6" s="4">
        <v>1459</v>
      </c>
      <c r="J6" s="4">
        <v>1242</v>
      </c>
      <c r="K6" s="28">
        <v>927</v>
      </c>
      <c r="L6" s="164">
        <f t="shared" si="3"/>
        <v>5190</v>
      </c>
      <c r="M6" s="4">
        <v>846</v>
      </c>
      <c r="N6" s="4">
        <v>861</v>
      </c>
      <c r="O6" s="4">
        <v>927</v>
      </c>
      <c r="P6" s="28">
        <v>923</v>
      </c>
      <c r="Q6" s="164">
        <f t="shared" si="4"/>
        <v>3557</v>
      </c>
      <c r="R6" s="4">
        <v>823</v>
      </c>
      <c r="S6" s="4">
        <v>824</v>
      </c>
      <c r="T6" s="4">
        <v>857</v>
      </c>
      <c r="U6" s="28">
        <f>P6*(1+U12)</f>
        <v>932.23</v>
      </c>
      <c r="V6" s="164">
        <f t="shared" si="5"/>
        <v>3436.23</v>
      </c>
      <c r="W6" s="4">
        <f>R6*(1+W12)</f>
        <v>831.23</v>
      </c>
      <c r="X6" s="4">
        <f>S6*(1+X12)</f>
        <v>796.02291818948549</v>
      </c>
      <c r="Y6" s="4">
        <f>T6*(1+Y12)</f>
        <v>865.57</v>
      </c>
      <c r="Z6" s="4">
        <f>U6*(1+Z12)</f>
        <v>900.57820998032048</v>
      </c>
      <c r="AA6" s="287">
        <f t="shared" si="6"/>
        <v>3393.4011281698063</v>
      </c>
      <c r="AB6" s="267">
        <f t="shared" si="7"/>
        <v>4750.7615794377289</v>
      </c>
      <c r="AC6" s="267">
        <f t="shared" si="7"/>
        <v>6746.0814428015747</v>
      </c>
      <c r="AD6" s="267">
        <f t="shared" si="7"/>
        <v>9309.5923910661731</v>
      </c>
      <c r="AE6" s="267">
        <f t="shared" si="7"/>
        <v>12474.853804028673</v>
      </c>
      <c r="AF6" s="267">
        <f t="shared" si="7"/>
        <v>16217.309945237275</v>
      </c>
      <c r="AG6" s="267">
        <f t="shared" si="7"/>
        <v>20433.810530998966</v>
      </c>
      <c r="AH6" s="267">
        <f t="shared" si="7"/>
        <v>24929.248847818737</v>
      </c>
      <c r="AI6" s="28">
        <f t="shared" si="7"/>
        <v>29416.513640426114</v>
      </c>
    </row>
    <row r="7" spans="1:35" s="269" customFormat="1" x14ac:dyDescent="0.25">
      <c r="A7" s="11"/>
      <c r="B7" s="11" t="s">
        <v>192</v>
      </c>
      <c r="C7" s="11">
        <f t="shared" ref="C7:F7" si="8">SUM(C3:C6)</f>
        <v>5887</v>
      </c>
      <c r="D7" s="11">
        <f t="shared" si="8"/>
        <v>6550</v>
      </c>
      <c r="E7" s="11">
        <f t="shared" si="8"/>
        <v>5565</v>
      </c>
      <c r="F7" s="11">
        <f t="shared" si="8"/>
        <v>5599</v>
      </c>
      <c r="G7" s="11">
        <f t="shared" ref="G7:S7" si="9">SUM(G3:G6)</f>
        <v>23601</v>
      </c>
      <c r="H7" s="11">
        <f>SUM(H3:H6)</f>
        <v>5171</v>
      </c>
      <c r="I7" s="11">
        <f t="shared" si="9"/>
        <v>5359</v>
      </c>
      <c r="J7" s="11">
        <f t="shared" si="9"/>
        <v>5799</v>
      </c>
      <c r="K7" s="25">
        <f t="shared" si="9"/>
        <v>6819</v>
      </c>
      <c r="L7" s="277">
        <f t="shared" si="9"/>
        <v>23148</v>
      </c>
      <c r="M7" s="11">
        <f t="shared" si="9"/>
        <v>5473</v>
      </c>
      <c r="N7" s="11">
        <f t="shared" si="9"/>
        <v>5835</v>
      </c>
      <c r="O7" s="11">
        <f t="shared" si="9"/>
        <v>6819</v>
      </c>
      <c r="P7" s="25">
        <f t="shared" si="9"/>
        <v>7658</v>
      </c>
      <c r="Q7" s="277">
        <f t="shared" si="9"/>
        <v>25785</v>
      </c>
      <c r="R7" s="11">
        <f t="shared" si="9"/>
        <v>7438</v>
      </c>
      <c r="S7" s="11">
        <f t="shared" si="9"/>
        <v>7685</v>
      </c>
      <c r="T7" s="11">
        <f>SUM(T3:T6)</f>
        <v>9246</v>
      </c>
      <c r="U7" s="25">
        <f t="shared" ref="U7:AA7" si="10">SUM(U3:U6)</f>
        <v>9877.0299999999988</v>
      </c>
      <c r="V7" s="277">
        <f t="shared" si="10"/>
        <v>34246.03</v>
      </c>
      <c r="W7" s="11">
        <f t="shared" si="10"/>
        <v>9651.5299999999988</v>
      </c>
      <c r="X7" s="11">
        <f t="shared" si="10"/>
        <v>10480.34375913596</v>
      </c>
      <c r="Y7" s="11">
        <f t="shared" si="10"/>
        <v>12146.77</v>
      </c>
      <c r="Z7" s="25">
        <f t="shared" si="10"/>
        <v>13438.150777483805</v>
      </c>
      <c r="AA7" s="288">
        <f t="shared" si="10"/>
        <v>45716.79453661976</v>
      </c>
      <c r="AB7" s="292">
        <f t="shared" ref="AB7" si="11">SUM(AB3:AB6)</f>
        <v>64003.512351267666</v>
      </c>
      <c r="AC7" s="292">
        <f t="shared" ref="AC7" si="12">SUM(AC3:AC6)</f>
        <v>90884.98753880008</v>
      </c>
      <c r="AD7" s="292">
        <f t="shared" ref="AD7" si="13">SUM(AD3:AD6)</f>
        <v>125421.28280354411</v>
      </c>
      <c r="AE7" s="292">
        <f t="shared" ref="AE7" si="14">SUM(AE3:AE6)</f>
        <v>168064.51895674909</v>
      </c>
      <c r="AF7" s="292">
        <f t="shared" ref="AF7" si="15">SUM(AF3:AF6)</f>
        <v>218483.87464377383</v>
      </c>
      <c r="AG7" s="292">
        <f t="shared" ref="AG7" si="16">SUM(AG3:AG6)</f>
        <v>275289.68205115502</v>
      </c>
      <c r="AH7" s="292">
        <f t="shared" ref="AH7" si="17">SUM(AH3:AH6)</f>
        <v>335853.41210240917</v>
      </c>
      <c r="AI7" s="25">
        <f t="shared" ref="AI7" si="18">SUM(AI3:AI6)</f>
        <v>396307.02628084272</v>
      </c>
    </row>
    <row r="8" spans="1:35" s="270" customFormat="1" x14ac:dyDescent="0.25">
      <c r="A8" s="8"/>
      <c r="B8" s="8" t="s">
        <v>193</v>
      </c>
      <c r="C8" s="8"/>
      <c r="D8" s="8"/>
      <c r="E8" s="8"/>
      <c r="F8" s="8"/>
      <c r="G8" s="8"/>
      <c r="H8" s="8">
        <f>H7/C7-1</f>
        <v>-0.1216239171054867</v>
      </c>
      <c r="I8" s="8">
        <f>I7/D7-1</f>
        <v>-0.18183206106870231</v>
      </c>
      <c r="J8" s="8">
        <f>J7/E7-1</f>
        <v>4.2048517520215656E-2</v>
      </c>
      <c r="K8" s="27">
        <f>K7/F7-1</f>
        <v>0.21789605286658342</v>
      </c>
      <c r="L8" s="278">
        <f>L7/G7-1</f>
        <v>-1.9194101944832842E-2</v>
      </c>
      <c r="M8" s="8">
        <f>M7/H7-1</f>
        <v>5.8402630052214244E-2</v>
      </c>
      <c r="N8" s="8">
        <f>N7/I7-1</f>
        <v>8.882254151894009E-2</v>
      </c>
      <c r="O8" s="8">
        <f>O7/J7-1</f>
        <v>0.17589239524055866</v>
      </c>
      <c r="P8" s="27">
        <f>P7/K7-1</f>
        <v>0.12303856870508878</v>
      </c>
      <c r="Q8" s="278">
        <f>Q7/L7-1</f>
        <v>0.11391912908242618</v>
      </c>
      <c r="R8" s="8">
        <f>R7/M7-1</f>
        <v>0.35903526402338759</v>
      </c>
      <c r="S8" s="8">
        <f>S7/N7-1</f>
        <v>0.31705227077977716</v>
      </c>
      <c r="T8" s="8">
        <f>T7/O7-1</f>
        <v>0.35591728992520899</v>
      </c>
      <c r="U8" s="8">
        <f>U7/P7-1</f>
        <v>0.28976625750848761</v>
      </c>
      <c r="V8" s="278">
        <f>V7/Q7-1</f>
        <v>0.32813767694395968</v>
      </c>
      <c r="W8" s="8">
        <f>W7/R7-1</f>
        <v>0.2975974724388275</v>
      </c>
      <c r="X8" s="8">
        <f>X7/S7-1</f>
        <v>0.36374024191749643</v>
      </c>
      <c r="Y8" s="8">
        <f>Y7/T7-1</f>
        <v>0.31373242483236008</v>
      </c>
      <c r="Z8" s="8">
        <f>Z7/U7-1</f>
        <v>0.3605457083236363</v>
      </c>
      <c r="AA8" s="289">
        <f>AA7/V7-1</f>
        <v>0.3349516582395029</v>
      </c>
      <c r="AB8" s="293">
        <f>AB7/AA7-1</f>
        <v>0.40000000000000013</v>
      </c>
      <c r="AC8" s="293">
        <f t="shared" ref="AC8:AI8" si="19">AC7/AB7-1</f>
        <v>0.41999999999999993</v>
      </c>
      <c r="AD8" s="293">
        <f t="shared" si="19"/>
        <v>0.37999999999999989</v>
      </c>
      <c r="AE8" s="293">
        <f t="shared" si="19"/>
        <v>0.33999999999999986</v>
      </c>
      <c r="AF8" s="293">
        <f t="shared" si="19"/>
        <v>0.30000000000000004</v>
      </c>
      <c r="AG8" s="293">
        <f t="shared" si="19"/>
        <v>0.26</v>
      </c>
      <c r="AH8" s="293">
        <f t="shared" si="19"/>
        <v>0.2200000000000002</v>
      </c>
      <c r="AI8" s="271">
        <f t="shared" si="19"/>
        <v>0.17999999999999972</v>
      </c>
    </row>
    <row r="9" spans="1:35" s="44" customFormat="1" x14ac:dyDescent="0.25">
      <c r="A9" s="280" t="s">
        <v>210</v>
      </c>
      <c r="B9" s="280" t="s">
        <v>188</v>
      </c>
      <c r="C9" s="280"/>
      <c r="D9" s="280"/>
      <c r="E9" s="280"/>
      <c r="F9" s="280"/>
      <c r="G9" s="280"/>
      <c r="H9" s="280">
        <f>H3/C3-1</f>
        <v>1.5467904098993568E-3</v>
      </c>
      <c r="I9" s="280">
        <f>I3/D3-1</f>
        <v>-0.11103633916554512</v>
      </c>
      <c r="J9" s="280">
        <f>J3/E3-1</f>
        <v>-6.836544437538894E-3</v>
      </c>
      <c r="K9" s="281">
        <f>K3/F3-1</f>
        <v>1.1444108761329304</v>
      </c>
      <c r="L9" s="282">
        <f>L3/G3-1</f>
        <v>0.2846268409730266</v>
      </c>
      <c r="M9" s="280">
        <f>M3/H3-1</f>
        <v>0.80463320463320454</v>
      </c>
      <c r="N9" s="280">
        <f>N3/I3-1</f>
        <v>1.1453444360333083</v>
      </c>
      <c r="O9" s="280">
        <f>O3/J3-1</f>
        <v>1.2209011264080099</v>
      </c>
      <c r="P9" s="281">
        <f>P3/K3-1</f>
        <v>8.7348548887010491E-2</v>
      </c>
      <c r="Q9" s="282">
        <f>Q3/L3-1</f>
        <v>0.62037871956717772</v>
      </c>
      <c r="R9" s="280">
        <f>R3/M3-1</f>
        <v>0.57210098416773647</v>
      </c>
      <c r="S9" s="280">
        <f>S3/N3-1</f>
        <v>0.14326040931545525</v>
      </c>
      <c r="T9" s="280">
        <f>T3/O3-1</f>
        <v>0.22316145393068476</v>
      </c>
      <c r="U9" s="283">
        <v>0.2</v>
      </c>
      <c r="V9" s="282">
        <f>V3/Q3-1</f>
        <v>0.26288258208124637</v>
      </c>
      <c r="W9" s="283">
        <f>U9</f>
        <v>0.2</v>
      </c>
      <c r="X9" s="283">
        <f t="shared" ref="X9:Z12" si="20">V9</f>
        <v>0.26288258208124637</v>
      </c>
      <c r="Y9" s="283">
        <v>0.2</v>
      </c>
      <c r="Z9" s="283">
        <f t="shared" si="20"/>
        <v>0.26288258208124637</v>
      </c>
      <c r="AA9" s="290">
        <f>AA3/V3-1</f>
        <v>0.23115588935055675</v>
      </c>
      <c r="AB9" s="283">
        <v>0.4</v>
      </c>
      <c r="AC9" s="283">
        <v>0.42</v>
      </c>
      <c r="AD9" s="283">
        <f>AC9-0.04</f>
        <v>0.38</v>
      </c>
      <c r="AE9" s="283">
        <f t="shared" ref="AE9:AF9" si="21">AD9-0.04</f>
        <v>0.34</v>
      </c>
      <c r="AF9" s="283">
        <f t="shared" si="21"/>
        <v>0.30000000000000004</v>
      </c>
      <c r="AG9" s="283">
        <f t="shared" ref="AG9:AI9" si="22">AF9-0.04</f>
        <v>0.26000000000000006</v>
      </c>
      <c r="AH9" s="283">
        <f t="shared" si="22"/>
        <v>0.22000000000000006</v>
      </c>
      <c r="AI9" s="283">
        <f t="shared" si="22"/>
        <v>0.18000000000000005</v>
      </c>
    </row>
    <row r="10" spans="1:35" s="44" customFormat="1" x14ac:dyDescent="0.25">
      <c r="A10" s="44" t="s">
        <v>210</v>
      </c>
      <c r="B10" s="44" t="s">
        <v>189</v>
      </c>
      <c r="H10" s="44">
        <f>H4/C4-1</f>
        <v>-0.65207156308851222</v>
      </c>
      <c r="I10" s="44">
        <f>I4/D4-1</f>
        <v>-0.53624535315985122</v>
      </c>
      <c r="J10" s="44">
        <f>J4/E4-1</f>
        <v>0.42172211350293543</v>
      </c>
      <c r="K10" s="45">
        <f>K4/F4-1</f>
        <v>1.0830564784053158</v>
      </c>
      <c r="L10" s="284">
        <f>L4/G4-1</f>
        <v>-0.18222867279471056</v>
      </c>
      <c r="M10" s="44">
        <f>M4/H4-1</f>
        <v>0.85115020297699595</v>
      </c>
      <c r="N10" s="44">
        <f>N4/I4-1</f>
        <v>0.49498997995991978</v>
      </c>
      <c r="O10" s="44">
        <f>O4/J4-1</f>
        <v>0.29456297315898139</v>
      </c>
      <c r="P10" s="45">
        <f>P4/K4-1</f>
        <v>0.22966507177033502</v>
      </c>
      <c r="Q10" s="284">
        <f>Q4/L4-1</f>
        <v>0.39104713074344311</v>
      </c>
      <c r="R10" s="44">
        <f>R4/M4-1</f>
        <v>0.67690058479532156</v>
      </c>
      <c r="S10" s="44">
        <f>S4/N4-1</f>
        <v>0.67493297587131362</v>
      </c>
      <c r="T10" s="44">
        <f>T4/O4-1</f>
        <v>0.46198830409356728</v>
      </c>
      <c r="U10" s="285">
        <v>0.5</v>
      </c>
      <c r="V10" s="284">
        <f>V4/Q4-1</f>
        <v>0.56117096682733192</v>
      </c>
      <c r="W10" s="285">
        <f t="shared" ref="W10:W12" si="23">U10</f>
        <v>0.5</v>
      </c>
      <c r="X10" s="285">
        <f t="shared" si="20"/>
        <v>0.56117096682733192</v>
      </c>
      <c r="Y10" s="285">
        <f t="shared" si="20"/>
        <v>0.5</v>
      </c>
      <c r="Z10" s="285">
        <f t="shared" si="20"/>
        <v>0.56117096682733192</v>
      </c>
      <c r="AA10" s="291">
        <f>AA4/V4-1</f>
        <v>0.53315313648208229</v>
      </c>
      <c r="AB10" s="294">
        <v>0.4</v>
      </c>
      <c r="AC10" s="294">
        <v>0.42</v>
      </c>
      <c r="AD10" s="294">
        <f t="shared" ref="AD10:AF12" si="24">AC10-0.04</f>
        <v>0.38</v>
      </c>
      <c r="AE10" s="294">
        <f t="shared" si="24"/>
        <v>0.34</v>
      </c>
      <c r="AF10" s="294">
        <f t="shared" si="24"/>
        <v>0.30000000000000004</v>
      </c>
      <c r="AG10" s="294">
        <f t="shared" ref="AG10:AI10" si="25">AF10-0.04</f>
        <v>0.26000000000000006</v>
      </c>
      <c r="AH10" s="294">
        <f t="shared" si="25"/>
        <v>0.22000000000000006</v>
      </c>
      <c r="AI10" s="294">
        <f t="shared" si="25"/>
        <v>0.18000000000000005</v>
      </c>
    </row>
    <row r="11" spans="1:35" s="44" customFormat="1" x14ac:dyDescent="0.25">
      <c r="A11" s="44" t="s">
        <v>210</v>
      </c>
      <c r="B11" s="44" t="s">
        <v>190</v>
      </c>
      <c r="H11" s="44">
        <f>H5/C5-1</f>
        <v>-0.16000000000000003</v>
      </c>
      <c r="I11" s="44">
        <f>I5/D5-1</f>
        <v>-4.4712990936555896E-2</v>
      </c>
      <c r="J11" s="44">
        <f>J5/E5-1</f>
        <v>-7.6640098099325593E-2</v>
      </c>
      <c r="K11" s="45">
        <f>K5/F5-1</f>
        <v>-0.71897810218978098</v>
      </c>
      <c r="L11" s="284">
        <f>L5/G5-1</f>
        <v>-0.24702424687729607</v>
      </c>
      <c r="M11" s="44">
        <f>M5/H5-1</f>
        <v>-0.41460317460317464</v>
      </c>
      <c r="N11" s="44">
        <f>N5/I5-1</f>
        <v>-0.59013282732447814</v>
      </c>
      <c r="O11" s="44">
        <f>O5/J5-1</f>
        <v>-0.69322709163346619</v>
      </c>
      <c r="P11" s="45">
        <f>P5/K5-1</f>
        <v>0.21861471861471871</v>
      </c>
      <c r="Q11" s="284">
        <f>Q5/L5-1</f>
        <v>-0.49355971896955508</v>
      </c>
      <c r="R11" s="44">
        <f>R5/M5-1</f>
        <v>-0.29826464208242953</v>
      </c>
      <c r="S11" s="44">
        <f>S5/N5-1</f>
        <v>0.7314814814814814</v>
      </c>
      <c r="T11" s="44">
        <f>T5/O5-1</f>
        <v>1.8095238095238093</v>
      </c>
      <c r="U11" s="285">
        <v>0.5</v>
      </c>
      <c r="V11" s="284">
        <f>V5/Q5-1</f>
        <v>0.50732177263969169</v>
      </c>
      <c r="W11" s="285">
        <f t="shared" si="23"/>
        <v>0.5</v>
      </c>
      <c r="X11" s="285">
        <f t="shared" si="20"/>
        <v>0.50732177263969169</v>
      </c>
      <c r="Y11" s="285">
        <f t="shared" si="20"/>
        <v>0.5</v>
      </c>
      <c r="Z11" s="285">
        <f t="shared" si="20"/>
        <v>0.50732177263969169</v>
      </c>
      <c r="AA11" s="291">
        <f>AA5/V5-1</f>
        <v>0.50368100879354549</v>
      </c>
      <c r="AB11" s="294">
        <v>0.4</v>
      </c>
      <c r="AC11" s="294">
        <v>0.42</v>
      </c>
      <c r="AD11" s="294">
        <f t="shared" si="24"/>
        <v>0.38</v>
      </c>
      <c r="AE11" s="294">
        <f t="shared" si="24"/>
        <v>0.34</v>
      </c>
      <c r="AF11" s="294">
        <f t="shared" si="24"/>
        <v>0.30000000000000004</v>
      </c>
      <c r="AG11" s="294">
        <f t="shared" ref="AG11:AI11" si="26">AF11-0.04</f>
        <v>0.26000000000000006</v>
      </c>
      <c r="AH11" s="294">
        <f t="shared" si="26"/>
        <v>0.22000000000000006</v>
      </c>
      <c r="AI11" s="294">
        <f t="shared" si="26"/>
        <v>0.18000000000000005</v>
      </c>
    </row>
    <row r="12" spans="1:35" s="44" customFormat="1" x14ac:dyDescent="0.25">
      <c r="A12" s="44" t="s">
        <v>210</v>
      </c>
      <c r="B12" s="44" t="s">
        <v>191</v>
      </c>
      <c r="H12" s="44">
        <f>H6/C6-1</f>
        <v>1.6252100840336134</v>
      </c>
      <c r="I12" s="44">
        <f>I6/D6-1</f>
        <v>0.16070007955449483</v>
      </c>
      <c r="J12" s="44">
        <f>J6/E6-1</f>
        <v>-4.6815042210283986E-2</v>
      </c>
      <c r="K12" s="45">
        <f>K6/F6-1</f>
        <v>-0.33643521832498213</v>
      </c>
      <c r="L12" s="284">
        <f>L6/G6-1</f>
        <v>0.14015817223198601</v>
      </c>
      <c r="M12" s="44">
        <f>M6/H6-1</f>
        <v>-0.45838668373879643</v>
      </c>
      <c r="N12" s="44">
        <f>N6/I6-1</f>
        <v>-0.4098697738176833</v>
      </c>
      <c r="O12" s="44">
        <f>O6/J6-1</f>
        <v>-0.25362318840579712</v>
      </c>
      <c r="P12" s="45">
        <f>P6/K6-1</f>
        <v>-4.3149946062567279E-3</v>
      </c>
      <c r="Q12" s="284">
        <f>Q6/L6-1</f>
        <v>-0.31464354527938343</v>
      </c>
      <c r="R12" s="44">
        <f>R6/M6-1</f>
        <v>-2.7186761229314405E-2</v>
      </c>
      <c r="S12" s="44">
        <f>S6/N6-1</f>
        <v>-4.297328687572588E-2</v>
      </c>
      <c r="T12" s="44">
        <f>T6/O6-1</f>
        <v>-7.5512405609493016E-2</v>
      </c>
      <c r="U12" s="285">
        <v>0.01</v>
      </c>
      <c r="V12" s="284">
        <f>V6/Q6-1</f>
        <v>-3.3952769187517551E-2</v>
      </c>
      <c r="W12" s="285">
        <f t="shared" si="23"/>
        <v>0.01</v>
      </c>
      <c r="X12" s="285">
        <f t="shared" si="20"/>
        <v>-3.3952769187517551E-2</v>
      </c>
      <c r="Y12" s="285">
        <f t="shared" si="20"/>
        <v>0.01</v>
      </c>
      <c r="Z12" s="285">
        <f t="shared" si="20"/>
        <v>-3.3952769187517551E-2</v>
      </c>
      <c r="AA12" s="291">
        <f>AA6/V6-1</f>
        <v>-1.2463913018102346E-2</v>
      </c>
      <c r="AB12" s="294">
        <v>0.4</v>
      </c>
      <c r="AC12" s="294">
        <v>0.42</v>
      </c>
      <c r="AD12" s="294">
        <f t="shared" si="24"/>
        <v>0.38</v>
      </c>
      <c r="AE12" s="294">
        <f t="shared" si="24"/>
        <v>0.34</v>
      </c>
      <c r="AF12" s="294">
        <f t="shared" si="24"/>
        <v>0.30000000000000004</v>
      </c>
      <c r="AG12" s="294">
        <f t="shared" ref="AG12:AI12" si="27">AF12-0.04</f>
        <v>0.26000000000000006</v>
      </c>
      <c r="AH12" s="294">
        <f t="shared" si="27"/>
        <v>0.22000000000000006</v>
      </c>
      <c r="AI12" s="294">
        <f t="shared" si="27"/>
        <v>0.18000000000000005</v>
      </c>
    </row>
    <row r="13" spans="1:35" x14ac:dyDescent="0.25">
      <c r="A13" s="67"/>
      <c r="B13" s="67"/>
      <c r="C13" s="279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</row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W52"/>
  <sheetViews>
    <sheetView showGridLines="0" topLeftCell="C1" zoomScaleNormal="100" workbookViewId="0">
      <selection activeCell="F42" sqref="F42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5" width="11.7109375" style="4" customWidth="1"/>
    <col min="16" max="23" width="11.42578125" style="4" customWidth="1"/>
    <col min="24" max="16384" width="9" style="4"/>
  </cols>
  <sheetData>
    <row r="1" spans="1:23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23" x14ac:dyDescent="0.25">
      <c r="A2" s="65" t="s">
        <v>124</v>
      </c>
      <c r="B2" s="108" t="s">
        <v>125</v>
      </c>
      <c r="C2" s="109">
        <v>44926</v>
      </c>
      <c r="D2" s="109">
        <v>45291</v>
      </c>
      <c r="E2" s="109">
        <v>45657</v>
      </c>
      <c r="F2" s="109">
        <v>46022</v>
      </c>
      <c r="G2" s="109">
        <v>46387</v>
      </c>
      <c r="H2" s="109">
        <v>46752</v>
      </c>
      <c r="I2" s="109">
        <v>47118</v>
      </c>
      <c r="J2" s="109">
        <v>47483</v>
      </c>
      <c r="K2" s="109">
        <v>47848</v>
      </c>
      <c r="L2" s="109">
        <v>48213</v>
      </c>
      <c r="M2" s="109">
        <v>48579</v>
      </c>
      <c r="N2" s="109">
        <f>M2+1</f>
        <v>48580</v>
      </c>
      <c r="O2" s="109">
        <f>N2+1</f>
        <v>48581</v>
      </c>
    </row>
    <row r="3" spans="1:23" x14ac:dyDescent="0.25">
      <c r="A3" s="87"/>
      <c r="B3" s="16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</row>
    <row r="4" spans="1:23" x14ac:dyDescent="0.25">
      <c r="B4" s="95" t="s">
        <v>131</v>
      </c>
      <c r="C4"/>
      <c r="D4" s="263">
        <v>1</v>
      </c>
      <c r="E4"/>
      <c r="F4"/>
      <c r="G4" s="90"/>
      <c r="H4" s="90"/>
      <c r="I4" s="90"/>
      <c r="J4" s="90"/>
      <c r="K4" s="90"/>
      <c r="L4" s="90"/>
      <c r="M4" s="90"/>
      <c r="N4" s="90"/>
      <c r="O4" s="90"/>
      <c r="P4" s="230"/>
      <c r="Q4" s="231"/>
      <c r="R4" s="231"/>
    </row>
    <row r="5" spans="1:23" x14ac:dyDescent="0.25">
      <c r="B5" s="89"/>
      <c r="C5" s="91"/>
      <c r="D5" s="115" t="s">
        <v>126</v>
      </c>
      <c r="E5" s="92"/>
      <c r="P5" s="232"/>
      <c r="Q5" s="233"/>
      <c r="R5" s="233"/>
    </row>
    <row r="6" spans="1:23" x14ac:dyDescent="0.25">
      <c r="B6" s="93" t="s">
        <v>132</v>
      </c>
      <c r="D6" s="102">
        <v>0</v>
      </c>
      <c r="E6" s="94"/>
      <c r="F6" s="102">
        <f>Revenue!V8</f>
        <v>0.32813767694395968</v>
      </c>
      <c r="G6" s="102">
        <f>Revenue!AA8</f>
        <v>0.3349516582395029</v>
      </c>
      <c r="H6" s="102">
        <f>Revenue!AB8</f>
        <v>0.40000000000000013</v>
      </c>
      <c r="I6" s="102">
        <f>Revenue!AC8</f>
        <v>0.41999999999999993</v>
      </c>
      <c r="J6" s="102">
        <f>Revenue!AD8</f>
        <v>0.37999999999999989</v>
      </c>
      <c r="K6" s="102">
        <f>Revenue!AE8</f>
        <v>0.33999999999999986</v>
      </c>
      <c r="L6" s="102">
        <f>Revenue!AF8</f>
        <v>0.30000000000000004</v>
      </c>
      <c r="M6" s="102">
        <f>Revenue!AG8</f>
        <v>0.26</v>
      </c>
      <c r="N6" s="102">
        <f>Revenue!AH8</f>
        <v>0.2200000000000002</v>
      </c>
      <c r="O6" s="102">
        <f>Revenue!AI8</f>
        <v>0.17999999999999972</v>
      </c>
      <c r="P6" s="180"/>
      <c r="Q6" s="234"/>
      <c r="R6" s="234"/>
      <c r="S6" s="234"/>
      <c r="T6" s="234"/>
      <c r="U6" s="234"/>
      <c r="V6" s="234"/>
      <c r="W6" s="234"/>
    </row>
    <row r="7" spans="1:23" x14ac:dyDescent="0.25">
      <c r="B7" s="4" t="s">
        <v>128</v>
      </c>
      <c r="D7" s="102">
        <v>2.5000000000000001E-2</v>
      </c>
      <c r="E7" s="94"/>
      <c r="F7" s="102">
        <f>F6+$D$7</f>
        <v>0.3531376769439597</v>
      </c>
      <c r="G7" s="102">
        <f t="shared" ref="G7:O7" si="0">G6+$D$7</f>
        <v>0.35995165823950293</v>
      </c>
      <c r="H7" s="102">
        <f t="shared" si="0"/>
        <v>0.42500000000000016</v>
      </c>
      <c r="I7" s="102">
        <f t="shared" si="0"/>
        <v>0.44499999999999995</v>
      </c>
      <c r="J7" s="102">
        <f t="shared" si="0"/>
        <v>0.40499999999999992</v>
      </c>
      <c r="K7" s="102">
        <f t="shared" si="0"/>
        <v>0.36499999999999988</v>
      </c>
      <c r="L7" s="102">
        <f t="shared" si="0"/>
        <v>0.32500000000000007</v>
      </c>
      <c r="M7" s="102">
        <f t="shared" si="0"/>
        <v>0.28500000000000003</v>
      </c>
      <c r="N7" s="102">
        <f t="shared" si="0"/>
        <v>0.24500000000000019</v>
      </c>
      <c r="O7" s="102">
        <f t="shared" si="0"/>
        <v>0.20499999999999971</v>
      </c>
      <c r="P7" s="180"/>
      <c r="Q7" s="180"/>
      <c r="R7" s="180"/>
      <c r="S7" s="180"/>
      <c r="T7" s="180"/>
      <c r="U7" s="180"/>
      <c r="V7" s="180"/>
      <c r="W7" s="180"/>
    </row>
    <row r="8" spans="1:23" x14ac:dyDescent="0.25">
      <c r="B8" s="4" t="s">
        <v>127</v>
      </c>
      <c r="D8" s="102">
        <v>-2.5000000000000001E-2</v>
      </c>
      <c r="E8" s="94"/>
      <c r="F8" s="102">
        <f>F6+$D$8</f>
        <v>0.30313767694395966</v>
      </c>
      <c r="G8" s="102">
        <f t="shared" ref="G8:O8" si="1">G6+$D$8</f>
        <v>0.30995165823950288</v>
      </c>
      <c r="H8" s="102">
        <f t="shared" si="1"/>
        <v>0.37500000000000011</v>
      </c>
      <c r="I8" s="102">
        <f t="shared" si="1"/>
        <v>0.39499999999999991</v>
      </c>
      <c r="J8" s="102">
        <f t="shared" si="1"/>
        <v>0.35499999999999987</v>
      </c>
      <c r="K8" s="102">
        <f t="shared" si="1"/>
        <v>0.31499999999999984</v>
      </c>
      <c r="L8" s="102">
        <f t="shared" si="1"/>
        <v>0.27500000000000002</v>
      </c>
      <c r="M8" s="102">
        <f t="shared" si="1"/>
        <v>0.23500000000000001</v>
      </c>
      <c r="N8" s="102">
        <f t="shared" si="1"/>
        <v>0.1950000000000002</v>
      </c>
      <c r="O8" s="102">
        <f t="shared" si="1"/>
        <v>0.15499999999999972</v>
      </c>
    </row>
    <row r="9" spans="1:23" x14ac:dyDescent="0.25">
      <c r="P9" s="180"/>
      <c r="Q9" s="180"/>
    </row>
    <row r="10" spans="1:23" x14ac:dyDescent="0.25">
      <c r="B10" s="123" t="s">
        <v>148</v>
      </c>
      <c r="C10" s="201"/>
      <c r="D10" s="201"/>
      <c r="E10" s="202"/>
      <c r="F10" s="106">
        <f t="shared" ref="F10" si="2">CHOOSE(ScenarioREV,F6,F7,F8)</f>
        <v>0.32813767694395968</v>
      </c>
      <c r="G10" s="106">
        <f>CHOOSE(ScenarioREV,G6,G7,G8)</f>
        <v>0.3349516582395029</v>
      </c>
      <c r="H10" s="106">
        <f>CHOOSE(ScenarioREV,H6,H7,H8)</f>
        <v>0.40000000000000013</v>
      </c>
      <c r="I10" s="106">
        <f>CHOOSE(ScenarioREV,I6,I7,I8)</f>
        <v>0.41999999999999993</v>
      </c>
      <c r="J10" s="106">
        <f>CHOOSE(ScenarioREV,J6,J7,J8)</f>
        <v>0.37999999999999989</v>
      </c>
      <c r="K10" s="106">
        <f>CHOOSE(ScenarioREV,K6,K7,K8)</f>
        <v>0.33999999999999986</v>
      </c>
      <c r="L10" s="106">
        <f>CHOOSE(ScenarioREV,L6,L7,L8)</f>
        <v>0.30000000000000004</v>
      </c>
      <c r="M10" s="106">
        <f>CHOOSE(ScenarioREV,M6,M7,M8)</f>
        <v>0.26</v>
      </c>
      <c r="N10" s="106">
        <f>CHOOSE(ScenarioREV,N6,N7,N8)</f>
        <v>0.2200000000000002</v>
      </c>
      <c r="O10" s="106">
        <f>CHOOSE(ScenarioREV,O6,O7,O8)</f>
        <v>0.17999999999999972</v>
      </c>
      <c r="P10" s="180"/>
      <c r="Q10" s="180"/>
    </row>
    <row r="11" spans="1:23" x14ac:dyDescent="0.25">
      <c r="B11" s="4" t="s">
        <v>133</v>
      </c>
      <c r="C11" s="8">
        <f>IncState!C17/IncState!C16</f>
        <v>0.5507393754501928</v>
      </c>
      <c r="D11" s="8">
        <f>IncState!D17/IncState!D16</f>
        <v>0.53880070546737213</v>
      </c>
      <c r="E11" s="8">
        <f>IncState!E17/IncState!E16</f>
        <v>0.50649602482063216</v>
      </c>
      <c r="F11" s="102">
        <f>E11-0.0075</f>
        <v>0.49899602482063216</v>
      </c>
      <c r="G11" s="102">
        <f t="shared" ref="G11:O11" si="3">F11-0.0075</f>
        <v>0.49149602482063215</v>
      </c>
      <c r="H11" s="102">
        <f t="shared" si="3"/>
        <v>0.48399602482063214</v>
      </c>
      <c r="I11" s="102">
        <f t="shared" si="3"/>
        <v>0.47649602482063214</v>
      </c>
      <c r="J11" s="102">
        <f t="shared" si="3"/>
        <v>0.46899602482063213</v>
      </c>
      <c r="K11" s="102">
        <f t="shared" si="3"/>
        <v>0.46149602482063212</v>
      </c>
      <c r="L11" s="102">
        <f t="shared" si="3"/>
        <v>0.45399602482063212</v>
      </c>
      <c r="M11" s="102">
        <f t="shared" si="3"/>
        <v>0.44649602482063211</v>
      </c>
      <c r="N11" s="102">
        <f t="shared" si="3"/>
        <v>0.4389960248206321</v>
      </c>
      <c r="O11" s="102">
        <f t="shared" si="3"/>
        <v>0.4314960248206321</v>
      </c>
      <c r="P11" s="180"/>
      <c r="Q11" s="180"/>
    </row>
    <row r="12" spans="1:23" x14ac:dyDescent="0.25">
      <c r="B12" s="4" t="s">
        <v>178</v>
      </c>
      <c r="C12" s="8">
        <f>IncState!C18/IncState!C16</f>
        <v>0.21206728528452184</v>
      </c>
      <c r="D12" s="8">
        <f>IncState!D18/IncState!D16</f>
        <v>0.25890652557319221</v>
      </c>
      <c r="E12" s="8">
        <f>IncState!E18/IncState!E16</f>
        <v>0.25037812681791738</v>
      </c>
      <c r="F12" s="102">
        <f>E12-0.005</f>
        <v>0.24537812681791737</v>
      </c>
      <c r="G12" s="102">
        <f t="shared" ref="G11:O13" si="4">F12-0.005</f>
        <v>0.24037812681791737</v>
      </c>
      <c r="H12" s="102">
        <f t="shared" si="4"/>
        <v>0.23537812681791737</v>
      </c>
      <c r="I12" s="102">
        <f t="shared" si="4"/>
        <v>0.23037812681791736</v>
      </c>
      <c r="J12" s="102">
        <f t="shared" si="4"/>
        <v>0.22537812681791736</v>
      </c>
      <c r="K12" s="102">
        <f t="shared" si="4"/>
        <v>0.22037812681791735</v>
      </c>
      <c r="L12" s="102">
        <f t="shared" si="4"/>
        <v>0.21537812681791735</v>
      </c>
      <c r="M12" s="102">
        <f t="shared" si="4"/>
        <v>0.21037812681791734</v>
      </c>
      <c r="N12" s="102">
        <f t="shared" si="4"/>
        <v>0.20537812681791734</v>
      </c>
      <c r="O12" s="102">
        <f t="shared" si="4"/>
        <v>0.20037812681791733</v>
      </c>
      <c r="P12" s="180"/>
      <c r="Q12" s="180"/>
    </row>
    <row r="13" spans="1:23" x14ac:dyDescent="0.25">
      <c r="B13" s="4" t="s">
        <v>44</v>
      </c>
      <c r="C13" s="8">
        <f>IncState!C19/IncState!C16</f>
        <v>0.18795813736706071</v>
      </c>
      <c r="D13" s="8">
        <f>IncState!D19/IncState!D16</f>
        <v>0.18611111111111112</v>
      </c>
      <c r="E13" s="8">
        <f>IncState!E19/IncState!E16</f>
        <v>0.16408764785728136</v>
      </c>
      <c r="F13" s="102">
        <f>E13-0.005</f>
        <v>0.15908764785728136</v>
      </c>
      <c r="G13" s="102">
        <f t="shared" si="4"/>
        <v>0.15408764785728135</v>
      </c>
      <c r="H13" s="102">
        <f t="shared" si="4"/>
        <v>0.14908764785728135</v>
      </c>
      <c r="I13" s="102">
        <f t="shared" si="4"/>
        <v>0.14408764785728134</v>
      </c>
      <c r="J13" s="102">
        <f t="shared" si="4"/>
        <v>0.13908764785728134</v>
      </c>
      <c r="K13" s="102">
        <f t="shared" si="4"/>
        <v>0.13408764785728133</v>
      </c>
      <c r="L13" s="102">
        <f t="shared" si="4"/>
        <v>0.12908764785728133</v>
      </c>
      <c r="M13" s="102">
        <f t="shared" si="4"/>
        <v>0.12408764785728132</v>
      </c>
      <c r="N13" s="102">
        <f t="shared" si="4"/>
        <v>0.11908764785728132</v>
      </c>
      <c r="O13" s="102">
        <f t="shared" si="4"/>
        <v>0.11408764785728132</v>
      </c>
    </row>
    <row r="14" spans="1:23" x14ac:dyDescent="0.25">
      <c r="B14" s="4" t="s">
        <v>135</v>
      </c>
      <c r="C14" s="4">
        <f>IncState!C23</f>
        <v>3548</v>
      </c>
      <c r="D14" s="4">
        <f>IncState!D23</f>
        <v>2811</v>
      </c>
      <c r="E14" s="4">
        <f>IncState!E23</f>
        <v>2394</v>
      </c>
      <c r="F14" s="103">
        <v>2000</v>
      </c>
      <c r="G14" s="103">
        <f t="shared" ref="G14:M14" si="5">F14</f>
        <v>2000</v>
      </c>
      <c r="H14" s="103">
        <f t="shared" si="5"/>
        <v>2000</v>
      </c>
      <c r="I14" s="103">
        <f t="shared" si="5"/>
        <v>2000</v>
      </c>
      <c r="J14" s="103">
        <f t="shared" si="5"/>
        <v>2000</v>
      </c>
      <c r="K14" s="103">
        <f t="shared" si="5"/>
        <v>2000</v>
      </c>
      <c r="L14" s="103">
        <f t="shared" si="5"/>
        <v>2000</v>
      </c>
      <c r="M14" s="103">
        <f t="shared" si="5"/>
        <v>2000</v>
      </c>
      <c r="N14" s="103">
        <f t="shared" ref="N11:N14" si="6">M14</f>
        <v>2000</v>
      </c>
      <c r="O14" s="103">
        <f t="shared" ref="O11:O14" si="7">N14</f>
        <v>2000</v>
      </c>
    </row>
    <row r="15" spans="1:23" x14ac:dyDescent="0.25">
      <c r="B15" s="4" t="s">
        <v>136</v>
      </c>
      <c r="C15" s="4">
        <f>IncState!C26</f>
        <v>0</v>
      </c>
      <c r="D15" s="4">
        <f>IncState!D26</f>
        <v>0</v>
      </c>
      <c r="E15" s="4">
        <f>IncState!E26</f>
        <v>-186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</row>
    <row r="16" spans="1:23" x14ac:dyDescent="0.25">
      <c r="B16" s="4" t="s">
        <v>138</v>
      </c>
      <c r="C16" s="4">
        <f>IncState!C27</f>
        <v>102</v>
      </c>
      <c r="D16" s="4">
        <f>IncState!D27</f>
        <v>34</v>
      </c>
      <c r="E16" s="4">
        <f>IncState!E27</f>
        <v>48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</row>
    <row r="17" spans="1:15" x14ac:dyDescent="0.25">
      <c r="B17" s="4" t="s">
        <v>47</v>
      </c>
      <c r="C17" s="8">
        <f>IncState!C34/IncState!C32</f>
        <v>-9.7972972972972971E-2</v>
      </c>
      <c r="D17" s="8">
        <f>IncState!D34/IncState!D32</f>
        <v>-0.73577235772357719</v>
      </c>
      <c r="E17" s="8">
        <f>IncState!E34/IncState!E32</f>
        <v>0.17496229260935142</v>
      </c>
      <c r="F17" s="102">
        <f>E17</f>
        <v>0.17496229260935142</v>
      </c>
      <c r="G17" s="102">
        <f t="shared" ref="G17:M17" si="8">F17</f>
        <v>0.17496229260935142</v>
      </c>
      <c r="H17" s="102">
        <f t="shared" si="8"/>
        <v>0.17496229260935142</v>
      </c>
      <c r="I17" s="102">
        <f t="shared" si="8"/>
        <v>0.17496229260935142</v>
      </c>
      <c r="J17" s="102">
        <f t="shared" si="8"/>
        <v>0.17496229260935142</v>
      </c>
      <c r="K17" s="102">
        <f t="shared" si="8"/>
        <v>0.17496229260935142</v>
      </c>
      <c r="L17" s="102">
        <f t="shared" si="8"/>
        <v>0.17496229260935142</v>
      </c>
      <c r="M17" s="102">
        <f t="shared" si="8"/>
        <v>0.17496229260935142</v>
      </c>
      <c r="N17" s="102">
        <f t="shared" ref="N17:N19" si="9">M17</f>
        <v>0.17496229260935142</v>
      </c>
      <c r="O17" s="102">
        <f t="shared" ref="O17:O19" si="10">N17</f>
        <v>0.17496229260935142</v>
      </c>
    </row>
    <row r="18" spans="1:15" x14ac:dyDescent="0.25">
      <c r="B18" s="4" t="s">
        <v>48</v>
      </c>
      <c r="C18" s="4">
        <f>IncState!C38</f>
        <v>1561</v>
      </c>
      <c r="D18" s="4">
        <f>IncState!D38</f>
        <v>1614</v>
      </c>
      <c r="E18" s="4">
        <f>IncState!E38</f>
        <v>1620</v>
      </c>
      <c r="F18" s="103">
        <f>E18</f>
        <v>1620</v>
      </c>
      <c r="G18" s="103">
        <f t="shared" ref="G18:M18" si="11">F18</f>
        <v>1620</v>
      </c>
      <c r="H18" s="103">
        <f t="shared" si="11"/>
        <v>1620</v>
      </c>
      <c r="I18" s="103">
        <f t="shared" si="11"/>
        <v>1620</v>
      </c>
      <c r="J18" s="103">
        <f t="shared" si="11"/>
        <v>1620</v>
      </c>
      <c r="K18" s="103">
        <f t="shared" si="11"/>
        <v>1620</v>
      </c>
      <c r="L18" s="103">
        <f t="shared" si="11"/>
        <v>1620</v>
      </c>
      <c r="M18" s="103">
        <f t="shared" si="11"/>
        <v>1620</v>
      </c>
      <c r="N18" s="103">
        <f t="shared" si="9"/>
        <v>1620</v>
      </c>
      <c r="O18" s="103">
        <f t="shared" si="10"/>
        <v>1620</v>
      </c>
    </row>
    <row r="19" spans="1:15" x14ac:dyDescent="0.25">
      <c r="B19" s="4" t="s">
        <v>49</v>
      </c>
      <c r="C19" s="4">
        <f>IncState!C39</f>
        <v>1571</v>
      </c>
      <c r="D19" s="4">
        <f>IncState!D39</f>
        <v>1625</v>
      </c>
      <c r="E19" s="4">
        <f>IncState!E39</f>
        <v>1637</v>
      </c>
      <c r="F19" s="103">
        <f>E19</f>
        <v>1637</v>
      </c>
      <c r="G19" s="103">
        <f t="shared" ref="G19:M19" si="12">F19</f>
        <v>1637</v>
      </c>
      <c r="H19" s="103">
        <f t="shared" si="12"/>
        <v>1637</v>
      </c>
      <c r="I19" s="103">
        <f t="shared" si="12"/>
        <v>1637</v>
      </c>
      <c r="J19" s="103">
        <f t="shared" si="12"/>
        <v>1637</v>
      </c>
      <c r="K19" s="103">
        <f t="shared" si="12"/>
        <v>1637</v>
      </c>
      <c r="L19" s="103">
        <f t="shared" si="12"/>
        <v>1637</v>
      </c>
      <c r="M19" s="103">
        <f t="shared" si="12"/>
        <v>1637</v>
      </c>
      <c r="N19" s="103">
        <f t="shared" si="9"/>
        <v>1637</v>
      </c>
      <c r="O19" s="103">
        <f t="shared" si="10"/>
        <v>1637</v>
      </c>
    </row>
    <row r="20" spans="1:15" x14ac:dyDescent="0.25">
      <c r="F20" s="105"/>
      <c r="G20" s="105"/>
      <c r="H20" s="105"/>
      <c r="I20" s="105"/>
      <c r="J20" s="105"/>
      <c r="K20" s="105"/>
      <c r="L20" s="105"/>
      <c r="M20" s="105"/>
      <c r="N20" s="105"/>
      <c r="O20" s="105"/>
    </row>
    <row r="21" spans="1:15" x14ac:dyDescent="0.25">
      <c r="A21" s="65" t="s">
        <v>124</v>
      </c>
      <c r="B21" s="108" t="s">
        <v>143</v>
      </c>
      <c r="C21" s="109">
        <v>44926</v>
      </c>
      <c r="D21" s="109">
        <v>45291</v>
      </c>
      <c r="E21" s="109">
        <v>45657</v>
      </c>
      <c r="F21" s="119">
        <v>46022</v>
      </c>
      <c r="G21" s="119">
        <v>46387</v>
      </c>
      <c r="H21" s="119">
        <v>46752</v>
      </c>
      <c r="I21" s="119">
        <v>47118</v>
      </c>
      <c r="J21" s="119">
        <v>47483</v>
      </c>
      <c r="K21" s="119">
        <f>K2</f>
        <v>47848</v>
      </c>
      <c r="L21" s="119">
        <f>L2</f>
        <v>48213</v>
      </c>
      <c r="M21" s="119">
        <f>M2</f>
        <v>48579</v>
      </c>
      <c r="N21" s="119">
        <f>N2</f>
        <v>48580</v>
      </c>
      <c r="O21" s="119">
        <f>O2</f>
        <v>48581</v>
      </c>
    </row>
    <row r="22" spans="1:15" x14ac:dyDescent="0.25">
      <c r="A22" s="87"/>
      <c r="B22" s="168"/>
      <c r="C22" s="209"/>
      <c r="D22" s="209"/>
      <c r="E22" s="209"/>
      <c r="F22" s="210"/>
      <c r="G22" s="210"/>
      <c r="H22" s="210"/>
      <c r="I22" s="210"/>
      <c r="J22" s="210"/>
      <c r="K22" s="210"/>
      <c r="L22" s="210"/>
      <c r="M22" s="210"/>
      <c r="N22" s="210"/>
      <c r="O22" s="210"/>
    </row>
    <row r="23" spans="1:15" x14ac:dyDescent="0.25">
      <c r="B23" s="4" t="s">
        <v>137</v>
      </c>
      <c r="E23" s="8"/>
      <c r="F23" s="102">
        <f>E23</f>
        <v>0</v>
      </c>
      <c r="G23" s="102">
        <f t="shared" ref="G23:M23" si="13">F23</f>
        <v>0</v>
      </c>
      <c r="H23" s="102">
        <f t="shared" si="13"/>
        <v>0</v>
      </c>
      <c r="I23" s="102">
        <f t="shared" si="13"/>
        <v>0</v>
      </c>
      <c r="J23" s="102">
        <f t="shared" si="13"/>
        <v>0</v>
      </c>
      <c r="K23" s="102">
        <f t="shared" si="13"/>
        <v>0</v>
      </c>
      <c r="L23" s="102">
        <f t="shared" si="13"/>
        <v>0</v>
      </c>
      <c r="M23" s="102">
        <f t="shared" si="13"/>
        <v>0</v>
      </c>
      <c r="N23" s="102">
        <f t="shared" ref="N23:N25" si="14">M23</f>
        <v>0</v>
      </c>
      <c r="O23" s="102">
        <f t="shared" ref="O23:O25" si="15">N23</f>
        <v>0</v>
      </c>
    </row>
    <row r="24" spans="1:15" x14ac:dyDescent="0.25">
      <c r="B24" s="4" t="s">
        <v>25</v>
      </c>
      <c r="E24" s="8">
        <v>3.2399999999999998E-2</v>
      </c>
      <c r="F24" s="102">
        <f>E24</f>
        <v>3.2399999999999998E-2</v>
      </c>
      <c r="G24" s="102">
        <f t="shared" ref="G24:M24" si="16">F24</f>
        <v>3.2399999999999998E-2</v>
      </c>
      <c r="H24" s="102">
        <f t="shared" si="16"/>
        <v>3.2399999999999998E-2</v>
      </c>
      <c r="I24" s="102">
        <f t="shared" si="16"/>
        <v>3.2399999999999998E-2</v>
      </c>
      <c r="J24" s="102">
        <f t="shared" si="16"/>
        <v>3.2399999999999998E-2</v>
      </c>
      <c r="K24" s="102">
        <f t="shared" si="16"/>
        <v>3.2399999999999998E-2</v>
      </c>
      <c r="L24" s="102">
        <f t="shared" si="16"/>
        <v>3.2399999999999998E-2</v>
      </c>
      <c r="M24" s="102">
        <f t="shared" si="16"/>
        <v>3.2399999999999998E-2</v>
      </c>
      <c r="N24" s="102">
        <f t="shared" si="14"/>
        <v>3.2399999999999998E-2</v>
      </c>
      <c r="O24" s="102">
        <f t="shared" si="15"/>
        <v>3.2399999999999998E-2</v>
      </c>
    </row>
    <row r="25" spans="1:15" x14ac:dyDescent="0.25">
      <c r="B25" s="4" t="s">
        <v>26</v>
      </c>
      <c r="C25" s="8">
        <f>IncState!C29/BalSheet!C18</f>
        <v>1.7853217540339905E-3</v>
      </c>
      <c r="D25" s="8">
        <f>IncState!D29/BalSheet!D18</f>
        <v>5.4831885994210641E-2</v>
      </c>
      <c r="E25" s="8">
        <f>IncState!E29/BalSheet!E18</f>
        <v>5.3231771426890867E-2</v>
      </c>
      <c r="F25" s="132">
        <f>E25</f>
        <v>5.3231771426890867E-2</v>
      </c>
      <c r="G25" s="132">
        <f t="shared" ref="G25:M25" si="17">F25</f>
        <v>5.3231771426890867E-2</v>
      </c>
      <c r="H25" s="132">
        <f t="shared" si="17"/>
        <v>5.3231771426890867E-2</v>
      </c>
      <c r="I25" s="132">
        <f t="shared" si="17"/>
        <v>5.3231771426890867E-2</v>
      </c>
      <c r="J25" s="132">
        <f t="shared" si="17"/>
        <v>5.3231771426890867E-2</v>
      </c>
      <c r="K25" s="132">
        <f t="shared" si="17"/>
        <v>5.3231771426890867E-2</v>
      </c>
      <c r="L25" s="132">
        <f t="shared" si="17"/>
        <v>5.3231771426890867E-2</v>
      </c>
      <c r="M25" s="102">
        <f t="shared" si="17"/>
        <v>5.3231771426890867E-2</v>
      </c>
      <c r="N25" s="102">
        <f t="shared" si="14"/>
        <v>5.3231771426890867E-2</v>
      </c>
      <c r="O25" s="102">
        <f t="shared" si="15"/>
        <v>5.3231771426890867E-2</v>
      </c>
    </row>
    <row r="26" spans="1:15" x14ac:dyDescent="0.25"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5" x14ac:dyDescent="0.25">
      <c r="B27" s="4" t="s">
        <v>27</v>
      </c>
      <c r="F27" s="103">
        <v>0</v>
      </c>
      <c r="G27" s="103">
        <v>0</v>
      </c>
      <c r="H27" s="103">
        <v>0</v>
      </c>
      <c r="I27" s="103">
        <v>0</v>
      </c>
      <c r="J27" s="103">
        <v>0</v>
      </c>
      <c r="K27" s="103">
        <v>0</v>
      </c>
      <c r="L27" s="103">
        <v>0</v>
      </c>
      <c r="M27" s="103">
        <v>0</v>
      </c>
      <c r="N27" s="103">
        <v>0</v>
      </c>
      <c r="O27" s="103">
        <v>0</v>
      </c>
    </row>
    <row r="28" spans="1:15" x14ac:dyDescent="0.25">
      <c r="B28" s="4" t="s">
        <v>28</v>
      </c>
      <c r="F28" s="103">
        <v>0</v>
      </c>
      <c r="G28" s="103">
        <v>0</v>
      </c>
      <c r="H28" s="103">
        <v>0</v>
      </c>
      <c r="I28" s="103">
        <v>0</v>
      </c>
      <c r="J28" s="103">
        <v>0</v>
      </c>
      <c r="K28" s="103">
        <v>0</v>
      </c>
      <c r="L28" s="103">
        <v>0</v>
      </c>
      <c r="M28" s="103">
        <v>0</v>
      </c>
      <c r="N28" s="103">
        <v>0</v>
      </c>
      <c r="O28" s="103">
        <v>0</v>
      </c>
    </row>
    <row r="29" spans="1:15" x14ac:dyDescent="0.25"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5" x14ac:dyDescent="0.25">
      <c r="A30" s="65" t="s">
        <v>124</v>
      </c>
      <c r="B30" s="108" t="s">
        <v>140</v>
      </c>
      <c r="C30" s="109">
        <v>44926</v>
      </c>
      <c r="D30" s="109">
        <v>45291</v>
      </c>
      <c r="E30" s="109">
        <v>45657</v>
      </c>
      <c r="F30" s="119">
        <v>46022</v>
      </c>
      <c r="G30" s="119">
        <v>46387</v>
      </c>
      <c r="H30" s="119">
        <v>46752</v>
      </c>
      <c r="I30" s="119">
        <v>47118</v>
      </c>
      <c r="J30" s="119">
        <v>47483</v>
      </c>
      <c r="K30" s="204">
        <v>2030</v>
      </c>
      <c r="L30" s="204">
        <f>K30+1</f>
        <v>2031</v>
      </c>
      <c r="M30" s="204">
        <f t="shared" ref="M30" si="18">L30+1</f>
        <v>2032</v>
      </c>
      <c r="N30" s="204">
        <f t="shared" ref="N30" si="19">M30+1</f>
        <v>2033</v>
      </c>
      <c r="O30" s="204">
        <f t="shared" ref="O30" si="20">N30+1</f>
        <v>2034</v>
      </c>
    </row>
    <row r="31" spans="1:15" x14ac:dyDescent="0.25">
      <c r="A31" s="87"/>
      <c r="B31" s="168"/>
      <c r="C31" s="209"/>
      <c r="D31" s="209"/>
      <c r="E31" s="209"/>
      <c r="F31" s="210"/>
      <c r="G31" s="210"/>
      <c r="H31" s="210"/>
      <c r="I31" s="210"/>
      <c r="J31" s="210"/>
      <c r="K31" s="211"/>
      <c r="L31" s="211"/>
      <c r="M31" s="211"/>
      <c r="N31" s="211"/>
      <c r="O31" s="211"/>
    </row>
    <row r="32" spans="1:15" x14ac:dyDescent="0.25">
      <c r="B32" s="4" t="s">
        <v>141</v>
      </c>
      <c r="C32" s="8">
        <f>450/IncState!C16</f>
        <v>1.9066988686920045E-2</v>
      </c>
      <c r="D32" s="8">
        <f>546/IncState!D16</f>
        <v>2.4074074074074074E-2</v>
      </c>
      <c r="E32" s="8">
        <f>636/IncState!E16</f>
        <v>2.4665503199534613E-2</v>
      </c>
      <c r="F32" s="220">
        <f>E32</f>
        <v>2.4665503199534613E-2</v>
      </c>
      <c r="G32" s="220">
        <f t="shared" ref="G32:M32" si="21">F32</f>
        <v>2.4665503199534613E-2</v>
      </c>
      <c r="H32" s="220">
        <f t="shared" si="21"/>
        <v>2.4665503199534613E-2</v>
      </c>
      <c r="I32" s="220">
        <f t="shared" si="21"/>
        <v>2.4665503199534613E-2</v>
      </c>
      <c r="J32" s="220">
        <f t="shared" si="21"/>
        <v>2.4665503199534613E-2</v>
      </c>
      <c r="K32" s="220">
        <f t="shared" si="21"/>
        <v>2.4665503199534613E-2</v>
      </c>
      <c r="L32" s="220">
        <f t="shared" si="21"/>
        <v>2.4665503199534613E-2</v>
      </c>
      <c r="M32" s="220">
        <f t="shared" si="21"/>
        <v>2.4665503199534613E-2</v>
      </c>
      <c r="N32" s="220">
        <f t="shared" ref="N32:N33" si="22">M32</f>
        <v>2.4665503199534613E-2</v>
      </c>
      <c r="O32" s="220">
        <f t="shared" ref="O32:O33" si="23">N32</f>
        <v>2.4665503199534613E-2</v>
      </c>
    </row>
    <row r="33" spans="1:15" x14ac:dyDescent="0.25">
      <c r="B33" s="4" t="s">
        <v>154</v>
      </c>
      <c r="D33" s="8">
        <f>IncState!D22/BalSheet!C24</f>
        <v>0.32539280283831729</v>
      </c>
      <c r="E33" s="8">
        <f>IncState!E22/BalSheet!D24</f>
        <v>0.30198019801980197</v>
      </c>
      <c r="F33" s="102">
        <f>E33</f>
        <v>0.30198019801980197</v>
      </c>
      <c r="G33" s="102">
        <f t="shared" ref="G33:M33" si="24">F33</f>
        <v>0.30198019801980197</v>
      </c>
      <c r="H33" s="102">
        <f t="shared" si="24"/>
        <v>0.30198019801980197</v>
      </c>
      <c r="I33" s="102">
        <f t="shared" si="24"/>
        <v>0.30198019801980197</v>
      </c>
      <c r="J33" s="102">
        <f t="shared" si="24"/>
        <v>0.30198019801980197</v>
      </c>
      <c r="K33" s="102">
        <f t="shared" si="24"/>
        <v>0.30198019801980197</v>
      </c>
      <c r="L33" s="102">
        <f t="shared" si="24"/>
        <v>0.30198019801980197</v>
      </c>
      <c r="M33" s="102">
        <f t="shared" si="24"/>
        <v>0.30198019801980197</v>
      </c>
      <c r="N33" s="102">
        <f t="shared" si="22"/>
        <v>0.30198019801980197</v>
      </c>
      <c r="O33" s="102">
        <f t="shared" si="23"/>
        <v>0.30198019801980197</v>
      </c>
    </row>
    <row r="34" spans="1:15" x14ac:dyDescent="0.25">
      <c r="B34" s="4" t="s">
        <v>142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</row>
    <row r="35" spans="1:15" x14ac:dyDescent="0.25">
      <c r="F35" s="31"/>
      <c r="G35" s="31"/>
      <c r="H35" s="31"/>
      <c r="I35" s="31"/>
      <c r="J35" s="31"/>
      <c r="K35" s="31"/>
      <c r="L35" s="31"/>
      <c r="M35" s="31"/>
      <c r="N35" s="31"/>
      <c r="O35" s="31"/>
    </row>
    <row r="36" spans="1:15" x14ac:dyDescent="0.25">
      <c r="A36" s="65" t="s">
        <v>124</v>
      </c>
      <c r="B36" s="108" t="s">
        <v>129</v>
      </c>
      <c r="C36" s="109">
        <v>44926</v>
      </c>
      <c r="D36" s="109">
        <v>45291</v>
      </c>
      <c r="E36" s="109">
        <v>45657</v>
      </c>
      <c r="F36" s="118">
        <v>46022</v>
      </c>
      <c r="G36" s="118">
        <v>46387</v>
      </c>
      <c r="H36" s="118">
        <v>46752</v>
      </c>
      <c r="I36" s="118">
        <v>47118</v>
      </c>
      <c r="J36" s="118">
        <v>47483</v>
      </c>
      <c r="K36" s="204">
        <v>2030</v>
      </c>
      <c r="L36" s="204">
        <f>K36+1</f>
        <v>2031</v>
      </c>
      <c r="M36" s="204">
        <f t="shared" ref="M36" si="25">L36+1</f>
        <v>2032</v>
      </c>
      <c r="N36" s="204">
        <f t="shared" ref="N36" si="26">M36+1</f>
        <v>2033</v>
      </c>
      <c r="O36" s="204">
        <f t="shared" ref="O36" si="27">N36+1</f>
        <v>2034</v>
      </c>
    </row>
    <row r="37" spans="1:15" x14ac:dyDescent="0.25">
      <c r="A37" s="87"/>
      <c r="B37" s="168"/>
      <c r="C37" s="209"/>
      <c r="D37" s="209"/>
      <c r="E37" s="209"/>
      <c r="F37" s="264"/>
      <c r="G37" s="264"/>
      <c r="H37" s="264"/>
      <c r="I37" s="264"/>
      <c r="J37" s="264"/>
      <c r="K37" s="211"/>
      <c r="L37" s="211"/>
      <c r="M37" s="211"/>
      <c r="N37" s="211"/>
      <c r="O37" s="211"/>
    </row>
    <row r="38" spans="1:15" x14ac:dyDescent="0.25">
      <c r="B38" s="4" t="s">
        <v>139</v>
      </c>
      <c r="C38" s="8">
        <f>BalSheet!C17/IncState!C16</f>
        <v>1.4999999999999999E-2</v>
      </c>
      <c r="D38" s="8">
        <f>BalSheet!D17/IncState!D16</f>
        <v>1.4999999999999999E-2</v>
      </c>
      <c r="E38" s="8">
        <f>BalSheet!E17/IncState!E16</f>
        <v>1.4999999999999999E-2</v>
      </c>
      <c r="F38" s="102">
        <f>E38</f>
        <v>1.4999999999999999E-2</v>
      </c>
      <c r="G38" s="102">
        <f t="shared" ref="G38:M38" si="28">F38</f>
        <v>1.4999999999999999E-2</v>
      </c>
      <c r="H38" s="102">
        <f t="shared" si="28"/>
        <v>1.4999999999999999E-2</v>
      </c>
      <c r="I38" s="102">
        <f t="shared" si="28"/>
        <v>1.4999999999999999E-2</v>
      </c>
      <c r="J38" s="102">
        <f t="shared" si="28"/>
        <v>1.4999999999999999E-2</v>
      </c>
      <c r="K38" s="102">
        <f t="shared" si="28"/>
        <v>1.4999999999999999E-2</v>
      </c>
      <c r="L38" s="102">
        <f t="shared" si="28"/>
        <v>1.4999999999999999E-2</v>
      </c>
      <c r="M38" s="102">
        <f t="shared" si="28"/>
        <v>1.4999999999999999E-2</v>
      </c>
      <c r="N38" s="102">
        <f t="shared" ref="N38:N41" si="29">M38</f>
        <v>1.4999999999999999E-2</v>
      </c>
      <c r="O38" s="102">
        <f t="shared" ref="O38:O41" si="30">N38</f>
        <v>1.4999999999999999E-2</v>
      </c>
    </row>
    <row r="39" spans="1:15" x14ac:dyDescent="0.25">
      <c r="B39" s="4" t="s">
        <v>152</v>
      </c>
      <c r="C39" s="8">
        <f>BalSheet!C19/IncState!C16</f>
        <v>0.17490784288801323</v>
      </c>
      <c r="D39" s="8">
        <f>BalSheet!D19/IncState!D16</f>
        <v>0.19100529100529101</v>
      </c>
      <c r="E39" s="8">
        <f>BalSheet!E19/IncState!E16</f>
        <v>0.24452200891991469</v>
      </c>
      <c r="F39" s="102">
        <f>AVERAGE(C39:E39)</f>
        <v>0.20347838093773965</v>
      </c>
      <c r="G39" s="102">
        <f t="shared" ref="G39:M39" si="31">F39</f>
        <v>0.20347838093773965</v>
      </c>
      <c r="H39" s="102">
        <f t="shared" si="31"/>
        <v>0.20347838093773965</v>
      </c>
      <c r="I39" s="102">
        <f t="shared" si="31"/>
        <v>0.20347838093773965</v>
      </c>
      <c r="J39" s="102">
        <f t="shared" si="31"/>
        <v>0.20347838093773965</v>
      </c>
      <c r="K39" s="102">
        <f t="shared" si="31"/>
        <v>0.20347838093773965</v>
      </c>
      <c r="L39" s="102">
        <f t="shared" si="31"/>
        <v>0.20347838093773965</v>
      </c>
      <c r="M39" s="102">
        <f t="shared" si="31"/>
        <v>0.20347838093773965</v>
      </c>
      <c r="N39" s="102">
        <f t="shared" si="29"/>
        <v>0.20347838093773965</v>
      </c>
      <c r="O39" s="102">
        <f t="shared" si="30"/>
        <v>0.20347838093773965</v>
      </c>
    </row>
    <row r="40" spans="1:15" x14ac:dyDescent="0.25">
      <c r="B40" s="4" t="s">
        <v>63</v>
      </c>
      <c r="C40" s="8">
        <f>BalSheet!C20/IncState!C17</f>
        <v>0.29012155716264043</v>
      </c>
      <c r="D40" s="8">
        <f>BalSheet!D20/IncState!D17</f>
        <v>0.35605564648117838</v>
      </c>
      <c r="E40" s="8">
        <f>BalSheet!E20/IncState!E17</f>
        <v>0.43905053598774885</v>
      </c>
      <c r="F40" s="102">
        <f t="shared" ref="F40:F43" si="32">AVERAGE(C40:E40)</f>
        <v>0.36174257987718922</v>
      </c>
      <c r="G40" s="102">
        <f t="shared" ref="F40:M40" si="33">F40</f>
        <v>0.36174257987718922</v>
      </c>
      <c r="H40" s="102">
        <f t="shared" si="33"/>
        <v>0.36174257987718922</v>
      </c>
      <c r="I40" s="102">
        <f t="shared" si="33"/>
        <v>0.36174257987718922</v>
      </c>
      <c r="J40" s="102">
        <f t="shared" si="33"/>
        <v>0.36174257987718922</v>
      </c>
      <c r="K40" s="102">
        <f t="shared" si="33"/>
        <v>0.36174257987718922</v>
      </c>
      <c r="L40" s="102">
        <f t="shared" si="33"/>
        <v>0.36174257987718922</v>
      </c>
      <c r="M40" s="102">
        <f t="shared" si="33"/>
        <v>0.36174257987718922</v>
      </c>
      <c r="N40" s="102">
        <f t="shared" si="29"/>
        <v>0.36174257987718922</v>
      </c>
      <c r="O40" s="102">
        <f t="shared" si="30"/>
        <v>0.36174257987718922</v>
      </c>
    </row>
    <row r="41" spans="1:15" x14ac:dyDescent="0.25">
      <c r="B41" s="4" t="s">
        <v>64</v>
      </c>
      <c r="C41" s="8">
        <f>BalSheet!C21/IncState!C16</f>
        <v>9.6817931443582902E-2</v>
      </c>
      <c r="D41" s="8">
        <f>BalSheet!D21/IncState!D16</f>
        <v>0.18306878306878308</v>
      </c>
      <c r="E41" s="8">
        <f>BalSheet!E21/IncState!E16</f>
        <v>0.12499515222028311</v>
      </c>
      <c r="F41" s="102">
        <f t="shared" si="32"/>
        <v>0.13496062224421637</v>
      </c>
      <c r="G41" s="102">
        <f t="shared" ref="F41:M41" si="34">F41</f>
        <v>0.13496062224421637</v>
      </c>
      <c r="H41" s="102">
        <f t="shared" si="34"/>
        <v>0.13496062224421637</v>
      </c>
      <c r="I41" s="102">
        <f t="shared" si="34"/>
        <v>0.13496062224421637</v>
      </c>
      <c r="J41" s="102">
        <f t="shared" si="34"/>
        <v>0.13496062224421637</v>
      </c>
      <c r="K41" s="102">
        <f t="shared" si="34"/>
        <v>0.13496062224421637</v>
      </c>
      <c r="L41" s="102">
        <f t="shared" si="34"/>
        <v>0.13496062224421637</v>
      </c>
      <c r="M41" s="102">
        <f t="shared" si="34"/>
        <v>0.13496062224421637</v>
      </c>
      <c r="N41" s="102">
        <f t="shared" si="29"/>
        <v>0.13496062224421637</v>
      </c>
      <c r="O41" s="102">
        <f t="shared" si="30"/>
        <v>0.13496062224421637</v>
      </c>
    </row>
    <row r="42" spans="1:15" x14ac:dyDescent="0.25">
      <c r="B42" s="4" t="s">
        <v>179</v>
      </c>
      <c r="C42" s="4">
        <f>BalSheet!C26</f>
        <v>83</v>
      </c>
      <c r="D42" s="4">
        <f>BalSheet!D26</f>
        <v>99</v>
      </c>
      <c r="E42" s="4">
        <f>BalSheet!E26</f>
        <v>149</v>
      </c>
      <c r="F42" s="103">
        <f>E42</f>
        <v>149</v>
      </c>
      <c r="G42" s="103">
        <f t="shared" ref="G42:M42" si="35">F42</f>
        <v>149</v>
      </c>
      <c r="H42" s="103">
        <f t="shared" si="35"/>
        <v>149</v>
      </c>
      <c r="I42" s="103">
        <f t="shared" si="35"/>
        <v>149</v>
      </c>
      <c r="J42" s="103">
        <f t="shared" si="35"/>
        <v>149</v>
      </c>
      <c r="K42" s="103">
        <f t="shared" si="35"/>
        <v>149</v>
      </c>
      <c r="L42" s="103">
        <f t="shared" si="35"/>
        <v>149</v>
      </c>
      <c r="M42" s="103">
        <f t="shared" si="35"/>
        <v>149</v>
      </c>
      <c r="N42" s="103">
        <f t="shared" ref="N42:N43" si="36">M42</f>
        <v>149</v>
      </c>
      <c r="O42" s="103">
        <f t="shared" ref="O42:O43" si="37">N42</f>
        <v>149</v>
      </c>
    </row>
    <row r="43" spans="1:15" x14ac:dyDescent="0.25">
      <c r="B43" s="4" t="s">
        <v>65</v>
      </c>
      <c r="C43" s="8">
        <f>BalSheet!C27/IncState!C16</f>
        <v>9.3640099995762893E-2</v>
      </c>
      <c r="D43" s="8">
        <f>BalSheet!D27/IncState!D16</f>
        <v>0.13981481481481481</v>
      </c>
      <c r="E43" s="8">
        <f>BalSheet!E27/IncState!E16</f>
        <v>0.1486910994764398</v>
      </c>
      <c r="F43" s="102">
        <f t="shared" si="32"/>
        <v>0.12738200476233916</v>
      </c>
      <c r="G43" s="102">
        <f t="shared" ref="G43:M43" si="38">F43</f>
        <v>0.12738200476233916</v>
      </c>
      <c r="H43" s="102">
        <f t="shared" si="38"/>
        <v>0.12738200476233916</v>
      </c>
      <c r="I43" s="102">
        <f t="shared" si="38"/>
        <v>0.12738200476233916</v>
      </c>
      <c r="J43" s="102">
        <f t="shared" si="38"/>
        <v>0.12738200476233916</v>
      </c>
      <c r="K43" s="102">
        <f t="shared" si="38"/>
        <v>0.12738200476233916</v>
      </c>
      <c r="L43" s="102">
        <f t="shared" si="38"/>
        <v>0.12738200476233916</v>
      </c>
      <c r="M43" s="102">
        <f t="shared" si="38"/>
        <v>0.12738200476233916</v>
      </c>
      <c r="N43" s="102">
        <f t="shared" si="36"/>
        <v>0.12738200476233916</v>
      </c>
      <c r="O43" s="102">
        <f t="shared" si="37"/>
        <v>0.12738200476233916</v>
      </c>
    </row>
    <row r="44" spans="1:15" x14ac:dyDescent="0.25">
      <c r="F44" s="31"/>
      <c r="G44" s="31"/>
      <c r="H44" s="31"/>
      <c r="I44" s="31"/>
      <c r="J44" s="31"/>
      <c r="K44" s="31"/>
      <c r="L44" s="31"/>
      <c r="M44" s="31"/>
      <c r="N44" s="31"/>
      <c r="O44" s="31"/>
    </row>
    <row r="45" spans="1:15" x14ac:dyDescent="0.25">
      <c r="A45" s="65" t="s">
        <v>124</v>
      </c>
      <c r="B45" s="108" t="s">
        <v>130</v>
      </c>
      <c r="C45" s="109">
        <v>44926</v>
      </c>
      <c r="D45" s="109">
        <v>45291</v>
      </c>
      <c r="E45" s="109">
        <v>45657</v>
      </c>
      <c r="F45" s="118">
        <v>46022</v>
      </c>
      <c r="G45" s="118">
        <v>46387</v>
      </c>
      <c r="H45" s="118">
        <v>46752</v>
      </c>
      <c r="I45" s="118">
        <v>47118</v>
      </c>
      <c r="J45" s="118">
        <v>47483</v>
      </c>
      <c r="K45" s="204">
        <v>2030</v>
      </c>
      <c r="L45" s="204">
        <f>K45+1</f>
        <v>2031</v>
      </c>
      <c r="M45" s="204">
        <f t="shared" ref="M45" si="39">L45+1</f>
        <v>2032</v>
      </c>
      <c r="N45" s="204">
        <f t="shared" ref="N45" si="40">M45+1</f>
        <v>2033</v>
      </c>
      <c r="O45" s="204">
        <f t="shared" ref="O45" si="41">N45+1</f>
        <v>2034</v>
      </c>
    </row>
    <row r="46" spans="1:15" x14ac:dyDescent="0.25">
      <c r="A46" s="87"/>
      <c r="B46" s="168"/>
      <c r="C46" s="209"/>
      <c r="D46" s="209"/>
      <c r="E46" s="209"/>
      <c r="F46" s="264"/>
      <c r="G46" s="264"/>
      <c r="H46" s="264"/>
      <c r="I46" s="264"/>
      <c r="J46" s="264"/>
      <c r="K46" s="211"/>
      <c r="L46" s="211"/>
      <c r="M46" s="211"/>
      <c r="N46" s="211"/>
      <c r="O46" s="211"/>
    </row>
    <row r="47" spans="1:15" x14ac:dyDescent="0.25">
      <c r="B47" s="4" t="s">
        <v>153</v>
      </c>
      <c r="C47" s="8">
        <f>BalSheet!C33/IncState!C17</f>
        <v>0.2274196030158486</v>
      </c>
      <c r="D47" s="8">
        <f>BalSheet!D33/IncState!D17</f>
        <v>0.19787234042553192</v>
      </c>
      <c r="E47" s="8">
        <f>BalSheet!E33/IncState!E17</f>
        <v>0.1888208269525268</v>
      </c>
      <c r="F47" s="102">
        <f t="shared" ref="F47:M47" si="42">E47</f>
        <v>0.1888208269525268</v>
      </c>
      <c r="G47" s="102">
        <f t="shared" si="42"/>
        <v>0.1888208269525268</v>
      </c>
      <c r="H47" s="102">
        <f t="shared" si="42"/>
        <v>0.1888208269525268</v>
      </c>
      <c r="I47" s="102">
        <f t="shared" si="42"/>
        <v>0.1888208269525268</v>
      </c>
      <c r="J47" s="102">
        <f t="shared" si="42"/>
        <v>0.1888208269525268</v>
      </c>
      <c r="K47" s="102">
        <f t="shared" si="42"/>
        <v>0.1888208269525268</v>
      </c>
      <c r="L47" s="102">
        <f t="shared" si="42"/>
        <v>0.1888208269525268</v>
      </c>
      <c r="M47" s="102">
        <f t="shared" si="42"/>
        <v>0.1888208269525268</v>
      </c>
      <c r="N47" s="102">
        <f t="shared" ref="N47:N49" si="43">M47</f>
        <v>0.1888208269525268</v>
      </c>
      <c r="O47" s="102">
        <f t="shared" ref="O47:O49" si="44">N47</f>
        <v>0.1888208269525268</v>
      </c>
    </row>
    <row r="48" spans="1:15" x14ac:dyDescent="0.25">
      <c r="B48" s="4" t="s">
        <v>66</v>
      </c>
      <c r="C48" s="8">
        <f>BalSheet!C34/IncState!C16</f>
        <v>0.1446125164187958</v>
      </c>
      <c r="D48" s="8">
        <f>BalSheet!D34/IncState!D16</f>
        <v>0.15520282186948853</v>
      </c>
      <c r="E48" s="8">
        <f>BalSheet!E34/IncState!E16</f>
        <v>0.18673647469458987</v>
      </c>
      <c r="F48" s="102">
        <f t="shared" ref="F48:M48" si="45">E48</f>
        <v>0.18673647469458987</v>
      </c>
      <c r="G48" s="102">
        <f t="shared" si="45"/>
        <v>0.18673647469458987</v>
      </c>
      <c r="H48" s="102">
        <f t="shared" si="45"/>
        <v>0.18673647469458987</v>
      </c>
      <c r="I48" s="102">
        <f t="shared" si="45"/>
        <v>0.18673647469458987</v>
      </c>
      <c r="J48" s="102">
        <f t="shared" si="45"/>
        <v>0.18673647469458987</v>
      </c>
      <c r="K48" s="102">
        <f t="shared" si="45"/>
        <v>0.18673647469458987</v>
      </c>
      <c r="L48" s="102">
        <f t="shared" si="45"/>
        <v>0.18673647469458987</v>
      </c>
      <c r="M48" s="102">
        <f t="shared" si="45"/>
        <v>0.18673647469458987</v>
      </c>
      <c r="N48" s="102">
        <f t="shared" si="43"/>
        <v>0.18673647469458987</v>
      </c>
      <c r="O48" s="102">
        <f t="shared" si="44"/>
        <v>0.18673647469458987</v>
      </c>
    </row>
    <row r="49" spans="2:15" x14ac:dyDescent="0.25">
      <c r="B49" s="4" t="s">
        <v>67</v>
      </c>
      <c r="C49" s="8">
        <f>BalSheet!C38/IncState!C16</f>
        <v>0.16923011736790813</v>
      </c>
      <c r="D49" s="8">
        <f>BalSheet!D38/IncState!D16</f>
        <v>0.15815696649029981</v>
      </c>
      <c r="E49" s="8">
        <f>BalSheet!E38/IncState!E16</f>
        <v>0.10300562342447159</v>
      </c>
      <c r="F49" s="102">
        <f t="shared" ref="F49:M49" si="46">E49</f>
        <v>0.10300562342447159</v>
      </c>
      <c r="G49" s="102">
        <f t="shared" si="46"/>
        <v>0.10300562342447159</v>
      </c>
      <c r="H49" s="102">
        <f t="shared" si="46"/>
        <v>0.10300562342447159</v>
      </c>
      <c r="I49" s="102">
        <f t="shared" si="46"/>
        <v>0.10300562342447159</v>
      </c>
      <c r="J49" s="102">
        <f t="shared" si="46"/>
        <v>0.10300562342447159</v>
      </c>
      <c r="K49" s="102">
        <f t="shared" si="46"/>
        <v>0.10300562342447159</v>
      </c>
      <c r="L49" s="102">
        <f t="shared" si="46"/>
        <v>0.10300562342447159</v>
      </c>
      <c r="M49" s="102">
        <f t="shared" si="46"/>
        <v>0.10300562342447159</v>
      </c>
      <c r="N49" s="102">
        <f t="shared" si="43"/>
        <v>0.10300562342447159</v>
      </c>
      <c r="O49" s="102">
        <f t="shared" si="44"/>
        <v>0.10300562342447159</v>
      </c>
    </row>
    <row r="50" spans="2:15" x14ac:dyDescent="0.25">
      <c r="F50" s="127"/>
      <c r="G50" s="31"/>
      <c r="H50" s="31"/>
      <c r="I50" s="31"/>
      <c r="J50" s="31"/>
    </row>
    <row r="51" spans="2:15" x14ac:dyDescent="0.25">
      <c r="F51" s="128"/>
      <c r="G51" s="96"/>
      <c r="H51" s="96"/>
      <c r="I51" s="96"/>
      <c r="J51" s="96"/>
    </row>
    <row r="52" spans="2:15" x14ac:dyDescent="0.25">
      <c r="F52" s="96"/>
      <c r="G52" s="96"/>
      <c r="H52" s="96"/>
      <c r="I52" s="96"/>
      <c r="J52" s="96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6:P7 Q7:W7 D7:D8 P9:Q12 E40 F51:J52 F47:O49 F6:O8 F11:O34 F38:O43">
    <cfRule type="expression" dxfId="0" priority="14">
      <formula>$E$10&gt;1</formula>
    </cfRule>
  </conditionalFormatting>
  <conditionalFormatting sqref="E7">
    <cfRule type="expression" dxfId="6" priority="32">
      <formula>$E$10&lt;&gt;2</formula>
    </cfRule>
  </conditionalFormatting>
  <conditionalFormatting sqref="E8">
    <cfRule type="expression" dxfId="5" priority="33">
      <formula>$E$10&lt;&gt;3</formula>
    </cfRule>
  </conditionalFormatting>
  <conditionalFormatting sqref="K36:O37">
    <cfRule type="expression" dxfId="4" priority="2">
      <formula>$E$10&gt;1</formula>
    </cfRule>
  </conditionalFormatting>
  <conditionalFormatting sqref="K45:O46">
    <cfRule type="expression" dxfId="3" priority="1">
      <formula>$E$10&gt;1</formula>
    </cfRule>
  </conditionalFormatting>
  <dataValidations disablePrompts="1" count="1">
    <dataValidation type="list" allowBlank="1" showInputMessage="1" showErrorMessage="1" sqref="D4 P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P39"/>
  <sheetViews>
    <sheetView showGridLines="0" zoomScaleNormal="100" workbookViewId="0">
      <selection activeCell="H29" sqref="H29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6" width="10.7109375" style="4" customWidth="1"/>
    <col min="267" max="512" width="8.85546875" style="4"/>
    <col min="513" max="513" width="1.7109375" style="4" customWidth="1"/>
    <col min="514" max="514" width="40.7109375" style="4" customWidth="1"/>
    <col min="515" max="522" width="10.7109375" style="4" customWidth="1"/>
    <col min="523" max="768" width="8.85546875" style="4"/>
    <col min="769" max="769" width="1.7109375" style="4" customWidth="1"/>
    <col min="770" max="770" width="40.7109375" style="4" customWidth="1"/>
    <col min="771" max="778" width="10.7109375" style="4" customWidth="1"/>
    <col min="779" max="1024" width="8.85546875" style="4"/>
    <col min="1025" max="1025" width="1.7109375" style="4" customWidth="1"/>
    <col min="1026" max="1026" width="40.7109375" style="4" customWidth="1"/>
    <col min="1027" max="1034" width="10.7109375" style="4" customWidth="1"/>
    <col min="1035" max="1280" width="8.85546875" style="4"/>
    <col min="1281" max="1281" width="1.7109375" style="4" customWidth="1"/>
    <col min="1282" max="1282" width="40.7109375" style="4" customWidth="1"/>
    <col min="1283" max="1290" width="10.7109375" style="4" customWidth="1"/>
    <col min="1291" max="1536" width="8.85546875" style="4"/>
    <col min="1537" max="1537" width="1.7109375" style="4" customWidth="1"/>
    <col min="1538" max="1538" width="40.7109375" style="4" customWidth="1"/>
    <col min="1539" max="1546" width="10.7109375" style="4" customWidth="1"/>
    <col min="1547" max="1792" width="8.85546875" style="4"/>
    <col min="1793" max="1793" width="1.7109375" style="4" customWidth="1"/>
    <col min="1794" max="1794" width="40.7109375" style="4" customWidth="1"/>
    <col min="1795" max="1802" width="10.7109375" style="4" customWidth="1"/>
    <col min="1803" max="2048" width="8.85546875" style="4"/>
    <col min="2049" max="2049" width="1.7109375" style="4" customWidth="1"/>
    <col min="2050" max="2050" width="40.7109375" style="4" customWidth="1"/>
    <col min="2051" max="2058" width="10.7109375" style="4" customWidth="1"/>
    <col min="2059" max="2304" width="8.85546875" style="4"/>
    <col min="2305" max="2305" width="1.7109375" style="4" customWidth="1"/>
    <col min="2306" max="2306" width="40.7109375" style="4" customWidth="1"/>
    <col min="2307" max="2314" width="10.7109375" style="4" customWidth="1"/>
    <col min="2315" max="2560" width="8.85546875" style="4"/>
    <col min="2561" max="2561" width="1.7109375" style="4" customWidth="1"/>
    <col min="2562" max="2562" width="40.7109375" style="4" customWidth="1"/>
    <col min="2563" max="2570" width="10.7109375" style="4" customWidth="1"/>
    <col min="2571" max="2816" width="8.85546875" style="4"/>
    <col min="2817" max="2817" width="1.7109375" style="4" customWidth="1"/>
    <col min="2818" max="2818" width="40.7109375" style="4" customWidth="1"/>
    <col min="2819" max="2826" width="10.7109375" style="4" customWidth="1"/>
    <col min="2827" max="3072" width="8.85546875" style="4"/>
    <col min="3073" max="3073" width="1.7109375" style="4" customWidth="1"/>
    <col min="3074" max="3074" width="40.7109375" style="4" customWidth="1"/>
    <col min="3075" max="3082" width="10.7109375" style="4" customWidth="1"/>
    <col min="3083" max="3328" width="8.85546875" style="4"/>
    <col min="3329" max="3329" width="1.7109375" style="4" customWidth="1"/>
    <col min="3330" max="3330" width="40.7109375" style="4" customWidth="1"/>
    <col min="3331" max="3338" width="10.7109375" style="4" customWidth="1"/>
    <col min="3339" max="3584" width="8.85546875" style="4"/>
    <col min="3585" max="3585" width="1.7109375" style="4" customWidth="1"/>
    <col min="3586" max="3586" width="40.7109375" style="4" customWidth="1"/>
    <col min="3587" max="3594" width="10.7109375" style="4" customWidth="1"/>
    <col min="3595" max="3840" width="8.85546875" style="4"/>
    <col min="3841" max="3841" width="1.7109375" style="4" customWidth="1"/>
    <col min="3842" max="3842" width="40.7109375" style="4" customWidth="1"/>
    <col min="3843" max="3850" width="10.7109375" style="4" customWidth="1"/>
    <col min="3851" max="4096" width="8.85546875" style="4"/>
    <col min="4097" max="4097" width="1.7109375" style="4" customWidth="1"/>
    <col min="4098" max="4098" width="40.7109375" style="4" customWidth="1"/>
    <col min="4099" max="4106" width="10.7109375" style="4" customWidth="1"/>
    <col min="4107" max="4352" width="8.85546875" style="4"/>
    <col min="4353" max="4353" width="1.7109375" style="4" customWidth="1"/>
    <col min="4354" max="4354" width="40.7109375" style="4" customWidth="1"/>
    <col min="4355" max="4362" width="10.7109375" style="4" customWidth="1"/>
    <col min="4363" max="4608" width="8.85546875" style="4"/>
    <col min="4609" max="4609" width="1.7109375" style="4" customWidth="1"/>
    <col min="4610" max="4610" width="40.7109375" style="4" customWidth="1"/>
    <col min="4611" max="4618" width="10.7109375" style="4" customWidth="1"/>
    <col min="4619" max="4864" width="8.85546875" style="4"/>
    <col min="4865" max="4865" width="1.7109375" style="4" customWidth="1"/>
    <col min="4866" max="4866" width="40.7109375" style="4" customWidth="1"/>
    <col min="4867" max="4874" width="10.7109375" style="4" customWidth="1"/>
    <col min="4875" max="5120" width="8.85546875" style="4"/>
    <col min="5121" max="5121" width="1.7109375" style="4" customWidth="1"/>
    <col min="5122" max="5122" width="40.7109375" style="4" customWidth="1"/>
    <col min="5123" max="5130" width="10.7109375" style="4" customWidth="1"/>
    <col min="5131" max="5376" width="8.85546875" style="4"/>
    <col min="5377" max="5377" width="1.7109375" style="4" customWidth="1"/>
    <col min="5378" max="5378" width="40.7109375" style="4" customWidth="1"/>
    <col min="5379" max="5386" width="10.7109375" style="4" customWidth="1"/>
    <col min="5387" max="5632" width="8.85546875" style="4"/>
    <col min="5633" max="5633" width="1.7109375" style="4" customWidth="1"/>
    <col min="5634" max="5634" width="40.7109375" style="4" customWidth="1"/>
    <col min="5635" max="5642" width="10.7109375" style="4" customWidth="1"/>
    <col min="5643" max="5888" width="8.85546875" style="4"/>
    <col min="5889" max="5889" width="1.7109375" style="4" customWidth="1"/>
    <col min="5890" max="5890" width="40.7109375" style="4" customWidth="1"/>
    <col min="5891" max="5898" width="10.7109375" style="4" customWidth="1"/>
    <col min="5899" max="6144" width="8.85546875" style="4"/>
    <col min="6145" max="6145" width="1.7109375" style="4" customWidth="1"/>
    <col min="6146" max="6146" width="40.7109375" style="4" customWidth="1"/>
    <col min="6147" max="6154" width="10.7109375" style="4" customWidth="1"/>
    <col min="6155" max="6400" width="8.85546875" style="4"/>
    <col min="6401" max="6401" width="1.7109375" style="4" customWidth="1"/>
    <col min="6402" max="6402" width="40.7109375" style="4" customWidth="1"/>
    <col min="6403" max="6410" width="10.7109375" style="4" customWidth="1"/>
    <col min="6411" max="6656" width="8.85546875" style="4"/>
    <col min="6657" max="6657" width="1.7109375" style="4" customWidth="1"/>
    <col min="6658" max="6658" width="40.7109375" style="4" customWidth="1"/>
    <col min="6659" max="6666" width="10.7109375" style="4" customWidth="1"/>
    <col min="6667" max="6912" width="8.85546875" style="4"/>
    <col min="6913" max="6913" width="1.7109375" style="4" customWidth="1"/>
    <col min="6914" max="6914" width="40.7109375" style="4" customWidth="1"/>
    <col min="6915" max="6922" width="10.7109375" style="4" customWidth="1"/>
    <col min="6923" max="7168" width="8.85546875" style="4"/>
    <col min="7169" max="7169" width="1.7109375" style="4" customWidth="1"/>
    <col min="7170" max="7170" width="40.7109375" style="4" customWidth="1"/>
    <col min="7171" max="7178" width="10.7109375" style="4" customWidth="1"/>
    <col min="7179" max="7424" width="8.85546875" style="4"/>
    <col min="7425" max="7425" width="1.7109375" style="4" customWidth="1"/>
    <col min="7426" max="7426" width="40.7109375" style="4" customWidth="1"/>
    <col min="7427" max="7434" width="10.7109375" style="4" customWidth="1"/>
    <col min="7435" max="7680" width="8.85546875" style="4"/>
    <col min="7681" max="7681" width="1.7109375" style="4" customWidth="1"/>
    <col min="7682" max="7682" width="40.7109375" style="4" customWidth="1"/>
    <col min="7683" max="7690" width="10.7109375" style="4" customWidth="1"/>
    <col min="7691" max="7936" width="8.85546875" style="4"/>
    <col min="7937" max="7937" width="1.7109375" style="4" customWidth="1"/>
    <col min="7938" max="7938" width="40.7109375" style="4" customWidth="1"/>
    <col min="7939" max="7946" width="10.7109375" style="4" customWidth="1"/>
    <col min="7947" max="8192" width="8.85546875" style="4"/>
    <col min="8193" max="8193" width="1.7109375" style="4" customWidth="1"/>
    <col min="8194" max="8194" width="40.7109375" style="4" customWidth="1"/>
    <col min="8195" max="8202" width="10.7109375" style="4" customWidth="1"/>
    <col min="8203" max="8448" width="8.85546875" style="4"/>
    <col min="8449" max="8449" width="1.7109375" style="4" customWidth="1"/>
    <col min="8450" max="8450" width="40.7109375" style="4" customWidth="1"/>
    <col min="8451" max="8458" width="10.7109375" style="4" customWidth="1"/>
    <col min="8459" max="8704" width="8.85546875" style="4"/>
    <col min="8705" max="8705" width="1.7109375" style="4" customWidth="1"/>
    <col min="8706" max="8706" width="40.7109375" style="4" customWidth="1"/>
    <col min="8707" max="8714" width="10.7109375" style="4" customWidth="1"/>
    <col min="8715" max="8960" width="8.85546875" style="4"/>
    <col min="8961" max="8961" width="1.7109375" style="4" customWidth="1"/>
    <col min="8962" max="8962" width="40.7109375" style="4" customWidth="1"/>
    <col min="8963" max="8970" width="10.7109375" style="4" customWidth="1"/>
    <col min="8971" max="9216" width="8.85546875" style="4"/>
    <col min="9217" max="9217" width="1.7109375" style="4" customWidth="1"/>
    <col min="9218" max="9218" width="40.7109375" style="4" customWidth="1"/>
    <col min="9219" max="9226" width="10.7109375" style="4" customWidth="1"/>
    <col min="9227" max="9472" width="8.85546875" style="4"/>
    <col min="9473" max="9473" width="1.7109375" style="4" customWidth="1"/>
    <col min="9474" max="9474" width="40.7109375" style="4" customWidth="1"/>
    <col min="9475" max="9482" width="10.7109375" style="4" customWidth="1"/>
    <col min="9483" max="9728" width="8.85546875" style="4"/>
    <col min="9729" max="9729" width="1.7109375" style="4" customWidth="1"/>
    <col min="9730" max="9730" width="40.7109375" style="4" customWidth="1"/>
    <col min="9731" max="9738" width="10.7109375" style="4" customWidth="1"/>
    <col min="9739" max="9984" width="8.85546875" style="4"/>
    <col min="9985" max="9985" width="1.7109375" style="4" customWidth="1"/>
    <col min="9986" max="9986" width="40.7109375" style="4" customWidth="1"/>
    <col min="9987" max="9994" width="10.7109375" style="4" customWidth="1"/>
    <col min="9995" max="10240" width="8.85546875" style="4"/>
    <col min="10241" max="10241" width="1.7109375" style="4" customWidth="1"/>
    <col min="10242" max="10242" width="40.7109375" style="4" customWidth="1"/>
    <col min="10243" max="10250" width="10.7109375" style="4" customWidth="1"/>
    <col min="10251" max="10496" width="8.85546875" style="4"/>
    <col min="10497" max="10497" width="1.7109375" style="4" customWidth="1"/>
    <col min="10498" max="10498" width="40.7109375" style="4" customWidth="1"/>
    <col min="10499" max="10506" width="10.7109375" style="4" customWidth="1"/>
    <col min="10507" max="10752" width="8.85546875" style="4"/>
    <col min="10753" max="10753" width="1.7109375" style="4" customWidth="1"/>
    <col min="10754" max="10754" width="40.7109375" style="4" customWidth="1"/>
    <col min="10755" max="10762" width="10.7109375" style="4" customWidth="1"/>
    <col min="10763" max="11008" width="8.85546875" style="4"/>
    <col min="11009" max="11009" width="1.7109375" style="4" customWidth="1"/>
    <col min="11010" max="11010" width="40.7109375" style="4" customWidth="1"/>
    <col min="11011" max="11018" width="10.7109375" style="4" customWidth="1"/>
    <col min="11019" max="11264" width="8.85546875" style="4"/>
    <col min="11265" max="11265" width="1.7109375" style="4" customWidth="1"/>
    <col min="11266" max="11266" width="40.7109375" style="4" customWidth="1"/>
    <col min="11267" max="11274" width="10.7109375" style="4" customWidth="1"/>
    <col min="11275" max="11520" width="8.85546875" style="4"/>
    <col min="11521" max="11521" width="1.7109375" style="4" customWidth="1"/>
    <col min="11522" max="11522" width="40.7109375" style="4" customWidth="1"/>
    <col min="11523" max="11530" width="10.7109375" style="4" customWidth="1"/>
    <col min="11531" max="11776" width="8.85546875" style="4"/>
    <col min="11777" max="11777" width="1.7109375" style="4" customWidth="1"/>
    <col min="11778" max="11778" width="40.7109375" style="4" customWidth="1"/>
    <col min="11779" max="11786" width="10.7109375" style="4" customWidth="1"/>
    <col min="11787" max="12032" width="8.85546875" style="4"/>
    <col min="12033" max="12033" width="1.7109375" style="4" customWidth="1"/>
    <col min="12034" max="12034" width="40.7109375" style="4" customWidth="1"/>
    <col min="12035" max="12042" width="10.7109375" style="4" customWidth="1"/>
    <col min="12043" max="12288" width="8.85546875" style="4"/>
    <col min="12289" max="12289" width="1.7109375" style="4" customWidth="1"/>
    <col min="12290" max="12290" width="40.7109375" style="4" customWidth="1"/>
    <col min="12291" max="12298" width="10.7109375" style="4" customWidth="1"/>
    <col min="12299" max="12544" width="8.85546875" style="4"/>
    <col min="12545" max="12545" width="1.7109375" style="4" customWidth="1"/>
    <col min="12546" max="12546" width="40.7109375" style="4" customWidth="1"/>
    <col min="12547" max="12554" width="10.7109375" style="4" customWidth="1"/>
    <col min="12555" max="12800" width="8.85546875" style="4"/>
    <col min="12801" max="12801" width="1.7109375" style="4" customWidth="1"/>
    <col min="12802" max="12802" width="40.7109375" style="4" customWidth="1"/>
    <col min="12803" max="12810" width="10.7109375" style="4" customWidth="1"/>
    <col min="12811" max="13056" width="8.85546875" style="4"/>
    <col min="13057" max="13057" width="1.7109375" style="4" customWidth="1"/>
    <col min="13058" max="13058" width="40.7109375" style="4" customWidth="1"/>
    <col min="13059" max="13066" width="10.7109375" style="4" customWidth="1"/>
    <col min="13067" max="13312" width="8.85546875" style="4"/>
    <col min="13313" max="13313" width="1.7109375" style="4" customWidth="1"/>
    <col min="13314" max="13314" width="40.7109375" style="4" customWidth="1"/>
    <col min="13315" max="13322" width="10.7109375" style="4" customWidth="1"/>
    <col min="13323" max="13568" width="8.85546875" style="4"/>
    <col min="13569" max="13569" width="1.7109375" style="4" customWidth="1"/>
    <col min="13570" max="13570" width="40.7109375" style="4" customWidth="1"/>
    <col min="13571" max="13578" width="10.7109375" style="4" customWidth="1"/>
    <col min="13579" max="13824" width="8.85546875" style="4"/>
    <col min="13825" max="13825" width="1.7109375" style="4" customWidth="1"/>
    <col min="13826" max="13826" width="40.7109375" style="4" customWidth="1"/>
    <col min="13827" max="13834" width="10.7109375" style="4" customWidth="1"/>
    <col min="13835" max="14080" width="8.85546875" style="4"/>
    <col min="14081" max="14081" width="1.7109375" style="4" customWidth="1"/>
    <col min="14082" max="14082" width="40.7109375" style="4" customWidth="1"/>
    <col min="14083" max="14090" width="10.7109375" style="4" customWidth="1"/>
    <col min="14091" max="14336" width="8.85546875" style="4"/>
    <col min="14337" max="14337" width="1.7109375" style="4" customWidth="1"/>
    <col min="14338" max="14338" width="40.7109375" style="4" customWidth="1"/>
    <col min="14339" max="14346" width="10.7109375" style="4" customWidth="1"/>
    <col min="14347" max="14592" width="8.85546875" style="4"/>
    <col min="14593" max="14593" width="1.7109375" style="4" customWidth="1"/>
    <col min="14594" max="14594" width="40.7109375" style="4" customWidth="1"/>
    <col min="14595" max="14602" width="10.7109375" style="4" customWidth="1"/>
    <col min="14603" max="14848" width="8.85546875" style="4"/>
    <col min="14849" max="14849" width="1.7109375" style="4" customWidth="1"/>
    <col min="14850" max="14850" width="40.7109375" style="4" customWidth="1"/>
    <col min="14851" max="14858" width="10.7109375" style="4" customWidth="1"/>
    <col min="14859" max="15104" width="8.85546875" style="4"/>
    <col min="15105" max="15105" width="1.7109375" style="4" customWidth="1"/>
    <col min="15106" max="15106" width="40.7109375" style="4" customWidth="1"/>
    <col min="15107" max="15114" width="10.7109375" style="4" customWidth="1"/>
    <col min="15115" max="15360" width="8.85546875" style="4"/>
    <col min="15361" max="15361" width="1.7109375" style="4" customWidth="1"/>
    <col min="15362" max="15362" width="40.7109375" style="4" customWidth="1"/>
    <col min="15363" max="15370" width="10.7109375" style="4" customWidth="1"/>
    <col min="15371" max="15616" width="8.85546875" style="4"/>
    <col min="15617" max="15617" width="1.7109375" style="4" customWidth="1"/>
    <col min="15618" max="15618" width="40.7109375" style="4" customWidth="1"/>
    <col min="15619" max="15626" width="10.7109375" style="4" customWidth="1"/>
    <col min="15627" max="15872" width="8.85546875" style="4"/>
    <col min="15873" max="15873" width="1.7109375" style="4" customWidth="1"/>
    <col min="15874" max="15874" width="40.7109375" style="4" customWidth="1"/>
    <col min="15875" max="15882" width="10.7109375" style="4" customWidth="1"/>
    <col min="15883" max="16128" width="8.85546875" style="4"/>
    <col min="16129" max="16129" width="1.7109375" style="4" customWidth="1"/>
    <col min="16130" max="16130" width="40.7109375" style="4" customWidth="1"/>
    <col min="16131" max="16138" width="10.7109375" style="4" customWidth="1"/>
    <col min="16139" max="16384" width="8.85546875" style="4"/>
  </cols>
  <sheetData>
    <row r="1" spans="1:16" s="2" customFormat="1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6" x14ac:dyDescent="0.25">
      <c r="A2" s="21" t="s">
        <v>11</v>
      </c>
      <c r="B2" s="20"/>
      <c r="C2" s="205">
        <v>2022</v>
      </c>
      <c r="D2" s="255">
        <f>C2+1</f>
        <v>2023</v>
      </c>
      <c r="E2" s="255">
        <f t="shared" ref="E2:M2" si="0">D2+1</f>
        <v>2024</v>
      </c>
      <c r="F2" s="255">
        <f t="shared" si="0"/>
        <v>2025</v>
      </c>
      <c r="G2" s="255">
        <f t="shared" si="0"/>
        <v>2026</v>
      </c>
      <c r="H2" s="255">
        <f t="shared" si="0"/>
        <v>2027</v>
      </c>
      <c r="I2" s="255">
        <f t="shared" si="0"/>
        <v>2028</v>
      </c>
      <c r="J2" s="255">
        <f t="shared" si="0"/>
        <v>2029</v>
      </c>
      <c r="K2" s="255">
        <f t="shared" si="0"/>
        <v>2030</v>
      </c>
      <c r="L2" s="255">
        <f t="shared" si="0"/>
        <v>2031</v>
      </c>
      <c r="M2" s="255">
        <f t="shared" si="0"/>
        <v>2032</v>
      </c>
      <c r="N2" s="255">
        <f t="shared" ref="N2" si="1">M2+1</f>
        <v>2033</v>
      </c>
      <c r="O2" s="255">
        <f t="shared" ref="O2" si="2">N2+1</f>
        <v>2034</v>
      </c>
      <c r="P2" s="206"/>
    </row>
    <row r="3" spans="1:16" x14ac:dyDescent="0.25">
      <c r="B3" s="4" t="s">
        <v>12</v>
      </c>
      <c r="C3" s="30"/>
      <c r="D3" s="30"/>
      <c r="E3" s="41"/>
      <c r="F3" s="212">
        <f>Assumptions!F32</f>
        <v>2.4665503199534613E-2</v>
      </c>
      <c r="G3" s="212">
        <f>Assumptions!G32</f>
        <v>2.4665503199534613E-2</v>
      </c>
      <c r="H3" s="212">
        <f>Assumptions!H32</f>
        <v>2.4665503199534613E-2</v>
      </c>
      <c r="I3" s="212">
        <f>Assumptions!I32</f>
        <v>2.4665503199534613E-2</v>
      </c>
      <c r="J3" s="212">
        <f>Assumptions!J32</f>
        <v>2.4665503199534613E-2</v>
      </c>
      <c r="K3" s="212">
        <f>Assumptions!K32</f>
        <v>2.4665503199534613E-2</v>
      </c>
      <c r="L3" s="212">
        <f>Assumptions!L32</f>
        <v>2.4665503199534613E-2</v>
      </c>
      <c r="M3" s="256">
        <f>Assumptions!M32</f>
        <v>2.4665503199534613E-2</v>
      </c>
      <c r="N3" s="256">
        <f>Assumptions!N32</f>
        <v>2.4665503199534613E-2</v>
      </c>
      <c r="O3" s="256">
        <f>Assumptions!O32</f>
        <v>2.4665503199534613E-2</v>
      </c>
    </row>
    <row r="4" spans="1:16" x14ac:dyDescent="0.25">
      <c r="B4" s="4" t="s">
        <v>134</v>
      </c>
      <c r="C4" s="30"/>
      <c r="D4" s="30"/>
      <c r="E4" s="41"/>
      <c r="F4" s="212">
        <f>Assumptions!F33</f>
        <v>0.30198019801980197</v>
      </c>
      <c r="G4" s="212">
        <f>F4</f>
        <v>0.30198019801980197</v>
      </c>
      <c r="H4" s="212">
        <f t="shared" ref="H4:J4" si="3">G4</f>
        <v>0.30198019801980197</v>
      </c>
      <c r="I4" s="212">
        <f t="shared" si="3"/>
        <v>0.30198019801980197</v>
      </c>
      <c r="J4" s="212">
        <f t="shared" si="3"/>
        <v>0.30198019801980197</v>
      </c>
      <c r="K4" s="212">
        <f t="shared" ref="K4" si="4">J4</f>
        <v>0.30198019801980197</v>
      </c>
      <c r="L4" s="212">
        <f t="shared" ref="L4" si="5">K4</f>
        <v>0.30198019801980197</v>
      </c>
      <c r="M4" s="212">
        <f t="shared" ref="M4" si="6">L4</f>
        <v>0.30198019801980197</v>
      </c>
      <c r="N4" s="212">
        <f t="shared" ref="N4" si="7">M4</f>
        <v>0.30198019801980197</v>
      </c>
      <c r="O4" s="212">
        <f t="shared" ref="O4" si="8">N4</f>
        <v>0.30198019801980197</v>
      </c>
    </row>
    <row r="5" spans="1:16" x14ac:dyDescent="0.25">
      <c r="E5" s="28"/>
      <c r="F5" s="79"/>
      <c r="G5" s="67"/>
      <c r="H5" s="85"/>
      <c r="I5" s="67"/>
      <c r="J5" s="67"/>
      <c r="K5" s="67"/>
      <c r="L5" s="67"/>
      <c r="M5" s="67"/>
      <c r="N5" s="67"/>
      <c r="O5" s="67"/>
    </row>
    <row r="6" spans="1:16" x14ac:dyDescent="0.25">
      <c r="B6" s="4" t="s">
        <v>13</v>
      </c>
      <c r="E6" s="28"/>
      <c r="F6" s="4">
        <f>E9</f>
        <v>2425</v>
      </c>
      <c r="G6" s="4">
        <f t="shared" ref="G6:O6" si="9">F9</f>
        <v>2537.3935823383385</v>
      </c>
      <c r="H6" s="4">
        <f t="shared" si="9"/>
        <v>2898.7787078050937</v>
      </c>
      <c r="I6" s="4">
        <f t="shared" si="9"/>
        <v>3602.0837782881717</v>
      </c>
      <c r="J6" s="4">
        <f t="shared" si="9"/>
        <v>4756.0497565647302</v>
      </c>
      <c r="K6" s="4">
        <f t="shared" si="9"/>
        <v>6413.395961565835</v>
      </c>
      <c r="L6" s="4">
        <f t="shared" si="9"/>
        <v>8622.0733091687252</v>
      </c>
      <c r="M6" s="4">
        <f t="shared" si="9"/>
        <v>11407.392612997426</v>
      </c>
      <c r="N6" s="4">
        <f t="shared" si="9"/>
        <v>14752.744466266467</v>
      </c>
      <c r="O6" s="4">
        <f t="shared" si="9"/>
        <v>18581.701181794371</v>
      </c>
    </row>
    <row r="7" spans="1:16" x14ac:dyDescent="0.25">
      <c r="B7" s="4" t="s">
        <v>14</v>
      </c>
      <c r="C7" s="12"/>
      <c r="D7" s="12"/>
      <c r="E7" s="133"/>
      <c r="F7" s="4">
        <f>F3*IncState!F16</f>
        <v>844.69556253635835</v>
      </c>
      <c r="G7" s="4">
        <f>G3*IncState!G16</f>
        <v>1127.6277419154612</v>
      </c>
      <c r="H7" s="4">
        <f>H3*IncState!H16</f>
        <v>1578.6788386816459</v>
      </c>
      <c r="I7" s="4">
        <f>I3*IncState!I16</f>
        <v>2241.723950927937</v>
      </c>
      <c r="J7" s="4">
        <f>J3*IncState!J16</f>
        <v>3093.5790522805528</v>
      </c>
      <c r="K7" s="4">
        <f>K3*IncState!K16</f>
        <v>4145.39593005594</v>
      </c>
      <c r="L7" s="4">
        <f>L3*IncState!L16</f>
        <v>5389.0147090727223</v>
      </c>
      <c r="M7" s="4">
        <f>M3*IncState!M16</f>
        <v>6790.1585334316305</v>
      </c>
      <c r="N7" s="4">
        <f>N3*IncState!N16</f>
        <v>8283.9934107865902</v>
      </c>
      <c r="O7" s="4">
        <f>O3*IncState!O16</f>
        <v>9775.1122247281746</v>
      </c>
    </row>
    <row r="8" spans="1:16" x14ac:dyDescent="0.25">
      <c r="B8" s="4" t="s">
        <v>15</v>
      </c>
      <c r="E8" s="28"/>
      <c r="F8" s="4">
        <f>F6*F4</f>
        <v>732.30198019801981</v>
      </c>
      <c r="G8" s="4">
        <f t="shared" ref="G8:O8" si="10">G6*G4</f>
        <v>766.24261644870614</v>
      </c>
      <c r="H8" s="4">
        <f t="shared" si="10"/>
        <v>875.37376819856786</v>
      </c>
      <c r="I8" s="4">
        <f t="shared" si="10"/>
        <v>1087.7579726513786</v>
      </c>
      <c r="J8" s="4">
        <f t="shared" si="10"/>
        <v>1436.2328472794482</v>
      </c>
      <c r="K8" s="4">
        <f t="shared" si="10"/>
        <v>1936.7185824530491</v>
      </c>
      <c r="L8" s="4">
        <f t="shared" si="10"/>
        <v>2603.695405244021</v>
      </c>
      <c r="M8" s="4">
        <f t="shared" si="10"/>
        <v>3444.8066801625891</v>
      </c>
      <c r="N8" s="4">
        <f t="shared" si="10"/>
        <v>4455.0366952586855</v>
      </c>
      <c r="O8" s="4">
        <f t="shared" si="10"/>
        <v>5611.3058024230522</v>
      </c>
    </row>
    <row r="9" spans="1:16" x14ac:dyDescent="0.25">
      <c r="B9" s="4" t="s">
        <v>16</v>
      </c>
      <c r="E9" s="28">
        <f>BalSheet!E24</f>
        <v>2425</v>
      </c>
      <c r="F9" s="4">
        <f>F6+F7-F8</f>
        <v>2537.3935823383385</v>
      </c>
      <c r="G9" s="4">
        <f t="shared" ref="G9:O9" si="11">G6+G7-G8</f>
        <v>2898.7787078050937</v>
      </c>
      <c r="H9" s="4">
        <f t="shared" si="11"/>
        <v>3602.0837782881717</v>
      </c>
      <c r="I9" s="4">
        <f t="shared" si="11"/>
        <v>4756.0497565647302</v>
      </c>
      <c r="J9" s="4">
        <f t="shared" si="11"/>
        <v>6413.395961565835</v>
      </c>
      <c r="K9" s="4">
        <f t="shared" si="11"/>
        <v>8622.0733091687252</v>
      </c>
      <c r="L9" s="4">
        <f t="shared" si="11"/>
        <v>11407.392612997426</v>
      </c>
      <c r="M9" s="4">
        <f t="shared" si="11"/>
        <v>14752.744466266467</v>
      </c>
      <c r="N9" s="4">
        <f t="shared" si="11"/>
        <v>18581.701181794371</v>
      </c>
      <c r="O9" s="4">
        <f t="shared" si="11"/>
        <v>22745.507604099494</v>
      </c>
    </row>
    <row r="10" spans="1:16" x14ac:dyDescent="0.25">
      <c r="A10" s="21" t="s">
        <v>17</v>
      </c>
      <c r="B10" s="43"/>
      <c r="C10" s="235">
        <f t="shared" ref="C10:M10" si="12">C2</f>
        <v>2022</v>
      </c>
      <c r="D10" s="235">
        <f t="shared" si="12"/>
        <v>2023</v>
      </c>
      <c r="E10" s="235">
        <f t="shared" si="12"/>
        <v>2024</v>
      </c>
      <c r="F10" s="235">
        <f t="shared" si="12"/>
        <v>2025</v>
      </c>
      <c r="G10" s="235">
        <f t="shared" si="12"/>
        <v>2026</v>
      </c>
      <c r="H10" s="235">
        <f t="shared" si="12"/>
        <v>2027</v>
      </c>
      <c r="I10" s="235">
        <f t="shared" si="12"/>
        <v>2028</v>
      </c>
      <c r="J10" s="235">
        <f t="shared" si="12"/>
        <v>2029</v>
      </c>
      <c r="K10" s="235">
        <f t="shared" si="12"/>
        <v>2030</v>
      </c>
      <c r="L10" s="235">
        <f t="shared" si="12"/>
        <v>2031</v>
      </c>
      <c r="M10" s="235">
        <f t="shared" si="12"/>
        <v>2032</v>
      </c>
      <c r="N10" s="235">
        <f t="shared" ref="N10:O10" si="13">N2</f>
        <v>2033</v>
      </c>
      <c r="O10" s="235">
        <f t="shared" si="13"/>
        <v>2034</v>
      </c>
    </row>
    <row r="11" spans="1:16" x14ac:dyDescent="0.25">
      <c r="B11" s="4" t="s">
        <v>18</v>
      </c>
      <c r="E11" s="28"/>
      <c r="F11" s="259">
        <f>Assumptions!F34</f>
        <v>0</v>
      </c>
      <c r="G11" s="259">
        <f>Assumptions!G34</f>
        <v>0</v>
      </c>
      <c r="H11" s="259">
        <f>Assumptions!H34</f>
        <v>0</v>
      </c>
      <c r="I11" s="259">
        <f>Assumptions!I34</f>
        <v>0</v>
      </c>
      <c r="J11" s="259">
        <f>Assumptions!J34</f>
        <v>0</v>
      </c>
      <c r="K11" s="259">
        <f>Assumptions!K34</f>
        <v>0</v>
      </c>
      <c r="L11" s="259">
        <f>Assumptions!L34</f>
        <v>0</v>
      </c>
      <c r="M11" s="259">
        <f>Assumptions!M34</f>
        <v>0</v>
      </c>
      <c r="N11" s="259">
        <f>Assumptions!N34</f>
        <v>0</v>
      </c>
      <c r="O11" s="259">
        <f>Assumptions!O34</f>
        <v>0</v>
      </c>
    </row>
    <row r="12" spans="1:16" x14ac:dyDescent="0.25">
      <c r="E12" s="28"/>
      <c r="F12" s="79"/>
      <c r="G12" s="67"/>
      <c r="H12" s="85"/>
      <c r="I12" s="67"/>
      <c r="J12" s="67"/>
      <c r="K12" s="67"/>
      <c r="L12" s="67"/>
      <c r="M12" s="67"/>
      <c r="N12" s="67"/>
      <c r="O12" s="67"/>
    </row>
    <row r="13" spans="1:16" x14ac:dyDescent="0.25">
      <c r="B13" s="4" t="s">
        <v>19</v>
      </c>
      <c r="E13" s="28"/>
      <c r="F13" s="4">
        <f>E16</f>
        <v>57568</v>
      </c>
      <c r="G13" s="4">
        <f t="shared" ref="G13:O13" si="14">F16</f>
        <v>60295.616003777752</v>
      </c>
      <c r="H13" s="4">
        <f t="shared" si="14"/>
        <v>64596.917899751948</v>
      </c>
      <c r="I13" s="4">
        <f t="shared" si="14"/>
        <v>71542.833498282518</v>
      </c>
      <c r="J13" s="4">
        <f t="shared" si="14"/>
        <v>82718.245628912613</v>
      </c>
      <c r="K13" s="4">
        <f t="shared" si="14"/>
        <v>99951.166902571174</v>
      </c>
      <c r="L13" s="4">
        <f t="shared" si="14"/>
        <v>125469.82380401494</v>
      </c>
      <c r="M13" s="4">
        <f t="shared" si="14"/>
        <v>161798.58288905551</v>
      </c>
      <c r="N13" s="4">
        <f t="shared" si="14"/>
        <v>211547.49577879292</v>
      </c>
      <c r="O13" s="4">
        <f t="shared" si="14"/>
        <v>277090.2747642278</v>
      </c>
    </row>
    <row r="14" spans="1:16" x14ac:dyDescent="0.25">
      <c r="B14" s="4" t="s">
        <v>20</v>
      </c>
      <c r="E14" s="28"/>
      <c r="F14" s="4">
        <f>IncState!F35</f>
        <v>2727.6160037777499</v>
      </c>
      <c r="G14" s="4">
        <f>IncState!G35</f>
        <v>4301.3018959742003</v>
      </c>
      <c r="H14" s="4">
        <f>IncState!H35</f>
        <v>6945.9155985305642</v>
      </c>
      <c r="I14" s="4">
        <f>IncState!I35</f>
        <v>11175.412130630093</v>
      </c>
      <c r="J14" s="4">
        <f>IncState!J35</f>
        <v>17232.921273658561</v>
      </c>
      <c r="K14" s="4">
        <f>IncState!K35</f>
        <v>25518.656901443774</v>
      </c>
      <c r="L14" s="4">
        <f>IncState!L35</f>
        <v>36328.759085040569</v>
      </c>
      <c r="M14" s="4">
        <f>IncState!M35</f>
        <v>49748.912889737396</v>
      </c>
      <c r="N14" s="4">
        <f>IncState!N35</f>
        <v>65542.778985434867</v>
      </c>
      <c r="O14" s="4">
        <f>IncState!O35</f>
        <v>83062.423409560273</v>
      </c>
    </row>
    <row r="15" spans="1:16" x14ac:dyDescent="0.25">
      <c r="B15" s="4" t="s">
        <v>21</v>
      </c>
      <c r="E15" s="28"/>
      <c r="F15" s="4">
        <f>F11</f>
        <v>0</v>
      </c>
      <c r="G15" s="4">
        <f t="shared" ref="G15:O15" si="15">G11</f>
        <v>0</v>
      </c>
      <c r="H15" s="4">
        <f t="shared" si="15"/>
        <v>0</v>
      </c>
      <c r="I15" s="4">
        <f t="shared" si="15"/>
        <v>0</v>
      </c>
      <c r="J15" s="4">
        <f t="shared" si="15"/>
        <v>0</v>
      </c>
      <c r="K15" s="4">
        <f t="shared" si="15"/>
        <v>0</v>
      </c>
      <c r="L15" s="4">
        <f t="shared" si="15"/>
        <v>0</v>
      </c>
      <c r="M15" s="4">
        <f t="shared" si="15"/>
        <v>0</v>
      </c>
      <c r="N15" s="4">
        <f t="shared" si="15"/>
        <v>0</v>
      </c>
      <c r="O15" s="4">
        <f t="shared" si="15"/>
        <v>0</v>
      </c>
    </row>
    <row r="16" spans="1:16" x14ac:dyDescent="0.25">
      <c r="B16" s="4" t="s">
        <v>22</v>
      </c>
      <c r="E16" s="28">
        <f>BalSheet!E41</f>
        <v>57568</v>
      </c>
      <c r="F16" s="4">
        <f>SUM(F13:F15)</f>
        <v>60295.616003777752</v>
      </c>
      <c r="G16" s="4">
        <f t="shared" ref="G16:O16" si="16">SUM(G13:G15)</f>
        <v>64596.917899751948</v>
      </c>
      <c r="H16" s="4">
        <f t="shared" si="16"/>
        <v>71542.833498282518</v>
      </c>
      <c r="I16" s="4">
        <f t="shared" si="16"/>
        <v>82718.245628912613</v>
      </c>
      <c r="J16" s="4">
        <f t="shared" si="16"/>
        <v>99951.166902571174</v>
      </c>
      <c r="K16" s="4">
        <f t="shared" si="16"/>
        <v>125469.82380401494</v>
      </c>
      <c r="L16" s="4">
        <f t="shared" si="16"/>
        <v>161798.58288905551</v>
      </c>
      <c r="M16" s="4">
        <f t="shared" si="16"/>
        <v>211547.49577879292</v>
      </c>
      <c r="N16" s="4">
        <f t="shared" si="16"/>
        <v>277090.2747642278</v>
      </c>
      <c r="O16" s="4">
        <f t="shared" si="16"/>
        <v>360152.69817378809</v>
      </c>
    </row>
    <row r="17" spans="1:15" x14ac:dyDescent="0.25">
      <c r="A17" s="21" t="s">
        <v>23</v>
      </c>
      <c r="B17" s="43"/>
      <c r="C17" s="235">
        <f>C10</f>
        <v>2022</v>
      </c>
      <c r="D17" s="235">
        <f t="shared" ref="D17:M17" si="17">D10</f>
        <v>2023</v>
      </c>
      <c r="E17" s="235">
        <f t="shared" si="17"/>
        <v>2024</v>
      </c>
      <c r="F17" s="235">
        <f t="shared" si="17"/>
        <v>2025</v>
      </c>
      <c r="G17" s="235">
        <f t="shared" si="17"/>
        <v>2026</v>
      </c>
      <c r="H17" s="235">
        <f t="shared" si="17"/>
        <v>2027</v>
      </c>
      <c r="I17" s="235">
        <f t="shared" si="17"/>
        <v>2028</v>
      </c>
      <c r="J17" s="235">
        <f t="shared" si="17"/>
        <v>2029</v>
      </c>
      <c r="K17" s="235">
        <f t="shared" si="17"/>
        <v>2030</v>
      </c>
      <c r="L17" s="235">
        <f t="shared" si="17"/>
        <v>2031</v>
      </c>
      <c r="M17" s="235">
        <f t="shared" si="17"/>
        <v>2032</v>
      </c>
      <c r="N17" s="235">
        <f t="shared" ref="N17:O17" si="18">N10</f>
        <v>2033</v>
      </c>
      <c r="O17" s="235">
        <f t="shared" si="18"/>
        <v>2034</v>
      </c>
    </row>
    <row r="18" spans="1:15" x14ac:dyDescent="0.25">
      <c r="A18" s="88"/>
      <c r="B18" s="181" t="s">
        <v>157</v>
      </c>
      <c r="C18" s="209"/>
      <c r="D18" s="209"/>
      <c r="E18" s="216">
        <f>BalSheet!E17</f>
        <v>386.77499999999998</v>
      </c>
      <c r="F18" s="296">
        <f>BalSheet!F17</f>
        <v>513.69044999999994</v>
      </c>
      <c r="G18" s="296">
        <f>BalSheet!G17</f>
        <v>685.75191804929636</v>
      </c>
      <c r="H18" s="296">
        <f>BalSheet!H17</f>
        <v>960.052685269015</v>
      </c>
      <c r="I18" s="296">
        <f>BalSheet!I17</f>
        <v>1363.2748130820014</v>
      </c>
      <c r="J18" s="296">
        <f>BalSheet!J17</f>
        <v>1881.3192420531618</v>
      </c>
      <c r="K18" s="296">
        <f>BalSheet!K17</f>
        <v>2520.9677843512363</v>
      </c>
      <c r="L18" s="296">
        <f>BalSheet!L17</f>
        <v>3277.2581196566075</v>
      </c>
      <c r="M18" s="296">
        <f>BalSheet!M17</f>
        <v>4129.3452307673251</v>
      </c>
      <c r="N18" s="296">
        <f>BalSheet!N17</f>
        <v>5037.8011815361378</v>
      </c>
      <c r="O18" s="296">
        <f>BalSheet!O17</f>
        <v>5944.6053942126409</v>
      </c>
    </row>
    <row r="19" spans="1:15" x14ac:dyDescent="0.25">
      <c r="B19" s="4" t="str">
        <f>BalSheet!B20</f>
        <v>Inventories</v>
      </c>
      <c r="D19" s="99"/>
      <c r="E19" s="100">
        <f>BalSheet!E20</f>
        <v>5734</v>
      </c>
      <c r="F19" s="297">
        <f>BalSheet!F20</f>
        <v>6181.6861286282146</v>
      </c>
      <c r="G19" s="297">
        <f>BalSheet!G20</f>
        <v>8128.2193141329262</v>
      </c>
      <c r="H19" s="297">
        <f>BalSheet!H20</f>
        <v>11205.86107219248</v>
      </c>
      <c r="I19" s="297">
        <f>BalSheet!I20</f>
        <v>15665.745448530382</v>
      </c>
      <c r="J19" s="297">
        <f>BalSheet!J20</f>
        <v>21278.452080875468</v>
      </c>
      <c r="K19" s="297">
        <f>BalSheet!K20</f>
        <v>28057.155093323872</v>
      </c>
      <c r="L19" s="297">
        <f>BalSheet!L20</f>
        <v>35881.539717757019</v>
      </c>
      <c r="M19" s="297">
        <f>BalSheet!M20</f>
        <v>44463.860045883164</v>
      </c>
      <c r="N19" s="297">
        <f>BalSheet!N20</f>
        <v>53334.715657818851</v>
      </c>
      <c r="O19" s="297">
        <f>BalSheet!O20</f>
        <v>61859.756030399061</v>
      </c>
    </row>
    <row r="20" spans="1:15" x14ac:dyDescent="0.25">
      <c r="B20" s="4" t="str">
        <f>BalSheet!B19</f>
        <v>Accounts receivable</v>
      </c>
      <c r="C20" s="99"/>
      <c r="D20" s="99"/>
      <c r="E20" s="100">
        <f>BalSheet!E19</f>
        <v>6305</v>
      </c>
      <c r="F20" s="297">
        <f>BalSheet!F19</f>
        <v>6968.32673794526</v>
      </c>
      <c r="G20" s="297">
        <f>BalSheet!G19</f>
        <v>9302.3793339746899</v>
      </c>
      <c r="H20" s="297">
        <f>BalSheet!H19</f>
        <v>13023.331067564568</v>
      </c>
      <c r="I20" s="297">
        <f>BalSheet!I19</f>
        <v>18493.130115941687</v>
      </c>
      <c r="J20" s="297">
        <f>BalSheet!J19</f>
        <v>25520.519559999524</v>
      </c>
      <c r="K20" s="297">
        <f>BalSheet!K19</f>
        <v>34197.49621039936</v>
      </c>
      <c r="L20" s="297">
        <f>BalSheet!L19</f>
        <v>44456.745073519167</v>
      </c>
      <c r="M20" s="297">
        <f>BalSheet!M19</f>
        <v>56015.498792634149</v>
      </c>
      <c r="N20" s="297">
        <f>BalSheet!N19</f>
        <v>68338.908527013671</v>
      </c>
      <c r="O20" s="297">
        <f>BalSheet!O19</f>
        <v>80639.912061876108</v>
      </c>
    </row>
    <row r="21" spans="1:15" x14ac:dyDescent="0.25">
      <c r="B21" s="4" t="s">
        <v>70</v>
      </c>
      <c r="C21" s="99"/>
      <c r="D21" s="99"/>
      <c r="E21" s="100">
        <f>BalSheet!E21</f>
        <v>3223</v>
      </c>
      <c r="F21" s="297">
        <f>BalSheet!F21</f>
        <v>4621.8655181941012</v>
      </c>
      <c r="G21" s="297">
        <f>BalSheet!G21</f>
        <v>6169.9670376731947</v>
      </c>
      <c r="H21" s="297">
        <f>BalSheet!H21</f>
        <v>8637.9538527424738</v>
      </c>
      <c r="I21" s="297">
        <f>BalSheet!I21</f>
        <v>12265.894470894313</v>
      </c>
      <c r="J21" s="297">
        <f>BalSheet!J21</f>
        <v>16926.934369834147</v>
      </c>
      <c r="K21" s="297">
        <f>BalSheet!K21</f>
        <v>22682.092055577756</v>
      </c>
      <c r="L21" s="297">
        <f>BalSheet!L21</f>
        <v>29486.719672251085</v>
      </c>
      <c r="M21" s="297">
        <f>BalSheet!M21</f>
        <v>37153.266787036366</v>
      </c>
      <c r="N21" s="297">
        <f>BalSheet!N21</f>
        <v>45326.985480184368</v>
      </c>
      <c r="O21" s="297">
        <f>BalSheet!O21</f>
        <v>53485.842866617546</v>
      </c>
    </row>
    <row r="22" spans="1:15" x14ac:dyDescent="0.25">
      <c r="B22" s="4" t="s">
        <v>163</v>
      </c>
      <c r="C22" s="99"/>
      <c r="D22" s="99"/>
      <c r="E22" s="100">
        <f>BalSheet!E33</f>
        <v>2466</v>
      </c>
      <c r="F22" s="297">
        <f>BalSheet!F33</f>
        <v>3226.6897835604973</v>
      </c>
      <c r="G22" s="297">
        <f>BalSheet!G33</f>
        <v>4242.7327550633727</v>
      </c>
      <c r="H22" s="297">
        <f>BalSheet!H33</f>
        <v>5849.1868861134781</v>
      </c>
      <c r="I22" s="297">
        <f>BalSheet!I33</f>
        <v>8177.1380394962916</v>
      </c>
      <c r="J22" s="297">
        <f>BalSheet!J33</f>
        <v>11106.834366981791</v>
      </c>
      <c r="K22" s="297">
        <f>BalSheet!K33</f>
        <v>14645.152440874657</v>
      </c>
      <c r="L22" s="297">
        <f>BalSheet!L33</f>
        <v>18729.290878991837</v>
      </c>
      <c r="M22" s="297">
        <f>BalSheet!M33</f>
        <v>23209.053316906728</v>
      </c>
      <c r="N22" s="297">
        <f>BalSheet!N33</f>
        <v>27839.424154066179</v>
      </c>
      <c r="O22" s="297">
        <f>BalSheet!O33</f>
        <v>32289.287848577242</v>
      </c>
    </row>
    <row r="23" spans="1:15" x14ac:dyDescent="0.25">
      <c r="B23" s="4" t="s">
        <v>76</v>
      </c>
      <c r="C23" s="99"/>
      <c r="D23" s="99"/>
      <c r="E23" s="100">
        <f>BalSheet!E34</f>
        <v>4815</v>
      </c>
      <c r="F23" s="297">
        <f>BalSheet!F34</f>
        <v>6394.9829144851656</v>
      </c>
      <c r="G23" s="297">
        <f>BalSheet!G34</f>
        <v>8536.9930461052609</v>
      </c>
      <c r="H23" s="297">
        <f>BalSheet!H34</f>
        <v>11951.790264547366</v>
      </c>
      <c r="I23" s="297">
        <f>BalSheet!I34</f>
        <v>16971.542175657261</v>
      </c>
      <c r="J23" s="297">
        <f>BalSheet!J34</f>
        <v>23420.728202407015</v>
      </c>
      <c r="K23" s="297">
        <f>BalSheet!K34</f>
        <v>31383.775791225395</v>
      </c>
      <c r="L23" s="297">
        <f>BalSheet!L34</f>
        <v>40798.90852859302</v>
      </c>
      <c r="M23" s="297">
        <f>BalSheet!M34</f>
        <v>51406.624746027199</v>
      </c>
      <c r="N23" s="297">
        <f>BalSheet!N34</f>
        <v>62716.082190153196</v>
      </c>
      <c r="O23" s="297">
        <f>BalSheet!O34</f>
        <v>74004.976984380744</v>
      </c>
    </row>
    <row r="24" spans="1:15" x14ac:dyDescent="0.25">
      <c r="A24" s="11" t="s">
        <v>124</v>
      </c>
      <c r="B24" s="17" t="s">
        <v>23</v>
      </c>
      <c r="C24" s="18"/>
      <c r="D24" s="18"/>
      <c r="E24" s="18">
        <f>SUM(E18:E21)-SUM(E22:E23)</f>
        <v>8367.7749999999996</v>
      </c>
      <c r="F24" s="18">
        <f>SUM(F18:F21)-SUM(F22:F23)</f>
        <v>8663.8961367219126</v>
      </c>
      <c r="G24" s="18">
        <f t="shared" ref="G24:O24" si="19">SUM(G18:G21)-SUM(G22:G23)</f>
        <v>11506.591802661476</v>
      </c>
      <c r="H24" s="18">
        <f t="shared" si="19"/>
        <v>16026.221527107693</v>
      </c>
      <c r="I24" s="18">
        <f t="shared" si="19"/>
        <v>22639.364633294826</v>
      </c>
      <c r="J24" s="18">
        <f t="shared" si="19"/>
        <v>31079.662683373484</v>
      </c>
      <c r="K24" s="18">
        <f t="shared" si="19"/>
        <v>41428.782911552174</v>
      </c>
      <c r="L24" s="18">
        <f t="shared" si="19"/>
        <v>53574.063175599025</v>
      </c>
      <c r="M24" s="18">
        <f t="shared" si="19"/>
        <v>67146.292793387052</v>
      </c>
      <c r="N24" s="18">
        <f t="shared" si="19"/>
        <v>81482.904502333666</v>
      </c>
      <c r="O24" s="18">
        <f t="shared" si="19"/>
        <v>95635.851520147364</v>
      </c>
    </row>
    <row r="25" spans="1:15" s="11" customFormat="1" x14ac:dyDescent="0.25">
      <c r="A25" s="25"/>
      <c r="B25" s="11" t="s">
        <v>149</v>
      </c>
      <c r="F25" s="11">
        <f>E24-F24</f>
        <v>-296.12113672191299</v>
      </c>
      <c r="G25" s="11">
        <f t="shared" ref="G25:O25" si="20">F24-G24</f>
        <v>-2842.6956659395637</v>
      </c>
      <c r="H25" s="11">
        <f t="shared" si="20"/>
        <v>-4519.6297244462166</v>
      </c>
      <c r="I25" s="11">
        <f t="shared" si="20"/>
        <v>-6613.1431061871335</v>
      </c>
      <c r="J25" s="11">
        <f t="shared" si="20"/>
        <v>-8440.298050078658</v>
      </c>
      <c r="K25" s="11">
        <f t="shared" si="20"/>
        <v>-10349.12022817869</v>
      </c>
      <c r="L25" s="11">
        <f t="shared" si="20"/>
        <v>-12145.280264046851</v>
      </c>
      <c r="M25" s="11">
        <f t="shared" si="20"/>
        <v>-13572.229617788027</v>
      </c>
      <c r="N25" s="11">
        <f t="shared" si="20"/>
        <v>-14336.611708946613</v>
      </c>
      <c r="O25" s="11">
        <f t="shared" si="20"/>
        <v>-14152.947017813698</v>
      </c>
    </row>
    <row r="26" spans="1:15" x14ac:dyDescent="0.25">
      <c r="B26" s="67"/>
      <c r="C26" s="67"/>
      <c r="D26" s="67"/>
      <c r="E26" s="67"/>
      <c r="F26" s="67"/>
      <c r="G26" s="67"/>
      <c r="H26" s="85"/>
      <c r="I26" s="67"/>
      <c r="J26" s="67"/>
      <c r="K26" s="67"/>
      <c r="L26" s="67"/>
      <c r="M26" s="67"/>
      <c r="N26" s="67"/>
      <c r="O26" s="67"/>
    </row>
    <row r="27" spans="1:15" x14ac:dyDescent="0.25">
      <c r="H27" s="6"/>
      <c r="I27" s="4"/>
      <c r="J27" s="4"/>
    </row>
    <row r="28" spans="1:15" x14ac:dyDescent="0.25">
      <c r="H28" s="6"/>
      <c r="I28" s="4"/>
      <c r="J28" s="4"/>
    </row>
    <row r="29" spans="1:15" x14ac:dyDescent="0.25">
      <c r="H29" s="6"/>
      <c r="I29" s="4"/>
      <c r="J29" s="4"/>
    </row>
    <row r="30" spans="1:15" x14ac:dyDescent="0.25">
      <c r="H30" s="6"/>
      <c r="I30" s="4"/>
      <c r="J30" s="4"/>
    </row>
    <row r="31" spans="1:15" x14ac:dyDescent="0.25">
      <c r="H31" s="6"/>
      <c r="I31" s="4"/>
      <c r="J31" s="4"/>
    </row>
    <row r="32" spans="1:15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P34"/>
  <sheetViews>
    <sheetView showGridLines="0" zoomScaleNormal="100" workbookViewId="0">
      <selection activeCell="F22" sqref="F17:O2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6" s="2" customFormat="1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6" s="2" customFormat="1" x14ac:dyDescent="0.25">
      <c r="A2" s="16" t="s">
        <v>10</v>
      </c>
      <c r="B2" s="208"/>
      <c r="C2" s="109">
        <v>44926</v>
      </c>
      <c r="D2" s="109">
        <v>45291</v>
      </c>
      <c r="E2" s="109">
        <v>45657</v>
      </c>
      <c r="F2" s="109">
        <v>46022</v>
      </c>
      <c r="G2" s="109">
        <v>46387</v>
      </c>
      <c r="H2" s="109">
        <v>46752</v>
      </c>
      <c r="I2" s="109">
        <v>47118</v>
      </c>
      <c r="J2" s="109">
        <v>47483</v>
      </c>
      <c r="K2" s="207">
        <f>2030</f>
        <v>2030</v>
      </c>
      <c r="L2" s="207">
        <f>K2+1</f>
        <v>2031</v>
      </c>
      <c r="M2" s="207">
        <f t="shared" ref="M2" si="0">L2+1</f>
        <v>2032</v>
      </c>
      <c r="N2" s="207">
        <f t="shared" ref="N2" si="1">M2+1</f>
        <v>2033</v>
      </c>
      <c r="O2" s="207">
        <f t="shared" ref="O2" si="2">N2+1</f>
        <v>2034</v>
      </c>
    </row>
    <row r="3" spans="1:16" s="2" customFormat="1" x14ac:dyDescent="0.25">
      <c r="A3" s="88"/>
      <c r="B3" s="11"/>
      <c r="C3" s="209"/>
      <c r="D3" s="209"/>
      <c r="E3" s="209"/>
      <c r="F3" s="209"/>
      <c r="G3" s="209"/>
      <c r="H3" s="209"/>
      <c r="I3" s="209"/>
      <c r="J3" s="209"/>
      <c r="K3" s="213"/>
      <c r="L3" s="213"/>
      <c r="M3" s="213"/>
      <c r="N3" s="213"/>
      <c r="O3" s="213"/>
    </row>
    <row r="4" spans="1:16" s="2" customFormat="1" x14ac:dyDescent="0.25">
      <c r="A4" s="11"/>
      <c r="B4" s="4" t="s">
        <v>24</v>
      </c>
      <c r="C4" s="31"/>
      <c r="D4" s="57"/>
      <c r="E4" s="61"/>
      <c r="F4" s="113">
        <f>Assumptions!F23</f>
        <v>0</v>
      </c>
      <c r="G4" s="113">
        <f>Assumptions!G23</f>
        <v>0</v>
      </c>
      <c r="H4" s="113">
        <f>Assumptions!H23</f>
        <v>0</v>
      </c>
      <c r="I4" s="113">
        <f>Assumptions!I23</f>
        <v>0</v>
      </c>
      <c r="J4" s="113">
        <f>Assumptions!J23</f>
        <v>0</v>
      </c>
      <c r="K4" s="113">
        <f>Assumptions!K23</f>
        <v>0</v>
      </c>
      <c r="L4" s="113">
        <f>Assumptions!L23</f>
        <v>0</v>
      </c>
      <c r="M4" s="113">
        <f>Assumptions!M23</f>
        <v>0</v>
      </c>
      <c r="N4" s="113">
        <f>Assumptions!N23</f>
        <v>0</v>
      </c>
      <c r="O4" s="113">
        <f>Assumptions!O23</f>
        <v>0</v>
      </c>
    </row>
    <row r="5" spans="1:16" s="2" customFormat="1" x14ac:dyDescent="0.25">
      <c r="A5" s="11"/>
      <c r="B5" s="4" t="s">
        <v>25</v>
      </c>
      <c r="C5" s="31"/>
      <c r="D5" s="58"/>
      <c r="E5" s="62"/>
      <c r="F5" s="113">
        <f>Assumptions!F24</f>
        <v>3.2399999999999998E-2</v>
      </c>
      <c r="G5" s="113">
        <f>Assumptions!G24</f>
        <v>3.2399999999999998E-2</v>
      </c>
      <c r="H5" s="113">
        <f>Assumptions!H24</f>
        <v>3.2399999999999998E-2</v>
      </c>
      <c r="I5" s="113">
        <f>Assumptions!I24</f>
        <v>3.2399999999999998E-2</v>
      </c>
      <c r="J5" s="113">
        <f>Assumptions!J24</f>
        <v>3.2399999999999998E-2</v>
      </c>
      <c r="K5" s="113">
        <f>Assumptions!K24</f>
        <v>3.2399999999999998E-2</v>
      </c>
      <c r="L5" s="113">
        <f>Assumptions!L24</f>
        <v>3.2399999999999998E-2</v>
      </c>
      <c r="M5" s="113">
        <f>Assumptions!M24</f>
        <v>3.2399999999999998E-2</v>
      </c>
      <c r="N5" s="113">
        <f>Assumptions!N24</f>
        <v>3.2399999999999998E-2</v>
      </c>
      <c r="O5" s="113">
        <f>Assumptions!O24</f>
        <v>3.2399999999999998E-2</v>
      </c>
    </row>
    <row r="6" spans="1:16" s="2" customFormat="1" x14ac:dyDescent="0.25">
      <c r="A6" s="11"/>
      <c r="B6" s="4" t="s">
        <v>26</v>
      </c>
      <c r="C6" s="31"/>
      <c r="D6" s="57"/>
      <c r="E6" s="61"/>
      <c r="F6" s="113">
        <f>Assumptions!F25</f>
        <v>5.3231771426890867E-2</v>
      </c>
      <c r="G6" s="113">
        <f>Assumptions!G25</f>
        <v>5.3231771426890867E-2</v>
      </c>
      <c r="H6" s="113">
        <f>Assumptions!H25</f>
        <v>5.3231771426890867E-2</v>
      </c>
      <c r="I6" s="113">
        <f>Assumptions!I25</f>
        <v>5.3231771426890867E-2</v>
      </c>
      <c r="J6" s="113">
        <f>Assumptions!J25</f>
        <v>5.3231771426890867E-2</v>
      </c>
      <c r="K6" s="113">
        <f>Assumptions!K25</f>
        <v>5.3231771426890867E-2</v>
      </c>
      <c r="L6" s="113">
        <f>Assumptions!L25</f>
        <v>5.3231771426890867E-2</v>
      </c>
      <c r="M6" s="113">
        <f>Assumptions!M25</f>
        <v>5.3231771426890867E-2</v>
      </c>
      <c r="N6" s="113">
        <f>Assumptions!N25</f>
        <v>5.3231771426890867E-2</v>
      </c>
      <c r="O6" s="113">
        <f>Assumptions!O25</f>
        <v>5.3231771426890867E-2</v>
      </c>
    </row>
    <row r="7" spans="1:16" s="2" customFormat="1" x14ac:dyDescent="0.25">
      <c r="A7" s="11"/>
      <c r="B7" s="4"/>
      <c r="C7" s="31"/>
      <c r="D7" s="31"/>
      <c r="E7" s="31"/>
      <c r="F7" s="111"/>
      <c r="G7" s="111"/>
      <c r="H7" s="111"/>
      <c r="I7" s="112"/>
      <c r="J7" s="112"/>
      <c r="K7" s="112"/>
      <c r="L7" s="112"/>
      <c r="M7" s="112"/>
      <c r="N7" s="112"/>
      <c r="O7" s="112"/>
    </row>
    <row r="8" spans="1:16" s="2" customFormat="1" x14ac:dyDescent="0.25">
      <c r="A8" s="11"/>
      <c r="B8" s="4" t="s">
        <v>27</v>
      </c>
      <c r="C8" s="31"/>
      <c r="D8" s="59"/>
      <c r="E8" s="63"/>
      <c r="F8" s="114">
        <f>Assumptions!F27</f>
        <v>0</v>
      </c>
      <c r="G8" s="114">
        <f>Assumptions!G27</f>
        <v>0</v>
      </c>
      <c r="H8" s="114">
        <f>Assumptions!H27</f>
        <v>0</v>
      </c>
      <c r="I8" s="114">
        <f>Assumptions!I27</f>
        <v>0</v>
      </c>
      <c r="J8" s="114">
        <f>Assumptions!J27</f>
        <v>0</v>
      </c>
      <c r="K8" s="114">
        <f>Assumptions!K27</f>
        <v>0</v>
      </c>
      <c r="L8" s="114">
        <f>Assumptions!L27</f>
        <v>0</v>
      </c>
      <c r="M8" s="114">
        <f>Assumptions!M27</f>
        <v>0</v>
      </c>
      <c r="N8" s="114">
        <f>Assumptions!N27</f>
        <v>0</v>
      </c>
      <c r="O8" s="114">
        <f>Assumptions!O27</f>
        <v>0</v>
      </c>
    </row>
    <row r="9" spans="1:16" s="2" customFormat="1" x14ac:dyDescent="0.25">
      <c r="A9" s="11"/>
      <c r="B9" s="4" t="s">
        <v>28</v>
      </c>
      <c r="C9" s="31"/>
      <c r="D9" s="59"/>
      <c r="E9" s="63"/>
      <c r="F9" s="114">
        <f>Assumptions!F28</f>
        <v>0</v>
      </c>
      <c r="G9" s="114">
        <f>Assumptions!G28</f>
        <v>0</v>
      </c>
      <c r="H9" s="114">
        <f>Assumptions!H28</f>
        <v>0</v>
      </c>
      <c r="I9" s="114">
        <f>Assumptions!I28</f>
        <v>0</v>
      </c>
      <c r="J9" s="114">
        <f>Assumptions!J28</f>
        <v>0</v>
      </c>
      <c r="K9" s="114">
        <f>Assumptions!K28</f>
        <v>0</v>
      </c>
      <c r="L9" s="114">
        <f>Assumptions!L28</f>
        <v>0</v>
      </c>
      <c r="M9" s="214">
        <f>Assumptions!M28</f>
        <v>0</v>
      </c>
      <c r="N9" s="214">
        <f>Assumptions!N28</f>
        <v>0</v>
      </c>
      <c r="O9" s="214">
        <f>Assumptions!O28</f>
        <v>0</v>
      </c>
    </row>
    <row r="10" spans="1:16" s="2" customFormat="1" ht="18.75" x14ac:dyDescent="0.3">
      <c r="A10" s="34"/>
      <c r="B10" s="3"/>
      <c r="C10" s="54"/>
      <c r="D10" s="54"/>
      <c r="E10" s="54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1" spans="1:16" x14ac:dyDescent="0.25">
      <c r="A11" s="21" t="s">
        <v>29</v>
      </c>
      <c r="B11" s="55"/>
      <c r="C11" s="159">
        <f>C2</f>
        <v>44926</v>
      </c>
      <c r="D11" s="159">
        <f t="shared" ref="D11:J11" si="3">D2</f>
        <v>45291</v>
      </c>
      <c r="E11" s="159">
        <f t="shared" si="3"/>
        <v>45657</v>
      </c>
      <c r="F11" s="159">
        <f t="shared" si="3"/>
        <v>46022</v>
      </c>
      <c r="G11" s="159">
        <f t="shared" si="3"/>
        <v>46387</v>
      </c>
      <c r="H11" s="159">
        <f t="shared" si="3"/>
        <v>46752</v>
      </c>
      <c r="I11" s="159">
        <f t="shared" si="3"/>
        <v>47118</v>
      </c>
      <c r="J11" s="159">
        <f t="shared" si="3"/>
        <v>47483</v>
      </c>
      <c r="K11" s="193">
        <f t="shared" ref="K11:M11" si="4">K2</f>
        <v>2030</v>
      </c>
      <c r="L11" s="193">
        <f t="shared" si="4"/>
        <v>2031</v>
      </c>
      <c r="M11" s="193">
        <f t="shared" si="4"/>
        <v>2032</v>
      </c>
      <c r="N11" s="193">
        <f t="shared" ref="N11:O11" si="5">N2</f>
        <v>2033</v>
      </c>
      <c r="O11" s="193">
        <f t="shared" si="5"/>
        <v>2034</v>
      </c>
      <c r="P11" s="48"/>
    </row>
    <row r="12" spans="1:16" x14ac:dyDescent="0.25">
      <c r="B12" s="4" t="s">
        <v>30</v>
      </c>
      <c r="E12" s="28"/>
      <c r="F12" s="4" t="s">
        <v>215</v>
      </c>
      <c r="I12" s="4"/>
      <c r="J12" s="4"/>
      <c r="P12" s="48"/>
    </row>
    <row r="13" spans="1:16" x14ac:dyDescent="0.25">
      <c r="B13" s="4" t="s">
        <v>31</v>
      </c>
      <c r="E13" s="29"/>
      <c r="I13" s="4"/>
      <c r="J13" s="4"/>
      <c r="P13" s="48"/>
    </row>
    <row r="14" spans="1:16" x14ac:dyDescent="0.25">
      <c r="B14" s="4" t="s">
        <v>32</v>
      </c>
      <c r="E14" s="28"/>
      <c r="I14" s="4"/>
      <c r="J14" s="4"/>
      <c r="P14" s="48"/>
    </row>
    <row r="15" spans="1:16" x14ac:dyDescent="0.25">
      <c r="E15" s="28"/>
      <c r="I15" s="4"/>
      <c r="J15" s="4"/>
      <c r="P15" s="48"/>
    </row>
    <row r="16" spans="1:16" x14ac:dyDescent="0.25">
      <c r="A16" s="265" t="s">
        <v>33</v>
      </c>
      <c r="B16" s="20"/>
      <c r="C16" s="56">
        <f t="shared" ref="C16:M16" si="6">C11</f>
        <v>44926</v>
      </c>
      <c r="D16" s="56">
        <f t="shared" si="6"/>
        <v>45291</v>
      </c>
      <c r="E16" s="56">
        <f t="shared" si="6"/>
        <v>45657</v>
      </c>
      <c r="F16" s="56">
        <f t="shared" si="6"/>
        <v>46022</v>
      </c>
      <c r="G16" s="56">
        <f t="shared" si="6"/>
        <v>46387</v>
      </c>
      <c r="H16" s="56">
        <f t="shared" si="6"/>
        <v>46752</v>
      </c>
      <c r="I16" s="56">
        <f t="shared" si="6"/>
        <v>47118</v>
      </c>
      <c r="J16" s="56">
        <f t="shared" si="6"/>
        <v>47483</v>
      </c>
      <c r="K16" s="192">
        <f t="shared" si="6"/>
        <v>2030</v>
      </c>
      <c r="L16" s="192">
        <f t="shared" si="6"/>
        <v>2031</v>
      </c>
      <c r="M16" s="192">
        <f t="shared" si="6"/>
        <v>2032</v>
      </c>
      <c r="N16" s="192">
        <f t="shared" ref="N16:O16" si="7">N11</f>
        <v>2033</v>
      </c>
      <c r="O16" s="192">
        <f t="shared" si="7"/>
        <v>2034</v>
      </c>
      <c r="P16" s="48"/>
    </row>
    <row r="17" spans="1:16" x14ac:dyDescent="0.25">
      <c r="B17" s="4" t="s">
        <v>19</v>
      </c>
      <c r="E17" s="28"/>
      <c r="F17" s="4">
        <f>E20</f>
        <v>1721</v>
      </c>
      <c r="G17" s="4">
        <f t="shared" ref="G17:O17" si="8">F20</f>
        <v>1721</v>
      </c>
      <c r="H17" s="4">
        <f t="shared" si="8"/>
        <v>1721</v>
      </c>
      <c r="I17" s="4">
        <f t="shared" si="8"/>
        <v>1721</v>
      </c>
      <c r="J17" s="4">
        <f t="shared" si="8"/>
        <v>1721</v>
      </c>
      <c r="K17" s="4">
        <f t="shared" si="8"/>
        <v>1721</v>
      </c>
      <c r="L17" s="4">
        <f t="shared" si="8"/>
        <v>1721</v>
      </c>
      <c r="M17" s="4">
        <f t="shared" si="8"/>
        <v>1721</v>
      </c>
      <c r="N17" s="4">
        <f t="shared" si="8"/>
        <v>1721</v>
      </c>
      <c r="O17" s="4">
        <f t="shared" si="8"/>
        <v>1721</v>
      </c>
      <c r="P17" s="48"/>
    </row>
    <row r="18" spans="1:16" x14ac:dyDescent="0.25">
      <c r="B18" s="4" t="s">
        <v>34</v>
      </c>
      <c r="E18" s="28"/>
      <c r="F18" s="4">
        <f>F8</f>
        <v>0</v>
      </c>
      <c r="G18" s="4">
        <f t="shared" ref="G18:O18" si="9">G8</f>
        <v>0</v>
      </c>
      <c r="H18" s="4">
        <f t="shared" si="9"/>
        <v>0</v>
      </c>
      <c r="I18" s="4">
        <f t="shared" si="9"/>
        <v>0</v>
      </c>
      <c r="J18" s="4">
        <f t="shared" si="9"/>
        <v>0</v>
      </c>
      <c r="K18" s="4">
        <f t="shared" si="9"/>
        <v>0</v>
      </c>
      <c r="L18" s="4">
        <f t="shared" si="9"/>
        <v>0</v>
      </c>
      <c r="M18" s="4">
        <f t="shared" si="9"/>
        <v>0</v>
      </c>
      <c r="N18" s="4">
        <f t="shared" si="9"/>
        <v>0</v>
      </c>
      <c r="O18" s="4">
        <f t="shared" si="9"/>
        <v>0</v>
      </c>
      <c r="P18" s="48"/>
    </row>
    <row r="19" spans="1:16" x14ac:dyDescent="0.25">
      <c r="B19" s="4" t="s">
        <v>35</v>
      </c>
      <c r="E19" s="28"/>
      <c r="F19" s="4">
        <f>F9</f>
        <v>0</v>
      </c>
      <c r="G19" s="4">
        <f t="shared" ref="G19:O19" si="10">G9</f>
        <v>0</v>
      </c>
      <c r="H19" s="4">
        <f t="shared" si="10"/>
        <v>0</v>
      </c>
      <c r="I19" s="4">
        <f t="shared" si="10"/>
        <v>0</v>
      </c>
      <c r="J19" s="4">
        <f t="shared" si="10"/>
        <v>0</v>
      </c>
      <c r="K19" s="4">
        <f t="shared" si="10"/>
        <v>0</v>
      </c>
      <c r="L19" s="4">
        <f t="shared" si="10"/>
        <v>0</v>
      </c>
      <c r="M19" s="4">
        <f t="shared" si="10"/>
        <v>0</v>
      </c>
      <c r="N19" s="4">
        <f t="shared" si="10"/>
        <v>0</v>
      </c>
      <c r="O19" s="4">
        <f t="shared" si="10"/>
        <v>0</v>
      </c>
    </row>
    <row r="20" spans="1:16" x14ac:dyDescent="0.25">
      <c r="B20" s="4" t="s">
        <v>22</v>
      </c>
      <c r="C20" s="10"/>
      <c r="E20" s="28">
        <f>BalSheet!E37</f>
        <v>1721</v>
      </c>
      <c r="F20" s="4">
        <f>SUM(F17:F19)</f>
        <v>1721</v>
      </c>
      <c r="G20" s="4">
        <f t="shared" ref="G20:O20" si="11">SUM(G17:G19)</f>
        <v>1721</v>
      </c>
      <c r="H20" s="4">
        <f t="shared" si="11"/>
        <v>1721</v>
      </c>
      <c r="I20" s="4">
        <f t="shared" si="11"/>
        <v>1721</v>
      </c>
      <c r="J20" s="4">
        <f t="shared" si="11"/>
        <v>1721</v>
      </c>
      <c r="K20" s="4">
        <f t="shared" si="11"/>
        <v>1721</v>
      </c>
      <c r="L20" s="4">
        <f t="shared" si="11"/>
        <v>1721</v>
      </c>
      <c r="M20" s="4">
        <f t="shared" si="11"/>
        <v>1721</v>
      </c>
      <c r="N20" s="4">
        <f t="shared" si="11"/>
        <v>1721</v>
      </c>
      <c r="O20" s="4">
        <f t="shared" si="11"/>
        <v>1721</v>
      </c>
    </row>
    <row r="21" spans="1:16" x14ac:dyDescent="0.25">
      <c r="B21" s="4" t="s">
        <v>31</v>
      </c>
      <c r="D21" s="49"/>
      <c r="E21" s="28"/>
      <c r="F21" s="8">
        <f>F5</f>
        <v>3.2399999999999998E-2</v>
      </c>
      <c r="G21" s="8">
        <f t="shared" ref="G21:O21" si="12">G5</f>
        <v>3.2399999999999998E-2</v>
      </c>
      <c r="H21" s="8">
        <f t="shared" si="12"/>
        <v>3.2399999999999998E-2</v>
      </c>
      <c r="I21" s="8">
        <f t="shared" si="12"/>
        <v>3.2399999999999998E-2</v>
      </c>
      <c r="J21" s="8">
        <f t="shared" si="12"/>
        <v>3.2399999999999998E-2</v>
      </c>
      <c r="K21" s="8">
        <f t="shared" si="12"/>
        <v>3.2399999999999998E-2</v>
      </c>
      <c r="L21" s="8">
        <f t="shared" si="12"/>
        <v>3.2399999999999998E-2</v>
      </c>
      <c r="M21" s="8">
        <f t="shared" si="12"/>
        <v>3.2399999999999998E-2</v>
      </c>
      <c r="N21" s="8">
        <f t="shared" si="12"/>
        <v>3.2399999999999998E-2</v>
      </c>
      <c r="O21" s="8">
        <f t="shared" si="12"/>
        <v>3.2399999999999998E-2</v>
      </c>
    </row>
    <row r="22" spans="1:16" x14ac:dyDescent="0.25">
      <c r="B22" s="4" t="s">
        <v>32</v>
      </c>
      <c r="E22" s="28"/>
      <c r="F22" s="4">
        <f>F20*F21</f>
        <v>55.760399999999997</v>
      </c>
      <c r="G22" s="4">
        <f t="shared" ref="G22:O22" si="13">G20*G21</f>
        <v>55.760399999999997</v>
      </c>
      <c r="H22" s="4">
        <f t="shared" si="13"/>
        <v>55.760399999999997</v>
      </c>
      <c r="I22" s="4">
        <f t="shared" si="13"/>
        <v>55.760399999999997</v>
      </c>
      <c r="J22" s="4">
        <f t="shared" si="13"/>
        <v>55.760399999999997</v>
      </c>
      <c r="K22" s="4">
        <f t="shared" si="13"/>
        <v>55.760399999999997</v>
      </c>
      <c r="L22" s="4">
        <f t="shared" si="13"/>
        <v>55.760399999999997</v>
      </c>
      <c r="M22" s="4">
        <f t="shared" si="13"/>
        <v>55.760399999999997</v>
      </c>
      <c r="N22" s="4">
        <f t="shared" si="13"/>
        <v>55.760399999999997</v>
      </c>
      <c r="O22" s="4">
        <f t="shared" si="13"/>
        <v>55.760399999999997</v>
      </c>
    </row>
    <row r="23" spans="1:16" x14ac:dyDescent="0.25">
      <c r="E23" s="28"/>
      <c r="I23" s="4"/>
      <c r="J23" s="4"/>
    </row>
    <row r="24" spans="1:16" x14ac:dyDescent="0.25">
      <c r="A24" s="21" t="s">
        <v>36</v>
      </c>
      <c r="B24" s="43"/>
      <c r="C24" s="56">
        <f>C16</f>
        <v>44926</v>
      </c>
      <c r="D24" s="56">
        <f t="shared" ref="D24:J24" si="14">D16</f>
        <v>45291</v>
      </c>
      <c r="E24" s="56">
        <f t="shared" si="14"/>
        <v>45657</v>
      </c>
      <c r="F24" s="56">
        <f t="shared" si="14"/>
        <v>46022</v>
      </c>
      <c r="G24" s="56">
        <f t="shared" si="14"/>
        <v>46387</v>
      </c>
      <c r="H24" s="56">
        <f t="shared" si="14"/>
        <v>46752</v>
      </c>
      <c r="I24" s="56">
        <f t="shared" si="14"/>
        <v>47118</v>
      </c>
      <c r="J24" s="56">
        <f t="shared" si="14"/>
        <v>47483</v>
      </c>
      <c r="K24" s="192">
        <f t="shared" ref="K24:M24" si="15">K16</f>
        <v>2030</v>
      </c>
      <c r="L24" s="192">
        <f t="shared" si="15"/>
        <v>2031</v>
      </c>
      <c r="M24" s="192">
        <f t="shared" si="15"/>
        <v>2032</v>
      </c>
      <c r="N24" s="192">
        <f t="shared" ref="N24:O24" si="16">N16</f>
        <v>2033</v>
      </c>
      <c r="O24" s="192">
        <f t="shared" si="16"/>
        <v>2034</v>
      </c>
    </row>
    <row r="25" spans="1:16" x14ac:dyDescent="0.25">
      <c r="A25" s="7"/>
      <c r="B25" s="4" t="s">
        <v>29</v>
      </c>
      <c r="E25" s="28"/>
      <c r="F25" s="4" t="str">
        <f>F12</f>
        <v>NO REVOLVER</v>
      </c>
      <c r="G25" s="4">
        <f t="shared" ref="G25:O25" si="17">G12</f>
        <v>0</v>
      </c>
      <c r="H25" s="4">
        <f t="shared" si="17"/>
        <v>0</v>
      </c>
      <c r="I25" s="4">
        <f t="shared" si="17"/>
        <v>0</v>
      </c>
      <c r="J25" s="4">
        <f t="shared" si="17"/>
        <v>0</v>
      </c>
      <c r="K25" s="4">
        <f t="shared" si="17"/>
        <v>0</v>
      </c>
      <c r="L25" s="4">
        <f t="shared" si="17"/>
        <v>0</v>
      </c>
      <c r="M25" s="4">
        <f t="shared" si="17"/>
        <v>0</v>
      </c>
      <c r="N25" s="4">
        <f t="shared" si="17"/>
        <v>0</v>
      </c>
      <c r="O25" s="4">
        <f t="shared" si="17"/>
        <v>0</v>
      </c>
    </row>
    <row r="26" spans="1:16" x14ac:dyDescent="0.25">
      <c r="A26" s="7"/>
      <c r="B26" s="4" t="s">
        <v>37</v>
      </c>
      <c r="E26" s="28"/>
      <c r="F26" s="4">
        <f>F20</f>
        <v>1721</v>
      </c>
      <c r="G26" s="4">
        <f t="shared" ref="G26:O26" si="18">G20</f>
        <v>1721</v>
      </c>
      <c r="H26" s="4">
        <f t="shared" si="18"/>
        <v>1721</v>
      </c>
      <c r="I26" s="4">
        <f t="shared" si="18"/>
        <v>1721</v>
      </c>
      <c r="J26" s="4">
        <f t="shared" si="18"/>
        <v>1721</v>
      </c>
      <c r="K26" s="4">
        <f t="shared" si="18"/>
        <v>1721</v>
      </c>
      <c r="L26" s="4">
        <f t="shared" si="18"/>
        <v>1721</v>
      </c>
      <c r="M26" s="4">
        <f t="shared" si="18"/>
        <v>1721</v>
      </c>
      <c r="N26" s="4">
        <f t="shared" si="18"/>
        <v>1721</v>
      </c>
      <c r="O26" s="4">
        <f t="shared" si="18"/>
        <v>1721</v>
      </c>
    </row>
    <row r="27" spans="1:16" x14ac:dyDescent="0.25">
      <c r="A27" s="7"/>
      <c r="B27" s="11" t="s">
        <v>38</v>
      </c>
      <c r="D27" s="11"/>
      <c r="E27" s="25"/>
      <c r="F27" s="11">
        <f>F20</f>
        <v>1721</v>
      </c>
      <c r="G27" s="11">
        <f t="shared" ref="G27:O27" si="19">G20</f>
        <v>1721</v>
      </c>
      <c r="H27" s="11">
        <f t="shared" si="19"/>
        <v>1721</v>
      </c>
      <c r="I27" s="11">
        <f t="shared" si="19"/>
        <v>1721</v>
      </c>
      <c r="J27" s="11">
        <f t="shared" si="19"/>
        <v>1721</v>
      </c>
      <c r="K27" s="11">
        <f t="shared" si="19"/>
        <v>1721</v>
      </c>
      <c r="L27" s="11">
        <f t="shared" si="19"/>
        <v>1721</v>
      </c>
      <c r="M27" s="11">
        <f t="shared" si="19"/>
        <v>1721</v>
      </c>
      <c r="N27" s="11">
        <f t="shared" si="19"/>
        <v>1721</v>
      </c>
      <c r="O27" s="11">
        <f t="shared" si="19"/>
        <v>1721</v>
      </c>
    </row>
    <row r="28" spans="1:16" x14ac:dyDescent="0.25">
      <c r="A28" s="7"/>
      <c r="B28" s="4" t="s">
        <v>39</v>
      </c>
      <c r="E28" s="28"/>
      <c r="F28" s="4">
        <f>F22</f>
        <v>55.760399999999997</v>
      </c>
      <c r="G28" s="4">
        <f t="shared" ref="G28:O28" si="20">G22</f>
        <v>55.760399999999997</v>
      </c>
      <c r="H28" s="4">
        <f t="shared" si="20"/>
        <v>55.760399999999997</v>
      </c>
      <c r="I28" s="4">
        <f t="shared" si="20"/>
        <v>55.760399999999997</v>
      </c>
      <c r="J28" s="4">
        <f t="shared" si="20"/>
        <v>55.760399999999997</v>
      </c>
      <c r="K28" s="4">
        <f t="shared" si="20"/>
        <v>55.760399999999997</v>
      </c>
      <c r="L28" s="4">
        <f t="shared" si="20"/>
        <v>55.760399999999997</v>
      </c>
      <c r="M28" s="4">
        <f t="shared" si="20"/>
        <v>55.760399999999997</v>
      </c>
      <c r="N28" s="4">
        <f t="shared" si="20"/>
        <v>55.760399999999997</v>
      </c>
      <c r="O28" s="4">
        <f t="shared" si="20"/>
        <v>55.760399999999997</v>
      </c>
    </row>
    <row r="29" spans="1:16" x14ac:dyDescent="0.25">
      <c r="A29" s="7"/>
      <c r="E29" s="28"/>
      <c r="I29" s="4"/>
      <c r="J29" s="4"/>
    </row>
    <row r="30" spans="1:16" x14ac:dyDescent="0.25">
      <c r="A30" s="21" t="s">
        <v>40</v>
      </c>
      <c r="B30" s="43"/>
      <c r="C30" s="56">
        <f>C11</f>
        <v>44926</v>
      </c>
      <c r="D30" s="56">
        <f t="shared" ref="D30:J30" si="21">D11</f>
        <v>45291</v>
      </c>
      <c r="E30" s="56">
        <f t="shared" si="21"/>
        <v>45657</v>
      </c>
      <c r="F30" s="56">
        <f t="shared" si="21"/>
        <v>46022</v>
      </c>
      <c r="G30" s="56">
        <f t="shared" si="21"/>
        <v>46387</v>
      </c>
      <c r="H30" s="56">
        <f t="shared" si="21"/>
        <v>46752</v>
      </c>
      <c r="I30" s="56">
        <f t="shared" si="21"/>
        <v>47118</v>
      </c>
      <c r="J30" s="56">
        <f t="shared" si="21"/>
        <v>47483</v>
      </c>
      <c r="K30" s="192">
        <f t="shared" ref="K30:M30" si="22">K11</f>
        <v>2030</v>
      </c>
      <c r="L30" s="192">
        <f t="shared" si="22"/>
        <v>2031</v>
      </c>
      <c r="M30" s="192">
        <f t="shared" si="22"/>
        <v>2032</v>
      </c>
      <c r="N30" s="192">
        <f t="shared" ref="N30:O30" si="23">N11</f>
        <v>2033</v>
      </c>
      <c r="O30" s="192">
        <f t="shared" si="23"/>
        <v>2034</v>
      </c>
    </row>
    <row r="31" spans="1:16" x14ac:dyDescent="0.25">
      <c r="A31" s="7"/>
      <c r="B31" s="4" t="s">
        <v>169</v>
      </c>
      <c r="E31" s="28"/>
      <c r="F31" s="4">
        <f>BalSheet!F18</f>
        <v>7802.9944364865532</v>
      </c>
      <c r="G31" s="4">
        <f>BalSheet!G18</f>
        <v>10533.66727382518</v>
      </c>
      <c r="H31" s="4">
        <f>BalSheet!H18</f>
        <v>13672.296031242369</v>
      </c>
      <c r="I31" s="4">
        <f>BalSheet!I18</f>
        <v>18221.60156951817</v>
      </c>
      <c r="J31" s="4">
        <f>BalSheet!J18</f>
        <v>26253.271313673718</v>
      </c>
      <c r="K31" s="4">
        <f>BalSheet!K18</f>
        <v>39851.466078390149</v>
      </c>
      <c r="L31" s="4">
        <f>BalSheet!L18</f>
        <v>61638.47514408399</v>
      </c>
      <c r="M31" s="4">
        <f>BalSheet!M18</f>
        <v>94654.577054106805</v>
      </c>
      <c r="N31" s="4">
        <f>BalSheet!N18</f>
        <v>142096.47369275999</v>
      </c>
      <c r="O31" s="4">
        <f>BalSheet!O18</f>
        <v>206910.34849248029</v>
      </c>
    </row>
    <row r="32" spans="1:16" x14ac:dyDescent="0.25">
      <c r="B32" s="4" t="s">
        <v>31</v>
      </c>
      <c r="D32" s="49"/>
      <c r="E32" s="24"/>
      <c r="F32" s="5">
        <f>F6</f>
        <v>5.3231771426890867E-2</v>
      </c>
      <c r="G32" s="5">
        <f t="shared" ref="G32:O32" si="24">G6</f>
        <v>5.3231771426890867E-2</v>
      </c>
      <c r="H32" s="5">
        <f t="shared" si="24"/>
        <v>5.3231771426890867E-2</v>
      </c>
      <c r="I32" s="5">
        <f t="shared" si="24"/>
        <v>5.3231771426890867E-2</v>
      </c>
      <c r="J32" s="5">
        <f t="shared" si="24"/>
        <v>5.3231771426890867E-2</v>
      </c>
      <c r="K32" s="5">
        <f t="shared" si="24"/>
        <v>5.3231771426890867E-2</v>
      </c>
      <c r="L32" s="5">
        <f t="shared" si="24"/>
        <v>5.3231771426890867E-2</v>
      </c>
      <c r="M32" s="5">
        <f t="shared" si="24"/>
        <v>5.3231771426890867E-2</v>
      </c>
      <c r="N32" s="5">
        <f t="shared" si="24"/>
        <v>5.3231771426890867E-2</v>
      </c>
      <c r="O32" s="5">
        <f t="shared" si="24"/>
        <v>5.3231771426890867E-2</v>
      </c>
    </row>
    <row r="33" spans="2:15" x14ac:dyDescent="0.25">
      <c r="B33" s="4" t="s">
        <v>40</v>
      </c>
      <c r="E33" s="28"/>
      <c r="F33" s="4">
        <f>F31*F32</f>
        <v>415.36721628835329</v>
      </c>
      <c r="G33" s="4">
        <f t="shared" ref="G33:O33" si="25">G31*G32</f>
        <v>560.72576860718266</v>
      </c>
      <c r="H33" s="4">
        <f t="shared" si="25"/>
        <v>727.80053721588092</v>
      </c>
      <c r="I33" s="4">
        <f t="shared" si="25"/>
        <v>969.96812978046717</v>
      </c>
      <c r="J33" s="4">
        <f t="shared" si="25"/>
        <v>1397.5081377776303</v>
      </c>
      <c r="K33" s="4">
        <f t="shared" si="25"/>
        <v>2121.3641333113592</v>
      </c>
      <c r="L33" s="4">
        <f t="shared" si="25"/>
        <v>3281.1252199719729</v>
      </c>
      <c r="M33" s="4">
        <f t="shared" si="25"/>
        <v>5038.6308102532421</v>
      </c>
      <c r="N33" s="4">
        <f t="shared" si="25"/>
        <v>7564.0470081802105</v>
      </c>
      <c r="O33" s="4">
        <f t="shared" si="25"/>
        <v>11014.204376810045</v>
      </c>
    </row>
    <row r="34" spans="2:15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3"/>
  <sheetViews>
    <sheetView showGridLines="0" topLeftCell="C11" zoomScaleNormal="100" workbookViewId="0">
      <selection activeCell="F22" sqref="F2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3" width="10.7109375" style="4" customWidth="1"/>
    <col min="264" max="264" width="11.42578125" style="4" customWidth="1"/>
    <col min="265" max="266" width="12" style="4" customWidth="1"/>
    <col min="267" max="268" width="8.85546875" style="4"/>
    <col min="269" max="269" width="10.7109375" style="4" bestFit="1" customWidth="1"/>
    <col min="270" max="512" width="8.85546875" style="4"/>
    <col min="513" max="513" width="1.7109375" style="4" customWidth="1"/>
    <col min="514" max="514" width="40.7109375" style="4" customWidth="1"/>
    <col min="515" max="519" width="10.7109375" style="4" customWidth="1"/>
    <col min="520" max="520" width="11.42578125" style="4" customWidth="1"/>
    <col min="521" max="522" width="12" style="4" customWidth="1"/>
    <col min="523" max="524" width="8.85546875" style="4"/>
    <col min="525" max="525" width="10.7109375" style="4" bestFit="1" customWidth="1"/>
    <col min="526" max="768" width="8.85546875" style="4"/>
    <col min="769" max="769" width="1.7109375" style="4" customWidth="1"/>
    <col min="770" max="770" width="40.7109375" style="4" customWidth="1"/>
    <col min="771" max="775" width="10.7109375" style="4" customWidth="1"/>
    <col min="776" max="776" width="11.42578125" style="4" customWidth="1"/>
    <col min="777" max="778" width="12" style="4" customWidth="1"/>
    <col min="779" max="780" width="8.85546875" style="4"/>
    <col min="781" max="781" width="10.7109375" style="4" bestFit="1" customWidth="1"/>
    <col min="782" max="1024" width="8.85546875" style="4"/>
    <col min="1025" max="1025" width="1.7109375" style="4" customWidth="1"/>
    <col min="1026" max="1026" width="40.7109375" style="4" customWidth="1"/>
    <col min="1027" max="1031" width="10.7109375" style="4" customWidth="1"/>
    <col min="1032" max="1032" width="11.42578125" style="4" customWidth="1"/>
    <col min="1033" max="1034" width="12" style="4" customWidth="1"/>
    <col min="1035" max="1036" width="8.85546875" style="4"/>
    <col min="1037" max="1037" width="10.7109375" style="4" bestFit="1" customWidth="1"/>
    <col min="1038" max="1280" width="8.85546875" style="4"/>
    <col min="1281" max="1281" width="1.7109375" style="4" customWidth="1"/>
    <col min="1282" max="1282" width="40.7109375" style="4" customWidth="1"/>
    <col min="1283" max="1287" width="10.7109375" style="4" customWidth="1"/>
    <col min="1288" max="1288" width="11.42578125" style="4" customWidth="1"/>
    <col min="1289" max="1290" width="12" style="4" customWidth="1"/>
    <col min="1291" max="1292" width="8.85546875" style="4"/>
    <col min="1293" max="1293" width="10.7109375" style="4" bestFit="1" customWidth="1"/>
    <col min="1294" max="1536" width="8.85546875" style="4"/>
    <col min="1537" max="1537" width="1.7109375" style="4" customWidth="1"/>
    <col min="1538" max="1538" width="40.7109375" style="4" customWidth="1"/>
    <col min="1539" max="1543" width="10.7109375" style="4" customWidth="1"/>
    <col min="1544" max="1544" width="11.42578125" style="4" customWidth="1"/>
    <col min="1545" max="1546" width="12" style="4" customWidth="1"/>
    <col min="1547" max="1548" width="8.85546875" style="4"/>
    <col min="1549" max="1549" width="10.7109375" style="4" bestFit="1" customWidth="1"/>
    <col min="1550" max="1792" width="8.85546875" style="4"/>
    <col min="1793" max="1793" width="1.7109375" style="4" customWidth="1"/>
    <col min="1794" max="1794" width="40.7109375" style="4" customWidth="1"/>
    <col min="1795" max="1799" width="10.7109375" style="4" customWidth="1"/>
    <col min="1800" max="1800" width="11.42578125" style="4" customWidth="1"/>
    <col min="1801" max="1802" width="12" style="4" customWidth="1"/>
    <col min="1803" max="1804" width="8.85546875" style="4"/>
    <col min="1805" max="1805" width="10.7109375" style="4" bestFit="1" customWidth="1"/>
    <col min="1806" max="2048" width="8.85546875" style="4"/>
    <col min="2049" max="2049" width="1.7109375" style="4" customWidth="1"/>
    <col min="2050" max="2050" width="40.7109375" style="4" customWidth="1"/>
    <col min="2051" max="2055" width="10.7109375" style="4" customWidth="1"/>
    <col min="2056" max="2056" width="11.42578125" style="4" customWidth="1"/>
    <col min="2057" max="2058" width="12" style="4" customWidth="1"/>
    <col min="2059" max="2060" width="8.85546875" style="4"/>
    <col min="2061" max="2061" width="10.7109375" style="4" bestFit="1" customWidth="1"/>
    <col min="2062" max="2304" width="8.85546875" style="4"/>
    <col min="2305" max="2305" width="1.7109375" style="4" customWidth="1"/>
    <col min="2306" max="2306" width="40.7109375" style="4" customWidth="1"/>
    <col min="2307" max="2311" width="10.7109375" style="4" customWidth="1"/>
    <col min="2312" max="2312" width="11.42578125" style="4" customWidth="1"/>
    <col min="2313" max="2314" width="12" style="4" customWidth="1"/>
    <col min="2315" max="2316" width="8.85546875" style="4"/>
    <col min="2317" max="2317" width="10.7109375" style="4" bestFit="1" customWidth="1"/>
    <col min="2318" max="2560" width="8.85546875" style="4"/>
    <col min="2561" max="2561" width="1.7109375" style="4" customWidth="1"/>
    <col min="2562" max="2562" width="40.7109375" style="4" customWidth="1"/>
    <col min="2563" max="2567" width="10.7109375" style="4" customWidth="1"/>
    <col min="2568" max="2568" width="11.42578125" style="4" customWidth="1"/>
    <col min="2569" max="2570" width="12" style="4" customWidth="1"/>
    <col min="2571" max="2572" width="8.85546875" style="4"/>
    <col min="2573" max="2573" width="10.7109375" style="4" bestFit="1" customWidth="1"/>
    <col min="2574" max="2816" width="8.85546875" style="4"/>
    <col min="2817" max="2817" width="1.7109375" style="4" customWidth="1"/>
    <col min="2818" max="2818" width="40.7109375" style="4" customWidth="1"/>
    <col min="2819" max="2823" width="10.7109375" style="4" customWidth="1"/>
    <col min="2824" max="2824" width="11.42578125" style="4" customWidth="1"/>
    <col min="2825" max="2826" width="12" style="4" customWidth="1"/>
    <col min="2827" max="2828" width="8.85546875" style="4"/>
    <col min="2829" max="2829" width="10.7109375" style="4" bestFit="1" customWidth="1"/>
    <col min="2830" max="3072" width="8.85546875" style="4"/>
    <col min="3073" max="3073" width="1.7109375" style="4" customWidth="1"/>
    <col min="3074" max="3074" width="40.7109375" style="4" customWidth="1"/>
    <col min="3075" max="3079" width="10.7109375" style="4" customWidth="1"/>
    <col min="3080" max="3080" width="11.42578125" style="4" customWidth="1"/>
    <col min="3081" max="3082" width="12" style="4" customWidth="1"/>
    <col min="3083" max="3084" width="8.85546875" style="4"/>
    <col min="3085" max="3085" width="10.7109375" style="4" bestFit="1" customWidth="1"/>
    <col min="3086" max="3328" width="8.85546875" style="4"/>
    <col min="3329" max="3329" width="1.7109375" style="4" customWidth="1"/>
    <col min="3330" max="3330" width="40.7109375" style="4" customWidth="1"/>
    <col min="3331" max="3335" width="10.7109375" style="4" customWidth="1"/>
    <col min="3336" max="3336" width="11.42578125" style="4" customWidth="1"/>
    <col min="3337" max="3338" width="12" style="4" customWidth="1"/>
    <col min="3339" max="3340" width="8.85546875" style="4"/>
    <col min="3341" max="3341" width="10.7109375" style="4" bestFit="1" customWidth="1"/>
    <col min="3342" max="3584" width="8.85546875" style="4"/>
    <col min="3585" max="3585" width="1.7109375" style="4" customWidth="1"/>
    <col min="3586" max="3586" width="40.7109375" style="4" customWidth="1"/>
    <col min="3587" max="3591" width="10.7109375" style="4" customWidth="1"/>
    <col min="3592" max="3592" width="11.42578125" style="4" customWidth="1"/>
    <col min="3593" max="3594" width="12" style="4" customWidth="1"/>
    <col min="3595" max="3596" width="8.85546875" style="4"/>
    <col min="3597" max="3597" width="10.7109375" style="4" bestFit="1" customWidth="1"/>
    <col min="3598" max="3840" width="8.85546875" style="4"/>
    <col min="3841" max="3841" width="1.7109375" style="4" customWidth="1"/>
    <col min="3842" max="3842" width="40.7109375" style="4" customWidth="1"/>
    <col min="3843" max="3847" width="10.7109375" style="4" customWidth="1"/>
    <col min="3848" max="3848" width="11.42578125" style="4" customWidth="1"/>
    <col min="3849" max="3850" width="12" style="4" customWidth="1"/>
    <col min="3851" max="3852" width="8.85546875" style="4"/>
    <col min="3853" max="3853" width="10.7109375" style="4" bestFit="1" customWidth="1"/>
    <col min="3854" max="4096" width="8.85546875" style="4"/>
    <col min="4097" max="4097" width="1.7109375" style="4" customWidth="1"/>
    <col min="4098" max="4098" width="40.7109375" style="4" customWidth="1"/>
    <col min="4099" max="4103" width="10.7109375" style="4" customWidth="1"/>
    <col min="4104" max="4104" width="11.42578125" style="4" customWidth="1"/>
    <col min="4105" max="4106" width="12" style="4" customWidth="1"/>
    <col min="4107" max="4108" width="8.85546875" style="4"/>
    <col min="4109" max="4109" width="10.7109375" style="4" bestFit="1" customWidth="1"/>
    <col min="4110" max="4352" width="8.85546875" style="4"/>
    <col min="4353" max="4353" width="1.7109375" style="4" customWidth="1"/>
    <col min="4354" max="4354" width="40.7109375" style="4" customWidth="1"/>
    <col min="4355" max="4359" width="10.7109375" style="4" customWidth="1"/>
    <col min="4360" max="4360" width="11.42578125" style="4" customWidth="1"/>
    <col min="4361" max="4362" width="12" style="4" customWidth="1"/>
    <col min="4363" max="4364" width="8.85546875" style="4"/>
    <col min="4365" max="4365" width="10.7109375" style="4" bestFit="1" customWidth="1"/>
    <col min="4366" max="4608" width="8.85546875" style="4"/>
    <col min="4609" max="4609" width="1.7109375" style="4" customWidth="1"/>
    <col min="4610" max="4610" width="40.7109375" style="4" customWidth="1"/>
    <col min="4611" max="4615" width="10.7109375" style="4" customWidth="1"/>
    <col min="4616" max="4616" width="11.42578125" style="4" customWidth="1"/>
    <col min="4617" max="4618" width="12" style="4" customWidth="1"/>
    <col min="4619" max="4620" width="8.85546875" style="4"/>
    <col min="4621" max="4621" width="10.7109375" style="4" bestFit="1" customWidth="1"/>
    <col min="4622" max="4864" width="8.85546875" style="4"/>
    <col min="4865" max="4865" width="1.7109375" style="4" customWidth="1"/>
    <col min="4866" max="4866" width="40.7109375" style="4" customWidth="1"/>
    <col min="4867" max="4871" width="10.7109375" style="4" customWidth="1"/>
    <col min="4872" max="4872" width="11.42578125" style="4" customWidth="1"/>
    <col min="4873" max="4874" width="12" style="4" customWidth="1"/>
    <col min="4875" max="4876" width="8.85546875" style="4"/>
    <col min="4877" max="4877" width="10.7109375" style="4" bestFit="1" customWidth="1"/>
    <col min="4878" max="5120" width="8.85546875" style="4"/>
    <col min="5121" max="5121" width="1.7109375" style="4" customWidth="1"/>
    <col min="5122" max="5122" width="40.7109375" style="4" customWidth="1"/>
    <col min="5123" max="5127" width="10.7109375" style="4" customWidth="1"/>
    <col min="5128" max="5128" width="11.42578125" style="4" customWidth="1"/>
    <col min="5129" max="5130" width="12" style="4" customWidth="1"/>
    <col min="5131" max="5132" width="8.85546875" style="4"/>
    <col min="5133" max="5133" width="10.7109375" style="4" bestFit="1" customWidth="1"/>
    <col min="5134" max="5376" width="8.85546875" style="4"/>
    <col min="5377" max="5377" width="1.7109375" style="4" customWidth="1"/>
    <col min="5378" max="5378" width="40.7109375" style="4" customWidth="1"/>
    <col min="5379" max="5383" width="10.7109375" style="4" customWidth="1"/>
    <col min="5384" max="5384" width="11.42578125" style="4" customWidth="1"/>
    <col min="5385" max="5386" width="12" style="4" customWidth="1"/>
    <col min="5387" max="5388" width="8.85546875" style="4"/>
    <col min="5389" max="5389" width="10.7109375" style="4" bestFit="1" customWidth="1"/>
    <col min="5390" max="5632" width="8.85546875" style="4"/>
    <col min="5633" max="5633" width="1.7109375" style="4" customWidth="1"/>
    <col min="5634" max="5634" width="40.7109375" style="4" customWidth="1"/>
    <col min="5635" max="5639" width="10.7109375" style="4" customWidth="1"/>
    <col min="5640" max="5640" width="11.42578125" style="4" customWidth="1"/>
    <col min="5641" max="5642" width="12" style="4" customWidth="1"/>
    <col min="5643" max="5644" width="8.85546875" style="4"/>
    <col min="5645" max="5645" width="10.7109375" style="4" bestFit="1" customWidth="1"/>
    <col min="5646" max="5888" width="8.85546875" style="4"/>
    <col min="5889" max="5889" width="1.7109375" style="4" customWidth="1"/>
    <col min="5890" max="5890" width="40.7109375" style="4" customWidth="1"/>
    <col min="5891" max="5895" width="10.7109375" style="4" customWidth="1"/>
    <col min="5896" max="5896" width="11.42578125" style="4" customWidth="1"/>
    <col min="5897" max="5898" width="12" style="4" customWidth="1"/>
    <col min="5899" max="5900" width="8.85546875" style="4"/>
    <col min="5901" max="5901" width="10.7109375" style="4" bestFit="1" customWidth="1"/>
    <col min="5902" max="6144" width="8.85546875" style="4"/>
    <col min="6145" max="6145" width="1.7109375" style="4" customWidth="1"/>
    <col min="6146" max="6146" width="40.7109375" style="4" customWidth="1"/>
    <col min="6147" max="6151" width="10.7109375" style="4" customWidth="1"/>
    <col min="6152" max="6152" width="11.42578125" style="4" customWidth="1"/>
    <col min="6153" max="6154" width="12" style="4" customWidth="1"/>
    <col min="6155" max="6156" width="8.85546875" style="4"/>
    <col min="6157" max="6157" width="10.7109375" style="4" bestFit="1" customWidth="1"/>
    <col min="6158" max="6400" width="8.85546875" style="4"/>
    <col min="6401" max="6401" width="1.7109375" style="4" customWidth="1"/>
    <col min="6402" max="6402" width="40.7109375" style="4" customWidth="1"/>
    <col min="6403" max="6407" width="10.7109375" style="4" customWidth="1"/>
    <col min="6408" max="6408" width="11.42578125" style="4" customWidth="1"/>
    <col min="6409" max="6410" width="12" style="4" customWidth="1"/>
    <col min="6411" max="6412" width="8.85546875" style="4"/>
    <col min="6413" max="6413" width="10.7109375" style="4" bestFit="1" customWidth="1"/>
    <col min="6414" max="6656" width="8.85546875" style="4"/>
    <col min="6657" max="6657" width="1.7109375" style="4" customWidth="1"/>
    <col min="6658" max="6658" width="40.7109375" style="4" customWidth="1"/>
    <col min="6659" max="6663" width="10.7109375" style="4" customWidth="1"/>
    <col min="6664" max="6664" width="11.42578125" style="4" customWidth="1"/>
    <col min="6665" max="6666" width="12" style="4" customWidth="1"/>
    <col min="6667" max="6668" width="8.85546875" style="4"/>
    <col min="6669" max="6669" width="10.7109375" style="4" bestFit="1" customWidth="1"/>
    <col min="6670" max="6912" width="8.85546875" style="4"/>
    <col min="6913" max="6913" width="1.7109375" style="4" customWidth="1"/>
    <col min="6914" max="6914" width="40.7109375" style="4" customWidth="1"/>
    <col min="6915" max="6919" width="10.7109375" style="4" customWidth="1"/>
    <col min="6920" max="6920" width="11.42578125" style="4" customWidth="1"/>
    <col min="6921" max="6922" width="12" style="4" customWidth="1"/>
    <col min="6923" max="6924" width="8.85546875" style="4"/>
    <col min="6925" max="6925" width="10.7109375" style="4" bestFit="1" customWidth="1"/>
    <col min="6926" max="7168" width="8.85546875" style="4"/>
    <col min="7169" max="7169" width="1.7109375" style="4" customWidth="1"/>
    <col min="7170" max="7170" width="40.7109375" style="4" customWidth="1"/>
    <col min="7171" max="7175" width="10.7109375" style="4" customWidth="1"/>
    <col min="7176" max="7176" width="11.42578125" style="4" customWidth="1"/>
    <col min="7177" max="7178" width="12" style="4" customWidth="1"/>
    <col min="7179" max="7180" width="8.85546875" style="4"/>
    <col min="7181" max="7181" width="10.7109375" style="4" bestFit="1" customWidth="1"/>
    <col min="7182" max="7424" width="8.85546875" style="4"/>
    <col min="7425" max="7425" width="1.7109375" style="4" customWidth="1"/>
    <col min="7426" max="7426" width="40.7109375" style="4" customWidth="1"/>
    <col min="7427" max="7431" width="10.7109375" style="4" customWidth="1"/>
    <col min="7432" max="7432" width="11.42578125" style="4" customWidth="1"/>
    <col min="7433" max="7434" width="12" style="4" customWidth="1"/>
    <col min="7435" max="7436" width="8.85546875" style="4"/>
    <col min="7437" max="7437" width="10.7109375" style="4" bestFit="1" customWidth="1"/>
    <col min="7438" max="7680" width="8.85546875" style="4"/>
    <col min="7681" max="7681" width="1.7109375" style="4" customWidth="1"/>
    <col min="7682" max="7682" width="40.7109375" style="4" customWidth="1"/>
    <col min="7683" max="7687" width="10.7109375" style="4" customWidth="1"/>
    <col min="7688" max="7688" width="11.42578125" style="4" customWidth="1"/>
    <col min="7689" max="7690" width="12" style="4" customWidth="1"/>
    <col min="7691" max="7692" width="8.85546875" style="4"/>
    <col min="7693" max="7693" width="10.7109375" style="4" bestFit="1" customWidth="1"/>
    <col min="7694" max="7936" width="8.85546875" style="4"/>
    <col min="7937" max="7937" width="1.7109375" style="4" customWidth="1"/>
    <col min="7938" max="7938" width="40.7109375" style="4" customWidth="1"/>
    <col min="7939" max="7943" width="10.7109375" style="4" customWidth="1"/>
    <col min="7944" max="7944" width="11.42578125" style="4" customWidth="1"/>
    <col min="7945" max="7946" width="12" style="4" customWidth="1"/>
    <col min="7947" max="7948" width="8.85546875" style="4"/>
    <col min="7949" max="7949" width="10.7109375" style="4" bestFit="1" customWidth="1"/>
    <col min="7950" max="8192" width="8.85546875" style="4"/>
    <col min="8193" max="8193" width="1.7109375" style="4" customWidth="1"/>
    <col min="8194" max="8194" width="40.7109375" style="4" customWidth="1"/>
    <col min="8195" max="8199" width="10.7109375" style="4" customWidth="1"/>
    <col min="8200" max="8200" width="11.42578125" style="4" customWidth="1"/>
    <col min="8201" max="8202" width="12" style="4" customWidth="1"/>
    <col min="8203" max="8204" width="8.85546875" style="4"/>
    <col min="8205" max="8205" width="10.7109375" style="4" bestFit="1" customWidth="1"/>
    <col min="8206" max="8448" width="8.85546875" style="4"/>
    <col min="8449" max="8449" width="1.7109375" style="4" customWidth="1"/>
    <col min="8450" max="8450" width="40.7109375" style="4" customWidth="1"/>
    <col min="8451" max="8455" width="10.7109375" style="4" customWidth="1"/>
    <col min="8456" max="8456" width="11.42578125" style="4" customWidth="1"/>
    <col min="8457" max="8458" width="12" style="4" customWidth="1"/>
    <col min="8459" max="8460" width="8.85546875" style="4"/>
    <col min="8461" max="8461" width="10.7109375" style="4" bestFit="1" customWidth="1"/>
    <col min="8462" max="8704" width="8.85546875" style="4"/>
    <col min="8705" max="8705" width="1.7109375" style="4" customWidth="1"/>
    <col min="8706" max="8706" width="40.7109375" style="4" customWidth="1"/>
    <col min="8707" max="8711" width="10.7109375" style="4" customWidth="1"/>
    <col min="8712" max="8712" width="11.42578125" style="4" customWidth="1"/>
    <col min="8713" max="8714" width="12" style="4" customWidth="1"/>
    <col min="8715" max="8716" width="8.85546875" style="4"/>
    <col min="8717" max="8717" width="10.7109375" style="4" bestFit="1" customWidth="1"/>
    <col min="8718" max="8960" width="8.85546875" style="4"/>
    <col min="8961" max="8961" width="1.7109375" style="4" customWidth="1"/>
    <col min="8962" max="8962" width="40.7109375" style="4" customWidth="1"/>
    <col min="8963" max="8967" width="10.7109375" style="4" customWidth="1"/>
    <col min="8968" max="8968" width="11.42578125" style="4" customWidth="1"/>
    <col min="8969" max="8970" width="12" style="4" customWidth="1"/>
    <col min="8971" max="8972" width="8.85546875" style="4"/>
    <col min="8973" max="8973" width="10.7109375" style="4" bestFit="1" customWidth="1"/>
    <col min="8974" max="9216" width="8.85546875" style="4"/>
    <col min="9217" max="9217" width="1.7109375" style="4" customWidth="1"/>
    <col min="9218" max="9218" width="40.7109375" style="4" customWidth="1"/>
    <col min="9219" max="9223" width="10.7109375" style="4" customWidth="1"/>
    <col min="9224" max="9224" width="11.42578125" style="4" customWidth="1"/>
    <col min="9225" max="9226" width="12" style="4" customWidth="1"/>
    <col min="9227" max="9228" width="8.85546875" style="4"/>
    <col min="9229" max="9229" width="10.7109375" style="4" bestFit="1" customWidth="1"/>
    <col min="9230" max="9472" width="8.85546875" style="4"/>
    <col min="9473" max="9473" width="1.7109375" style="4" customWidth="1"/>
    <col min="9474" max="9474" width="40.7109375" style="4" customWidth="1"/>
    <col min="9475" max="9479" width="10.7109375" style="4" customWidth="1"/>
    <col min="9480" max="9480" width="11.42578125" style="4" customWidth="1"/>
    <col min="9481" max="9482" width="12" style="4" customWidth="1"/>
    <col min="9483" max="9484" width="8.85546875" style="4"/>
    <col min="9485" max="9485" width="10.7109375" style="4" bestFit="1" customWidth="1"/>
    <col min="9486" max="9728" width="8.85546875" style="4"/>
    <col min="9729" max="9729" width="1.7109375" style="4" customWidth="1"/>
    <col min="9730" max="9730" width="40.7109375" style="4" customWidth="1"/>
    <col min="9731" max="9735" width="10.7109375" style="4" customWidth="1"/>
    <col min="9736" max="9736" width="11.42578125" style="4" customWidth="1"/>
    <col min="9737" max="9738" width="12" style="4" customWidth="1"/>
    <col min="9739" max="9740" width="8.85546875" style="4"/>
    <col min="9741" max="9741" width="10.7109375" style="4" bestFit="1" customWidth="1"/>
    <col min="9742" max="9984" width="8.85546875" style="4"/>
    <col min="9985" max="9985" width="1.7109375" style="4" customWidth="1"/>
    <col min="9986" max="9986" width="40.7109375" style="4" customWidth="1"/>
    <col min="9987" max="9991" width="10.7109375" style="4" customWidth="1"/>
    <col min="9992" max="9992" width="11.42578125" style="4" customWidth="1"/>
    <col min="9993" max="9994" width="12" style="4" customWidth="1"/>
    <col min="9995" max="9996" width="8.85546875" style="4"/>
    <col min="9997" max="9997" width="10.7109375" style="4" bestFit="1" customWidth="1"/>
    <col min="9998" max="10240" width="8.85546875" style="4"/>
    <col min="10241" max="10241" width="1.7109375" style="4" customWidth="1"/>
    <col min="10242" max="10242" width="40.7109375" style="4" customWidth="1"/>
    <col min="10243" max="10247" width="10.7109375" style="4" customWidth="1"/>
    <col min="10248" max="10248" width="11.42578125" style="4" customWidth="1"/>
    <col min="10249" max="10250" width="12" style="4" customWidth="1"/>
    <col min="10251" max="10252" width="8.85546875" style="4"/>
    <col min="10253" max="10253" width="10.7109375" style="4" bestFit="1" customWidth="1"/>
    <col min="10254" max="10496" width="8.85546875" style="4"/>
    <col min="10497" max="10497" width="1.7109375" style="4" customWidth="1"/>
    <col min="10498" max="10498" width="40.7109375" style="4" customWidth="1"/>
    <col min="10499" max="10503" width="10.7109375" style="4" customWidth="1"/>
    <col min="10504" max="10504" width="11.42578125" style="4" customWidth="1"/>
    <col min="10505" max="10506" width="12" style="4" customWidth="1"/>
    <col min="10507" max="10508" width="8.85546875" style="4"/>
    <col min="10509" max="10509" width="10.7109375" style="4" bestFit="1" customWidth="1"/>
    <col min="10510" max="10752" width="8.85546875" style="4"/>
    <col min="10753" max="10753" width="1.7109375" style="4" customWidth="1"/>
    <col min="10754" max="10754" width="40.7109375" style="4" customWidth="1"/>
    <col min="10755" max="10759" width="10.7109375" style="4" customWidth="1"/>
    <col min="10760" max="10760" width="11.42578125" style="4" customWidth="1"/>
    <col min="10761" max="10762" width="12" style="4" customWidth="1"/>
    <col min="10763" max="10764" width="8.85546875" style="4"/>
    <col min="10765" max="10765" width="10.7109375" style="4" bestFit="1" customWidth="1"/>
    <col min="10766" max="11008" width="8.85546875" style="4"/>
    <col min="11009" max="11009" width="1.7109375" style="4" customWidth="1"/>
    <col min="11010" max="11010" width="40.7109375" style="4" customWidth="1"/>
    <col min="11011" max="11015" width="10.7109375" style="4" customWidth="1"/>
    <col min="11016" max="11016" width="11.42578125" style="4" customWidth="1"/>
    <col min="11017" max="11018" width="12" style="4" customWidth="1"/>
    <col min="11019" max="11020" width="8.85546875" style="4"/>
    <col min="11021" max="11021" width="10.7109375" style="4" bestFit="1" customWidth="1"/>
    <col min="11022" max="11264" width="8.85546875" style="4"/>
    <col min="11265" max="11265" width="1.7109375" style="4" customWidth="1"/>
    <col min="11266" max="11266" width="40.7109375" style="4" customWidth="1"/>
    <col min="11267" max="11271" width="10.7109375" style="4" customWidth="1"/>
    <col min="11272" max="11272" width="11.42578125" style="4" customWidth="1"/>
    <col min="11273" max="11274" width="12" style="4" customWidth="1"/>
    <col min="11275" max="11276" width="8.85546875" style="4"/>
    <col min="11277" max="11277" width="10.7109375" style="4" bestFit="1" customWidth="1"/>
    <col min="11278" max="11520" width="8.85546875" style="4"/>
    <col min="11521" max="11521" width="1.7109375" style="4" customWidth="1"/>
    <col min="11522" max="11522" width="40.7109375" style="4" customWidth="1"/>
    <col min="11523" max="11527" width="10.7109375" style="4" customWidth="1"/>
    <col min="11528" max="11528" width="11.42578125" style="4" customWidth="1"/>
    <col min="11529" max="11530" width="12" style="4" customWidth="1"/>
    <col min="11531" max="11532" width="8.85546875" style="4"/>
    <col min="11533" max="11533" width="10.7109375" style="4" bestFit="1" customWidth="1"/>
    <col min="11534" max="11776" width="8.85546875" style="4"/>
    <col min="11777" max="11777" width="1.7109375" style="4" customWidth="1"/>
    <col min="11778" max="11778" width="40.7109375" style="4" customWidth="1"/>
    <col min="11779" max="11783" width="10.7109375" style="4" customWidth="1"/>
    <col min="11784" max="11784" width="11.42578125" style="4" customWidth="1"/>
    <col min="11785" max="11786" width="12" style="4" customWidth="1"/>
    <col min="11787" max="11788" width="8.85546875" style="4"/>
    <col min="11789" max="11789" width="10.7109375" style="4" bestFit="1" customWidth="1"/>
    <col min="11790" max="12032" width="8.85546875" style="4"/>
    <col min="12033" max="12033" width="1.7109375" style="4" customWidth="1"/>
    <col min="12034" max="12034" width="40.7109375" style="4" customWidth="1"/>
    <col min="12035" max="12039" width="10.7109375" style="4" customWidth="1"/>
    <col min="12040" max="12040" width="11.42578125" style="4" customWidth="1"/>
    <col min="12041" max="12042" width="12" style="4" customWidth="1"/>
    <col min="12043" max="12044" width="8.85546875" style="4"/>
    <col min="12045" max="12045" width="10.7109375" style="4" bestFit="1" customWidth="1"/>
    <col min="12046" max="12288" width="8.85546875" style="4"/>
    <col min="12289" max="12289" width="1.7109375" style="4" customWidth="1"/>
    <col min="12290" max="12290" width="40.7109375" style="4" customWidth="1"/>
    <col min="12291" max="12295" width="10.7109375" style="4" customWidth="1"/>
    <col min="12296" max="12296" width="11.42578125" style="4" customWidth="1"/>
    <col min="12297" max="12298" width="12" style="4" customWidth="1"/>
    <col min="12299" max="12300" width="8.85546875" style="4"/>
    <col min="12301" max="12301" width="10.7109375" style="4" bestFit="1" customWidth="1"/>
    <col min="12302" max="12544" width="8.85546875" style="4"/>
    <col min="12545" max="12545" width="1.7109375" style="4" customWidth="1"/>
    <col min="12546" max="12546" width="40.7109375" style="4" customWidth="1"/>
    <col min="12547" max="12551" width="10.7109375" style="4" customWidth="1"/>
    <col min="12552" max="12552" width="11.42578125" style="4" customWidth="1"/>
    <col min="12553" max="12554" width="12" style="4" customWidth="1"/>
    <col min="12555" max="12556" width="8.85546875" style="4"/>
    <col min="12557" max="12557" width="10.7109375" style="4" bestFit="1" customWidth="1"/>
    <col min="12558" max="12800" width="8.85546875" style="4"/>
    <col min="12801" max="12801" width="1.7109375" style="4" customWidth="1"/>
    <col min="12802" max="12802" width="40.7109375" style="4" customWidth="1"/>
    <col min="12803" max="12807" width="10.7109375" style="4" customWidth="1"/>
    <col min="12808" max="12808" width="11.42578125" style="4" customWidth="1"/>
    <col min="12809" max="12810" width="12" style="4" customWidth="1"/>
    <col min="12811" max="12812" width="8.85546875" style="4"/>
    <col min="12813" max="12813" width="10.7109375" style="4" bestFit="1" customWidth="1"/>
    <col min="12814" max="13056" width="8.85546875" style="4"/>
    <col min="13057" max="13057" width="1.7109375" style="4" customWidth="1"/>
    <col min="13058" max="13058" width="40.7109375" style="4" customWidth="1"/>
    <col min="13059" max="13063" width="10.7109375" style="4" customWidth="1"/>
    <col min="13064" max="13064" width="11.42578125" style="4" customWidth="1"/>
    <col min="13065" max="13066" width="12" style="4" customWidth="1"/>
    <col min="13067" max="13068" width="8.85546875" style="4"/>
    <col min="13069" max="13069" width="10.7109375" style="4" bestFit="1" customWidth="1"/>
    <col min="13070" max="13312" width="8.85546875" style="4"/>
    <col min="13313" max="13313" width="1.7109375" style="4" customWidth="1"/>
    <col min="13314" max="13314" width="40.7109375" style="4" customWidth="1"/>
    <col min="13315" max="13319" width="10.7109375" style="4" customWidth="1"/>
    <col min="13320" max="13320" width="11.42578125" style="4" customWidth="1"/>
    <col min="13321" max="13322" width="12" style="4" customWidth="1"/>
    <col min="13323" max="13324" width="8.85546875" style="4"/>
    <col min="13325" max="13325" width="10.7109375" style="4" bestFit="1" customWidth="1"/>
    <col min="13326" max="13568" width="8.85546875" style="4"/>
    <col min="13569" max="13569" width="1.7109375" style="4" customWidth="1"/>
    <col min="13570" max="13570" width="40.7109375" style="4" customWidth="1"/>
    <col min="13571" max="13575" width="10.7109375" style="4" customWidth="1"/>
    <col min="13576" max="13576" width="11.42578125" style="4" customWidth="1"/>
    <col min="13577" max="13578" width="12" style="4" customWidth="1"/>
    <col min="13579" max="13580" width="8.85546875" style="4"/>
    <col min="13581" max="13581" width="10.7109375" style="4" bestFit="1" customWidth="1"/>
    <col min="13582" max="13824" width="8.85546875" style="4"/>
    <col min="13825" max="13825" width="1.7109375" style="4" customWidth="1"/>
    <col min="13826" max="13826" width="40.7109375" style="4" customWidth="1"/>
    <col min="13827" max="13831" width="10.7109375" style="4" customWidth="1"/>
    <col min="13832" max="13832" width="11.42578125" style="4" customWidth="1"/>
    <col min="13833" max="13834" width="12" style="4" customWidth="1"/>
    <col min="13835" max="13836" width="8.85546875" style="4"/>
    <col min="13837" max="13837" width="10.7109375" style="4" bestFit="1" customWidth="1"/>
    <col min="13838" max="14080" width="8.85546875" style="4"/>
    <col min="14081" max="14081" width="1.7109375" style="4" customWidth="1"/>
    <col min="14082" max="14082" width="40.7109375" style="4" customWidth="1"/>
    <col min="14083" max="14087" width="10.7109375" style="4" customWidth="1"/>
    <col min="14088" max="14088" width="11.42578125" style="4" customWidth="1"/>
    <col min="14089" max="14090" width="12" style="4" customWidth="1"/>
    <col min="14091" max="14092" width="8.85546875" style="4"/>
    <col min="14093" max="14093" width="10.7109375" style="4" bestFit="1" customWidth="1"/>
    <col min="14094" max="14336" width="8.85546875" style="4"/>
    <col min="14337" max="14337" width="1.7109375" style="4" customWidth="1"/>
    <col min="14338" max="14338" width="40.7109375" style="4" customWidth="1"/>
    <col min="14339" max="14343" width="10.7109375" style="4" customWidth="1"/>
    <col min="14344" max="14344" width="11.42578125" style="4" customWidth="1"/>
    <col min="14345" max="14346" width="12" style="4" customWidth="1"/>
    <col min="14347" max="14348" width="8.85546875" style="4"/>
    <col min="14349" max="14349" width="10.7109375" style="4" bestFit="1" customWidth="1"/>
    <col min="14350" max="14592" width="8.85546875" style="4"/>
    <col min="14593" max="14593" width="1.7109375" style="4" customWidth="1"/>
    <col min="14594" max="14594" width="40.7109375" style="4" customWidth="1"/>
    <col min="14595" max="14599" width="10.7109375" style="4" customWidth="1"/>
    <col min="14600" max="14600" width="11.42578125" style="4" customWidth="1"/>
    <col min="14601" max="14602" width="12" style="4" customWidth="1"/>
    <col min="14603" max="14604" width="8.85546875" style="4"/>
    <col min="14605" max="14605" width="10.7109375" style="4" bestFit="1" customWidth="1"/>
    <col min="14606" max="14848" width="8.85546875" style="4"/>
    <col min="14849" max="14849" width="1.7109375" style="4" customWidth="1"/>
    <col min="14850" max="14850" width="40.7109375" style="4" customWidth="1"/>
    <col min="14851" max="14855" width="10.7109375" style="4" customWidth="1"/>
    <col min="14856" max="14856" width="11.42578125" style="4" customWidth="1"/>
    <col min="14857" max="14858" width="12" style="4" customWidth="1"/>
    <col min="14859" max="14860" width="8.85546875" style="4"/>
    <col min="14861" max="14861" width="10.7109375" style="4" bestFit="1" customWidth="1"/>
    <col min="14862" max="15104" width="8.85546875" style="4"/>
    <col min="15105" max="15105" width="1.7109375" style="4" customWidth="1"/>
    <col min="15106" max="15106" width="40.7109375" style="4" customWidth="1"/>
    <col min="15107" max="15111" width="10.7109375" style="4" customWidth="1"/>
    <col min="15112" max="15112" width="11.42578125" style="4" customWidth="1"/>
    <col min="15113" max="15114" width="12" style="4" customWidth="1"/>
    <col min="15115" max="15116" width="8.85546875" style="4"/>
    <col min="15117" max="15117" width="10.7109375" style="4" bestFit="1" customWidth="1"/>
    <col min="15118" max="15360" width="8.85546875" style="4"/>
    <col min="15361" max="15361" width="1.7109375" style="4" customWidth="1"/>
    <col min="15362" max="15362" width="40.7109375" style="4" customWidth="1"/>
    <col min="15363" max="15367" width="10.7109375" style="4" customWidth="1"/>
    <col min="15368" max="15368" width="11.42578125" style="4" customWidth="1"/>
    <col min="15369" max="15370" width="12" style="4" customWidth="1"/>
    <col min="15371" max="15372" width="8.85546875" style="4"/>
    <col min="15373" max="15373" width="10.7109375" style="4" bestFit="1" customWidth="1"/>
    <col min="15374" max="15616" width="8.85546875" style="4"/>
    <col min="15617" max="15617" width="1.7109375" style="4" customWidth="1"/>
    <col min="15618" max="15618" width="40.7109375" style="4" customWidth="1"/>
    <col min="15619" max="15623" width="10.7109375" style="4" customWidth="1"/>
    <col min="15624" max="15624" width="11.42578125" style="4" customWidth="1"/>
    <col min="15625" max="15626" width="12" style="4" customWidth="1"/>
    <col min="15627" max="15628" width="8.85546875" style="4"/>
    <col min="15629" max="15629" width="10.7109375" style="4" bestFit="1" customWidth="1"/>
    <col min="15630" max="15872" width="8.85546875" style="4"/>
    <col min="15873" max="15873" width="1.7109375" style="4" customWidth="1"/>
    <col min="15874" max="15874" width="40.7109375" style="4" customWidth="1"/>
    <col min="15875" max="15879" width="10.7109375" style="4" customWidth="1"/>
    <col min="15880" max="15880" width="11.42578125" style="4" customWidth="1"/>
    <col min="15881" max="15882" width="12" style="4" customWidth="1"/>
    <col min="15883" max="15884" width="8.85546875" style="4"/>
    <col min="15885" max="15885" width="10.7109375" style="4" bestFit="1" customWidth="1"/>
    <col min="15886" max="16128" width="8.85546875" style="4"/>
    <col min="16129" max="16129" width="1.7109375" style="4" customWidth="1"/>
    <col min="16130" max="16130" width="40.7109375" style="4" customWidth="1"/>
    <col min="16131" max="16135" width="10.7109375" style="4" customWidth="1"/>
    <col min="16136" max="16136" width="11.42578125" style="4" customWidth="1"/>
    <col min="16137" max="16138" width="12" style="4" customWidth="1"/>
    <col min="16139" max="16140" width="8.85546875" style="4"/>
    <col min="16141" max="16141" width="10.7109375" style="4" bestFit="1" customWidth="1"/>
    <col min="16142" max="16384" width="8.85546875" style="4"/>
  </cols>
  <sheetData>
    <row r="1" spans="1:15" s="2" customFormat="1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x14ac:dyDescent="0.25">
      <c r="A2" s="16" t="s">
        <v>10</v>
      </c>
      <c r="B2" s="15"/>
      <c r="C2" s="257">
        <v>44926</v>
      </c>
      <c r="D2" s="257">
        <v>45291</v>
      </c>
      <c r="E2" s="257">
        <v>45657</v>
      </c>
      <c r="F2" s="109">
        <v>46022</v>
      </c>
      <c r="G2" s="109">
        <v>46387</v>
      </c>
      <c r="H2" s="109">
        <v>46752</v>
      </c>
      <c r="I2" s="109">
        <v>47118</v>
      </c>
      <c r="J2" s="109">
        <v>47483</v>
      </c>
      <c r="K2" s="207">
        <v>2030</v>
      </c>
      <c r="L2" s="207">
        <v>2031</v>
      </c>
      <c r="M2" s="207">
        <v>2032</v>
      </c>
      <c r="N2" s="207">
        <f>M2+1</f>
        <v>2033</v>
      </c>
      <c r="O2" s="207">
        <f>N2+1</f>
        <v>2034</v>
      </c>
    </row>
    <row r="3" spans="1:15" x14ac:dyDescent="0.25">
      <c r="A3" s="88"/>
      <c r="C3" s="101"/>
      <c r="D3" s="101"/>
      <c r="E3" s="101"/>
    </row>
    <row r="4" spans="1:15" x14ac:dyDescent="0.25">
      <c r="B4" s="31" t="s">
        <v>42</v>
      </c>
      <c r="C4" s="32"/>
      <c r="D4" s="32"/>
      <c r="E4" s="33"/>
      <c r="F4" s="184">
        <f>Assumptions!F10</f>
        <v>0.32813767694395968</v>
      </c>
      <c r="G4" s="184">
        <f>Assumptions!G10</f>
        <v>0.3349516582395029</v>
      </c>
      <c r="H4" s="184">
        <f>Assumptions!H10</f>
        <v>0.40000000000000013</v>
      </c>
      <c r="I4" s="184">
        <f>Assumptions!I10</f>
        <v>0.41999999999999993</v>
      </c>
      <c r="J4" s="184">
        <f>Assumptions!J10</f>
        <v>0.37999999999999989</v>
      </c>
      <c r="K4" s="184">
        <f>Assumptions!K10</f>
        <v>0.33999999999999986</v>
      </c>
      <c r="L4" s="184">
        <f>Assumptions!L10</f>
        <v>0.30000000000000004</v>
      </c>
      <c r="M4" s="184">
        <f>Assumptions!M10</f>
        <v>0.26</v>
      </c>
      <c r="N4" s="184">
        <f>Assumptions!N10</f>
        <v>0.2200000000000002</v>
      </c>
      <c r="O4" s="184">
        <f>Assumptions!O10</f>
        <v>0.17999999999999972</v>
      </c>
    </row>
    <row r="5" spans="1:15" x14ac:dyDescent="0.25">
      <c r="B5" s="31" t="s">
        <v>43</v>
      </c>
      <c r="C5" s="32"/>
      <c r="D5" s="32"/>
      <c r="E5" s="32"/>
      <c r="F5" s="184">
        <f>Assumptions!F11</f>
        <v>0.49899602482063216</v>
      </c>
      <c r="G5" s="184">
        <f>Assumptions!G11</f>
        <v>0.49149602482063215</v>
      </c>
      <c r="H5" s="184">
        <f>Assumptions!H11</f>
        <v>0.48399602482063214</v>
      </c>
      <c r="I5" s="184">
        <f>Assumptions!I11</f>
        <v>0.47649602482063214</v>
      </c>
      <c r="J5" s="184">
        <f>Assumptions!J11</f>
        <v>0.46899602482063213</v>
      </c>
      <c r="K5" s="184">
        <f>Assumptions!K11</f>
        <v>0.46149602482063212</v>
      </c>
      <c r="L5" s="184">
        <f>Assumptions!L11</f>
        <v>0.45399602482063212</v>
      </c>
      <c r="M5" s="184">
        <f>Assumptions!M11</f>
        <v>0.44649602482063211</v>
      </c>
      <c r="N5" s="184">
        <f>Assumptions!N11</f>
        <v>0.4389960248206321</v>
      </c>
      <c r="O5" s="184">
        <f>Assumptions!O11</f>
        <v>0.4314960248206321</v>
      </c>
    </row>
    <row r="6" spans="1:15" x14ac:dyDescent="0.25">
      <c r="B6" s="31" t="s">
        <v>178</v>
      </c>
      <c r="C6" s="203"/>
      <c r="D6" s="203"/>
      <c r="E6" s="33"/>
      <c r="F6" s="184">
        <f>Assumptions!F12</f>
        <v>0.24537812681791737</v>
      </c>
      <c r="G6" s="184">
        <f>Assumptions!G12</f>
        <v>0.24037812681791737</v>
      </c>
      <c r="H6" s="184">
        <f>Assumptions!H12</f>
        <v>0.23537812681791737</v>
      </c>
      <c r="I6" s="184">
        <f>Assumptions!I12</f>
        <v>0.23037812681791736</v>
      </c>
      <c r="J6" s="184">
        <f>Assumptions!J12</f>
        <v>0.22537812681791736</v>
      </c>
      <c r="K6" s="184">
        <f>Assumptions!K12</f>
        <v>0.22037812681791735</v>
      </c>
      <c r="L6" s="184">
        <f>Assumptions!L12</f>
        <v>0.21537812681791735</v>
      </c>
      <c r="M6" s="184">
        <f>Assumptions!M12</f>
        <v>0.21037812681791734</v>
      </c>
      <c r="N6" s="184">
        <f>Assumptions!N12</f>
        <v>0.20537812681791734</v>
      </c>
      <c r="O6" s="184">
        <f>Assumptions!O12</f>
        <v>0.20037812681791733</v>
      </c>
    </row>
    <row r="7" spans="1:15" x14ac:dyDescent="0.25">
      <c r="B7" s="31" t="s">
        <v>44</v>
      </c>
      <c r="C7" s="32"/>
      <c r="D7" s="32"/>
      <c r="E7" s="32"/>
      <c r="F7" s="184">
        <f>Assumptions!F13</f>
        <v>0.15908764785728136</v>
      </c>
      <c r="G7" s="184">
        <f>Assumptions!G13</f>
        <v>0.15408764785728135</v>
      </c>
      <c r="H7" s="184">
        <f>Assumptions!H13</f>
        <v>0.14908764785728135</v>
      </c>
      <c r="I7" s="184">
        <f>Assumptions!I13</f>
        <v>0.14408764785728134</v>
      </c>
      <c r="J7" s="184">
        <f>Assumptions!J13</f>
        <v>0.13908764785728134</v>
      </c>
      <c r="K7" s="184">
        <f>Assumptions!K13</f>
        <v>0.13408764785728133</v>
      </c>
      <c r="L7" s="184">
        <f>Assumptions!L13</f>
        <v>0.12908764785728133</v>
      </c>
      <c r="M7" s="184">
        <f>Assumptions!M13</f>
        <v>0.12408764785728132</v>
      </c>
      <c r="N7" s="184">
        <f>Assumptions!N13</f>
        <v>0.11908764785728132</v>
      </c>
      <c r="O7" s="184">
        <f>Assumptions!O13</f>
        <v>0.11408764785728132</v>
      </c>
    </row>
    <row r="8" spans="1:15" x14ac:dyDescent="0.25">
      <c r="A8" s="88"/>
      <c r="B8" s="4" t="s">
        <v>45</v>
      </c>
      <c r="C8" s="31"/>
      <c r="D8" s="31"/>
      <c r="E8" s="31"/>
      <c r="F8" s="185">
        <f>Assumptions!F14</f>
        <v>2000</v>
      </c>
      <c r="G8" s="185">
        <f>Assumptions!G14</f>
        <v>2000</v>
      </c>
      <c r="H8" s="185">
        <f>Assumptions!H14</f>
        <v>2000</v>
      </c>
      <c r="I8" s="185">
        <f>Assumptions!I14</f>
        <v>2000</v>
      </c>
      <c r="J8" s="185">
        <f>Assumptions!J14</f>
        <v>2000</v>
      </c>
      <c r="K8" s="185">
        <f>Assumptions!K14</f>
        <v>2000</v>
      </c>
      <c r="L8" s="185">
        <f>Assumptions!L14</f>
        <v>2000</v>
      </c>
      <c r="M8" s="185">
        <f>Assumptions!M14</f>
        <v>2000</v>
      </c>
      <c r="N8" s="185">
        <f>Assumptions!N14</f>
        <v>2000</v>
      </c>
      <c r="O8" s="185">
        <f>Assumptions!O14</f>
        <v>2000</v>
      </c>
    </row>
    <row r="9" spans="1:15" x14ac:dyDescent="0.25">
      <c r="A9" s="88"/>
      <c r="B9" s="4" t="s">
        <v>46</v>
      </c>
      <c r="C9" s="31"/>
      <c r="D9" s="31"/>
      <c r="E9" s="31"/>
      <c r="F9" s="186">
        <f>Assumptions!F15</f>
        <v>0</v>
      </c>
      <c r="G9" s="186">
        <f>Assumptions!G15</f>
        <v>0</v>
      </c>
      <c r="H9" s="186">
        <f>Assumptions!H15</f>
        <v>0</v>
      </c>
      <c r="I9" s="186">
        <f>Assumptions!I15</f>
        <v>0</v>
      </c>
      <c r="J9" s="186">
        <f>Assumptions!J15</f>
        <v>0</v>
      </c>
      <c r="K9" s="186">
        <f>Assumptions!K15</f>
        <v>0</v>
      </c>
      <c r="L9" s="186">
        <f>Assumptions!L15</f>
        <v>0</v>
      </c>
      <c r="M9" s="186">
        <f>Assumptions!M15</f>
        <v>0</v>
      </c>
      <c r="N9" s="186">
        <f>Assumptions!N15</f>
        <v>0</v>
      </c>
      <c r="O9" s="186">
        <f>Assumptions!O15</f>
        <v>0</v>
      </c>
    </row>
    <row r="10" spans="1:15" x14ac:dyDescent="0.25">
      <c r="B10" s="4" t="s">
        <v>144</v>
      </c>
      <c r="F10" s="186">
        <f>Assumptions!F16</f>
        <v>0</v>
      </c>
      <c r="G10" s="186">
        <f>Assumptions!G16</f>
        <v>0</v>
      </c>
      <c r="H10" s="186">
        <f>Assumptions!H16</f>
        <v>0</v>
      </c>
      <c r="I10" s="186">
        <f>Assumptions!I16</f>
        <v>0</v>
      </c>
      <c r="J10" s="186">
        <f>Assumptions!J16</f>
        <v>0</v>
      </c>
      <c r="K10" s="186">
        <f>Assumptions!K16</f>
        <v>0</v>
      </c>
      <c r="L10" s="186">
        <f>Assumptions!L16</f>
        <v>0</v>
      </c>
      <c r="M10" s="186">
        <f>Assumptions!M16</f>
        <v>0</v>
      </c>
      <c r="N10" s="186">
        <f>Assumptions!N16</f>
        <v>0</v>
      </c>
      <c r="O10" s="186">
        <f>Assumptions!O16</f>
        <v>0</v>
      </c>
    </row>
    <row r="11" spans="1:15" x14ac:dyDescent="0.25">
      <c r="B11" s="31" t="s">
        <v>47</v>
      </c>
      <c r="C11" s="44"/>
      <c r="D11" s="44"/>
      <c r="E11" s="44"/>
      <c r="F11" s="184">
        <f>Assumptions!F17</f>
        <v>0.17496229260935142</v>
      </c>
      <c r="G11" s="184">
        <f>Assumptions!G17</f>
        <v>0.17496229260935142</v>
      </c>
      <c r="H11" s="184">
        <f>Assumptions!H17</f>
        <v>0.17496229260935142</v>
      </c>
      <c r="I11" s="184">
        <f>Assumptions!I17</f>
        <v>0.17496229260935142</v>
      </c>
      <c r="J11" s="184">
        <f>Assumptions!J17</f>
        <v>0.17496229260935142</v>
      </c>
      <c r="K11" s="184">
        <f>Assumptions!K17</f>
        <v>0.17496229260935142</v>
      </c>
      <c r="L11" s="184">
        <f>Assumptions!L17</f>
        <v>0.17496229260935142</v>
      </c>
      <c r="M11" s="184">
        <f>Assumptions!M17</f>
        <v>0.17496229260935142</v>
      </c>
      <c r="N11" s="184">
        <f>Assumptions!N17</f>
        <v>0.17496229260935142</v>
      </c>
      <c r="O11" s="184">
        <f>Assumptions!O17</f>
        <v>0.17496229260935142</v>
      </c>
    </row>
    <row r="12" spans="1:15" x14ac:dyDescent="0.25">
      <c r="B12" s="4" t="s">
        <v>48</v>
      </c>
      <c r="C12" s="31"/>
      <c r="D12" s="31"/>
      <c r="E12" s="40"/>
      <c r="F12" s="186">
        <f>Assumptions!F18</f>
        <v>1620</v>
      </c>
      <c r="G12" s="186">
        <f>Assumptions!G18</f>
        <v>1620</v>
      </c>
      <c r="H12" s="186">
        <f>Assumptions!H18</f>
        <v>1620</v>
      </c>
      <c r="I12" s="186">
        <f>Assumptions!I18</f>
        <v>1620</v>
      </c>
      <c r="J12" s="186">
        <f>Assumptions!J18</f>
        <v>1620</v>
      </c>
      <c r="K12" s="186">
        <f>Assumptions!K18</f>
        <v>1620</v>
      </c>
      <c r="L12" s="186">
        <f>Assumptions!L18</f>
        <v>1620</v>
      </c>
      <c r="M12" s="186">
        <f>Assumptions!M18</f>
        <v>1620</v>
      </c>
      <c r="N12" s="186">
        <f>Assumptions!N18</f>
        <v>1620</v>
      </c>
      <c r="O12" s="186">
        <f>Assumptions!O18</f>
        <v>1620</v>
      </c>
    </row>
    <row r="13" spans="1:15" x14ac:dyDescent="0.25">
      <c r="B13" s="4" t="s">
        <v>49</v>
      </c>
      <c r="C13" s="31"/>
      <c r="D13" s="31"/>
      <c r="E13" s="40"/>
      <c r="F13" s="186">
        <f>Assumptions!F19</f>
        <v>1637</v>
      </c>
      <c r="G13" s="186">
        <f>Assumptions!G19</f>
        <v>1637</v>
      </c>
      <c r="H13" s="186">
        <f>Assumptions!H19</f>
        <v>1637</v>
      </c>
      <c r="I13" s="186">
        <f>Assumptions!I19</f>
        <v>1637</v>
      </c>
      <c r="J13" s="186">
        <f>Assumptions!J19</f>
        <v>1637</v>
      </c>
      <c r="K13" s="186">
        <f>Assumptions!K19</f>
        <v>1637</v>
      </c>
      <c r="L13" s="186">
        <f>Assumptions!L19</f>
        <v>1637</v>
      </c>
      <c r="M13" s="186">
        <f>Assumptions!M19</f>
        <v>1637</v>
      </c>
      <c r="N13" s="186">
        <f>Assumptions!N19</f>
        <v>1637</v>
      </c>
      <c r="O13" s="186">
        <f>Assumptions!O19</f>
        <v>1637</v>
      </c>
    </row>
    <row r="14" spans="1:15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85" customHeight="1" x14ac:dyDescent="0.25">
      <c r="A15" s="187" t="s">
        <v>41</v>
      </c>
      <c r="B15" s="188"/>
      <c r="C15" s="159">
        <f>C37</f>
        <v>44926</v>
      </c>
      <c r="D15" s="159">
        <f t="shared" ref="D15:J15" si="0">D37</f>
        <v>45291</v>
      </c>
      <c r="E15" s="159">
        <f t="shared" si="0"/>
        <v>45657</v>
      </c>
      <c r="F15" s="159">
        <f t="shared" si="0"/>
        <v>46022</v>
      </c>
      <c r="G15" s="159">
        <f t="shared" ref="G15:O15" si="1">G37</f>
        <v>46022</v>
      </c>
      <c r="H15" s="159">
        <f t="shared" si="1"/>
        <v>46022</v>
      </c>
      <c r="I15" s="159">
        <f t="shared" si="1"/>
        <v>46022</v>
      </c>
      <c r="J15" s="159">
        <f t="shared" si="1"/>
        <v>46022</v>
      </c>
      <c r="K15" s="159">
        <f t="shared" si="1"/>
        <v>46022</v>
      </c>
      <c r="L15" s="159">
        <f t="shared" si="1"/>
        <v>46022</v>
      </c>
      <c r="M15" s="159">
        <f t="shared" si="1"/>
        <v>46022</v>
      </c>
      <c r="N15" s="159">
        <f t="shared" si="1"/>
        <v>46022</v>
      </c>
      <c r="O15" s="159">
        <f t="shared" si="1"/>
        <v>46022</v>
      </c>
    </row>
    <row r="16" spans="1:15" x14ac:dyDescent="0.25">
      <c r="B16" s="4" t="s">
        <v>50</v>
      </c>
      <c r="C16" s="99">
        <v>23601</v>
      </c>
      <c r="D16" s="129">
        <v>22680</v>
      </c>
      <c r="E16" s="23">
        <v>25785</v>
      </c>
      <c r="F16" s="4">
        <f>E16*(1+F4)</f>
        <v>34246.03</v>
      </c>
      <c r="G16" s="4">
        <f t="shared" ref="G16:O16" si="2">F16*(1+G4)</f>
        <v>45716.79453661976</v>
      </c>
      <c r="H16" s="4">
        <f t="shared" si="2"/>
        <v>64003.512351267673</v>
      </c>
      <c r="I16" s="4">
        <f t="shared" si="2"/>
        <v>90884.987538800095</v>
      </c>
      <c r="J16" s="4">
        <f t="shared" si="2"/>
        <v>125421.28280354412</v>
      </c>
      <c r="K16" s="4">
        <f t="shared" si="2"/>
        <v>168064.51895674909</v>
      </c>
      <c r="L16" s="4">
        <f t="shared" si="2"/>
        <v>218483.87464377383</v>
      </c>
      <c r="M16" s="4">
        <f t="shared" si="2"/>
        <v>275289.68205115502</v>
      </c>
      <c r="N16" s="4">
        <f t="shared" si="2"/>
        <v>335853.41210240917</v>
      </c>
      <c r="O16" s="4">
        <f t="shared" si="2"/>
        <v>396307.02628084272</v>
      </c>
    </row>
    <row r="17" spans="1:15" x14ac:dyDescent="0.25">
      <c r="B17" s="4" t="s">
        <v>156</v>
      </c>
      <c r="C17" s="129">
        <v>12998</v>
      </c>
      <c r="D17" s="129">
        <v>12220</v>
      </c>
      <c r="E17" s="23">
        <v>13060</v>
      </c>
      <c r="F17" s="182">
        <f>F16*F5</f>
        <v>17088.632835888115</v>
      </c>
      <c r="G17" s="182">
        <f t="shared" ref="G17:O17" si="3">G16*G5</f>
        <v>22469.622782290207</v>
      </c>
      <c r="H17" s="182">
        <f t="shared" si="3"/>
        <v>30977.445552571786</v>
      </c>
      <c r="I17" s="182">
        <f t="shared" si="3"/>
        <v>43306.335278110935</v>
      </c>
      <c r="J17" s="182">
        <f t="shared" si="3"/>
        <v>58822.083062766498</v>
      </c>
      <c r="K17" s="182">
        <f t="shared" si="3"/>
        <v>77561.107411931473</v>
      </c>
      <c r="L17" s="182">
        <f t="shared" si="3"/>
        <v>99190.810575682626</v>
      </c>
      <c r="M17" s="182">
        <f t="shared" si="3"/>
        <v>122915.74870997643</v>
      </c>
      <c r="N17" s="182">
        <f t="shared" si="3"/>
        <v>147438.31283540319</v>
      </c>
      <c r="O17" s="182">
        <f t="shared" si="3"/>
        <v>171004.90644866941</v>
      </c>
    </row>
    <row r="18" spans="1:15" x14ac:dyDescent="0.25">
      <c r="B18" s="4" t="s">
        <v>177</v>
      </c>
      <c r="C18" s="129">
        <v>5005</v>
      </c>
      <c r="D18" s="129">
        <v>5872</v>
      </c>
      <c r="E18" s="23">
        <v>6456</v>
      </c>
      <c r="F18" s="182">
        <f>F16*F6</f>
        <v>8403.2266923502029</v>
      </c>
      <c r="G18" s="182">
        <f t="shared" ref="G18:O18" si="4">G16*G6</f>
        <v>10989.317434832257</v>
      </c>
      <c r="H18" s="182">
        <f t="shared" si="4"/>
        <v>15065.026847008823</v>
      </c>
      <c r="I18" s="182">
        <f t="shared" si="4"/>
        <v>20937.913185058529</v>
      </c>
      <c r="J18" s="182">
        <f t="shared" si="4"/>
        <v>28267.213781363043</v>
      </c>
      <c r="K18" s="182">
        <f t="shared" si="4"/>
        <v>37037.743872242725</v>
      </c>
      <c r="L18" s="182">
        <f t="shared" si="4"/>
        <v>47056.647660696675</v>
      </c>
      <c r="M18" s="182">
        <f t="shared" si="4"/>
        <v>57914.927642222036</v>
      </c>
      <c r="N18" s="182">
        <f t="shared" si="4"/>
        <v>68976.944662998852</v>
      </c>
      <c r="O18" s="182">
        <f t="shared" si="4"/>
        <v>79411.259570934402</v>
      </c>
    </row>
    <row r="19" spans="1:15" x14ac:dyDescent="0.25">
      <c r="B19" s="4" t="s">
        <v>51</v>
      </c>
      <c r="C19" s="129">
        <f>2336+2100</f>
        <v>4436</v>
      </c>
      <c r="D19" s="129">
        <f>2352+1869</f>
        <v>4221</v>
      </c>
      <c r="E19" s="23">
        <f>2783+1448</f>
        <v>4231</v>
      </c>
      <c r="F19" s="182">
        <f>F16*F7</f>
        <v>5448.1203611498931</v>
      </c>
      <c r="G19" s="182">
        <f t="shared" ref="G19:O19" si="5">G16*G7</f>
        <v>7044.3933377223493</v>
      </c>
      <c r="H19" s="182">
        <f t="shared" si="5"/>
        <v>9542.1331110549527</v>
      </c>
      <c r="I19" s="182">
        <f t="shared" si="5"/>
        <v>13095.404080004031</v>
      </c>
      <c r="J19" s="182">
        <f t="shared" si="5"/>
        <v>17444.551216387841</v>
      </c>
      <c r="K19" s="182">
        <f t="shared" si="5"/>
        <v>22535.376035175956</v>
      </c>
      <c r="L19" s="182">
        <f t="shared" si="5"/>
        <v>28203.569472509873</v>
      </c>
      <c r="M19" s="182">
        <f t="shared" si="5"/>
        <v>34160.049125106663</v>
      </c>
      <c r="N19" s="182">
        <f t="shared" si="5"/>
        <v>39995.992872118091</v>
      </c>
      <c r="O19" s="182">
        <f t="shared" si="5"/>
        <v>45213.736457695115</v>
      </c>
    </row>
    <row r="20" spans="1:15" s="11" customFormat="1" x14ac:dyDescent="0.25">
      <c r="A20" s="11" t="s">
        <v>124</v>
      </c>
      <c r="B20" s="17" t="s">
        <v>54</v>
      </c>
      <c r="C20" s="18">
        <f>C16-SUM(C17:C19)</f>
        <v>1162</v>
      </c>
      <c r="D20" s="18">
        <f t="shared" ref="D20:F20" si="6">D16-SUM(D17:D19)</f>
        <v>367</v>
      </c>
      <c r="E20" s="18">
        <f t="shared" si="6"/>
        <v>2038</v>
      </c>
      <c r="F20" s="18">
        <f t="shared" si="6"/>
        <v>3306.0501106117881</v>
      </c>
      <c r="G20" s="18">
        <f t="shared" ref="G20:O20" si="7">G16-SUM(G17:G19)</f>
        <v>5213.4609817749442</v>
      </c>
      <c r="H20" s="18">
        <f t="shared" si="7"/>
        <v>8418.9068406321094</v>
      </c>
      <c r="I20" s="18">
        <f t="shared" si="7"/>
        <v>13545.334995626603</v>
      </c>
      <c r="J20" s="18">
        <f t="shared" si="7"/>
        <v>20887.434743026737</v>
      </c>
      <c r="K20" s="18">
        <f t="shared" si="7"/>
        <v>30930.291637398943</v>
      </c>
      <c r="L20" s="18">
        <f t="shared" si="7"/>
        <v>44032.846934884641</v>
      </c>
      <c r="M20" s="18">
        <f t="shared" si="7"/>
        <v>60298.956573849893</v>
      </c>
      <c r="N20" s="18">
        <f t="shared" si="7"/>
        <v>79442.161731889064</v>
      </c>
      <c r="O20" s="18">
        <f t="shared" si="7"/>
        <v>100677.1238035438</v>
      </c>
    </row>
    <row r="21" spans="1:15" s="11" customFormat="1" x14ac:dyDescent="0.25">
      <c r="E21" s="36"/>
    </row>
    <row r="22" spans="1:15" s="11" customFormat="1" x14ac:dyDescent="0.25">
      <c r="B22" s="4" t="s">
        <v>15</v>
      </c>
      <c r="C22" s="130">
        <v>626</v>
      </c>
      <c r="D22" s="130">
        <v>642</v>
      </c>
      <c r="E22" s="26">
        <v>671</v>
      </c>
      <c r="F22" s="4">
        <f>Calcs!F8</f>
        <v>732.30198019801981</v>
      </c>
      <c r="G22" s="4">
        <f>Calcs!G8</f>
        <v>766.24261644870614</v>
      </c>
      <c r="H22" s="4">
        <f>Calcs!H8</f>
        <v>875.37376819856786</v>
      </c>
      <c r="I22" s="4">
        <f>Calcs!I8</f>
        <v>1087.7579726513786</v>
      </c>
      <c r="J22" s="4">
        <f>Calcs!J8</f>
        <v>1436.2328472794482</v>
      </c>
      <c r="K22" s="4">
        <f>Calcs!K8</f>
        <v>1936.7185824530491</v>
      </c>
      <c r="L22" s="4">
        <f>Calcs!L8</f>
        <v>2603.695405244021</v>
      </c>
      <c r="M22" s="4">
        <f>Calcs!M8</f>
        <v>3444.8066801625891</v>
      </c>
      <c r="N22" s="4">
        <f>Calcs!N8</f>
        <v>4455.0366952586855</v>
      </c>
      <c r="O22" s="4">
        <f>Calcs!O8</f>
        <v>5611.3058024230522</v>
      </c>
    </row>
    <row r="23" spans="1:15" s="11" customFormat="1" x14ac:dyDescent="0.25">
      <c r="B23" s="4" t="s">
        <v>53</v>
      </c>
      <c r="C23" s="99">
        <f>1448+2100</f>
        <v>3548</v>
      </c>
      <c r="D23" s="99">
        <f>942+1869</f>
        <v>2811</v>
      </c>
      <c r="E23" s="131">
        <f>946+1448</f>
        <v>2394</v>
      </c>
      <c r="F23" s="4">
        <f>F8</f>
        <v>2000</v>
      </c>
      <c r="G23" s="4">
        <f t="shared" ref="G23:O23" si="8">G8</f>
        <v>2000</v>
      </c>
      <c r="H23" s="4">
        <f t="shared" si="8"/>
        <v>2000</v>
      </c>
      <c r="I23" s="4">
        <f t="shared" si="8"/>
        <v>2000</v>
      </c>
      <c r="J23" s="4">
        <f t="shared" si="8"/>
        <v>2000</v>
      </c>
      <c r="K23" s="4">
        <f t="shared" si="8"/>
        <v>2000</v>
      </c>
      <c r="L23" s="4">
        <f t="shared" si="8"/>
        <v>2000</v>
      </c>
      <c r="M23" s="4">
        <f t="shared" si="8"/>
        <v>2000</v>
      </c>
      <c r="N23" s="4">
        <f t="shared" si="8"/>
        <v>2000</v>
      </c>
      <c r="O23" s="4">
        <f t="shared" si="8"/>
        <v>2000</v>
      </c>
    </row>
    <row r="24" spans="1:15" s="134" customFormat="1" x14ac:dyDescent="0.25">
      <c r="A24" s="134" t="s">
        <v>124</v>
      </c>
      <c r="B24" s="135" t="s">
        <v>52</v>
      </c>
      <c r="C24" s="136">
        <f>C20+C22</f>
        <v>1788</v>
      </c>
      <c r="D24" s="136">
        <f t="shared" ref="D24:F24" si="9">D20+D22</f>
        <v>1009</v>
      </c>
      <c r="E24" s="136">
        <f t="shared" si="9"/>
        <v>2709</v>
      </c>
      <c r="F24" s="136">
        <f t="shared" si="9"/>
        <v>4038.352090809808</v>
      </c>
      <c r="G24" s="136">
        <f t="shared" ref="G24:O24" si="10">G20+G22</f>
        <v>5979.7035982236503</v>
      </c>
      <c r="H24" s="136">
        <f t="shared" si="10"/>
        <v>9294.280608830677</v>
      </c>
      <c r="I24" s="136">
        <f t="shared" si="10"/>
        <v>14633.092968277982</v>
      </c>
      <c r="J24" s="136">
        <f t="shared" si="10"/>
        <v>22323.667590306184</v>
      </c>
      <c r="K24" s="136">
        <f t="shared" si="10"/>
        <v>32867.010219851989</v>
      </c>
      <c r="L24" s="136">
        <f t="shared" si="10"/>
        <v>46636.542340128661</v>
      </c>
      <c r="M24" s="136">
        <f t="shared" si="10"/>
        <v>63743.763254012483</v>
      </c>
      <c r="N24" s="136">
        <f t="shared" si="10"/>
        <v>83897.198427147756</v>
      </c>
      <c r="O24" s="136">
        <f t="shared" si="10"/>
        <v>106288.42960596686</v>
      </c>
    </row>
    <row r="25" spans="1:15" s="11" customFormat="1" x14ac:dyDescent="0.25">
      <c r="C25" s="13"/>
      <c r="D25" s="4"/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s="11" customFormat="1" x14ac:dyDescent="0.25">
      <c r="B26" s="4" t="s">
        <v>55</v>
      </c>
      <c r="C26" s="97"/>
      <c r="D26" s="97"/>
      <c r="E26" s="98">
        <v>-186</v>
      </c>
      <c r="F26" s="4">
        <f>F9</f>
        <v>0</v>
      </c>
      <c r="G26" s="4">
        <f t="shared" ref="G26:O26" si="11">G9</f>
        <v>0</v>
      </c>
      <c r="H26" s="4">
        <f t="shared" si="11"/>
        <v>0</v>
      </c>
      <c r="I26" s="4">
        <f t="shared" si="11"/>
        <v>0</v>
      </c>
      <c r="J26" s="4">
        <f t="shared" si="11"/>
        <v>0</v>
      </c>
      <c r="K26" s="4">
        <f t="shared" si="11"/>
        <v>0</v>
      </c>
      <c r="L26" s="4">
        <f t="shared" si="11"/>
        <v>0</v>
      </c>
      <c r="M26" s="4">
        <f t="shared" si="11"/>
        <v>0</v>
      </c>
      <c r="N26" s="4">
        <f t="shared" si="11"/>
        <v>0</v>
      </c>
      <c r="O26" s="4">
        <f t="shared" si="11"/>
        <v>0</v>
      </c>
    </row>
    <row r="27" spans="1:15" s="11" customFormat="1" x14ac:dyDescent="0.25">
      <c r="B27" s="4" t="s">
        <v>56</v>
      </c>
      <c r="C27" s="97">
        <v>102</v>
      </c>
      <c r="D27" s="97">
        <v>34</v>
      </c>
      <c r="E27" s="98">
        <v>48</v>
      </c>
      <c r="F27" s="4">
        <f>F10</f>
        <v>0</v>
      </c>
      <c r="G27" s="4">
        <f t="shared" ref="G27:O27" si="12">G10</f>
        <v>0</v>
      </c>
      <c r="H27" s="4">
        <f t="shared" si="12"/>
        <v>0</v>
      </c>
      <c r="I27" s="4">
        <f t="shared" si="12"/>
        <v>0</v>
      </c>
      <c r="J27" s="4">
        <f t="shared" si="12"/>
        <v>0</v>
      </c>
      <c r="K27" s="4">
        <f t="shared" si="12"/>
        <v>0</v>
      </c>
      <c r="L27" s="4">
        <f t="shared" si="12"/>
        <v>0</v>
      </c>
      <c r="M27" s="4">
        <f t="shared" si="12"/>
        <v>0</v>
      </c>
      <c r="N27" s="4">
        <f t="shared" si="12"/>
        <v>0</v>
      </c>
      <c r="O27" s="4">
        <f t="shared" si="12"/>
        <v>0</v>
      </c>
    </row>
    <row r="28" spans="1:15" s="11" customFormat="1" x14ac:dyDescent="0.25">
      <c r="B28" s="4"/>
      <c r="C28" s="10"/>
      <c r="D28" s="10"/>
      <c r="E28" s="23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s="11" customFormat="1" x14ac:dyDescent="0.25">
      <c r="B29" s="4" t="s">
        <v>40</v>
      </c>
      <c r="C29" s="9">
        <v>8</v>
      </c>
      <c r="D29" s="9">
        <v>197</v>
      </c>
      <c r="E29" s="46">
        <v>181</v>
      </c>
      <c r="F29" s="9">
        <f>IF(circ=1,Debt!F33,0)</f>
        <v>0</v>
      </c>
      <c r="G29" s="9">
        <f>IF(circ=1,Debt!G33,0)</f>
        <v>0</v>
      </c>
      <c r="H29" s="9">
        <f>IF(circ=1,Debt!H33,0)</f>
        <v>0</v>
      </c>
      <c r="I29" s="9">
        <f>IF(circ=1,Debt!I33,0)</f>
        <v>0</v>
      </c>
      <c r="J29" s="9">
        <f>IF(circ=1,Debt!J33,0)</f>
        <v>0</v>
      </c>
      <c r="K29" s="9">
        <f>IF(circ=1,Debt!K33,0)</f>
        <v>0</v>
      </c>
      <c r="L29" s="9">
        <f>IF(circ=1,Debt!L33,0)</f>
        <v>0</v>
      </c>
      <c r="M29" s="9">
        <f>IF(circ=1,Debt!M33,0)</f>
        <v>0</v>
      </c>
      <c r="N29" s="9">
        <f>IF(circ=1,Debt!N33,0)</f>
        <v>0</v>
      </c>
      <c r="O29" s="9">
        <f>IF(circ=1,Debt!O33,0)</f>
        <v>0</v>
      </c>
    </row>
    <row r="30" spans="1:15" x14ac:dyDescent="0.25">
      <c r="B30" s="4" t="s">
        <v>32</v>
      </c>
      <c r="C30" s="9">
        <v>-88</v>
      </c>
      <c r="D30" s="9">
        <v>-106</v>
      </c>
      <c r="E30" s="46">
        <v>-92</v>
      </c>
      <c r="F30" s="9">
        <f>IF(circ=1,Debt!F22,0)</f>
        <v>0</v>
      </c>
      <c r="G30" s="9">
        <f>IF(circ=1,Debt!G22,0)</f>
        <v>0</v>
      </c>
      <c r="H30" s="9">
        <f>IF(circ=1,Debt!H22,0)</f>
        <v>0</v>
      </c>
      <c r="I30" s="9">
        <f>IF(circ=1,Debt!I22,0)</f>
        <v>0</v>
      </c>
      <c r="J30" s="9">
        <f>IF(circ=1,Debt!J22,0)</f>
        <v>0</v>
      </c>
      <c r="K30" s="9">
        <f>IF(circ=1,Debt!K22,0)</f>
        <v>0</v>
      </c>
      <c r="L30" s="9">
        <f>IF(circ=1,Debt!L22,0)</f>
        <v>0</v>
      </c>
      <c r="M30" s="9">
        <f>IF(circ=1,Debt!M22,0)</f>
        <v>0</v>
      </c>
      <c r="N30" s="9">
        <f>IF(circ=1,Debt!N22,0)</f>
        <v>0</v>
      </c>
      <c r="O30" s="9">
        <f>IF(circ=1,Debt!O22,0)</f>
        <v>0</v>
      </c>
    </row>
    <row r="31" spans="1:15" x14ac:dyDescent="0.25">
      <c r="C31" s="10"/>
      <c r="D31" s="10"/>
      <c r="E31" s="23"/>
      <c r="H31" s="4"/>
    </row>
    <row r="32" spans="1:15" s="11" customFormat="1" x14ac:dyDescent="0.25">
      <c r="A32" s="11" t="s">
        <v>124</v>
      </c>
      <c r="B32" s="17" t="s">
        <v>84</v>
      </c>
      <c r="C32" s="18">
        <f t="shared" ref="C32:D32" si="13">C20+SUM(C27:C30)</f>
        <v>1184</v>
      </c>
      <c r="D32" s="18">
        <f t="shared" si="13"/>
        <v>492</v>
      </c>
      <c r="E32" s="18">
        <f>E20+SUM(E26:E30)</f>
        <v>1989</v>
      </c>
      <c r="F32" s="18">
        <f>F20+SUM(F26:F30)</f>
        <v>3306.0501106117881</v>
      </c>
      <c r="G32" s="18">
        <f t="shared" ref="G32:O32" si="14">G20+SUM(G26:G30)</f>
        <v>5213.4609817749442</v>
      </c>
      <c r="H32" s="18">
        <f t="shared" si="14"/>
        <v>8418.9068406321094</v>
      </c>
      <c r="I32" s="18">
        <f t="shared" si="14"/>
        <v>13545.334995626603</v>
      </c>
      <c r="J32" s="18">
        <f t="shared" si="14"/>
        <v>20887.434743026737</v>
      </c>
      <c r="K32" s="18">
        <f t="shared" si="14"/>
        <v>30930.291637398943</v>
      </c>
      <c r="L32" s="18">
        <f t="shared" si="14"/>
        <v>44032.846934884641</v>
      </c>
      <c r="M32" s="18">
        <f t="shared" si="14"/>
        <v>60298.956573849893</v>
      </c>
      <c r="N32" s="18">
        <f t="shared" si="14"/>
        <v>79442.161731889064</v>
      </c>
      <c r="O32" s="18">
        <f t="shared" si="14"/>
        <v>100677.1238035438</v>
      </c>
    </row>
    <row r="33" spans="1:15" x14ac:dyDescent="0.25">
      <c r="E33" s="38"/>
      <c r="H33" s="4"/>
    </row>
    <row r="34" spans="1:15" x14ac:dyDescent="0.25">
      <c r="B34" s="4" t="s">
        <v>57</v>
      </c>
      <c r="C34" s="138">
        <v>-116</v>
      </c>
      <c r="D34" s="4">
        <v>-362</v>
      </c>
      <c r="E34" s="60">
        <f>348</f>
        <v>348</v>
      </c>
      <c r="F34" s="4">
        <f>F11*F32</f>
        <v>578.43410683403829</v>
      </c>
      <c r="G34" s="4">
        <f t="shared" ref="G34:O34" si="15">G11*G32</f>
        <v>912.15908580074438</v>
      </c>
      <c r="H34" s="4">
        <f t="shared" si="15"/>
        <v>1472.9912421015454</v>
      </c>
      <c r="I34" s="4">
        <f t="shared" si="15"/>
        <v>2369.9228649965094</v>
      </c>
      <c r="J34" s="4">
        <f t="shared" si="15"/>
        <v>3654.5134693681771</v>
      </c>
      <c r="K34" s="4">
        <f t="shared" si="15"/>
        <v>5411.6347359551692</v>
      </c>
      <c r="L34" s="4">
        <f t="shared" si="15"/>
        <v>7704.0878498440698</v>
      </c>
      <c r="M34" s="4">
        <f t="shared" si="15"/>
        <v>10550.043684112499</v>
      </c>
      <c r="N34" s="4">
        <f t="shared" si="15"/>
        <v>13899.382746454194</v>
      </c>
      <c r="O34" s="4">
        <f t="shared" si="15"/>
        <v>17614.70039398353</v>
      </c>
    </row>
    <row r="35" spans="1:15" s="11" customFormat="1" x14ac:dyDescent="0.25">
      <c r="A35" s="11" t="s">
        <v>124</v>
      </c>
      <c r="B35" s="17" t="s">
        <v>58</v>
      </c>
      <c r="C35" s="18">
        <f>C32-C34</f>
        <v>1300</v>
      </c>
      <c r="D35" s="18">
        <f t="shared" ref="D35:F35" si="16">D32-D34</f>
        <v>854</v>
      </c>
      <c r="E35" s="18">
        <f t="shared" si="16"/>
        <v>1641</v>
      </c>
      <c r="F35" s="18">
        <f t="shared" si="16"/>
        <v>2727.6160037777499</v>
      </c>
      <c r="G35" s="18">
        <f t="shared" ref="G35:O35" si="17">G32-G34</f>
        <v>4301.3018959742003</v>
      </c>
      <c r="H35" s="18">
        <f t="shared" si="17"/>
        <v>6945.9155985305642</v>
      </c>
      <c r="I35" s="18">
        <f t="shared" si="17"/>
        <v>11175.412130630093</v>
      </c>
      <c r="J35" s="18">
        <f t="shared" si="17"/>
        <v>17232.921273658561</v>
      </c>
      <c r="K35" s="18">
        <f t="shared" si="17"/>
        <v>25518.656901443774</v>
      </c>
      <c r="L35" s="18">
        <f t="shared" si="17"/>
        <v>36328.759085040569</v>
      </c>
      <c r="M35" s="18">
        <f t="shared" si="17"/>
        <v>49748.912889737396</v>
      </c>
      <c r="N35" s="18">
        <f t="shared" si="17"/>
        <v>65542.778985434867</v>
      </c>
      <c r="O35" s="18">
        <f t="shared" si="17"/>
        <v>83062.423409560273</v>
      </c>
    </row>
    <row r="36" spans="1:15" x14ac:dyDescent="0.25">
      <c r="B36" s="11"/>
      <c r="C36" s="11"/>
      <c r="D36" s="11"/>
      <c r="E36" s="36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25">
      <c r="A37" s="21" t="s">
        <v>59</v>
      </c>
      <c r="B37" s="20"/>
      <c r="C37" s="56">
        <v>44926</v>
      </c>
      <c r="D37" s="56">
        <v>45291</v>
      </c>
      <c r="E37" s="56">
        <v>45657</v>
      </c>
      <c r="F37" s="56">
        <v>46022</v>
      </c>
      <c r="G37" s="56">
        <v>46022</v>
      </c>
      <c r="H37" s="56">
        <v>46022</v>
      </c>
      <c r="I37" s="56">
        <v>46022</v>
      </c>
      <c r="J37" s="56">
        <v>46022</v>
      </c>
      <c r="K37" s="56">
        <v>46022</v>
      </c>
      <c r="L37" s="56">
        <v>46022</v>
      </c>
      <c r="M37" s="56">
        <v>46022</v>
      </c>
      <c r="N37" s="56">
        <v>46022</v>
      </c>
      <c r="O37" s="56">
        <v>46022</v>
      </c>
    </row>
    <row r="38" spans="1:15" x14ac:dyDescent="0.25">
      <c r="B38" s="4" t="s">
        <v>48</v>
      </c>
      <c r="C38" s="10">
        <v>1561</v>
      </c>
      <c r="D38" s="10">
        <v>1614</v>
      </c>
      <c r="E38" s="23">
        <v>1620</v>
      </c>
      <c r="F38" s="183">
        <f>F12</f>
        <v>1620</v>
      </c>
      <c r="G38" s="183">
        <f t="shared" ref="G38:O38" si="18">G12</f>
        <v>1620</v>
      </c>
      <c r="H38" s="183">
        <f t="shared" si="18"/>
        <v>1620</v>
      </c>
      <c r="I38" s="183">
        <f t="shared" si="18"/>
        <v>1620</v>
      </c>
      <c r="J38" s="183">
        <f t="shared" si="18"/>
        <v>1620</v>
      </c>
      <c r="K38" s="183">
        <f t="shared" si="18"/>
        <v>1620</v>
      </c>
      <c r="L38" s="183">
        <f t="shared" si="18"/>
        <v>1620</v>
      </c>
      <c r="M38" s="183">
        <f t="shared" si="18"/>
        <v>1620</v>
      </c>
      <c r="N38" s="183">
        <f t="shared" si="18"/>
        <v>1620</v>
      </c>
      <c r="O38" s="183">
        <f t="shared" si="18"/>
        <v>1620</v>
      </c>
    </row>
    <row r="39" spans="1:15" x14ac:dyDescent="0.25">
      <c r="B39" s="4" t="s">
        <v>49</v>
      </c>
      <c r="C39" s="10">
        <v>1571</v>
      </c>
      <c r="D39" s="10">
        <v>1625</v>
      </c>
      <c r="E39" s="23">
        <v>1637</v>
      </c>
      <c r="F39" s="183">
        <f>F13</f>
        <v>1637</v>
      </c>
      <c r="G39" s="183">
        <f t="shared" ref="G39:O39" si="19">G13</f>
        <v>1637</v>
      </c>
      <c r="H39" s="183">
        <f t="shared" si="19"/>
        <v>1637</v>
      </c>
      <c r="I39" s="183">
        <f t="shared" si="19"/>
        <v>1637</v>
      </c>
      <c r="J39" s="183">
        <f t="shared" si="19"/>
        <v>1637</v>
      </c>
      <c r="K39" s="183">
        <f t="shared" si="19"/>
        <v>1637</v>
      </c>
      <c r="L39" s="183">
        <f t="shared" si="19"/>
        <v>1637</v>
      </c>
      <c r="M39" s="183">
        <f t="shared" si="19"/>
        <v>1637</v>
      </c>
      <c r="N39" s="183">
        <f t="shared" si="19"/>
        <v>1637</v>
      </c>
      <c r="O39" s="183">
        <f t="shared" si="19"/>
        <v>1637</v>
      </c>
    </row>
    <row r="40" spans="1:15" x14ac:dyDescent="0.25">
      <c r="B40" s="4" t="s">
        <v>60</v>
      </c>
      <c r="C40" s="190">
        <f>C35/C38</f>
        <v>0.8327994875080077</v>
      </c>
      <c r="D40" s="190">
        <f>D35/D38</f>
        <v>0.52912019826517964</v>
      </c>
      <c r="E40" s="191">
        <f>E35/E38</f>
        <v>1.0129629629629631</v>
      </c>
      <c r="F40" s="190">
        <f>F35/F38</f>
        <v>1.6837135825788581</v>
      </c>
      <c r="G40" s="190">
        <f t="shared" ref="G40:O40" si="20">G35/G38</f>
        <v>2.6551246271445681</v>
      </c>
      <c r="H40" s="190">
        <f t="shared" si="20"/>
        <v>4.2876022213151632</v>
      </c>
      <c r="I40" s="190">
        <f t="shared" si="20"/>
        <v>6.8984025497716628</v>
      </c>
      <c r="J40" s="190">
        <f t="shared" si="20"/>
        <v>10.637605724480593</v>
      </c>
      <c r="K40" s="190">
        <f t="shared" si="20"/>
        <v>15.75225734657023</v>
      </c>
      <c r="L40" s="190">
        <f t="shared" si="20"/>
        <v>22.425159929037388</v>
      </c>
      <c r="M40" s="190">
        <f t="shared" si="20"/>
        <v>30.70920548749222</v>
      </c>
      <c r="N40" s="190">
        <f t="shared" si="20"/>
        <v>40.45850554656473</v>
      </c>
      <c r="O40" s="190">
        <f t="shared" si="20"/>
        <v>51.273100870098936</v>
      </c>
    </row>
    <row r="41" spans="1:15" s="11" customFormat="1" x14ac:dyDescent="0.25">
      <c r="A41" s="11" t="s">
        <v>124</v>
      </c>
      <c r="B41" s="17" t="s">
        <v>61</v>
      </c>
      <c r="C41" s="189">
        <f>C35/C39</f>
        <v>0.82749840865690638</v>
      </c>
      <c r="D41" s="189">
        <f>D35/D39</f>
        <v>0.52553846153846151</v>
      </c>
      <c r="E41" s="189">
        <f>E35/E39</f>
        <v>1.0024434941967013</v>
      </c>
      <c r="F41" s="189">
        <f>F35/F39</f>
        <v>1.666228469015119</v>
      </c>
      <c r="G41" s="189">
        <f t="shared" ref="G41:O41" si="21">G35/G39</f>
        <v>2.6275515552682958</v>
      </c>
      <c r="H41" s="189">
        <f t="shared" si="21"/>
        <v>4.2430761139465876</v>
      </c>
      <c r="I41" s="189">
        <f t="shared" si="21"/>
        <v>6.8267636717349376</v>
      </c>
      <c r="J41" s="189">
        <f t="shared" si="21"/>
        <v>10.527135781098693</v>
      </c>
      <c r="K41" s="189">
        <f t="shared" si="21"/>
        <v>15.58867251157225</v>
      </c>
      <c r="L41" s="189">
        <f t="shared" si="21"/>
        <v>22.192277999413907</v>
      </c>
      <c r="M41" s="189">
        <f t="shared" si="21"/>
        <v>30.390294984567742</v>
      </c>
      <c r="N41" s="189">
        <f t="shared" si="21"/>
        <v>40.038350021646224</v>
      </c>
      <c r="O41" s="189">
        <f t="shared" si="21"/>
        <v>50.740637391301327</v>
      </c>
    </row>
    <row r="42" spans="1:15" x14ac:dyDescent="0.25">
      <c r="C42" s="14"/>
      <c r="D42" s="14"/>
      <c r="E42" s="39"/>
      <c r="F42" s="14"/>
      <c r="G42" s="14"/>
      <c r="H42" s="14"/>
      <c r="I42" s="14"/>
      <c r="J42" s="14"/>
    </row>
    <row r="43" spans="1:15" x14ac:dyDescent="0.25">
      <c r="D43" s="14"/>
      <c r="E43" s="14"/>
      <c r="F43" s="14"/>
    </row>
  </sheetData>
  <conditionalFormatting sqref="F4:O13">
    <cfRule type="expression" dxfId="2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7"/>
  <sheetViews>
    <sheetView showGridLines="0" zoomScaleNormal="100" workbookViewId="0">
      <selection activeCell="G1" sqref="G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2.855468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2.855468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2.855468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2.855468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2.855468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2.855468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2.855468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2.855468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2.855468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2.855468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2.855468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2.855468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2.855468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2.855468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2.855468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2.855468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2.855468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2.855468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2.855468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2.855468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2.855468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2.855468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2.855468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2.855468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2.855468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2.855468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2.855468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2.855468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2.855468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2.855468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2.855468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2.855468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2.855468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2.855468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2.855468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2.855468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2.855468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2.855468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2.855468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2.855468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2.855468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2.855468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2.855468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2.855468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2.855468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2.855468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2.855468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2.855468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2.855468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2.855468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2.855468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2.855468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2.855468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2.855468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2.855468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2.855468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2.855468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2.855468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2.855468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2.855468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2.855468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2.855468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2.855468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x14ac:dyDescent="0.25">
      <c r="A2" s="16" t="s">
        <v>10</v>
      </c>
      <c r="B2" s="65"/>
      <c r="C2" s="116">
        <v>44926</v>
      </c>
      <c r="D2" s="116">
        <v>45291</v>
      </c>
      <c r="E2" s="116">
        <v>45657</v>
      </c>
      <c r="F2" s="116">
        <v>46022</v>
      </c>
      <c r="G2" s="116">
        <v>46387</v>
      </c>
      <c r="H2" s="116">
        <v>46752</v>
      </c>
      <c r="I2" s="116">
        <v>47118</v>
      </c>
      <c r="J2" s="116">
        <v>47483</v>
      </c>
      <c r="K2" s="194">
        <f>2030</f>
        <v>2030</v>
      </c>
      <c r="L2" s="194">
        <f>K2+1</f>
        <v>2031</v>
      </c>
      <c r="M2" s="194">
        <f t="shared" ref="M2" si="0">L2+1</f>
        <v>2032</v>
      </c>
      <c r="N2" s="194">
        <f t="shared" ref="N2" si="1">M2+1</f>
        <v>2033</v>
      </c>
      <c r="O2" s="194">
        <f t="shared" ref="O2" si="2">N2+1</f>
        <v>2034</v>
      </c>
    </row>
    <row r="3" spans="1:15" x14ac:dyDescent="0.25">
      <c r="K3" s="6"/>
      <c r="L3" s="6"/>
      <c r="M3" s="6"/>
      <c r="N3" s="6"/>
      <c r="O3" s="6"/>
    </row>
    <row r="4" spans="1:15" x14ac:dyDescent="0.25">
      <c r="B4" s="4" t="s">
        <v>139</v>
      </c>
      <c r="C4" s="44"/>
      <c r="D4" s="44"/>
      <c r="E4" s="45"/>
      <c r="F4" s="104">
        <f>Assumptions!F38</f>
        <v>1.4999999999999999E-2</v>
      </c>
      <c r="G4" s="104">
        <f>F4</f>
        <v>1.4999999999999999E-2</v>
      </c>
      <c r="H4" s="104">
        <f t="shared" ref="H4:J4" si="3">G4</f>
        <v>1.4999999999999999E-2</v>
      </c>
      <c r="I4" s="104">
        <f t="shared" si="3"/>
        <v>1.4999999999999999E-2</v>
      </c>
      <c r="J4" s="104">
        <f t="shared" si="3"/>
        <v>1.4999999999999999E-2</v>
      </c>
      <c r="K4" s="104">
        <f t="shared" ref="K4" si="4">J4</f>
        <v>1.4999999999999999E-2</v>
      </c>
      <c r="L4" s="104">
        <f t="shared" ref="L4" si="5">K4</f>
        <v>1.4999999999999999E-2</v>
      </c>
      <c r="M4" s="102">
        <f t="shared" ref="M4" si="6">L4</f>
        <v>1.4999999999999999E-2</v>
      </c>
      <c r="N4" s="102">
        <f t="shared" ref="N4" si="7">M4</f>
        <v>1.4999999999999999E-2</v>
      </c>
      <c r="O4" s="102">
        <f t="shared" ref="O4" si="8">N4</f>
        <v>1.4999999999999999E-2</v>
      </c>
    </row>
    <row r="5" spans="1:15" x14ac:dyDescent="0.25">
      <c r="B5" s="4" t="s">
        <v>152</v>
      </c>
      <c r="C5" s="44"/>
      <c r="D5" s="44"/>
      <c r="E5" s="45"/>
      <c r="F5" s="104">
        <f>Assumptions!F39</f>
        <v>0.20347838093773965</v>
      </c>
      <c r="G5" s="104">
        <f>Assumptions!G39</f>
        <v>0.20347838093773965</v>
      </c>
      <c r="H5" s="104">
        <f>Assumptions!H39</f>
        <v>0.20347838093773965</v>
      </c>
      <c r="I5" s="104">
        <f>Assumptions!I39</f>
        <v>0.20347838093773965</v>
      </c>
      <c r="J5" s="104">
        <f>Assumptions!J39</f>
        <v>0.20347838093773965</v>
      </c>
      <c r="K5" s="104">
        <f>Assumptions!K39</f>
        <v>0.20347838093773965</v>
      </c>
      <c r="L5" s="104">
        <f>Assumptions!L39</f>
        <v>0.20347838093773965</v>
      </c>
      <c r="M5" s="102">
        <f>Assumptions!M39</f>
        <v>0.20347838093773965</v>
      </c>
      <c r="N5" s="102">
        <f>Assumptions!N39</f>
        <v>0.20347838093773965</v>
      </c>
      <c r="O5" s="102">
        <f>Assumptions!O39</f>
        <v>0.20347838093773965</v>
      </c>
    </row>
    <row r="6" spans="1:15" x14ac:dyDescent="0.25">
      <c r="B6" s="4" t="s">
        <v>63</v>
      </c>
      <c r="C6" s="44"/>
      <c r="D6" s="44"/>
      <c r="E6" s="45"/>
      <c r="F6" s="104">
        <f>Assumptions!F40</f>
        <v>0.36174257987718922</v>
      </c>
      <c r="G6" s="104">
        <f>Assumptions!G40</f>
        <v>0.36174257987718922</v>
      </c>
      <c r="H6" s="104">
        <f>Assumptions!H40</f>
        <v>0.36174257987718922</v>
      </c>
      <c r="I6" s="104">
        <f>Assumptions!I40</f>
        <v>0.36174257987718922</v>
      </c>
      <c r="J6" s="104">
        <f>Assumptions!J40</f>
        <v>0.36174257987718922</v>
      </c>
      <c r="K6" s="104">
        <f>Assumptions!K40</f>
        <v>0.36174257987718922</v>
      </c>
      <c r="L6" s="104">
        <f>Assumptions!L40</f>
        <v>0.36174257987718922</v>
      </c>
      <c r="M6" s="102">
        <f>Assumptions!M40</f>
        <v>0.36174257987718922</v>
      </c>
      <c r="N6" s="102">
        <f>Assumptions!N40</f>
        <v>0.36174257987718922</v>
      </c>
      <c r="O6" s="102">
        <f>Assumptions!O40</f>
        <v>0.36174257987718922</v>
      </c>
    </row>
    <row r="7" spans="1:15" x14ac:dyDescent="0.25">
      <c r="B7" s="4" t="s">
        <v>64</v>
      </c>
      <c r="C7" s="44"/>
      <c r="D7" s="44"/>
      <c r="E7" s="45"/>
      <c r="F7" s="104">
        <f>Assumptions!F41</f>
        <v>0.13496062224421637</v>
      </c>
      <c r="G7" s="104">
        <f>Assumptions!G41</f>
        <v>0.13496062224421637</v>
      </c>
      <c r="H7" s="104">
        <f>Assumptions!H41</f>
        <v>0.13496062224421637</v>
      </c>
      <c r="I7" s="104">
        <f>Assumptions!I41</f>
        <v>0.13496062224421637</v>
      </c>
      <c r="J7" s="104">
        <f>Assumptions!J41</f>
        <v>0.13496062224421637</v>
      </c>
      <c r="K7" s="104">
        <f>Assumptions!K41</f>
        <v>0.13496062224421637</v>
      </c>
      <c r="L7" s="104">
        <f>Assumptions!L41</f>
        <v>0.13496062224421637</v>
      </c>
      <c r="M7" s="102">
        <f>Assumptions!M41</f>
        <v>0.13496062224421637</v>
      </c>
      <c r="N7" s="102">
        <f>Assumptions!N41</f>
        <v>0.13496062224421637</v>
      </c>
      <c r="O7" s="102">
        <f>Assumptions!O41</f>
        <v>0.13496062224421637</v>
      </c>
    </row>
    <row r="8" spans="1:15" x14ac:dyDescent="0.25">
      <c r="A8" s="7"/>
      <c r="C8" s="31"/>
      <c r="D8" s="31"/>
      <c r="E8" s="31"/>
      <c r="F8" s="105"/>
      <c r="G8" s="105"/>
      <c r="H8" s="105"/>
      <c r="I8" s="105"/>
      <c r="J8" s="105"/>
      <c r="K8" s="105"/>
      <c r="L8" s="105"/>
      <c r="M8" s="105"/>
      <c r="N8" s="105"/>
      <c r="O8" s="105"/>
    </row>
    <row r="9" spans="1:15" x14ac:dyDescent="0.25">
      <c r="B9" s="4" t="s">
        <v>65</v>
      </c>
      <c r="C9" s="44"/>
      <c r="D9" s="44"/>
      <c r="E9" s="45"/>
      <c r="F9" s="104">
        <f>Assumptions!F43</f>
        <v>0.12738200476233916</v>
      </c>
      <c r="G9" s="104">
        <f>Assumptions!G43</f>
        <v>0.12738200476233916</v>
      </c>
      <c r="H9" s="104">
        <f>Assumptions!H43</f>
        <v>0.12738200476233916</v>
      </c>
      <c r="I9" s="104">
        <f>Assumptions!I43</f>
        <v>0.12738200476233916</v>
      </c>
      <c r="J9" s="104">
        <f>Assumptions!J43</f>
        <v>0.12738200476233916</v>
      </c>
      <c r="K9" s="104">
        <f>Assumptions!K43</f>
        <v>0.12738200476233916</v>
      </c>
      <c r="L9" s="104">
        <f>Assumptions!L43</f>
        <v>0.12738200476233916</v>
      </c>
      <c r="M9" s="102">
        <f>Assumptions!M43</f>
        <v>0.12738200476233916</v>
      </c>
      <c r="N9" s="102">
        <f>Assumptions!N43</f>
        <v>0.12738200476233916</v>
      </c>
      <c r="O9" s="102">
        <f>Assumptions!O43</f>
        <v>0.12738200476233916</v>
      </c>
    </row>
    <row r="10" spans="1:15" x14ac:dyDescent="0.25">
      <c r="B10" s="4" t="s">
        <v>161</v>
      </c>
      <c r="C10" s="44"/>
      <c r="D10" s="44"/>
      <c r="E10" s="158"/>
      <c r="F10" s="103">
        <f>Assumptions!F42</f>
        <v>149</v>
      </c>
      <c r="G10" s="103">
        <f>Assumptions!G42</f>
        <v>149</v>
      </c>
      <c r="H10" s="103">
        <f>Assumptions!H42</f>
        <v>149</v>
      </c>
      <c r="I10" s="103">
        <f>Assumptions!I42</f>
        <v>149</v>
      </c>
      <c r="J10" s="103">
        <f>Assumptions!J42</f>
        <v>149</v>
      </c>
      <c r="K10" s="103">
        <f>Assumptions!K42</f>
        <v>149</v>
      </c>
      <c r="L10" s="103">
        <f>Assumptions!L42</f>
        <v>149</v>
      </c>
      <c r="M10" s="103">
        <f>Assumptions!M42</f>
        <v>149</v>
      </c>
      <c r="N10" s="103">
        <f>Assumptions!N42</f>
        <v>149</v>
      </c>
      <c r="O10" s="103">
        <f>Assumptions!O42</f>
        <v>149</v>
      </c>
    </row>
    <row r="11" spans="1:15" x14ac:dyDescent="0.25">
      <c r="C11" s="31"/>
      <c r="D11" s="31"/>
      <c r="E11" s="31"/>
      <c r="F11" s="105"/>
      <c r="G11" s="105"/>
      <c r="H11" s="105"/>
      <c r="I11" s="105"/>
      <c r="J11" s="105"/>
      <c r="K11" s="105"/>
      <c r="L11" s="105"/>
      <c r="M11" s="105"/>
      <c r="N11" s="105"/>
      <c r="O11" s="105"/>
    </row>
    <row r="12" spans="1:15" x14ac:dyDescent="0.25">
      <c r="B12" s="4" t="s">
        <v>151</v>
      </c>
      <c r="C12" s="44"/>
      <c r="D12" s="44"/>
      <c r="E12" s="45"/>
      <c r="F12" s="104">
        <f>Assumptions!F47</f>
        <v>0.1888208269525268</v>
      </c>
      <c r="G12" s="104">
        <f>Assumptions!G47</f>
        <v>0.1888208269525268</v>
      </c>
      <c r="H12" s="104">
        <f>Assumptions!H47</f>
        <v>0.1888208269525268</v>
      </c>
      <c r="I12" s="104">
        <f>Assumptions!I47</f>
        <v>0.1888208269525268</v>
      </c>
      <c r="J12" s="104">
        <f>Assumptions!J47</f>
        <v>0.1888208269525268</v>
      </c>
      <c r="K12" s="104">
        <f>Assumptions!K47</f>
        <v>0.1888208269525268</v>
      </c>
      <c r="L12" s="104">
        <f>Assumptions!L47</f>
        <v>0.1888208269525268</v>
      </c>
      <c r="M12" s="102">
        <f>Assumptions!M47</f>
        <v>0.1888208269525268</v>
      </c>
      <c r="N12" s="102">
        <f>Assumptions!N47</f>
        <v>0.1888208269525268</v>
      </c>
      <c r="O12" s="102">
        <f>Assumptions!O47</f>
        <v>0.1888208269525268</v>
      </c>
    </row>
    <row r="13" spans="1:15" x14ac:dyDescent="0.25">
      <c r="B13" s="4" t="s">
        <v>66</v>
      </c>
      <c r="C13" s="44"/>
      <c r="D13" s="44"/>
      <c r="E13" s="27"/>
      <c r="F13" s="104">
        <f>Assumptions!F48</f>
        <v>0.18673647469458987</v>
      </c>
      <c r="G13" s="104">
        <f>Assumptions!G48</f>
        <v>0.18673647469458987</v>
      </c>
      <c r="H13" s="104">
        <f>Assumptions!H48</f>
        <v>0.18673647469458987</v>
      </c>
      <c r="I13" s="104">
        <f>Assumptions!I48</f>
        <v>0.18673647469458987</v>
      </c>
      <c r="J13" s="104">
        <f>Assumptions!J48</f>
        <v>0.18673647469458987</v>
      </c>
      <c r="K13" s="104">
        <f>Assumptions!K48</f>
        <v>0.18673647469458987</v>
      </c>
      <c r="L13" s="104">
        <f>Assumptions!L48</f>
        <v>0.18673647469458987</v>
      </c>
      <c r="M13" s="104">
        <f>Assumptions!M48</f>
        <v>0.18673647469458987</v>
      </c>
      <c r="N13" s="104">
        <f>Assumptions!N48</f>
        <v>0.18673647469458987</v>
      </c>
      <c r="O13" s="104">
        <f>Assumptions!O48</f>
        <v>0.18673647469458987</v>
      </c>
    </row>
    <row r="14" spans="1:15" x14ac:dyDescent="0.25">
      <c r="B14" s="4" t="s">
        <v>67</v>
      </c>
      <c r="C14" s="44"/>
      <c r="D14" s="44"/>
      <c r="E14" s="45"/>
      <c r="F14" s="260">
        <f>Assumptions!F49</f>
        <v>0.10300562342447159</v>
      </c>
      <c r="G14" s="260">
        <f>Assumptions!G49</f>
        <v>0.10300562342447159</v>
      </c>
      <c r="H14" s="260">
        <f>Assumptions!H49</f>
        <v>0.10300562342447159</v>
      </c>
      <c r="I14" s="260">
        <f>Assumptions!I49</f>
        <v>0.10300562342447159</v>
      </c>
      <c r="J14" s="260">
        <f>Assumptions!J49</f>
        <v>0.10300562342447159</v>
      </c>
      <c r="K14" s="260">
        <f>Assumptions!K49</f>
        <v>0.10300562342447159</v>
      </c>
      <c r="L14" s="260">
        <f>Assumptions!L49</f>
        <v>0.10300562342447159</v>
      </c>
      <c r="M14" s="132">
        <f>Assumptions!M49</f>
        <v>0.10300562342447159</v>
      </c>
      <c r="N14" s="132">
        <f>Assumptions!N49</f>
        <v>0.10300562342447159</v>
      </c>
      <c r="O14" s="132">
        <f>Assumptions!O49</f>
        <v>0.10300562342447159</v>
      </c>
    </row>
    <row r="15" spans="1:15" x14ac:dyDescent="0.25">
      <c r="C15" s="44"/>
      <c r="D15" s="44"/>
      <c r="E15" s="44"/>
      <c r="F15" s="105"/>
      <c r="G15" s="105"/>
      <c r="H15" s="105"/>
      <c r="I15" s="105"/>
      <c r="J15" s="105"/>
      <c r="K15" s="105"/>
      <c r="L15" s="105"/>
      <c r="M15" s="105"/>
      <c r="N15" s="105"/>
      <c r="O15" s="105"/>
    </row>
    <row r="16" spans="1:15" ht="15" customHeight="1" x14ac:dyDescent="0.25">
      <c r="A16" s="187" t="s">
        <v>62</v>
      </c>
      <c r="B16" s="188"/>
      <c r="C16" s="159">
        <f>C2</f>
        <v>44926</v>
      </c>
      <c r="D16" s="159">
        <f t="shared" ref="D16:M16" si="9">D2</f>
        <v>45291</v>
      </c>
      <c r="E16" s="159">
        <f t="shared" si="9"/>
        <v>45657</v>
      </c>
      <c r="F16" s="159">
        <f t="shared" si="9"/>
        <v>46022</v>
      </c>
      <c r="G16" s="159">
        <f t="shared" si="9"/>
        <v>46387</v>
      </c>
      <c r="H16" s="159">
        <f t="shared" si="9"/>
        <v>46752</v>
      </c>
      <c r="I16" s="159">
        <f t="shared" si="9"/>
        <v>47118</v>
      </c>
      <c r="J16" s="159">
        <f t="shared" si="9"/>
        <v>47483</v>
      </c>
      <c r="K16" s="193">
        <f t="shared" si="9"/>
        <v>2030</v>
      </c>
      <c r="L16" s="193">
        <f t="shared" si="9"/>
        <v>2031</v>
      </c>
      <c r="M16" s="193">
        <f t="shared" si="9"/>
        <v>2032</v>
      </c>
      <c r="N16" s="193">
        <f t="shared" ref="N16:O16" si="10">N2</f>
        <v>2033</v>
      </c>
      <c r="O16" s="193">
        <f t="shared" si="10"/>
        <v>2034</v>
      </c>
    </row>
    <row r="17" spans="1:15" x14ac:dyDescent="0.25">
      <c r="B17" s="4" t="s">
        <v>157</v>
      </c>
      <c r="C17" s="295">
        <f>1.5%*IncState!C16</f>
        <v>354.01499999999999</v>
      </c>
      <c r="D17" s="295">
        <f>1.5%*IncState!D16</f>
        <v>340.2</v>
      </c>
      <c r="E17" s="197">
        <f>1.5%*IncState!E16</f>
        <v>386.77499999999998</v>
      </c>
      <c r="F17" s="4">
        <f>F4*IncState!F16</f>
        <v>513.69044999999994</v>
      </c>
      <c r="G17" s="4">
        <f>G4*IncState!G16</f>
        <v>685.75191804929636</v>
      </c>
      <c r="H17" s="4">
        <f>H4*IncState!H16</f>
        <v>960.052685269015</v>
      </c>
      <c r="I17" s="4">
        <f>I4*IncState!I16</f>
        <v>1363.2748130820014</v>
      </c>
      <c r="J17" s="4">
        <f>J4*IncState!J16</f>
        <v>1881.3192420531618</v>
      </c>
      <c r="K17" s="4">
        <f>K4*IncState!K16</f>
        <v>2520.9677843512363</v>
      </c>
      <c r="L17" s="4">
        <f>L4*IncState!L16</f>
        <v>3277.2581196566075</v>
      </c>
      <c r="M17" s="4">
        <f>M4*IncState!M16</f>
        <v>4129.3452307673251</v>
      </c>
      <c r="N17" s="4">
        <f>N4*IncState!N16</f>
        <v>5037.8011815361378</v>
      </c>
      <c r="O17" s="4">
        <f>O4*IncState!O16</f>
        <v>5944.6053942126409</v>
      </c>
    </row>
    <row r="18" spans="1:15" x14ac:dyDescent="0.25">
      <c r="B18" s="4" t="s">
        <v>158</v>
      </c>
      <c r="C18" s="196">
        <f>4835-C17</f>
        <v>4480.9849999999997</v>
      </c>
      <c r="D18" s="196">
        <f>3933-D17</f>
        <v>3592.8</v>
      </c>
      <c r="E18" s="197">
        <f>3787-E17</f>
        <v>3400.2249999999999</v>
      </c>
      <c r="F18" s="266">
        <f>MAX(CashFlow!F22,0)</f>
        <v>7802.9944364865532</v>
      </c>
      <c r="G18" s="266">
        <f>MAX(CashFlow!G22,0)</f>
        <v>10533.66727382518</v>
      </c>
      <c r="H18" s="266">
        <f>MAX(CashFlow!H22,0)</f>
        <v>13672.296031242369</v>
      </c>
      <c r="I18" s="266">
        <f>MAX(CashFlow!I22,0)</f>
        <v>18221.60156951817</v>
      </c>
      <c r="J18" s="266">
        <f>MAX(CashFlow!J22,0)</f>
        <v>26253.271313673718</v>
      </c>
      <c r="K18" s="266">
        <f>MAX(CashFlow!K22,0)</f>
        <v>39851.466078390149</v>
      </c>
      <c r="L18" s="266">
        <f>MAX(CashFlow!L22,0)</f>
        <v>61638.47514408399</v>
      </c>
      <c r="M18" s="266">
        <f>MAX(CashFlow!M22,0)</f>
        <v>94654.577054106805</v>
      </c>
      <c r="N18" s="266">
        <f>MAX(CashFlow!N22,0)</f>
        <v>142096.47369275999</v>
      </c>
      <c r="O18" s="266">
        <f>MAX(CashFlow!O22,0)</f>
        <v>206910.34849248029</v>
      </c>
    </row>
    <row r="19" spans="1:15" x14ac:dyDescent="0.25">
      <c r="B19" s="4" t="s">
        <v>68</v>
      </c>
      <c r="C19" s="198">
        <f>4126+2</f>
        <v>4128</v>
      </c>
      <c r="D19" s="198">
        <f>4323+9</f>
        <v>4332</v>
      </c>
      <c r="E19" s="199">
        <f>6192+113</f>
        <v>6305</v>
      </c>
      <c r="F19" s="4">
        <f>F5*IncState!F16</f>
        <v>6968.32673794526</v>
      </c>
      <c r="G19" s="4">
        <f>G5*IncState!G16</f>
        <v>9302.3793339746899</v>
      </c>
      <c r="H19" s="4">
        <f>H5*IncState!H16</f>
        <v>13023.331067564568</v>
      </c>
      <c r="I19" s="4">
        <f>I5*IncState!I16</f>
        <v>18493.130115941687</v>
      </c>
      <c r="J19" s="4">
        <f>J5*IncState!J16</f>
        <v>25520.519559999524</v>
      </c>
      <c r="K19" s="4">
        <f>K5*IncState!K16</f>
        <v>34197.49621039936</v>
      </c>
      <c r="L19" s="4">
        <f>L5*IncState!L16</f>
        <v>44456.745073519167</v>
      </c>
      <c r="M19" s="4">
        <f>M5*IncState!M16</f>
        <v>56015.498792634149</v>
      </c>
      <c r="N19" s="4">
        <f>N5*IncState!N16</f>
        <v>68338.908527013671</v>
      </c>
      <c r="O19" s="4">
        <f>O5*IncState!O16</f>
        <v>80639.912061876108</v>
      </c>
    </row>
    <row r="20" spans="1:15" x14ac:dyDescent="0.25">
      <c r="B20" s="4" t="s">
        <v>69</v>
      </c>
      <c r="C20" s="198">
        <v>3771</v>
      </c>
      <c r="D20" s="198">
        <v>4351</v>
      </c>
      <c r="E20" s="199">
        <v>5734</v>
      </c>
      <c r="F20" s="4">
        <f>F6*IncState!F17</f>
        <v>6181.6861286282146</v>
      </c>
      <c r="G20" s="4">
        <f>G6*IncState!G17</f>
        <v>8128.2193141329262</v>
      </c>
      <c r="H20" s="4">
        <f>H6*IncState!H17</f>
        <v>11205.86107219248</v>
      </c>
      <c r="I20" s="4">
        <f>I6*IncState!I17</f>
        <v>15665.745448530382</v>
      </c>
      <c r="J20" s="4">
        <f>J6*IncState!J17</f>
        <v>21278.452080875468</v>
      </c>
      <c r="K20" s="4">
        <f>K6*IncState!K17</f>
        <v>28057.155093323872</v>
      </c>
      <c r="L20" s="4">
        <f>L6*IncState!L17</f>
        <v>35881.539717757019</v>
      </c>
      <c r="M20" s="4">
        <f>M6*IncState!M17</f>
        <v>44463.860045883164</v>
      </c>
      <c r="N20" s="4">
        <f>N6*IncState!N17</f>
        <v>53334.715657818851</v>
      </c>
      <c r="O20" s="4">
        <f>O6*IncState!O17</f>
        <v>61859.756030399061</v>
      </c>
    </row>
    <row r="21" spans="1:15" x14ac:dyDescent="0.25">
      <c r="B21" s="4" t="s">
        <v>70</v>
      </c>
      <c r="C21" s="198">
        <f>1265+1020</f>
        <v>2285</v>
      </c>
      <c r="D21" s="198">
        <f>2312+1840</f>
        <v>4152</v>
      </c>
      <c r="E21" s="199">
        <f>1345+1878</f>
        <v>3223</v>
      </c>
      <c r="F21" s="4">
        <f>BalSheet!F7*IncState!F16</f>
        <v>4621.8655181941012</v>
      </c>
      <c r="G21" s="4">
        <f>BalSheet!G7*IncState!G16</f>
        <v>6169.9670376731947</v>
      </c>
      <c r="H21" s="4">
        <f>BalSheet!H7*IncState!H16</f>
        <v>8637.9538527424738</v>
      </c>
      <c r="I21" s="4">
        <f>BalSheet!I7*IncState!I16</f>
        <v>12265.894470894313</v>
      </c>
      <c r="J21" s="4">
        <f>BalSheet!J7*IncState!J16</f>
        <v>16926.934369834147</v>
      </c>
      <c r="K21" s="4">
        <f>BalSheet!K7*IncState!K16</f>
        <v>22682.092055577756</v>
      </c>
      <c r="L21" s="4">
        <f>BalSheet!L7*IncState!L16</f>
        <v>29486.719672251085</v>
      </c>
      <c r="M21" s="4">
        <f>BalSheet!M7*IncState!M16</f>
        <v>37153.266787036366</v>
      </c>
      <c r="N21" s="4">
        <f>BalSheet!N7*IncState!N16</f>
        <v>45326.985480184368</v>
      </c>
      <c r="O21" s="4">
        <f>BalSheet!O7*IncState!O16</f>
        <v>53485.842866617546</v>
      </c>
    </row>
    <row r="22" spans="1:15" s="11" customFormat="1" x14ac:dyDescent="0.25">
      <c r="B22" s="11" t="s">
        <v>71</v>
      </c>
      <c r="C22" s="11">
        <f>SUM(C17:C21)</f>
        <v>15019</v>
      </c>
      <c r="D22" s="11">
        <f>SUM(D17:D21)</f>
        <v>16768</v>
      </c>
      <c r="E22" s="25">
        <f t="shared" ref="E22" si="11">SUM(E17:E21)</f>
        <v>19049</v>
      </c>
      <c r="F22" s="11">
        <f>SUM(F17:F21)</f>
        <v>26088.563271254126</v>
      </c>
      <c r="G22" s="11">
        <f t="shared" ref="G22:O22" si="12">SUM(G17:G21)</f>
        <v>34819.98487765529</v>
      </c>
      <c r="H22" s="11">
        <f t="shared" si="12"/>
        <v>47499.494709010905</v>
      </c>
      <c r="I22" s="11">
        <f t="shared" si="12"/>
        <v>66009.646417966549</v>
      </c>
      <c r="J22" s="11">
        <f t="shared" si="12"/>
        <v>91860.496566436021</v>
      </c>
      <c r="K22" s="11">
        <f t="shared" si="12"/>
        <v>127309.17722204237</v>
      </c>
      <c r="L22" s="11">
        <f t="shared" si="12"/>
        <v>174740.73772726787</v>
      </c>
      <c r="M22" s="11">
        <f t="shared" si="12"/>
        <v>236416.54791042779</v>
      </c>
      <c r="N22" s="11">
        <f t="shared" si="12"/>
        <v>314134.88453931303</v>
      </c>
      <c r="O22" s="11">
        <f t="shared" si="12"/>
        <v>408840.46484558564</v>
      </c>
    </row>
    <row r="23" spans="1:15" x14ac:dyDescent="0.25">
      <c r="A23" s="7"/>
      <c r="E23" s="28"/>
      <c r="I23" s="4"/>
      <c r="J23" s="4"/>
    </row>
    <row r="24" spans="1:15" x14ac:dyDescent="0.25">
      <c r="B24" s="4" t="s">
        <v>72</v>
      </c>
      <c r="C24" s="198">
        <f>1513+460</f>
        <v>1973</v>
      </c>
      <c r="D24" s="198">
        <f>1589+633</f>
        <v>2222</v>
      </c>
      <c r="E24" s="199">
        <f>1802+623</f>
        <v>2425</v>
      </c>
      <c r="F24" s="4">
        <f>Calcs!F9</f>
        <v>2537.3935823383385</v>
      </c>
      <c r="G24" s="4">
        <f>Calcs!G9</f>
        <v>2898.7787078050937</v>
      </c>
      <c r="H24" s="4">
        <f>Calcs!H9</f>
        <v>3602.0837782881717</v>
      </c>
      <c r="I24" s="4">
        <f>Calcs!I9</f>
        <v>4756.0497565647302</v>
      </c>
      <c r="J24" s="4">
        <f>Calcs!J9</f>
        <v>6413.395961565835</v>
      </c>
      <c r="K24" s="4">
        <f>Calcs!K9</f>
        <v>8622.0733091687252</v>
      </c>
      <c r="L24" s="4">
        <f>Calcs!L9</f>
        <v>11407.392612997426</v>
      </c>
      <c r="M24" s="4">
        <f>Calcs!M9</f>
        <v>14752.744466266467</v>
      </c>
      <c r="N24" s="4">
        <f>Calcs!N9</f>
        <v>18581.701181794371</v>
      </c>
      <c r="O24" s="4">
        <f>Calcs!O9</f>
        <v>22745.507604099494</v>
      </c>
    </row>
    <row r="25" spans="1:15" x14ac:dyDescent="0.25">
      <c r="B25" s="4" t="s">
        <v>159</v>
      </c>
      <c r="C25" s="198">
        <f>24177+24118</f>
        <v>48295</v>
      </c>
      <c r="D25" s="198">
        <f>24262+21363</f>
        <v>45625</v>
      </c>
      <c r="E25" s="199">
        <f>24839+18930</f>
        <v>43769</v>
      </c>
      <c r="F25" s="137">
        <f>E25-IncState!F23</f>
        <v>41769</v>
      </c>
      <c r="G25" s="137">
        <f>F25-IncState!G23</f>
        <v>39769</v>
      </c>
      <c r="H25" s="137">
        <f>G25-IncState!H23</f>
        <v>37769</v>
      </c>
      <c r="I25" s="137">
        <f>H25-IncState!I23</f>
        <v>35769</v>
      </c>
      <c r="J25" s="137">
        <f>I25-IncState!J23</f>
        <v>33769</v>
      </c>
      <c r="K25" s="137">
        <f>J25-IncState!K23</f>
        <v>31769</v>
      </c>
      <c r="L25" s="137">
        <f>K25-IncState!L23</f>
        <v>29769</v>
      </c>
      <c r="M25" s="137">
        <f>L25-IncState!M23</f>
        <v>27769</v>
      </c>
      <c r="N25" s="137">
        <f>M25-IncState!N23</f>
        <v>25769</v>
      </c>
      <c r="O25" s="137">
        <f>N25-IncState!O23</f>
        <v>23769</v>
      </c>
    </row>
    <row r="26" spans="1:15" x14ac:dyDescent="0.25">
      <c r="B26" s="4" t="s">
        <v>160</v>
      </c>
      <c r="C26" s="198">
        <v>83</v>
      </c>
      <c r="D26" s="198">
        <f>99</f>
        <v>99</v>
      </c>
      <c r="E26" s="199">
        <v>149</v>
      </c>
      <c r="F26" s="4">
        <f>F10</f>
        <v>149</v>
      </c>
      <c r="G26" s="4">
        <f t="shared" ref="G26:O26" si="13">G10</f>
        <v>149</v>
      </c>
      <c r="H26" s="4">
        <f t="shared" si="13"/>
        <v>149</v>
      </c>
      <c r="I26" s="4">
        <f t="shared" si="13"/>
        <v>149</v>
      </c>
      <c r="J26" s="4">
        <f t="shared" si="13"/>
        <v>149</v>
      </c>
      <c r="K26" s="4">
        <f t="shared" si="13"/>
        <v>149</v>
      </c>
      <c r="L26" s="4">
        <f t="shared" si="13"/>
        <v>149</v>
      </c>
      <c r="M26" s="4">
        <f t="shared" si="13"/>
        <v>149</v>
      </c>
      <c r="N26" s="4">
        <f t="shared" si="13"/>
        <v>149</v>
      </c>
      <c r="O26" s="4">
        <f t="shared" si="13"/>
        <v>149</v>
      </c>
    </row>
    <row r="27" spans="1:15" x14ac:dyDescent="0.25">
      <c r="B27" s="4" t="s">
        <v>162</v>
      </c>
      <c r="C27" s="198">
        <f>58+2152</f>
        <v>2210</v>
      </c>
      <c r="D27" s="198">
        <f>2805+366</f>
        <v>3171</v>
      </c>
      <c r="E27" s="199">
        <f>688+3146</f>
        <v>3834</v>
      </c>
      <c r="F27" s="4">
        <f>F7*IncState!F16</f>
        <v>4621.8655181941012</v>
      </c>
      <c r="G27" s="4">
        <f>G7*IncState!G16</f>
        <v>6169.9670376731947</v>
      </c>
      <c r="H27" s="4">
        <f>H7*IncState!H16</f>
        <v>8637.9538527424738</v>
      </c>
      <c r="I27" s="4">
        <f>I7*IncState!I16</f>
        <v>12265.894470894313</v>
      </c>
      <c r="J27" s="4">
        <f>J7*IncState!J16</f>
        <v>16926.934369834147</v>
      </c>
      <c r="K27" s="4">
        <f>K7*IncState!K16</f>
        <v>22682.092055577756</v>
      </c>
      <c r="L27" s="4">
        <f>L7*IncState!L16</f>
        <v>29486.719672251085</v>
      </c>
      <c r="M27" s="4">
        <f>M7*IncState!M16</f>
        <v>37153.266787036366</v>
      </c>
      <c r="N27" s="4">
        <f>N7*IncState!N16</f>
        <v>45326.985480184368</v>
      </c>
      <c r="O27" s="4">
        <f>O7*IncState!O16</f>
        <v>53485.842866617546</v>
      </c>
    </row>
    <row r="28" spans="1:15" s="11" customFormat="1" x14ac:dyDescent="0.25">
      <c r="B28" s="11" t="s">
        <v>73</v>
      </c>
      <c r="C28" s="11">
        <f>SUM(C24:C27)</f>
        <v>52561</v>
      </c>
      <c r="D28" s="11">
        <f>SUM(D24:D27)</f>
        <v>51117</v>
      </c>
      <c r="E28" s="25">
        <f>SUM(E24:E27)</f>
        <v>50177</v>
      </c>
      <c r="F28" s="11">
        <f>SUM(F24:F27)</f>
        <v>49077.259100532436</v>
      </c>
      <c r="G28" s="11">
        <f t="shared" ref="G28:O28" si="14">SUM(G24:G27)</f>
        <v>48986.745745478293</v>
      </c>
      <c r="H28" s="11">
        <f t="shared" si="14"/>
        <v>50158.037631030646</v>
      </c>
      <c r="I28" s="11">
        <f t="shared" si="14"/>
        <v>52939.94422745904</v>
      </c>
      <c r="J28" s="11">
        <f t="shared" si="14"/>
        <v>57258.330331399986</v>
      </c>
      <c r="K28" s="11">
        <f t="shared" si="14"/>
        <v>63222.165364746485</v>
      </c>
      <c r="L28" s="11">
        <f t="shared" si="14"/>
        <v>70812.112285248513</v>
      </c>
      <c r="M28" s="11">
        <f t="shared" si="14"/>
        <v>79824.01125330283</v>
      </c>
      <c r="N28" s="11">
        <f t="shared" si="14"/>
        <v>89826.686661978747</v>
      </c>
      <c r="O28" s="11">
        <f t="shared" si="14"/>
        <v>100149.35047071704</v>
      </c>
    </row>
    <row r="29" spans="1:15" x14ac:dyDescent="0.25">
      <c r="E29" s="28"/>
      <c r="I29" s="4"/>
      <c r="J29" s="4"/>
    </row>
    <row r="30" spans="1:15" s="11" customFormat="1" x14ac:dyDescent="0.25">
      <c r="A30" s="11" t="s">
        <v>124</v>
      </c>
      <c r="B30" s="17" t="s">
        <v>74</v>
      </c>
      <c r="C30" s="18">
        <f>SUM(C28,C22)</f>
        <v>67580</v>
      </c>
      <c r="D30" s="18">
        <f>SUM(D28,D22)</f>
        <v>67885</v>
      </c>
      <c r="E30" s="18">
        <f>SUM(E28,E22)</f>
        <v>69226</v>
      </c>
      <c r="F30" s="18">
        <f>SUM(F28,F22)</f>
        <v>75165.822371786562</v>
      </c>
      <c r="G30" s="18">
        <f t="shared" ref="G30:O30" si="15">SUM(G28,G22)</f>
        <v>83806.730623133582</v>
      </c>
      <c r="H30" s="18">
        <f t="shared" si="15"/>
        <v>97657.532340041551</v>
      </c>
      <c r="I30" s="18">
        <f t="shared" si="15"/>
        <v>118949.59064542559</v>
      </c>
      <c r="J30" s="18">
        <f t="shared" si="15"/>
        <v>149118.826897836</v>
      </c>
      <c r="K30" s="18">
        <f t="shared" si="15"/>
        <v>190531.34258678887</v>
      </c>
      <c r="L30" s="18">
        <f t="shared" si="15"/>
        <v>245552.85001251637</v>
      </c>
      <c r="M30" s="18">
        <f t="shared" si="15"/>
        <v>316240.55916373059</v>
      </c>
      <c r="N30" s="18">
        <f t="shared" si="15"/>
        <v>403961.57120129175</v>
      </c>
      <c r="O30" s="18">
        <f t="shared" si="15"/>
        <v>508989.8153163027</v>
      </c>
    </row>
    <row r="31" spans="1:15" x14ac:dyDescent="0.25">
      <c r="A31" s="11"/>
      <c r="E31" s="28"/>
      <c r="I31" s="4"/>
      <c r="J31" s="4"/>
    </row>
    <row r="32" spans="1:15" x14ac:dyDescent="0.25">
      <c r="B32" s="4" t="s">
        <v>75</v>
      </c>
      <c r="C32" s="9">
        <v>0</v>
      </c>
      <c r="D32" s="9">
        <v>751</v>
      </c>
      <c r="E32" s="46">
        <v>0</v>
      </c>
      <c r="F32" s="266">
        <f>MIN(CashFlow!F22,0)</f>
        <v>0</v>
      </c>
      <c r="G32" s="266">
        <f>MIN(CashFlow!G22,0)</f>
        <v>0</v>
      </c>
      <c r="H32" s="266">
        <f>MIN(CashFlow!H22,0)</f>
        <v>0</v>
      </c>
      <c r="I32" s="266">
        <f>MIN(CashFlow!I22,0)</f>
        <v>0</v>
      </c>
      <c r="J32" s="266">
        <f>MIN(CashFlow!J22,0)</f>
        <v>0</v>
      </c>
      <c r="K32" s="266">
        <f>MIN(CashFlow!K22,0)</f>
        <v>0</v>
      </c>
      <c r="L32" s="266">
        <f>MIN(CashFlow!L22,0)</f>
        <v>0</v>
      </c>
      <c r="M32" s="266">
        <f>MIN(CashFlow!M22,0)</f>
        <v>0</v>
      </c>
      <c r="N32" s="266">
        <f>MIN(CashFlow!N22,0)</f>
        <v>0</v>
      </c>
      <c r="O32" s="266">
        <f>MIN(CashFlow!O22,0)</f>
        <v>0</v>
      </c>
    </row>
    <row r="33" spans="1:15" x14ac:dyDescent="0.25">
      <c r="B33" s="4" t="s">
        <v>150</v>
      </c>
      <c r="C33" s="198">
        <f>2493+463</f>
        <v>2956</v>
      </c>
      <c r="D33" s="9">
        <f>2055+363</f>
        <v>2418</v>
      </c>
      <c r="E33" s="46">
        <f>1990+476</f>
        <v>2466</v>
      </c>
      <c r="F33" s="4">
        <f>F12*IncState!F17</f>
        <v>3226.6897835604973</v>
      </c>
      <c r="G33" s="4">
        <f>G12*IncState!G17</f>
        <v>4242.7327550633727</v>
      </c>
      <c r="H33" s="4">
        <f>H12*IncState!H17</f>
        <v>5849.1868861134781</v>
      </c>
      <c r="I33" s="4">
        <f>I12*IncState!I17</f>
        <v>8177.1380394962916</v>
      </c>
      <c r="J33" s="4">
        <f>J12*IncState!J17</f>
        <v>11106.834366981791</v>
      </c>
      <c r="K33" s="4">
        <f>K12*IncState!K17</f>
        <v>14645.152440874657</v>
      </c>
      <c r="L33" s="4">
        <f>L12*IncState!L17</f>
        <v>18729.290878991837</v>
      </c>
      <c r="M33" s="4">
        <f>M12*IncState!M17</f>
        <v>23209.053316906728</v>
      </c>
      <c r="N33" s="4">
        <f>N12*IncState!N17</f>
        <v>27839.424154066179</v>
      </c>
      <c r="O33" s="4">
        <f>O12*IncState!O17</f>
        <v>32289.287848577242</v>
      </c>
    </row>
    <row r="34" spans="1:15" x14ac:dyDescent="0.25">
      <c r="B34" s="4" t="s">
        <v>76</v>
      </c>
      <c r="C34" s="198">
        <f>336+3077</f>
        <v>3413</v>
      </c>
      <c r="D34" s="9">
        <f>438+3082</f>
        <v>3520</v>
      </c>
      <c r="E34" s="46">
        <f>4260+555</f>
        <v>4815</v>
      </c>
      <c r="F34" s="4">
        <f>F13*IncState!F16</f>
        <v>6394.9829144851656</v>
      </c>
      <c r="G34" s="4">
        <f>G13*IncState!G16</f>
        <v>8536.9930461052609</v>
      </c>
      <c r="H34" s="4">
        <f>H13*IncState!H16</f>
        <v>11951.790264547366</v>
      </c>
      <c r="I34" s="4">
        <f>I13*IncState!I16</f>
        <v>16971.542175657261</v>
      </c>
      <c r="J34" s="4">
        <f>J13*IncState!J16</f>
        <v>23420.728202407015</v>
      </c>
      <c r="K34" s="4">
        <f>K13*IncState!K16</f>
        <v>31383.775791225395</v>
      </c>
      <c r="L34" s="4">
        <f>L13*IncState!L16</f>
        <v>40798.90852859302</v>
      </c>
      <c r="M34" s="4">
        <f>M13*IncState!M16</f>
        <v>51406.624746027199</v>
      </c>
      <c r="N34" s="4">
        <f>N13*IncState!N16</f>
        <v>62716.082190153196</v>
      </c>
      <c r="O34" s="4">
        <f>O13*IncState!O16</f>
        <v>74004.976984380744</v>
      </c>
    </row>
    <row r="35" spans="1:15" s="11" customFormat="1" x14ac:dyDescent="0.25">
      <c r="B35" s="11" t="s">
        <v>77</v>
      </c>
      <c r="C35" s="11">
        <f t="shared" ref="C35:E35" si="16">SUM(C32:C34)</f>
        <v>6369</v>
      </c>
      <c r="D35" s="11">
        <f t="shared" si="16"/>
        <v>6689</v>
      </c>
      <c r="E35" s="25">
        <f t="shared" si="16"/>
        <v>7281</v>
      </c>
      <c r="F35" s="11">
        <f>SUM(F32:F34)</f>
        <v>9621.6726980456624</v>
      </c>
      <c r="G35" s="11">
        <f t="shared" ref="G35:O35" si="17">SUM(G32:G34)</f>
        <v>12779.725801168634</v>
      </c>
      <c r="H35" s="11">
        <f t="shared" si="17"/>
        <v>17800.977150660845</v>
      </c>
      <c r="I35" s="11">
        <f t="shared" si="17"/>
        <v>25148.680215153552</v>
      </c>
      <c r="J35" s="11">
        <f t="shared" si="17"/>
        <v>34527.562569388807</v>
      </c>
      <c r="K35" s="11">
        <f t="shared" si="17"/>
        <v>46028.92823210005</v>
      </c>
      <c r="L35" s="11">
        <f t="shared" si="17"/>
        <v>59528.199407584856</v>
      </c>
      <c r="M35" s="11">
        <f t="shared" si="17"/>
        <v>74615.678062933934</v>
      </c>
      <c r="N35" s="11">
        <f t="shared" si="17"/>
        <v>90555.506344219379</v>
      </c>
      <c r="O35" s="11">
        <f t="shared" si="17"/>
        <v>106294.26483295798</v>
      </c>
    </row>
    <row r="36" spans="1:15" x14ac:dyDescent="0.25">
      <c r="B36" s="11"/>
      <c r="E36" s="28"/>
      <c r="I36" s="4"/>
      <c r="J36" s="4"/>
    </row>
    <row r="37" spans="1:15" x14ac:dyDescent="0.25">
      <c r="B37" s="4" t="s">
        <v>78</v>
      </c>
      <c r="C37" s="198">
        <v>2467</v>
      </c>
      <c r="D37" s="9">
        <v>1717</v>
      </c>
      <c r="E37" s="46">
        <f>1721</f>
        <v>1721</v>
      </c>
      <c r="F37" s="4">
        <f>Debt!F26</f>
        <v>1721</v>
      </c>
      <c r="G37" s="4">
        <f>Debt!G26</f>
        <v>1721</v>
      </c>
      <c r="H37" s="4">
        <f>Debt!H26</f>
        <v>1721</v>
      </c>
      <c r="I37" s="4">
        <f>Debt!I26</f>
        <v>1721</v>
      </c>
      <c r="J37" s="4">
        <f>Debt!J26</f>
        <v>1721</v>
      </c>
      <c r="K37" s="4">
        <f>Debt!K26</f>
        <v>1721</v>
      </c>
      <c r="L37" s="4">
        <f>Debt!L26</f>
        <v>1721</v>
      </c>
      <c r="M37" s="4">
        <f>Debt!M26</f>
        <v>1721</v>
      </c>
      <c r="N37" s="4">
        <f>Debt!N26</f>
        <v>1721</v>
      </c>
      <c r="O37" s="4">
        <f>Debt!O26</f>
        <v>1721</v>
      </c>
    </row>
    <row r="38" spans="1:15" x14ac:dyDescent="0.25">
      <c r="B38" s="4" t="s">
        <v>79</v>
      </c>
      <c r="C38" s="198">
        <f>396+1934+1664</f>
        <v>3994</v>
      </c>
      <c r="D38" s="9">
        <f>1850+1202+535</f>
        <v>3587</v>
      </c>
      <c r="E38" s="46">
        <f>491+349+1816</f>
        <v>2656</v>
      </c>
      <c r="F38" s="4">
        <f>F14*IncState!F16</f>
        <v>3527.5336699631566</v>
      </c>
      <c r="G38" s="4">
        <f>G14*IncState!G16</f>
        <v>4709.086922212995</v>
      </c>
      <c r="H38" s="4">
        <f>H14*IncState!H16</f>
        <v>6592.7216910981942</v>
      </c>
      <c r="I38" s="4">
        <f>I14*IncState!I16</f>
        <v>9361.6648013594349</v>
      </c>
      <c r="J38" s="4">
        <f>J14*IncState!J16</f>
        <v>12919.09742587602</v>
      </c>
      <c r="K38" s="4">
        <f>K14*IncState!K16</f>
        <v>17311.590550673864</v>
      </c>
      <c r="L38" s="4">
        <f>L14*IncState!L16</f>
        <v>22505.067715876023</v>
      </c>
      <c r="M38" s="4">
        <f>M14*IncState!M16</f>
        <v>28356.385322003789</v>
      </c>
      <c r="N38" s="4">
        <f>N14*IncState!N16</f>
        <v>34594.790092844625</v>
      </c>
      <c r="O38" s="4">
        <f>O14*IncState!O16</f>
        <v>40821.852309556649</v>
      </c>
    </row>
    <row r="39" spans="1:15" x14ac:dyDescent="0.25">
      <c r="B39" s="11" t="s">
        <v>80</v>
      </c>
      <c r="C39" s="11">
        <f t="shared" ref="C39:E39" si="18">SUM(C37:C38)</f>
        <v>6461</v>
      </c>
      <c r="D39" s="11">
        <f t="shared" si="18"/>
        <v>5304</v>
      </c>
      <c r="E39" s="25">
        <f t="shared" si="18"/>
        <v>4377</v>
      </c>
      <c r="F39" s="11">
        <f>SUM(F37:F38)</f>
        <v>5248.5336699631571</v>
      </c>
      <c r="G39" s="11">
        <f t="shared" ref="G39:O39" si="19">SUM(G37:G38)</f>
        <v>6430.086922212995</v>
      </c>
      <c r="H39" s="11">
        <f t="shared" si="19"/>
        <v>8313.7216910981952</v>
      </c>
      <c r="I39" s="11">
        <f t="shared" si="19"/>
        <v>11082.664801359435</v>
      </c>
      <c r="J39" s="11">
        <f t="shared" si="19"/>
        <v>14640.09742587602</v>
      </c>
      <c r="K39" s="11">
        <f t="shared" si="19"/>
        <v>19032.590550673864</v>
      </c>
      <c r="L39" s="11">
        <f t="shared" si="19"/>
        <v>24226.067715876023</v>
      </c>
      <c r="M39" s="11">
        <f t="shared" si="19"/>
        <v>30077.385322003789</v>
      </c>
      <c r="N39" s="11">
        <f t="shared" si="19"/>
        <v>36315.790092844625</v>
      </c>
      <c r="O39" s="11">
        <f t="shared" si="19"/>
        <v>42542.852309556649</v>
      </c>
    </row>
    <row r="40" spans="1:15" x14ac:dyDescent="0.25">
      <c r="E40" s="28"/>
      <c r="I40" s="4"/>
      <c r="J40" s="4"/>
    </row>
    <row r="41" spans="1:15" x14ac:dyDescent="0.25">
      <c r="B41" s="4" t="s">
        <v>17</v>
      </c>
      <c r="C41" s="200">
        <v>54750</v>
      </c>
      <c r="D41" s="200">
        <v>55892</v>
      </c>
      <c r="E41" s="217">
        <v>57568</v>
      </c>
      <c r="F41" s="4">
        <f>Calcs!F16</f>
        <v>60295.616003777752</v>
      </c>
      <c r="G41" s="4">
        <f>Calcs!G16</f>
        <v>64596.917899751948</v>
      </c>
      <c r="H41" s="4">
        <f>Calcs!H16</f>
        <v>71542.833498282518</v>
      </c>
      <c r="I41" s="4">
        <f>Calcs!I16</f>
        <v>82718.245628912613</v>
      </c>
      <c r="J41" s="4">
        <f>Calcs!J16</f>
        <v>99951.166902571174</v>
      </c>
      <c r="K41" s="4">
        <f>Calcs!K16</f>
        <v>125469.82380401494</v>
      </c>
      <c r="L41" s="4">
        <f>Calcs!L16</f>
        <v>161798.58288905551</v>
      </c>
      <c r="M41" s="4">
        <f>Calcs!M16</f>
        <v>211547.49577879292</v>
      </c>
      <c r="N41" s="4">
        <f>Calcs!N16</f>
        <v>277090.2747642278</v>
      </c>
      <c r="O41" s="4">
        <f>Calcs!O16</f>
        <v>360152.69817378809</v>
      </c>
    </row>
    <row r="42" spans="1:15" s="11" customFormat="1" x14ac:dyDescent="0.25">
      <c r="A42" s="11" t="s">
        <v>124</v>
      </c>
      <c r="B42" s="17" t="s">
        <v>81</v>
      </c>
      <c r="C42" s="18">
        <f>SUM(C41,C39,C35)</f>
        <v>67580</v>
      </c>
      <c r="D42" s="18">
        <f>SUM(D41,D39,D35)</f>
        <v>67885</v>
      </c>
      <c r="E42" s="18">
        <f t="shared" ref="E42:F42" si="20">SUM(E41,E39,E35)</f>
        <v>69226</v>
      </c>
      <c r="F42" s="18">
        <f t="shared" si="20"/>
        <v>75165.822371786562</v>
      </c>
      <c r="G42" s="18">
        <f t="shared" ref="G42:O42" si="21">SUM(G41,G39,G35)</f>
        <v>83806.730623133582</v>
      </c>
      <c r="H42" s="18">
        <f t="shared" si="21"/>
        <v>97657.532340041565</v>
      </c>
      <c r="I42" s="18">
        <f t="shared" si="21"/>
        <v>118949.5906454256</v>
      </c>
      <c r="J42" s="18">
        <f t="shared" si="21"/>
        <v>149118.826897836</v>
      </c>
      <c r="K42" s="18">
        <f t="shared" si="21"/>
        <v>190531.34258678887</v>
      </c>
      <c r="L42" s="18">
        <f t="shared" si="21"/>
        <v>245552.85001251637</v>
      </c>
      <c r="M42" s="18">
        <f t="shared" si="21"/>
        <v>316240.55916373065</v>
      </c>
      <c r="N42" s="18">
        <f t="shared" si="21"/>
        <v>403961.57120129181</v>
      </c>
      <c r="O42" s="18">
        <f t="shared" si="21"/>
        <v>508989.8153163027</v>
      </c>
    </row>
    <row r="43" spans="1:15" x14ac:dyDescent="0.25">
      <c r="E43" s="28"/>
      <c r="I43" s="4"/>
      <c r="J43" s="4"/>
    </row>
    <row r="44" spans="1:15" x14ac:dyDescent="0.25">
      <c r="A44" s="4" t="s">
        <v>124</v>
      </c>
      <c r="B44" s="11" t="s">
        <v>82</v>
      </c>
      <c r="C44" s="47">
        <f>C42-C30</f>
        <v>0</v>
      </c>
      <c r="D44" s="47">
        <f t="shared" ref="D44:J44" si="22">D42-D30</f>
        <v>0</v>
      </c>
      <c r="E44" s="160">
        <f t="shared" si="22"/>
        <v>0</v>
      </c>
      <c r="F44" s="47">
        <f t="shared" si="22"/>
        <v>0</v>
      </c>
      <c r="G44" s="47">
        <f t="shared" ref="G44:O44" si="23">G42-G30</f>
        <v>0</v>
      </c>
      <c r="H44" s="47">
        <f t="shared" si="23"/>
        <v>0</v>
      </c>
      <c r="I44" s="47">
        <f t="shared" si="23"/>
        <v>0</v>
      </c>
      <c r="J44" s="47">
        <f t="shared" si="23"/>
        <v>0</v>
      </c>
      <c r="K44" s="47">
        <f t="shared" si="23"/>
        <v>0</v>
      </c>
      <c r="L44" s="47">
        <f t="shared" si="23"/>
        <v>0</v>
      </c>
      <c r="M44" s="47">
        <f t="shared" si="23"/>
        <v>0</v>
      </c>
      <c r="N44" s="47">
        <f t="shared" si="23"/>
        <v>0</v>
      </c>
      <c r="O44" s="47">
        <f t="shared" si="23"/>
        <v>0</v>
      </c>
    </row>
    <row r="45" spans="1:15" x14ac:dyDescent="0.25">
      <c r="I45" s="4"/>
      <c r="J45" s="4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  <row r="56" spans="8:8" x14ac:dyDescent="0.25">
      <c r="H56" s="6"/>
    </row>
    <row r="57" spans="8:8" x14ac:dyDescent="0.25">
      <c r="H57" s="6"/>
    </row>
  </sheetData>
  <conditionalFormatting sqref="F4:O15">
    <cfRule type="expression" dxfId="1" priority="30">
      <formula>$E$14&gt;1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2"/>
  <sheetViews>
    <sheetView showGridLines="0" zoomScaleNormal="100" workbookViewId="0">
      <selection activeCell="F22" sqref="F4:O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s="2" customFormat="1" x14ac:dyDescent="0.25">
      <c r="A2" s="187" t="s">
        <v>83</v>
      </c>
      <c r="B2" s="188"/>
      <c r="C2" s="193">
        <v>2022</v>
      </c>
      <c r="D2" s="193">
        <f>C2+1</f>
        <v>2023</v>
      </c>
      <c r="E2" s="193">
        <f t="shared" ref="E2:M2" si="0">D2+1</f>
        <v>2024</v>
      </c>
      <c r="F2" s="193">
        <f t="shared" si="0"/>
        <v>2025</v>
      </c>
      <c r="G2" s="193">
        <f t="shared" si="0"/>
        <v>2026</v>
      </c>
      <c r="H2" s="193">
        <f t="shared" si="0"/>
        <v>2027</v>
      </c>
      <c r="I2" s="193">
        <f t="shared" si="0"/>
        <v>2028</v>
      </c>
      <c r="J2" s="193">
        <f t="shared" si="0"/>
        <v>2029</v>
      </c>
      <c r="K2" s="193">
        <f t="shared" si="0"/>
        <v>2030</v>
      </c>
      <c r="L2" s="193">
        <f t="shared" si="0"/>
        <v>2031</v>
      </c>
      <c r="M2" s="193">
        <f t="shared" si="0"/>
        <v>2032</v>
      </c>
      <c r="N2" s="193">
        <f t="shared" ref="N2" si="1">M2+1</f>
        <v>2033</v>
      </c>
      <c r="O2" s="193">
        <f t="shared" ref="O2" si="2">N2+1</f>
        <v>2034</v>
      </c>
    </row>
    <row r="3" spans="1:15" x14ac:dyDescent="0.25">
      <c r="B3" s="4" t="s">
        <v>155</v>
      </c>
      <c r="F3" s="4">
        <f>IncState!F35</f>
        <v>2727.6160037777499</v>
      </c>
      <c r="G3" s="4">
        <f>IncState!G35</f>
        <v>4301.3018959742003</v>
      </c>
      <c r="H3" s="4">
        <f>IncState!H35</f>
        <v>6945.9155985305642</v>
      </c>
      <c r="I3" s="4">
        <f>IncState!I35</f>
        <v>11175.412130630093</v>
      </c>
      <c r="J3" s="4">
        <f>IncState!J35</f>
        <v>17232.921273658561</v>
      </c>
      <c r="K3" s="4">
        <f>IncState!K35</f>
        <v>25518.656901443774</v>
      </c>
      <c r="L3" s="4">
        <f>IncState!L35</f>
        <v>36328.759085040569</v>
      </c>
      <c r="M3" s="4">
        <f>IncState!M35</f>
        <v>49748.912889737396</v>
      </c>
      <c r="N3" s="4">
        <f>IncState!N35</f>
        <v>65542.778985434867</v>
      </c>
      <c r="O3" s="4">
        <f>IncState!O35</f>
        <v>83062.423409560273</v>
      </c>
    </row>
    <row r="4" spans="1:15" x14ac:dyDescent="0.25">
      <c r="B4" s="4" t="s">
        <v>15</v>
      </c>
      <c r="F4" s="4">
        <f>IncState!F22</f>
        <v>732.30198019801981</v>
      </c>
      <c r="G4" s="4">
        <f>IncState!G22</f>
        <v>766.24261644870614</v>
      </c>
      <c r="H4" s="4">
        <f>IncState!H22</f>
        <v>875.37376819856786</v>
      </c>
      <c r="I4" s="4">
        <f>IncState!I22</f>
        <v>1087.7579726513786</v>
      </c>
      <c r="J4" s="4">
        <f>IncState!J22</f>
        <v>1436.2328472794482</v>
      </c>
      <c r="K4" s="4">
        <f>IncState!K22</f>
        <v>1936.7185824530491</v>
      </c>
      <c r="L4" s="4">
        <f>IncState!L22</f>
        <v>2603.695405244021</v>
      </c>
      <c r="M4" s="4">
        <f>IncState!M22</f>
        <v>3444.8066801625891</v>
      </c>
      <c r="N4" s="4">
        <f>IncState!N22</f>
        <v>4455.0366952586855</v>
      </c>
      <c r="O4" s="4">
        <f>IncState!O22</f>
        <v>5611.3058024230522</v>
      </c>
    </row>
    <row r="5" spans="1:15" x14ac:dyDescent="0.25">
      <c r="B5" s="4" t="s">
        <v>53</v>
      </c>
      <c r="F5" s="4">
        <f>IncState!F23</f>
        <v>2000</v>
      </c>
      <c r="G5" s="4">
        <f>IncState!G23</f>
        <v>2000</v>
      </c>
      <c r="H5" s="4">
        <f>IncState!H23</f>
        <v>2000</v>
      </c>
      <c r="I5" s="4">
        <f>IncState!I23</f>
        <v>2000</v>
      </c>
      <c r="J5" s="4">
        <f>IncState!J23</f>
        <v>2000</v>
      </c>
      <c r="K5" s="4">
        <f>IncState!K23</f>
        <v>2000</v>
      </c>
      <c r="L5" s="4">
        <f>IncState!L23</f>
        <v>2000</v>
      </c>
      <c r="M5" s="4">
        <f>IncState!M23</f>
        <v>2000</v>
      </c>
      <c r="N5" s="4">
        <f>IncState!N23</f>
        <v>2000</v>
      </c>
      <c r="O5" s="4">
        <f>IncState!O23</f>
        <v>2000</v>
      </c>
    </row>
    <row r="6" spans="1:15" x14ac:dyDescent="0.25">
      <c r="B6" s="4" t="s">
        <v>217</v>
      </c>
      <c r="F6" s="4">
        <f>Calcs!F25</f>
        <v>-296.12113672191299</v>
      </c>
      <c r="G6" s="4">
        <f>Calcs!G25</f>
        <v>-2842.6956659395637</v>
      </c>
      <c r="H6" s="4">
        <f>Calcs!H25</f>
        <v>-4519.6297244462166</v>
      </c>
      <c r="I6" s="4">
        <f>Calcs!I25</f>
        <v>-6613.1431061871335</v>
      </c>
      <c r="J6" s="4">
        <f>Calcs!J25</f>
        <v>-8440.298050078658</v>
      </c>
      <c r="K6" s="4">
        <f>Calcs!K25</f>
        <v>-10349.12022817869</v>
      </c>
      <c r="L6" s="4">
        <f>Calcs!L25</f>
        <v>-12145.280264046851</v>
      </c>
      <c r="M6" s="4">
        <f>Calcs!M25</f>
        <v>-13572.229617788027</v>
      </c>
      <c r="N6" s="4">
        <f>Calcs!N25</f>
        <v>-14336.611708946613</v>
      </c>
      <c r="O6" s="4">
        <f>Calcs!O25</f>
        <v>-14152.947017813698</v>
      </c>
    </row>
    <row r="7" spans="1:15" x14ac:dyDescent="0.25">
      <c r="B7" s="4" t="s">
        <v>216</v>
      </c>
      <c r="F7" s="4">
        <f>BalSheet!E27-BalSheet!F27</f>
        <v>-787.86551819410124</v>
      </c>
      <c r="G7" s="4">
        <f>BalSheet!F27-BalSheet!G27</f>
        <v>-1548.1015194790934</v>
      </c>
      <c r="H7" s="4">
        <f>BalSheet!G27-BalSheet!H27</f>
        <v>-2467.9868150692791</v>
      </c>
      <c r="I7" s="4">
        <f>BalSheet!H27-BalSheet!I27</f>
        <v>-3627.9406181518389</v>
      </c>
      <c r="J7" s="4">
        <f>BalSheet!I27-BalSheet!J27</f>
        <v>-4661.0398989398345</v>
      </c>
      <c r="K7" s="4">
        <f>BalSheet!J27-BalSheet!K27</f>
        <v>-5755.1576857436085</v>
      </c>
      <c r="L7" s="4">
        <f>BalSheet!K27-BalSheet!L27</f>
        <v>-6804.6276166733296</v>
      </c>
      <c r="M7" s="4">
        <f>BalSheet!L27-BalSheet!M27</f>
        <v>-7666.5471147852804</v>
      </c>
      <c r="N7" s="4">
        <f>BalSheet!M27-BalSheet!N27</f>
        <v>-8173.7186931480028</v>
      </c>
      <c r="O7" s="4">
        <f>BalSheet!N27-BalSheet!O27</f>
        <v>-8158.8573864331775</v>
      </c>
    </row>
    <row r="8" spans="1:15" x14ac:dyDescent="0.25">
      <c r="B8" s="4" t="s">
        <v>218</v>
      </c>
      <c r="F8" s="4">
        <f>BalSheet!F38-BalSheet!E38</f>
        <v>871.53366996315663</v>
      </c>
      <c r="G8" s="4">
        <f>BalSheet!G38-BalSheet!F38</f>
        <v>1181.5532522498384</v>
      </c>
      <c r="H8" s="4">
        <f>BalSheet!H38-BalSheet!G38</f>
        <v>1883.6347688851993</v>
      </c>
      <c r="I8" s="4">
        <f>BalSheet!I38-BalSheet!H38</f>
        <v>2768.9431102612407</v>
      </c>
      <c r="J8" s="4">
        <f>BalSheet!J38-BalSheet!I38</f>
        <v>3557.4326245165848</v>
      </c>
      <c r="K8" s="4">
        <f>BalSheet!K38-BalSheet!J38</f>
        <v>4392.4931247978438</v>
      </c>
      <c r="L8" s="4">
        <f>BalSheet!L38-BalSheet!K38</f>
        <v>5193.4771652021591</v>
      </c>
      <c r="M8" s="4">
        <f>BalSheet!M38-BalSheet!L38</f>
        <v>5851.3176061277663</v>
      </c>
      <c r="N8" s="4">
        <f>BalSheet!N38-BalSheet!M38</f>
        <v>6238.4047708408361</v>
      </c>
      <c r="O8" s="4">
        <f>BalSheet!O38-BalSheet!N38</f>
        <v>6227.0622167120237</v>
      </c>
    </row>
    <row r="9" spans="1:15" s="11" customFormat="1" x14ac:dyDescent="0.25">
      <c r="B9" s="11" t="s">
        <v>219</v>
      </c>
      <c r="F9" s="11">
        <f>SUM(F3:F8)</f>
        <v>5247.4649990229118</v>
      </c>
      <c r="G9" s="11">
        <f t="shared" ref="G9:O9" si="3">SUM(G3:G8)</f>
        <v>3858.3005792540876</v>
      </c>
      <c r="H9" s="11">
        <f t="shared" si="3"/>
        <v>4717.3075960988353</v>
      </c>
      <c r="I9" s="11">
        <f t="shared" si="3"/>
        <v>6791.0294892037391</v>
      </c>
      <c r="J9" s="11">
        <f t="shared" si="3"/>
        <v>11125.248796436101</v>
      </c>
      <c r="K9" s="11">
        <f t="shared" si="3"/>
        <v>17743.590694772371</v>
      </c>
      <c r="L9" s="11">
        <f t="shared" si="3"/>
        <v>27176.023774766567</v>
      </c>
      <c r="M9" s="11">
        <f t="shared" si="3"/>
        <v>39806.260443454448</v>
      </c>
      <c r="N9" s="11">
        <f t="shared" si="3"/>
        <v>55725.890049439782</v>
      </c>
      <c r="O9" s="11">
        <f t="shared" si="3"/>
        <v>74588.987024448463</v>
      </c>
    </row>
    <row r="10" spans="1:15" x14ac:dyDescent="0.25">
      <c r="I10" s="4"/>
      <c r="J10" s="4"/>
    </row>
    <row r="11" spans="1:15" x14ac:dyDescent="0.25">
      <c r="B11" s="4" t="s">
        <v>14</v>
      </c>
      <c r="F11" s="4">
        <f>Calcs!F7</f>
        <v>844.69556253635835</v>
      </c>
      <c r="G11" s="4">
        <f>Calcs!G7</f>
        <v>1127.6277419154612</v>
      </c>
      <c r="H11" s="4">
        <f>Calcs!H7</f>
        <v>1578.6788386816459</v>
      </c>
      <c r="I11" s="4">
        <f>Calcs!I7</f>
        <v>2241.723950927937</v>
      </c>
      <c r="J11" s="4">
        <f>Calcs!J7</f>
        <v>3093.5790522805528</v>
      </c>
      <c r="K11" s="4">
        <f>Calcs!K7</f>
        <v>4145.39593005594</v>
      </c>
      <c r="L11" s="4">
        <f>Calcs!L7</f>
        <v>5389.0147090727223</v>
      </c>
      <c r="M11" s="4">
        <f>Calcs!M7</f>
        <v>6790.1585334316305</v>
      </c>
      <c r="N11" s="4">
        <f>Calcs!N7</f>
        <v>8283.9934107865902</v>
      </c>
      <c r="O11" s="4">
        <f>Calcs!O7</f>
        <v>9775.1122247281746</v>
      </c>
    </row>
    <row r="12" spans="1:15" s="11" customFormat="1" x14ac:dyDescent="0.25">
      <c r="B12" s="11" t="s">
        <v>220</v>
      </c>
      <c r="F12" s="11">
        <f>-F11</f>
        <v>-844.69556253635835</v>
      </c>
      <c r="G12" s="11">
        <f t="shared" ref="G12:O12" si="4">-G11</f>
        <v>-1127.6277419154612</v>
      </c>
      <c r="H12" s="11">
        <f t="shared" si="4"/>
        <v>-1578.6788386816459</v>
      </c>
      <c r="I12" s="11">
        <f t="shared" si="4"/>
        <v>-2241.723950927937</v>
      </c>
      <c r="J12" s="11">
        <f t="shared" si="4"/>
        <v>-3093.5790522805528</v>
      </c>
      <c r="K12" s="11">
        <f t="shared" si="4"/>
        <v>-4145.39593005594</v>
      </c>
      <c r="L12" s="11">
        <f t="shared" si="4"/>
        <v>-5389.0147090727223</v>
      </c>
      <c r="M12" s="11">
        <f t="shared" si="4"/>
        <v>-6790.1585334316305</v>
      </c>
      <c r="N12" s="11">
        <f t="shared" si="4"/>
        <v>-8283.9934107865902</v>
      </c>
      <c r="O12" s="11">
        <f t="shared" si="4"/>
        <v>-9775.1122247281746</v>
      </c>
    </row>
    <row r="13" spans="1:15" x14ac:dyDescent="0.25">
      <c r="I13" s="4"/>
      <c r="J13" s="4"/>
    </row>
    <row r="14" spans="1:15" x14ac:dyDescent="0.25">
      <c r="B14" s="4" t="s">
        <v>221</v>
      </c>
      <c r="F14" s="4">
        <f>Calcs!F11</f>
        <v>0</v>
      </c>
      <c r="G14" s="4">
        <f>Calcs!G11</f>
        <v>0</v>
      </c>
      <c r="H14" s="4">
        <f>Calcs!H11</f>
        <v>0</v>
      </c>
      <c r="I14" s="4">
        <f>Calcs!I11</f>
        <v>0</v>
      </c>
      <c r="J14" s="4">
        <f>Calcs!J11</f>
        <v>0</v>
      </c>
      <c r="K14" s="4">
        <f>Calcs!K11</f>
        <v>0</v>
      </c>
      <c r="L14" s="4">
        <f>Calcs!L11</f>
        <v>0</v>
      </c>
      <c r="M14" s="4">
        <f>Calcs!M11</f>
        <v>0</v>
      </c>
      <c r="N14" s="4">
        <f>Calcs!N11</f>
        <v>0</v>
      </c>
      <c r="O14" s="4">
        <f>Calcs!O11</f>
        <v>0</v>
      </c>
    </row>
    <row r="15" spans="1:15" x14ac:dyDescent="0.25">
      <c r="B15" s="4" t="s">
        <v>222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  <c r="K15" s="4">
        <f>SUM(Debt!K8:K9)</f>
        <v>0</v>
      </c>
      <c r="L15" s="4">
        <f>SUM(Debt!L8:L9)</f>
        <v>0</v>
      </c>
      <c r="M15" s="4">
        <f>SUM(Debt!M8:M9)</f>
        <v>0</v>
      </c>
      <c r="N15" s="4">
        <f>SUM(Debt!N8:N9)</f>
        <v>0</v>
      </c>
      <c r="O15" s="4">
        <f>SUM(Debt!O8:O9)</f>
        <v>0</v>
      </c>
    </row>
    <row r="16" spans="1:15" s="11" customFormat="1" x14ac:dyDescent="0.25">
      <c r="B16" s="11" t="s">
        <v>223</v>
      </c>
      <c r="F16" s="11">
        <f>SUM(F14:F15)</f>
        <v>0</v>
      </c>
      <c r="G16" s="11">
        <f t="shared" ref="G16:O16" si="5">SUM(G14:G15)</f>
        <v>0</v>
      </c>
      <c r="H16" s="11">
        <f t="shared" si="5"/>
        <v>0</v>
      </c>
      <c r="I16" s="11">
        <f t="shared" si="5"/>
        <v>0</v>
      </c>
      <c r="J16" s="11">
        <f t="shared" si="5"/>
        <v>0</v>
      </c>
      <c r="K16" s="11">
        <f t="shared" si="5"/>
        <v>0</v>
      </c>
      <c r="L16" s="11">
        <f t="shared" si="5"/>
        <v>0</v>
      </c>
      <c r="M16" s="11">
        <f t="shared" si="5"/>
        <v>0</v>
      </c>
      <c r="N16" s="11">
        <f t="shared" si="5"/>
        <v>0</v>
      </c>
      <c r="O16" s="11">
        <f t="shared" si="5"/>
        <v>0</v>
      </c>
    </row>
    <row r="17" spans="2:15" x14ac:dyDescent="0.25">
      <c r="I17" s="4"/>
      <c r="J17" s="4"/>
    </row>
    <row r="18" spans="2:15" x14ac:dyDescent="0.25">
      <c r="B18" s="4" t="s">
        <v>224</v>
      </c>
      <c r="F18" s="4">
        <f>SUM(F16,F12,F9)</f>
        <v>4402.7694364865538</v>
      </c>
      <c r="G18" s="4">
        <f t="shared" ref="G18:O18" si="6">SUM(G16,G12,G9)</f>
        <v>2730.6728373386263</v>
      </c>
      <c r="H18" s="4">
        <f t="shared" si="6"/>
        <v>3138.6287574171893</v>
      </c>
      <c r="I18" s="4">
        <f t="shared" si="6"/>
        <v>4549.3055382758021</v>
      </c>
      <c r="J18" s="4">
        <f t="shared" si="6"/>
        <v>8031.669744155548</v>
      </c>
      <c r="K18" s="4">
        <f t="shared" si="6"/>
        <v>13598.194764716431</v>
      </c>
      <c r="L18" s="4">
        <f t="shared" si="6"/>
        <v>21787.009065693845</v>
      </c>
      <c r="M18" s="4">
        <f t="shared" si="6"/>
        <v>33016.101910022815</v>
      </c>
      <c r="N18" s="4">
        <f t="shared" si="6"/>
        <v>47441.89663865319</v>
      </c>
      <c r="O18" s="4">
        <f t="shared" si="6"/>
        <v>64813.874799720288</v>
      </c>
    </row>
    <row r="19" spans="2:15" x14ac:dyDescent="0.25">
      <c r="I19" s="4"/>
      <c r="J19" s="4"/>
    </row>
    <row r="20" spans="2:15" x14ac:dyDescent="0.25">
      <c r="B20" s="4" t="s">
        <v>225</v>
      </c>
      <c r="F20" s="4">
        <f>BalSheet!E18</f>
        <v>3400.2249999999999</v>
      </c>
      <c r="G20" s="4">
        <f>BalSheet!F18</f>
        <v>7802.9944364865532</v>
      </c>
      <c r="H20" s="4">
        <f>BalSheet!G18</f>
        <v>10533.66727382518</v>
      </c>
      <c r="I20" s="4">
        <f>BalSheet!H18</f>
        <v>13672.296031242369</v>
      </c>
      <c r="J20" s="4">
        <f>BalSheet!I18</f>
        <v>18221.60156951817</v>
      </c>
      <c r="K20" s="4">
        <f>BalSheet!J18</f>
        <v>26253.271313673718</v>
      </c>
      <c r="L20" s="4">
        <f>BalSheet!K18</f>
        <v>39851.466078390149</v>
      </c>
      <c r="M20" s="4">
        <f>BalSheet!L18</f>
        <v>61638.47514408399</v>
      </c>
      <c r="N20" s="4">
        <f>BalSheet!M18</f>
        <v>94654.577054106805</v>
      </c>
      <c r="O20" s="4">
        <f>BalSheet!N18</f>
        <v>142096.47369275999</v>
      </c>
    </row>
    <row r="21" spans="2:15" x14ac:dyDescent="0.25">
      <c r="B21" s="4" t="str">
        <f>B18</f>
        <v>Net changes in Cash</v>
      </c>
      <c r="F21" s="4">
        <f>F18</f>
        <v>4402.7694364865538</v>
      </c>
      <c r="G21" s="4">
        <f t="shared" ref="G21:O21" si="7">G18</f>
        <v>2730.6728373386263</v>
      </c>
      <c r="H21" s="4">
        <f t="shared" si="7"/>
        <v>3138.6287574171893</v>
      </c>
      <c r="I21" s="4">
        <f t="shared" si="7"/>
        <v>4549.3055382758021</v>
      </c>
      <c r="J21" s="4">
        <f t="shared" si="7"/>
        <v>8031.669744155548</v>
      </c>
      <c r="K21" s="4">
        <f t="shared" si="7"/>
        <v>13598.194764716431</v>
      </c>
      <c r="L21" s="4">
        <f t="shared" si="7"/>
        <v>21787.009065693845</v>
      </c>
      <c r="M21" s="4">
        <f t="shared" si="7"/>
        <v>33016.101910022815</v>
      </c>
      <c r="N21" s="4">
        <f t="shared" si="7"/>
        <v>47441.89663865319</v>
      </c>
      <c r="O21" s="4">
        <f t="shared" si="7"/>
        <v>64813.874799720288</v>
      </c>
    </row>
    <row r="22" spans="2:15" x14ac:dyDescent="0.25">
      <c r="B22" s="4" t="s">
        <v>226</v>
      </c>
      <c r="F22" s="4">
        <f>SUM(F20:F21)</f>
        <v>7802.9944364865532</v>
      </c>
      <c r="G22" s="4">
        <f t="shared" ref="G22:O22" si="8">SUM(G20:G21)</f>
        <v>10533.66727382518</v>
      </c>
      <c r="H22" s="4">
        <f t="shared" si="8"/>
        <v>13672.296031242369</v>
      </c>
      <c r="I22" s="4">
        <f t="shared" si="8"/>
        <v>18221.60156951817</v>
      </c>
      <c r="J22" s="4">
        <f t="shared" si="8"/>
        <v>26253.271313673718</v>
      </c>
      <c r="K22" s="4">
        <f t="shared" si="8"/>
        <v>39851.466078390149</v>
      </c>
      <c r="L22" s="4">
        <f t="shared" si="8"/>
        <v>61638.47514408399</v>
      </c>
      <c r="M22" s="4">
        <f t="shared" si="8"/>
        <v>94654.577054106805</v>
      </c>
      <c r="N22" s="4">
        <f t="shared" si="8"/>
        <v>142096.47369275999</v>
      </c>
      <c r="O22" s="4">
        <f t="shared" si="8"/>
        <v>206910.34849248029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topLeftCell="C1" zoomScaleNormal="100" workbookViewId="0">
      <selection activeCell="O15" sqref="O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5" width="11.710937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258" t="str">
        <f>CoName</f>
        <v>Advanced Micro Devices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  <c r="N1" s="42" t="s">
        <v>1</v>
      </c>
      <c r="O1" s="42" t="s">
        <v>1</v>
      </c>
    </row>
    <row r="2" spans="1:15" s="2" customFormat="1" ht="16.350000000000001" customHeight="1" x14ac:dyDescent="0.25">
      <c r="A2" s="187" t="s">
        <v>86</v>
      </c>
      <c r="B2" s="188"/>
      <c r="C2" s="193">
        <v>2022</v>
      </c>
      <c r="D2" s="193">
        <f>C2+1</f>
        <v>2023</v>
      </c>
      <c r="E2" s="193">
        <f t="shared" ref="E2:J2" si="0">D2+1</f>
        <v>2024</v>
      </c>
      <c r="F2" s="193">
        <f t="shared" si="0"/>
        <v>2025</v>
      </c>
      <c r="G2" s="193">
        <f t="shared" si="0"/>
        <v>2026</v>
      </c>
      <c r="H2" s="193">
        <f t="shared" si="0"/>
        <v>2027</v>
      </c>
      <c r="I2" s="193">
        <f t="shared" si="0"/>
        <v>2028</v>
      </c>
      <c r="J2" s="193">
        <f t="shared" si="0"/>
        <v>2029</v>
      </c>
      <c r="K2" s="193">
        <f t="shared" ref="K2:M2" si="1">J2+1</f>
        <v>2030</v>
      </c>
      <c r="L2" s="193">
        <f t="shared" si="1"/>
        <v>2031</v>
      </c>
      <c r="M2" s="193">
        <f t="shared" si="1"/>
        <v>2032</v>
      </c>
      <c r="N2" s="193">
        <f t="shared" ref="N2" si="2">M2+1</f>
        <v>2033</v>
      </c>
      <c r="O2" s="193">
        <f t="shared" ref="O2" si="3">N2+1</f>
        <v>2034</v>
      </c>
    </row>
    <row r="3" spans="1:15" x14ac:dyDescent="0.25">
      <c r="A3" s="11" t="s">
        <v>124</v>
      </c>
      <c r="B3" s="4" t="s">
        <v>87</v>
      </c>
      <c r="D3" s="236"/>
      <c r="E3" s="24"/>
      <c r="F3" s="237">
        <f>IncState!F16</f>
        <v>34246.03</v>
      </c>
      <c r="G3" s="237">
        <f>IncState!G16</f>
        <v>45716.79453661976</v>
      </c>
      <c r="H3" s="237">
        <f>IncState!H16</f>
        <v>64003.512351267673</v>
      </c>
      <c r="I3" s="237">
        <f>IncState!I16</f>
        <v>90884.987538800095</v>
      </c>
      <c r="J3" s="237">
        <f>IncState!J16</f>
        <v>125421.28280354412</v>
      </c>
      <c r="K3" s="237">
        <f>IncState!K16</f>
        <v>168064.51895674909</v>
      </c>
      <c r="L3" s="237">
        <f>IncState!L16</f>
        <v>218483.87464377383</v>
      </c>
      <c r="M3" s="237">
        <f>IncState!M16</f>
        <v>275289.68205115502</v>
      </c>
      <c r="N3" s="237">
        <f>IncState!N16</f>
        <v>335853.41210240917</v>
      </c>
      <c r="O3" s="237">
        <f>IncState!O16</f>
        <v>396307.02628084272</v>
      </c>
    </row>
    <row r="4" spans="1:15" x14ac:dyDescent="0.25">
      <c r="B4" s="4" t="s">
        <v>54</v>
      </c>
      <c r="E4" s="28"/>
      <c r="F4" s="4">
        <f>IncState!F20</f>
        <v>3306.0501106117881</v>
      </c>
      <c r="G4" s="4">
        <f>IncState!G20</f>
        <v>5213.4609817749442</v>
      </c>
      <c r="H4" s="4">
        <f>IncState!H20</f>
        <v>8418.9068406321094</v>
      </c>
      <c r="I4" s="4">
        <f>IncState!I20</f>
        <v>13545.334995626603</v>
      </c>
      <c r="J4" s="4">
        <f>IncState!J20</f>
        <v>20887.434743026737</v>
      </c>
      <c r="K4" s="4">
        <f>IncState!K20</f>
        <v>30930.291637398943</v>
      </c>
      <c r="L4" s="4">
        <f>IncState!L20</f>
        <v>44032.846934884641</v>
      </c>
      <c r="M4" s="4">
        <f>IncState!M20</f>
        <v>60298.956573849893</v>
      </c>
      <c r="N4" s="4">
        <f>IncState!N20</f>
        <v>79442.161731889064</v>
      </c>
      <c r="O4" s="4">
        <f>IncState!O20</f>
        <v>100677.1238035438</v>
      </c>
    </row>
    <row r="5" spans="1:15" x14ac:dyDescent="0.25">
      <c r="B5" s="31" t="s">
        <v>92</v>
      </c>
      <c r="C5" s="31"/>
      <c r="D5" s="31"/>
      <c r="E5" s="40"/>
      <c r="F5" s="44">
        <f>IncState!F11</f>
        <v>0.17496229260935142</v>
      </c>
      <c r="G5" s="44">
        <f>IncState!G11</f>
        <v>0.17496229260935142</v>
      </c>
      <c r="H5" s="44">
        <f>IncState!H11</f>
        <v>0.17496229260935142</v>
      </c>
      <c r="I5" s="44">
        <f>IncState!I11</f>
        <v>0.17496229260935142</v>
      </c>
      <c r="J5" s="44">
        <f>IncState!J11</f>
        <v>0.17496229260935142</v>
      </c>
      <c r="K5" s="44">
        <f>IncState!K11</f>
        <v>0.17496229260935142</v>
      </c>
      <c r="L5" s="44">
        <f>IncState!L11</f>
        <v>0.17496229260935142</v>
      </c>
      <c r="M5" s="44">
        <f>IncState!M11</f>
        <v>0.17496229260935142</v>
      </c>
      <c r="N5" s="44">
        <f>IncState!N11</f>
        <v>0.17496229260935142</v>
      </c>
      <c r="O5" s="44">
        <f>IncState!O11</f>
        <v>0.17496229260935142</v>
      </c>
    </row>
    <row r="6" spans="1:15" x14ac:dyDescent="0.25">
      <c r="C6" s="5"/>
      <c r="D6" s="5"/>
      <c r="E6" s="2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25" t="s">
        <v>124</v>
      </c>
      <c r="B7" s="22" t="s">
        <v>88</v>
      </c>
      <c r="C7" s="124"/>
      <c r="D7" s="124"/>
      <c r="E7" s="124"/>
      <c r="F7" s="139">
        <f t="shared" ref="F7:M7" si="4">F4*(1-F5)</f>
        <v>2727.6160037777495</v>
      </c>
      <c r="G7" s="139">
        <f t="shared" ref="G7:O7" si="5">G4*(1-G5)</f>
        <v>4301.3018959741994</v>
      </c>
      <c r="H7" s="139">
        <f t="shared" si="5"/>
        <v>6945.9155985305633</v>
      </c>
      <c r="I7" s="139">
        <f t="shared" si="5"/>
        <v>11175.412130630093</v>
      </c>
      <c r="J7" s="139">
        <f t="shared" si="5"/>
        <v>17232.921273658558</v>
      </c>
      <c r="K7" s="139">
        <f t="shared" si="5"/>
        <v>25518.656901443774</v>
      </c>
      <c r="L7" s="139">
        <f t="shared" si="5"/>
        <v>36328.759085040569</v>
      </c>
      <c r="M7" s="139">
        <f t="shared" si="5"/>
        <v>49748.912889737388</v>
      </c>
      <c r="N7" s="139">
        <f t="shared" si="5"/>
        <v>65542.778985434867</v>
      </c>
      <c r="O7" s="139">
        <f t="shared" si="5"/>
        <v>83062.423409560259</v>
      </c>
    </row>
    <row r="8" spans="1:15" x14ac:dyDescent="0.25">
      <c r="B8" s="4" t="s">
        <v>15</v>
      </c>
      <c r="C8" s="124"/>
      <c r="D8" s="124"/>
      <c r="E8" s="125"/>
      <c r="F8" s="140">
        <f>CashFlow!F4</f>
        <v>732.30198019801981</v>
      </c>
      <c r="G8" s="140">
        <f>CashFlow!G4</f>
        <v>766.24261644870614</v>
      </c>
      <c r="H8" s="140">
        <f>CashFlow!H4</f>
        <v>875.37376819856786</v>
      </c>
      <c r="I8" s="140">
        <f>CashFlow!I4</f>
        <v>1087.7579726513786</v>
      </c>
      <c r="J8" s="140">
        <f>CashFlow!J4</f>
        <v>1436.2328472794482</v>
      </c>
      <c r="K8" s="140">
        <f>CashFlow!K4</f>
        <v>1936.7185824530491</v>
      </c>
      <c r="L8" s="140">
        <f>CashFlow!L4</f>
        <v>2603.695405244021</v>
      </c>
      <c r="M8" s="140">
        <f>CashFlow!M4</f>
        <v>3444.8066801625891</v>
      </c>
      <c r="N8" s="140">
        <f>CashFlow!N4</f>
        <v>4455.0366952586855</v>
      </c>
      <c r="O8" s="140">
        <f>CashFlow!O4</f>
        <v>5611.3058024230522</v>
      </c>
    </row>
    <row r="9" spans="1:15" x14ac:dyDescent="0.25">
      <c r="B9" s="4" t="s">
        <v>53</v>
      </c>
      <c r="C9" s="5"/>
      <c r="D9" s="5"/>
      <c r="E9" s="24"/>
      <c r="F9" s="195">
        <f>CashFlow!F5</f>
        <v>2000</v>
      </c>
      <c r="G9" s="195">
        <f>CashFlow!G5</f>
        <v>2000</v>
      </c>
      <c r="H9" s="195">
        <f>CashFlow!H5</f>
        <v>2000</v>
      </c>
      <c r="I9" s="195">
        <f>CashFlow!I5</f>
        <v>2000</v>
      </c>
      <c r="J9" s="195">
        <f>CashFlow!J5</f>
        <v>2000</v>
      </c>
      <c r="K9" s="195">
        <f>CashFlow!K5</f>
        <v>2000</v>
      </c>
      <c r="L9" s="195">
        <f>CashFlow!L5</f>
        <v>2000</v>
      </c>
      <c r="M9" s="195">
        <f>CashFlow!M5</f>
        <v>2000</v>
      </c>
      <c r="N9" s="195">
        <f>CashFlow!N5</f>
        <v>2000</v>
      </c>
      <c r="O9" s="195">
        <f>CashFlow!O5</f>
        <v>2000</v>
      </c>
    </row>
    <row r="10" spans="1:15" x14ac:dyDescent="0.25">
      <c r="B10" s="4" t="s">
        <v>89</v>
      </c>
      <c r="C10" s="5"/>
      <c r="D10" s="5"/>
      <c r="E10" s="24"/>
      <c r="F10" s="195">
        <f>CashFlow!F6</f>
        <v>-296.12113672191299</v>
      </c>
      <c r="G10" s="195">
        <f>CashFlow!G6</f>
        <v>-2842.6956659395637</v>
      </c>
      <c r="H10" s="195">
        <f>CashFlow!H6</f>
        <v>-4519.6297244462166</v>
      </c>
      <c r="I10" s="195">
        <f>CashFlow!I6</f>
        <v>-6613.1431061871335</v>
      </c>
      <c r="J10" s="195">
        <f>CashFlow!J6</f>
        <v>-8440.298050078658</v>
      </c>
      <c r="K10" s="195">
        <f>CashFlow!K6</f>
        <v>-10349.12022817869</v>
      </c>
      <c r="L10" s="195">
        <f>CashFlow!L6</f>
        <v>-12145.280264046851</v>
      </c>
      <c r="M10" s="195">
        <f>CashFlow!M6</f>
        <v>-13572.229617788027</v>
      </c>
      <c r="N10" s="195">
        <f>CashFlow!N6</f>
        <v>-14336.611708946613</v>
      </c>
      <c r="O10" s="195">
        <f>CashFlow!O6</f>
        <v>-14152.947017813698</v>
      </c>
    </row>
    <row r="11" spans="1:15" x14ac:dyDescent="0.25">
      <c r="B11" s="4" t="s">
        <v>164</v>
      </c>
      <c r="C11" s="5"/>
      <c r="D11" s="5"/>
      <c r="E11" s="24"/>
      <c r="F11" s="195">
        <f>CashFlow!F7</f>
        <v>-787.86551819410124</v>
      </c>
      <c r="G11" s="195">
        <f>CashFlow!G7</f>
        <v>-1548.1015194790934</v>
      </c>
      <c r="H11" s="195">
        <f>CashFlow!H7</f>
        <v>-2467.9868150692791</v>
      </c>
      <c r="I11" s="195">
        <f>CashFlow!I7</f>
        <v>-3627.9406181518389</v>
      </c>
      <c r="J11" s="195">
        <f>CashFlow!J7</f>
        <v>-4661.0398989398345</v>
      </c>
      <c r="K11" s="195">
        <f>CashFlow!K7</f>
        <v>-5755.1576857436085</v>
      </c>
      <c r="L11" s="195">
        <f>CashFlow!L7</f>
        <v>-6804.6276166733296</v>
      </c>
      <c r="M11" s="195">
        <f>CashFlow!M7</f>
        <v>-7666.5471147852804</v>
      </c>
      <c r="N11" s="195">
        <f>CashFlow!N7</f>
        <v>-8173.7186931480028</v>
      </c>
      <c r="O11" s="195">
        <f>CashFlow!O7</f>
        <v>-8158.8573864331775</v>
      </c>
    </row>
    <row r="12" spans="1:15" x14ac:dyDescent="0.25">
      <c r="B12" s="4" t="s">
        <v>165</v>
      </c>
      <c r="E12" s="28"/>
      <c r="F12" s="195">
        <f>CashFlow!F8</f>
        <v>871.53366996315663</v>
      </c>
      <c r="G12" s="195">
        <f>CashFlow!G8</f>
        <v>1181.5532522498384</v>
      </c>
      <c r="H12" s="195">
        <f>CashFlow!H8</f>
        <v>1883.6347688851993</v>
      </c>
      <c r="I12" s="195">
        <f>CashFlow!I8</f>
        <v>2768.9431102612407</v>
      </c>
      <c r="J12" s="195">
        <f>CashFlow!J8</f>
        <v>3557.4326245165848</v>
      </c>
      <c r="K12" s="195">
        <f>CashFlow!K8</f>
        <v>4392.4931247978438</v>
      </c>
      <c r="L12" s="195">
        <f>CashFlow!L8</f>
        <v>5193.4771652021591</v>
      </c>
      <c r="M12" s="195">
        <f>CashFlow!M8</f>
        <v>5851.3176061277663</v>
      </c>
      <c r="N12" s="195">
        <f>CashFlow!N8</f>
        <v>6238.4047708408361</v>
      </c>
      <c r="O12" s="195">
        <f>CashFlow!O8</f>
        <v>6227.0622167120237</v>
      </c>
    </row>
    <row r="13" spans="1:15" x14ac:dyDescent="0.25">
      <c r="B13" s="4" t="s">
        <v>90</v>
      </c>
      <c r="E13" s="28"/>
      <c r="F13" s="137">
        <f>CashFlow!F12</f>
        <v>-844.69556253635835</v>
      </c>
      <c r="G13" s="137">
        <f>CashFlow!G12</f>
        <v>-1127.6277419154612</v>
      </c>
      <c r="H13" s="137">
        <f>CashFlow!H12</f>
        <v>-1578.6788386816459</v>
      </c>
      <c r="I13" s="137">
        <f>CashFlow!I12</f>
        <v>-2241.723950927937</v>
      </c>
      <c r="J13" s="137">
        <f>CashFlow!J12</f>
        <v>-3093.5790522805528</v>
      </c>
      <c r="K13" s="137">
        <f>CashFlow!K12</f>
        <v>-4145.39593005594</v>
      </c>
      <c r="L13" s="137">
        <f>CashFlow!L12</f>
        <v>-5389.0147090727223</v>
      </c>
      <c r="M13" s="137">
        <f>CashFlow!M12</f>
        <v>-6790.1585334316305</v>
      </c>
      <c r="N13" s="137">
        <f>CashFlow!N12</f>
        <v>-8283.9934107865902</v>
      </c>
      <c r="O13" s="137">
        <f>CashFlow!O12</f>
        <v>-9775.1122247281746</v>
      </c>
    </row>
    <row r="14" spans="1:15" x14ac:dyDescent="0.25">
      <c r="E14" s="64"/>
      <c r="F14" s="141"/>
      <c r="G14" s="141"/>
      <c r="H14" s="141"/>
      <c r="I14" s="141"/>
      <c r="J14" s="141"/>
      <c r="K14" s="141"/>
      <c r="L14" s="141"/>
      <c r="M14" s="141"/>
      <c r="N14" s="141"/>
      <c r="O14" s="141"/>
    </row>
    <row r="15" spans="1:15" s="11" customFormat="1" x14ac:dyDescent="0.25">
      <c r="A15" s="25" t="s">
        <v>124</v>
      </c>
      <c r="B15" s="35" t="s">
        <v>91</v>
      </c>
      <c r="C15" s="35"/>
      <c r="D15" s="35"/>
      <c r="E15" s="35"/>
      <c r="F15" s="35">
        <f>SUM(F7:F13)</f>
        <v>4402.7694364865538</v>
      </c>
      <c r="G15" s="35">
        <f t="shared" ref="G15:O15" si="6">SUM(G7:G13)</f>
        <v>2730.6728373386254</v>
      </c>
      <c r="H15" s="35">
        <f t="shared" si="6"/>
        <v>3138.6287574171893</v>
      </c>
      <c r="I15" s="35">
        <f t="shared" si="6"/>
        <v>4549.3055382758021</v>
      </c>
      <c r="J15" s="35">
        <f t="shared" si="6"/>
        <v>8031.6697441555443</v>
      </c>
      <c r="K15" s="35">
        <f t="shared" si="6"/>
        <v>13598.194764716431</v>
      </c>
      <c r="L15" s="35">
        <f t="shared" si="6"/>
        <v>21787.009065693845</v>
      </c>
      <c r="M15" s="35">
        <f t="shared" si="6"/>
        <v>33016.1019100228</v>
      </c>
      <c r="N15" s="35">
        <f t="shared" si="6"/>
        <v>47441.89663865319</v>
      </c>
      <c r="O15" s="19">
        <f t="shared" si="6"/>
        <v>64813.874799720288</v>
      </c>
    </row>
    <row r="16" spans="1:15" x14ac:dyDescent="0.25">
      <c r="B16" s="67"/>
      <c r="C16" s="67"/>
      <c r="D16" s="67"/>
      <c r="E16" s="67"/>
      <c r="F16" s="67"/>
      <c r="G16" s="67"/>
      <c r="H16" s="67"/>
      <c r="I16" s="85"/>
      <c r="J16" s="85"/>
      <c r="K16" s="67"/>
      <c r="L16" s="67"/>
      <c r="M16" s="67"/>
      <c r="N16" s="67"/>
      <c r="O16" s="67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6" sqref="E6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8" t="str">
        <f>CoName</f>
        <v>Advanced Micro Devices Inc.</v>
      </c>
    </row>
    <row r="2" spans="1:13" x14ac:dyDescent="0.25">
      <c r="G2" s="151"/>
    </row>
    <row r="3" spans="1:13" x14ac:dyDescent="0.25">
      <c r="A3" s="28" t="s">
        <v>124</v>
      </c>
      <c r="B3" s="171" t="s">
        <v>100</v>
      </c>
      <c r="C3" s="172"/>
      <c r="D3" s="172"/>
      <c r="E3" s="173"/>
      <c r="F3" s="11"/>
      <c r="G3" s="78" t="s">
        <v>108</v>
      </c>
      <c r="H3" s="78" t="s">
        <v>103</v>
      </c>
      <c r="I3" s="78" t="s">
        <v>104</v>
      </c>
      <c r="J3" s="78" t="s">
        <v>105</v>
      </c>
      <c r="K3" s="78" t="s">
        <v>106</v>
      </c>
      <c r="L3" s="78" t="s">
        <v>111</v>
      </c>
      <c r="M3" s="78" t="s">
        <v>107</v>
      </c>
    </row>
    <row r="4" spans="1:13" x14ac:dyDescent="0.25">
      <c r="A4" s="28"/>
      <c r="B4" s="261" t="s">
        <v>166</v>
      </c>
      <c r="C4" s="68"/>
      <c r="D4" s="73"/>
      <c r="E4" s="262">
        <f>Assumptions!E17</f>
        <v>0.17496229260935142</v>
      </c>
      <c r="G4" s="143" t="s">
        <v>228</v>
      </c>
      <c r="H4" s="144">
        <f>1.35*0.66</f>
        <v>0.89100000000000013</v>
      </c>
      <c r="I4" s="81">
        <f>2496+44057</f>
        <v>46553</v>
      </c>
      <c r="J4" s="82">
        <f>37.8*4800</f>
        <v>181440</v>
      </c>
      <c r="K4" s="146">
        <f>I4/J4</f>
        <v>0.25657517636684302</v>
      </c>
      <c r="L4" s="161">
        <f>E4</f>
        <v>0.17496229260935142</v>
      </c>
      <c r="M4" s="147">
        <f>H4/((1+K4*(1-L4)))</f>
        <v>0.73534011871126292</v>
      </c>
    </row>
    <row r="5" spans="1:13" x14ac:dyDescent="0.25">
      <c r="A5" s="28"/>
      <c r="B5" s="68" t="s">
        <v>93</v>
      </c>
      <c r="C5" s="68"/>
      <c r="D5" s="73"/>
      <c r="E5" s="142">
        <v>0.04</v>
      </c>
      <c r="G5" s="143" t="s">
        <v>230</v>
      </c>
      <c r="H5" s="144">
        <f t="shared" ref="H5:H6" si="0">1.35*0.66</f>
        <v>0.89100000000000013</v>
      </c>
      <c r="I5" s="83">
        <f>1825+29229</f>
        <v>31054</v>
      </c>
      <c r="J5" s="82">
        <f>291.75*5200</f>
        <v>1517100</v>
      </c>
      <c r="K5" s="146">
        <f t="shared" ref="K5:K7" si="1">I5/J5</f>
        <v>2.0469316459033684E-2</v>
      </c>
      <c r="L5" s="161">
        <f>L4</f>
        <v>0.17496229260935142</v>
      </c>
      <c r="M5" s="147">
        <f t="shared" ref="M5:M7" si="2">H5/((1+K5*(1-L5)))</f>
        <v>0.87620272524387532</v>
      </c>
    </row>
    <row r="6" spans="1:13" x14ac:dyDescent="0.25">
      <c r="A6" s="28"/>
      <c r="B6" s="68" t="s">
        <v>94</v>
      </c>
      <c r="C6" s="68"/>
      <c r="D6" s="73"/>
      <c r="E6" s="142">
        <v>0.05</v>
      </c>
      <c r="G6" s="143" t="s">
        <v>229</v>
      </c>
      <c r="H6" s="144">
        <f t="shared" si="0"/>
        <v>0.89100000000000013</v>
      </c>
      <c r="I6" s="83">
        <f>1045+3806</f>
        <v>4851</v>
      </c>
      <c r="J6" s="84">
        <f>1035.2*387.6</f>
        <v>401243.52</v>
      </c>
      <c r="K6" s="146">
        <f t="shared" si="1"/>
        <v>1.2089914872643924E-2</v>
      </c>
      <c r="L6" s="161">
        <f t="shared" ref="L6:L7" si="3">L5</f>
        <v>0.17496229260935142</v>
      </c>
      <c r="M6" s="147">
        <f t="shared" si="2"/>
        <v>0.88220037271271334</v>
      </c>
    </row>
    <row r="7" spans="1:13" x14ac:dyDescent="0.25">
      <c r="A7" s="28"/>
      <c r="B7" s="68" t="s">
        <v>95</v>
      </c>
      <c r="C7" s="68"/>
      <c r="D7" s="73"/>
      <c r="E7" s="219">
        <f>M11</f>
        <v>1.0070524684115381</v>
      </c>
      <c r="G7" s="143" t="s">
        <v>227</v>
      </c>
      <c r="H7" s="145">
        <f>2.27*0.66</f>
        <v>1.4982</v>
      </c>
      <c r="I7" s="83">
        <f>8466</f>
        <v>8466</v>
      </c>
      <c r="J7" s="84">
        <f>192.41*24300</f>
        <v>4675563</v>
      </c>
      <c r="K7" s="146">
        <f t="shared" si="1"/>
        <v>1.8106910333579079E-3</v>
      </c>
      <c r="L7" s="161">
        <f t="shared" si="3"/>
        <v>0.17496229260935142</v>
      </c>
      <c r="M7" s="147">
        <f t="shared" si="2"/>
        <v>1.4959651949798993</v>
      </c>
    </row>
    <row r="8" spans="1:13" x14ac:dyDescent="0.25">
      <c r="A8" s="28"/>
      <c r="B8" s="68" t="s">
        <v>96</v>
      </c>
      <c r="C8" s="68"/>
      <c r="D8" s="73"/>
      <c r="E8" s="142">
        <f>E5+E6*E7</f>
        <v>9.03526234205769E-2</v>
      </c>
      <c r="L8" s="67"/>
    </row>
    <row r="9" spans="1:13" x14ac:dyDescent="0.25">
      <c r="A9" s="28"/>
      <c r="B9" s="69" t="s">
        <v>97</v>
      </c>
      <c r="C9" s="69"/>
      <c r="D9" s="74"/>
      <c r="E9" s="148">
        <f>1-E10</f>
        <v>0.98830332920499087</v>
      </c>
      <c r="G9" s="4" t="s">
        <v>109</v>
      </c>
      <c r="L9" s="28"/>
      <c r="M9" s="218">
        <f>AVERAGE(M4:M7)</f>
        <v>0.9974271029119377</v>
      </c>
    </row>
    <row r="10" spans="1:13" x14ac:dyDescent="0.25">
      <c r="A10" s="28"/>
      <c r="B10" s="70" t="s">
        <v>98</v>
      </c>
      <c r="C10" s="70"/>
      <c r="D10" s="75"/>
      <c r="E10" s="149">
        <f>MAIN!F8/MAIN!F6</f>
        <v>1.1696670795009119E-2</v>
      </c>
      <c r="M10" s="67"/>
    </row>
    <row r="11" spans="1:13" x14ac:dyDescent="0.25">
      <c r="A11" s="28"/>
      <c r="B11" s="170" t="s">
        <v>180</v>
      </c>
      <c r="C11" s="71"/>
      <c r="D11" s="76"/>
      <c r="E11" s="150">
        <f>Debt!F5</f>
        <v>3.2399999999999998E-2</v>
      </c>
      <c r="G11" s="4" t="s">
        <v>110</v>
      </c>
      <c r="L11" s="28"/>
      <c r="M11" s="218">
        <f>M9*(1+E10*(1-E4))</f>
        <v>1.0070524684115381</v>
      </c>
    </row>
    <row r="12" spans="1:13" x14ac:dyDescent="0.25">
      <c r="A12" s="28"/>
      <c r="B12" s="72" t="s">
        <v>99</v>
      </c>
      <c r="C12" s="72"/>
      <c r="D12" s="77"/>
      <c r="E12" s="150">
        <f>E11*(1-E4)</f>
        <v>2.6731221719457011E-2</v>
      </c>
      <c r="M12" s="67"/>
    </row>
    <row r="13" spans="1:13" s="11" customFormat="1" x14ac:dyDescent="0.25">
      <c r="A13" s="25" t="s">
        <v>124</v>
      </c>
      <c r="B13" s="171" t="s">
        <v>100</v>
      </c>
      <c r="C13" s="172"/>
      <c r="D13" s="173"/>
      <c r="E13" s="167">
        <f>WACC!E8*WACC!E9+WACC!E12*WACC!E10</f>
        <v>8.960846482936187E-2</v>
      </c>
      <c r="F13" s="4"/>
    </row>
    <row r="14" spans="1:13" s="11" customFormat="1" x14ac:dyDescent="0.25">
      <c r="A14" s="25"/>
      <c r="B14" s="78" t="s">
        <v>101</v>
      </c>
      <c r="C14" s="78"/>
      <c r="D14" s="117"/>
      <c r="E14" s="152">
        <v>2.5000000000000001E-2</v>
      </c>
      <c r="F14" s="4"/>
    </row>
    <row r="15" spans="1:13" x14ac:dyDescent="0.25">
      <c r="B15" s="67"/>
      <c r="C15" s="67"/>
      <c r="D15" s="67"/>
      <c r="E15" s="6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V45"/>
  <sheetViews>
    <sheetView showGridLines="0" zoomScaleNormal="100" workbookViewId="0">
      <selection activeCell="A16" sqref="A16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3" width="11.7109375" style="4" customWidth="1"/>
    <col min="14" max="16384" width="9" style="4"/>
  </cols>
  <sheetData>
    <row r="1" spans="1:22" ht="19.5" x14ac:dyDescent="0.3">
      <c r="A1" s="258" t="str">
        <f>CoName</f>
        <v>Advanced Micro Devices Inc.</v>
      </c>
      <c r="B1" s="3"/>
      <c r="C1" s="3"/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 t="s">
        <v>1</v>
      </c>
      <c r="L1" s="42" t="s">
        <v>1</v>
      </c>
      <c r="M1" s="42" t="s">
        <v>1</v>
      </c>
    </row>
    <row r="2" spans="1:22" x14ac:dyDescent="0.25">
      <c r="A2" s="78" t="s">
        <v>112</v>
      </c>
      <c r="B2" s="20"/>
      <c r="C2" s="43"/>
      <c r="D2" s="78">
        <v>0.5</v>
      </c>
      <c r="E2" s="78">
        <f>D2+1</f>
        <v>1.5</v>
      </c>
      <c r="F2" s="78">
        <f t="shared" ref="F2:H2" si="0">E2+1</f>
        <v>2.5</v>
      </c>
      <c r="G2" s="78">
        <f t="shared" si="0"/>
        <v>3.5</v>
      </c>
      <c r="H2" s="78">
        <f t="shared" si="0"/>
        <v>4.5</v>
      </c>
      <c r="I2" s="78">
        <f t="shared" ref="I2" si="1">H2+1</f>
        <v>5.5</v>
      </c>
      <c r="J2" s="78">
        <f t="shared" ref="J2" si="2">I2+1</f>
        <v>6.5</v>
      </c>
      <c r="K2" s="78">
        <f t="shared" ref="K2" si="3">J2+1</f>
        <v>7.5</v>
      </c>
      <c r="L2" s="78">
        <f t="shared" ref="L2" si="4">K2+1</f>
        <v>8.5</v>
      </c>
      <c r="M2" s="78">
        <f t="shared" ref="M2" si="5">L2+1</f>
        <v>9.5</v>
      </c>
      <c r="N2" s="168"/>
    </row>
    <row r="3" spans="1:22" x14ac:dyDescent="0.25">
      <c r="B3" s="4" t="s">
        <v>231</v>
      </c>
      <c r="D3" s="8">
        <f>1/(1+$Q$3)^D2</f>
        <v>0.95799836033181107</v>
      </c>
      <c r="E3" s="8">
        <f t="shared" ref="E3:M3" si="6">1/(1+$Q$3)^E2</f>
        <v>0.87921339752241967</v>
      </c>
      <c r="F3" s="8">
        <f t="shared" si="6"/>
        <v>0.80690764242558344</v>
      </c>
      <c r="G3" s="8">
        <f t="shared" si="6"/>
        <v>0.7405482505607639</v>
      </c>
      <c r="H3" s="8">
        <f t="shared" si="6"/>
        <v>0.67964619812010874</v>
      </c>
      <c r="I3" s="8">
        <f t="shared" si="6"/>
        <v>0.62375267819394631</v>
      </c>
      <c r="J3" s="8">
        <f t="shared" si="6"/>
        <v>0.57245579336760111</v>
      </c>
      <c r="K3" s="8">
        <f t="shared" si="6"/>
        <v>0.52537752031620888</v>
      </c>
      <c r="L3" s="8">
        <f t="shared" si="6"/>
        <v>0.48217092402864697</v>
      </c>
      <c r="M3" s="8">
        <f t="shared" si="6"/>
        <v>0.44251760113129934</v>
      </c>
      <c r="N3" s="171" t="s">
        <v>100</v>
      </c>
      <c r="O3" s="172"/>
      <c r="P3" s="173"/>
      <c r="Q3" s="167">
        <f>WACC!E13</f>
        <v>8.960846482936187E-2</v>
      </c>
    </row>
    <row r="4" spans="1:22" x14ac:dyDescent="0.25">
      <c r="B4" s="4" t="s">
        <v>232</v>
      </c>
      <c r="D4" s="4">
        <f>D3*'Free Cash Flow'!F15</f>
        <v>4217.8459010731303</v>
      </c>
      <c r="E4" s="4">
        <f>E3*'Free Cash Flow'!G15</f>
        <v>2400.8441428386786</v>
      </c>
      <c r="F4" s="4">
        <f>F3*'Free Cash Flow'!H15</f>
        <v>2532.5835310966427</v>
      </c>
      <c r="G4" s="4">
        <f>G3*'Free Cash Flow'!I15</f>
        <v>3368.9802576365396</v>
      </c>
      <c r="H4" s="4">
        <f>H3*'Free Cash Flow'!J15</f>
        <v>5458.6938061716219</v>
      </c>
      <c r="I4" s="4">
        <f>I3*'Free Cash Flow'!K15</f>
        <v>8481.9104030947728</v>
      </c>
      <c r="J4" s="4">
        <f>J3*'Free Cash Flow'!L15</f>
        <v>12472.099559808888</v>
      </c>
      <c r="K4" s="4">
        <f>K3*'Free Cash Flow'!M15</f>
        <v>17345.917751995028</v>
      </c>
      <c r="L4" s="4">
        <f>L3*'Free Cash Flow'!N15</f>
        <v>22875.103139930969</v>
      </c>
      <c r="M4" s="4">
        <f>M3*'Free Cash Flow'!O15</f>
        <v>28681.280396396596</v>
      </c>
      <c r="N4" s="78" t="s">
        <v>101</v>
      </c>
      <c r="O4" s="78"/>
      <c r="P4" s="117"/>
      <c r="Q4" s="152">
        <v>2.5000000000000001E-2</v>
      </c>
    </row>
    <row r="5" spans="1:22" x14ac:dyDescent="0.25">
      <c r="G5" s="151"/>
      <c r="M5" s="4">
        <f>((M4*(1+Q4)))/(Q3-Q4)</f>
        <v>455022.61172666337</v>
      </c>
    </row>
    <row r="6" spans="1:22" x14ac:dyDescent="0.25">
      <c r="A6" s="78" t="s">
        <v>113</v>
      </c>
      <c r="B6" s="20"/>
      <c r="C6" s="43"/>
      <c r="D6" s="87"/>
      <c r="E6" s="78" t="s">
        <v>171</v>
      </c>
      <c r="F6" s="20"/>
      <c r="G6" s="43"/>
      <c r="H6" s="87" t="s">
        <v>167</v>
      </c>
    </row>
    <row r="7" spans="1:22" x14ac:dyDescent="0.25">
      <c r="B7" s="4" t="s">
        <v>114</v>
      </c>
      <c r="C7" s="4">
        <f>SUM(D4:M4)</f>
        <v>107835.25889004288</v>
      </c>
      <c r="E7" s="4" t="s">
        <v>114</v>
      </c>
      <c r="G7" s="4">
        <f>C7</f>
        <v>107835.25889004288</v>
      </c>
      <c r="N7" s="178"/>
      <c r="O7" s="178"/>
      <c r="P7" s="178" t="s">
        <v>234</v>
      </c>
      <c r="Q7" s="178"/>
      <c r="S7" s="178"/>
      <c r="T7" s="178"/>
      <c r="U7" s="178" t="s">
        <v>235</v>
      </c>
      <c r="V7" s="178"/>
    </row>
    <row r="8" spans="1:22" x14ac:dyDescent="0.25">
      <c r="B8" s="4" t="s">
        <v>115</v>
      </c>
      <c r="C8" s="4">
        <f>M5*M3</f>
        <v>201355.5146017817</v>
      </c>
      <c r="E8" s="4" t="s">
        <v>172</v>
      </c>
      <c r="G8" s="4">
        <f>G10*M3*IncState!O24</f>
        <v>376276.00717796345</v>
      </c>
      <c r="N8" s="178">
        <f>C18</f>
        <v>193.96931795468819</v>
      </c>
      <c r="O8" s="227">
        <f>P8-$E$23</f>
        <v>2.2500000000000003E-2</v>
      </c>
      <c r="P8" s="227">
        <v>2.5000000000000001E-2</v>
      </c>
      <c r="Q8" s="227">
        <f>P8+$E$23</f>
        <v>2.75E-2</v>
      </c>
      <c r="S8" s="178">
        <f>G18</f>
        <v>300.82362007819569</v>
      </c>
      <c r="T8" s="224">
        <f>U8-1</f>
        <v>7</v>
      </c>
      <c r="U8" s="224">
        <v>8</v>
      </c>
      <c r="V8" s="224">
        <f>U8+1</f>
        <v>9</v>
      </c>
    </row>
    <row r="9" spans="1:22" x14ac:dyDescent="0.25">
      <c r="B9" s="4" t="s">
        <v>116</v>
      </c>
      <c r="C9" s="4">
        <f>SUM(C7:C8)</f>
        <v>309190.77349182457</v>
      </c>
      <c r="E9" s="4" t="s">
        <v>116</v>
      </c>
      <c r="G9" s="4">
        <f>SUM(G7:G8)</f>
        <v>484111.26606800634</v>
      </c>
      <c r="N9" s="227">
        <f>N10+$E$22</f>
        <v>9.9608464829361879E-2</v>
      </c>
      <c r="O9" s="299">
        <f t="dataTable" ref="O9:Q13" dt2D="1" dtr="1" r1="Q4" r2="Q3" ca="1"/>
        <v>153.23395294272981</v>
      </c>
      <c r="P9" s="300">
        <v>156.34842052882206</v>
      </c>
      <c r="Q9" s="299">
        <v>159.67884525624734</v>
      </c>
      <c r="S9" s="227">
        <f t="shared" ref="S9:S10" si="7">N9</f>
        <v>9.9608464829361879E-2</v>
      </c>
      <c r="T9" s="299">
        <f t="dataTable" ref="T9:V13" dt2D="1" dtr="1" r1="G10" r2="Q3"/>
        <v>251.21082185916762</v>
      </c>
      <c r="U9" s="300">
        <v>277.55445102426722</v>
      </c>
      <c r="V9" s="299">
        <v>303.89808018936696</v>
      </c>
    </row>
    <row r="10" spans="1:22" x14ac:dyDescent="0.25">
      <c r="C10" s="86"/>
      <c r="E10" s="4" t="s">
        <v>117</v>
      </c>
      <c r="G10" s="86">
        <v>8</v>
      </c>
      <c r="N10" s="227">
        <f>N11+$E$22</f>
        <v>9.4608464829361874E-2</v>
      </c>
      <c r="O10" s="299">
        <v>169.62446081035927</v>
      </c>
      <c r="P10" s="300">
        <v>173.49929004915572</v>
      </c>
      <c r="Q10" s="299">
        <v>177.66281828059408</v>
      </c>
      <c r="S10" s="227">
        <f t="shared" si="7"/>
        <v>9.4608464829361874E-2</v>
      </c>
      <c r="T10" s="299">
        <v>261.40807554913619</v>
      </c>
      <c r="U10" s="300">
        <v>288.91732168558474</v>
      </c>
      <c r="V10" s="299">
        <v>316.42656782203335</v>
      </c>
    </row>
    <row r="11" spans="1:22" x14ac:dyDescent="0.25">
      <c r="I11" s="168"/>
      <c r="N11" s="227">
        <v>8.960846482936187E-2</v>
      </c>
      <c r="O11" s="300">
        <v>189.09825035548693</v>
      </c>
      <c r="P11" s="300">
        <v>193.96931795468819</v>
      </c>
      <c r="Q11" s="300">
        <v>199.23252756002219</v>
      </c>
      <c r="S11" s="227">
        <f>N11</f>
        <v>8.960846482936187E-2</v>
      </c>
      <c r="T11" s="300">
        <v>272.09148758140554</v>
      </c>
      <c r="U11" s="300">
        <v>300.82362007819569</v>
      </c>
      <c r="V11" s="300">
        <v>329.55575257498583</v>
      </c>
    </row>
    <row r="12" spans="1:22" x14ac:dyDescent="0.25">
      <c r="B12" s="28" t="s">
        <v>118</v>
      </c>
      <c r="C12" s="38">
        <f>MAIN!F7</f>
        <v>13188.5</v>
      </c>
      <c r="E12" s="28" t="s">
        <v>118</v>
      </c>
      <c r="F12" s="164"/>
      <c r="G12" s="38">
        <f>C12</f>
        <v>13188.5</v>
      </c>
      <c r="I12" s="168"/>
      <c r="N12" s="227">
        <f>N11-$E$22</f>
        <v>8.4608464829361865E-2</v>
      </c>
      <c r="O12" s="299">
        <v>212.4772023218506</v>
      </c>
      <c r="P12" s="300">
        <v>218.67427759318215</v>
      </c>
      <c r="Q12" s="299">
        <v>225.41392350529779</v>
      </c>
      <c r="S12" s="227">
        <f t="shared" ref="S12:S13" si="8">N12</f>
        <v>8.4608464829361865E-2</v>
      </c>
      <c r="T12" s="299">
        <v>283.28684664706208</v>
      </c>
      <c r="U12" s="300">
        <v>313.30223108550734</v>
      </c>
      <c r="V12" s="299">
        <v>343.31761552395255</v>
      </c>
    </row>
    <row r="13" spans="1:22" x14ac:dyDescent="0.25">
      <c r="B13" s="28" t="s">
        <v>119</v>
      </c>
      <c r="C13" s="38">
        <f>MAIN!F8</f>
        <v>4851.5</v>
      </c>
      <c r="E13" s="28" t="s">
        <v>119</v>
      </c>
      <c r="F13" s="164"/>
      <c r="G13" s="38">
        <f>C13</f>
        <v>4851.5</v>
      </c>
      <c r="N13" s="227">
        <f>N12-$E$22</f>
        <v>7.9608464829361861E-2</v>
      </c>
      <c r="O13" s="299">
        <v>240.88063756630652</v>
      </c>
      <c r="P13" s="300">
        <v>248.87540441287354</v>
      </c>
      <c r="Q13" s="299">
        <v>257.63729871874568</v>
      </c>
      <c r="S13" s="227">
        <f t="shared" si="8"/>
        <v>7.9608464829361861E-2</v>
      </c>
      <c r="T13" s="299">
        <v>295.02144391357103</v>
      </c>
      <c r="U13" s="300">
        <v>326.38372487107063</v>
      </c>
      <c r="V13" s="299">
        <v>357.74600582857033</v>
      </c>
    </row>
    <row r="14" spans="1:22" x14ac:dyDescent="0.25">
      <c r="B14" s="28" t="s">
        <v>120</v>
      </c>
      <c r="C14" s="80">
        <v>0</v>
      </c>
      <c r="E14" s="4" t="s">
        <v>120</v>
      </c>
      <c r="G14" s="80">
        <v>0</v>
      </c>
    </row>
    <row r="15" spans="1:22" x14ac:dyDescent="0.25">
      <c r="B15" s="4" t="s">
        <v>121</v>
      </c>
      <c r="C15" s="67">
        <f>C9+C12-C13-C14</f>
        <v>317527.77349182457</v>
      </c>
      <c r="E15" s="4" t="s">
        <v>121</v>
      </c>
      <c r="G15" s="67">
        <f>G9+G12-G13-G14</f>
        <v>492448.26606800634</v>
      </c>
      <c r="P15" s="179" t="s">
        <v>233</v>
      </c>
      <c r="U15" s="301" t="s">
        <v>233</v>
      </c>
    </row>
    <row r="16" spans="1:22" x14ac:dyDescent="0.25">
      <c r="P16" s="300">
        <f>AVERAGE(O9:Q13)</f>
        <v>198.42044185709079</v>
      </c>
      <c r="U16" s="302">
        <f>AVERAGE(T9:V13)</f>
        <v>301.39626974892514</v>
      </c>
    </row>
    <row r="17" spans="1:17" x14ac:dyDescent="0.25">
      <c r="B17" s="4" t="s">
        <v>122</v>
      </c>
      <c r="C17" s="4">
        <f>IncState!E39</f>
        <v>1637</v>
      </c>
      <c r="E17" s="4" t="s">
        <v>122</v>
      </c>
      <c r="G17" s="4">
        <f>C17</f>
        <v>1637</v>
      </c>
    </row>
    <row r="18" spans="1:17" x14ac:dyDescent="0.25">
      <c r="A18" s="4" t="s">
        <v>124</v>
      </c>
      <c r="B18" s="153" t="s">
        <v>123</v>
      </c>
      <c r="C18" s="166">
        <f>C15/C17</f>
        <v>193.96931795468819</v>
      </c>
      <c r="E18" s="153" t="s">
        <v>123</v>
      </c>
      <c r="F18" s="164"/>
      <c r="G18" s="166">
        <f>G15/G17</f>
        <v>300.82362007819569</v>
      </c>
    </row>
    <row r="19" spans="1:17" x14ac:dyDescent="0.25">
      <c r="C19" s="22"/>
    </row>
    <row r="20" spans="1:17" x14ac:dyDescent="0.25">
      <c r="A20" s="120" t="s">
        <v>145</v>
      </c>
      <c r="B20" s="20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215"/>
    </row>
    <row r="21" spans="1:17" x14ac:dyDescent="0.25">
      <c r="B21" s="121"/>
      <c r="C21" s="121"/>
      <c r="D21" s="121"/>
      <c r="E21" s="121"/>
      <c r="F21" s="121"/>
      <c r="G21" s="121"/>
      <c r="H21" s="121"/>
      <c r="I21" s="121"/>
    </row>
    <row r="22" spans="1:17" x14ac:dyDescent="0.25">
      <c r="B22" s="121"/>
      <c r="C22" s="121" t="s">
        <v>146</v>
      </c>
      <c r="D22" s="121"/>
      <c r="E22" s="122">
        <v>5.0000000000000001E-3</v>
      </c>
      <c r="F22" s="121"/>
      <c r="G22" s="121"/>
      <c r="J22" s="121" t="s">
        <v>146</v>
      </c>
      <c r="K22" s="121"/>
      <c r="L22" s="122">
        <v>5.0000000000000001E-3</v>
      </c>
    </row>
    <row r="23" spans="1:17" x14ac:dyDescent="0.25">
      <c r="B23" s="121"/>
      <c r="C23" s="121" t="s">
        <v>147</v>
      </c>
      <c r="D23" s="121"/>
      <c r="E23" s="154">
        <v>2.5000000000000001E-3</v>
      </c>
      <c r="F23" s="121"/>
      <c r="G23" s="121"/>
      <c r="J23" s="121" t="s">
        <v>170</v>
      </c>
      <c r="K23" s="121"/>
      <c r="L23" s="163">
        <v>1</v>
      </c>
    </row>
    <row r="24" spans="1:17" x14ac:dyDescent="0.25">
      <c r="B24" s="121"/>
      <c r="C24" s="121"/>
      <c r="D24" s="121"/>
      <c r="E24" s="176"/>
      <c r="F24" s="121"/>
      <c r="G24" s="121"/>
      <c r="J24" s="121"/>
      <c r="K24" s="121"/>
      <c r="L24" s="175"/>
    </row>
    <row r="25" spans="1:17" x14ac:dyDescent="0.25">
      <c r="A25" s="157" t="s">
        <v>173</v>
      </c>
      <c r="B25" s="15"/>
      <c r="C25" s="155"/>
      <c r="D25" s="155"/>
      <c r="E25" s="156"/>
      <c r="F25" s="155"/>
      <c r="G25" s="155"/>
      <c r="H25" s="155"/>
      <c r="I25" s="155"/>
      <c r="J25" s="165"/>
      <c r="K25" s="15"/>
      <c r="L25" s="15"/>
      <c r="M25" s="15"/>
      <c r="N25" s="15"/>
      <c r="O25" s="15"/>
      <c r="P25" s="15"/>
    </row>
    <row r="26" spans="1:17" x14ac:dyDescent="0.25">
      <c r="B26" s="121"/>
      <c r="C26" s="121"/>
      <c r="D26" s="121"/>
      <c r="E26" s="121"/>
      <c r="F26" s="121"/>
      <c r="H26" s="121"/>
      <c r="I26" s="178"/>
      <c r="P26" s="178"/>
    </row>
    <row r="27" spans="1:17" x14ac:dyDescent="0.25">
      <c r="B27" s="168"/>
      <c r="C27" s="174"/>
      <c r="D27" s="121"/>
      <c r="E27" s="238"/>
      <c r="F27" s="239"/>
      <c r="G27" s="238"/>
      <c r="I27" s="121"/>
      <c r="J27" s="238"/>
    </row>
    <row r="28" spans="1:17" x14ac:dyDescent="0.25">
      <c r="B28" s="168"/>
      <c r="C28" s="240"/>
      <c r="E28" s="121"/>
      <c r="F28" s="241"/>
      <c r="G28" s="241"/>
      <c r="H28" s="241"/>
      <c r="I28" s="178"/>
      <c r="J28" s="178"/>
      <c r="N28" s="242"/>
      <c r="P28" s="178"/>
    </row>
    <row r="29" spans="1:17" x14ac:dyDescent="0.25">
      <c r="B29" s="168"/>
      <c r="C29" s="240"/>
      <c r="E29" s="243"/>
      <c r="F29" s="178"/>
      <c r="G29" s="178"/>
      <c r="H29" s="225"/>
      <c r="I29" s="225"/>
      <c r="J29" s="225"/>
      <c r="N29" s="244"/>
      <c r="O29" s="48"/>
      <c r="P29" s="48"/>
      <c r="Q29" s="48"/>
    </row>
    <row r="30" spans="1:17" x14ac:dyDescent="0.25">
      <c r="E30" s="221"/>
      <c r="F30" s="178"/>
      <c r="G30" s="245"/>
      <c r="H30" s="246"/>
      <c r="I30" s="246"/>
      <c r="J30" s="246"/>
      <c r="N30" s="247"/>
      <c r="O30" s="174"/>
      <c r="P30" s="174"/>
      <c r="Q30" s="174"/>
    </row>
    <row r="31" spans="1:17" x14ac:dyDescent="0.25">
      <c r="F31" s="225"/>
      <c r="G31" s="246"/>
      <c r="H31" s="226"/>
      <c r="I31" s="226"/>
      <c r="J31" s="226"/>
      <c r="K31" s="248"/>
      <c r="M31" s="48"/>
      <c r="N31" s="174"/>
      <c r="O31" s="86"/>
      <c r="P31" s="86"/>
      <c r="Q31" s="86"/>
    </row>
    <row r="32" spans="1:17" x14ac:dyDescent="0.25">
      <c r="F32" s="225"/>
      <c r="G32" s="246"/>
      <c r="H32" s="226"/>
      <c r="I32" s="226"/>
      <c r="J32" s="226"/>
      <c r="K32" s="248"/>
      <c r="M32" s="48"/>
      <c r="N32" s="174"/>
      <c r="O32" s="86"/>
      <c r="P32" s="86"/>
      <c r="Q32" s="86"/>
    </row>
    <row r="33" spans="2:17" x14ac:dyDescent="0.25">
      <c r="D33" s="48"/>
      <c r="E33" s="151"/>
      <c r="F33" s="225"/>
      <c r="G33" s="246"/>
      <c r="H33" s="226"/>
      <c r="I33" s="226"/>
      <c r="J33" s="226"/>
      <c r="K33" s="248"/>
      <c r="L33" s="151"/>
      <c r="M33" s="48"/>
      <c r="N33" s="174"/>
      <c r="O33" s="86"/>
      <c r="P33" s="86"/>
      <c r="Q33" s="86"/>
    </row>
    <row r="34" spans="2:17" x14ac:dyDescent="0.25">
      <c r="D34" s="48"/>
      <c r="E34" s="221"/>
      <c r="F34" s="225"/>
      <c r="G34" s="246"/>
      <c r="H34" s="226"/>
      <c r="I34" s="226"/>
      <c r="J34" s="226"/>
      <c r="K34" s="242"/>
      <c r="M34" s="48"/>
      <c r="N34" s="174"/>
      <c r="O34" s="86"/>
      <c r="P34" s="86"/>
      <c r="Q34" s="86"/>
    </row>
    <row r="35" spans="2:17" x14ac:dyDescent="0.25">
      <c r="D35" s="48"/>
      <c r="E35" s="221"/>
      <c r="F35" s="225"/>
      <c r="G35" s="246"/>
      <c r="H35" s="226"/>
      <c r="I35" s="226"/>
      <c r="J35" s="226"/>
      <c r="K35" s="242"/>
      <c r="M35" s="48"/>
      <c r="N35" s="174"/>
      <c r="O35" s="86"/>
      <c r="P35" s="86"/>
      <c r="Q35" s="86"/>
    </row>
    <row r="36" spans="2:17" x14ac:dyDescent="0.25">
      <c r="B36" s="249"/>
      <c r="C36" s="249"/>
      <c r="D36" s="249"/>
      <c r="E36" s="250"/>
      <c r="F36" s="251"/>
      <c r="G36" s="250"/>
    </row>
    <row r="37" spans="2:17" x14ac:dyDescent="0.25">
      <c r="B37" s="121"/>
      <c r="C37" s="121"/>
      <c r="D37" s="121"/>
      <c r="E37" s="121"/>
      <c r="F37" s="239"/>
      <c r="G37" s="239"/>
      <c r="H37" s="239"/>
      <c r="I37" s="178"/>
      <c r="J37" s="178"/>
      <c r="P37" s="178"/>
    </row>
    <row r="38" spans="2:17" x14ac:dyDescent="0.25">
      <c r="F38" s="227"/>
      <c r="G38" s="227"/>
      <c r="H38" s="225"/>
      <c r="I38" s="225"/>
      <c r="J38" s="225"/>
      <c r="M38" s="178"/>
      <c r="O38" s="86"/>
      <c r="P38" s="86"/>
      <c r="Q38" s="86"/>
    </row>
    <row r="39" spans="2:17" x14ac:dyDescent="0.25">
      <c r="E39" s="48"/>
      <c r="F39" s="224"/>
      <c r="G39" s="252"/>
      <c r="H39" s="246"/>
      <c r="I39" s="246"/>
      <c r="J39" s="246"/>
      <c r="L39" s="86"/>
      <c r="M39" s="86"/>
      <c r="N39" s="253"/>
      <c r="O39" s="177"/>
      <c r="P39" s="177"/>
      <c r="Q39" s="177"/>
    </row>
    <row r="40" spans="2:17" x14ac:dyDescent="0.25">
      <c r="E40" s="48"/>
      <c r="F40" s="225"/>
      <c r="G40" s="246"/>
      <c r="H40" s="224"/>
      <c r="I40" s="224"/>
      <c r="J40" s="224"/>
      <c r="K40" s="48"/>
      <c r="M40" s="48"/>
      <c r="N40" s="174"/>
      <c r="O40" s="254"/>
      <c r="P40" s="254"/>
      <c r="Q40" s="254"/>
    </row>
    <row r="41" spans="2:17" x14ac:dyDescent="0.25">
      <c r="D41" s="8"/>
      <c r="E41" s="48"/>
      <c r="F41" s="225"/>
      <c r="G41" s="246"/>
      <c r="H41" s="224"/>
      <c r="I41" s="224"/>
      <c r="J41" s="224"/>
      <c r="K41" s="8"/>
      <c r="L41" s="48"/>
      <c r="M41" s="48"/>
      <c r="N41" s="174"/>
      <c r="O41" s="254"/>
      <c r="P41" s="254"/>
      <c r="Q41" s="254"/>
    </row>
    <row r="42" spans="2:17" x14ac:dyDescent="0.25">
      <c r="D42" s="8"/>
      <c r="E42" s="151"/>
      <c r="F42" s="225"/>
      <c r="G42" s="246"/>
      <c r="H42" s="224"/>
      <c r="I42" s="224"/>
      <c r="J42" s="224"/>
      <c r="K42" s="8"/>
      <c r="L42" s="151"/>
      <c r="M42" s="48"/>
      <c r="N42" s="174"/>
      <c r="O42" s="254"/>
      <c r="P42" s="254"/>
      <c r="Q42" s="254"/>
    </row>
    <row r="43" spans="2:17" x14ac:dyDescent="0.25">
      <c r="D43" s="8"/>
      <c r="E43" s="48"/>
      <c r="F43" s="225"/>
      <c r="G43" s="246"/>
      <c r="H43" s="224"/>
      <c r="I43" s="224"/>
      <c r="J43" s="224"/>
      <c r="K43" s="8"/>
      <c r="L43" s="48"/>
      <c r="M43" s="48"/>
      <c r="N43" s="174"/>
      <c r="O43" s="254"/>
      <c r="P43" s="254"/>
      <c r="Q43" s="254"/>
    </row>
    <row r="44" spans="2:17" x14ac:dyDescent="0.25">
      <c r="D44" s="8"/>
      <c r="E44" s="8"/>
      <c r="F44" s="225"/>
      <c r="G44" s="246"/>
      <c r="H44" s="224"/>
      <c r="I44" s="224"/>
      <c r="J44" s="224"/>
      <c r="K44" s="8"/>
      <c r="L44" s="48"/>
      <c r="M44" s="48"/>
      <c r="N44" s="174"/>
      <c r="O44" s="254"/>
      <c r="P44" s="254"/>
      <c r="Q44" s="254"/>
    </row>
    <row r="45" spans="2:17" x14ac:dyDescent="0.25">
      <c r="D45" s="8"/>
      <c r="E45" s="8"/>
      <c r="F45" s="86"/>
      <c r="G45" s="86"/>
      <c r="H45" s="86"/>
      <c r="J45" s="8"/>
      <c r="K45" s="8"/>
      <c r="L45" s="48"/>
      <c r="M45" s="48"/>
      <c r="N45" s="48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88a26cf8-717e-46a4-ac0d-03f11284dc6b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Revenue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2025-11-12T20:42:20Z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