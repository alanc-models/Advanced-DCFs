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546" documentId="8_{789E4A9E-996D-48E3-9507-C1B4EE6E9C19}" xr6:coauthVersionLast="47" xr6:coauthVersionMax="47" xr10:uidLastSave="{0F11C8F4-EF1E-41C3-AB56-C490E4652E68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2" l="1"/>
  <c r="I31" i="12"/>
  <c r="I32" i="12"/>
  <c r="I28" i="12"/>
  <c r="I29" i="12"/>
  <c r="I30" i="12"/>
  <c r="K27" i="12"/>
  <c r="L27" i="12" s="1"/>
  <c r="F35" i="12"/>
  <c r="D32" i="12"/>
  <c r="D31" i="12"/>
  <c r="D28" i="12"/>
  <c r="D29" i="12"/>
  <c r="E27" i="12"/>
  <c r="G27" i="12"/>
  <c r="G17" i="12"/>
  <c r="G13" i="12"/>
  <c r="G14" i="12"/>
  <c r="G12" i="12"/>
  <c r="C17" i="12"/>
  <c r="C13" i="12"/>
  <c r="C12" i="12"/>
  <c r="D3" i="12"/>
  <c r="D4" i="12" s="1"/>
  <c r="K8" i="12"/>
  <c r="E9" i="11"/>
  <c r="E7" i="11"/>
  <c r="G5" i="9"/>
  <c r="H5" i="9"/>
  <c r="I5" i="9"/>
  <c r="J5" i="9"/>
  <c r="K5" i="9"/>
  <c r="L5" i="9"/>
  <c r="M5" i="9"/>
  <c r="N5" i="9"/>
  <c r="O5" i="9"/>
  <c r="G7" i="9"/>
  <c r="G11" i="10" s="1"/>
  <c r="H7" i="9"/>
  <c r="H11" i="10" s="1"/>
  <c r="I7" i="9"/>
  <c r="I11" i="10" s="1"/>
  <c r="J7" i="9"/>
  <c r="J11" i="10" s="1"/>
  <c r="K7" i="9"/>
  <c r="K11" i="10" s="1"/>
  <c r="L7" i="9"/>
  <c r="M7" i="9"/>
  <c r="N7" i="9"/>
  <c r="O7" i="9"/>
  <c r="G8" i="9"/>
  <c r="H8" i="9"/>
  <c r="I8" i="9"/>
  <c r="J8" i="9"/>
  <c r="K8" i="9"/>
  <c r="L8" i="9"/>
  <c r="M8" i="9"/>
  <c r="N8" i="9"/>
  <c r="O8" i="9"/>
  <c r="M14" i="9"/>
  <c r="N14" i="9"/>
  <c r="O14" i="9"/>
  <c r="O17" i="9" s="1"/>
  <c r="M15" i="9"/>
  <c r="N15" i="9"/>
  <c r="O15" i="9"/>
  <c r="G16" i="9"/>
  <c r="H16" i="9"/>
  <c r="I16" i="9"/>
  <c r="J16" i="9"/>
  <c r="K16" i="9"/>
  <c r="L16" i="9"/>
  <c r="M16" i="9"/>
  <c r="N16" i="9"/>
  <c r="O16" i="9"/>
  <c r="G15" i="8"/>
  <c r="H15" i="8"/>
  <c r="I15" i="8"/>
  <c r="J15" i="8"/>
  <c r="K15" i="8"/>
  <c r="L15" i="8"/>
  <c r="M15" i="8"/>
  <c r="N15" i="8"/>
  <c r="O15" i="8"/>
  <c r="G17" i="8"/>
  <c r="H17" i="8"/>
  <c r="I17" i="8"/>
  <c r="J17" i="8"/>
  <c r="K17" i="8"/>
  <c r="K21" i="5" s="1"/>
  <c r="L17" i="8"/>
  <c r="L21" i="5" s="1"/>
  <c r="M17" i="8"/>
  <c r="N17" i="8"/>
  <c r="O17" i="8"/>
  <c r="O21" i="5" s="1"/>
  <c r="G18" i="8"/>
  <c r="G20" i="5" s="1"/>
  <c r="H18" i="8"/>
  <c r="H20" i="5" s="1"/>
  <c r="I18" i="8"/>
  <c r="I20" i="5" s="1"/>
  <c r="J18" i="8"/>
  <c r="J20" i="5" s="1"/>
  <c r="K18" i="8"/>
  <c r="K20" i="5" s="1"/>
  <c r="L18" i="8"/>
  <c r="M18" i="8"/>
  <c r="N18" i="8"/>
  <c r="O18" i="8"/>
  <c r="G19" i="8"/>
  <c r="H19" i="8"/>
  <c r="I19" i="8"/>
  <c r="J19" i="8"/>
  <c r="K19" i="8"/>
  <c r="L19" i="8"/>
  <c r="M19" i="8"/>
  <c r="N19" i="8"/>
  <c r="O19" i="8"/>
  <c r="G23" i="8"/>
  <c r="H23" i="8" s="1"/>
  <c r="I23" i="8" s="1"/>
  <c r="J23" i="8" s="1"/>
  <c r="K23" i="8" s="1"/>
  <c r="L23" i="8" s="1"/>
  <c r="M23" i="8" s="1"/>
  <c r="N23" i="8" s="1"/>
  <c r="O23" i="8" s="1"/>
  <c r="G24" i="8"/>
  <c r="H24" i="8"/>
  <c r="I24" i="8"/>
  <c r="J24" i="8"/>
  <c r="K24" i="8"/>
  <c r="L24" i="8"/>
  <c r="M24" i="8"/>
  <c r="N24" i="8"/>
  <c r="O24" i="8"/>
  <c r="G30" i="8"/>
  <c r="H30" i="8"/>
  <c r="I30" i="8"/>
  <c r="J30" i="8"/>
  <c r="K30" i="8"/>
  <c r="L30" i="8"/>
  <c r="M30" i="8"/>
  <c r="N30" i="8"/>
  <c r="O30" i="8"/>
  <c r="O23" i="5" s="1"/>
  <c r="G31" i="8"/>
  <c r="G24" i="5" s="1"/>
  <c r="H31" i="8"/>
  <c r="H24" i="5" s="1"/>
  <c r="I31" i="8"/>
  <c r="I24" i="5" s="1"/>
  <c r="J31" i="8"/>
  <c r="J24" i="5" s="1"/>
  <c r="K31" i="8"/>
  <c r="K24" i="5" s="1"/>
  <c r="L31" i="8"/>
  <c r="L24" i="5" s="1"/>
  <c r="M31" i="8"/>
  <c r="M24" i="5" s="1"/>
  <c r="N31" i="8"/>
  <c r="N24" i="5" s="1"/>
  <c r="O31" i="8"/>
  <c r="O24" i="5" s="1"/>
  <c r="G34" i="8"/>
  <c r="H34" i="8"/>
  <c r="I34" i="8"/>
  <c r="J34" i="8"/>
  <c r="K34" i="8"/>
  <c r="L34" i="8"/>
  <c r="M34" i="8"/>
  <c r="N34" i="8"/>
  <c r="N36" i="8" s="1"/>
  <c r="O34" i="8"/>
  <c r="O36" i="8" s="1"/>
  <c r="G35" i="8"/>
  <c r="H35" i="8"/>
  <c r="I35" i="8"/>
  <c r="J35" i="8"/>
  <c r="K35" i="8"/>
  <c r="L35" i="8"/>
  <c r="M35" i="8"/>
  <c r="N35" i="8"/>
  <c r="O35" i="8"/>
  <c r="G36" i="8"/>
  <c r="H36" i="8"/>
  <c r="I36" i="8"/>
  <c r="J36" i="8"/>
  <c r="K36" i="8"/>
  <c r="L36" i="8"/>
  <c r="M36" i="8"/>
  <c r="F16" i="7"/>
  <c r="H16" i="7"/>
  <c r="I16" i="7"/>
  <c r="J16" i="7"/>
  <c r="K16" i="7"/>
  <c r="L16" i="7"/>
  <c r="M16" i="7"/>
  <c r="N16" i="7"/>
  <c r="O16" i="7"/>
  <c r="G16" i="7"/>
  <c r="G17" i="7"/>
  <c r="H17" i="7" s="1"/>
  <c r="G20" i="7"/>
  <c r="G24" i="7"/>
  <c r="H24" i="7"/>
  <c r="I24" i="7"/>
  <c r="J24" i="7"/>
  <c r="K24" i="7"/>
  <c r="L24" i="7"/>
  <c r="M24" i="7"/>
  <c r="N24" i="7"/>
  <c r="O24" i="7"/>
  <c r="G27" i="7"/>
  <c r="H27" i="7"/>
  <c r="I27" i="7"/>
  <c r="J27" i="7"/>
  <c r="K27" i="7"/>
  <c r="L27" i="7"/>
  <c r="M27" i="7"/>
  <c r="N27" i="7"/>
  <c r="O27" i="7"/>
  <c r="G28" i="7"/>
  <c r="H28" i="7"/>
  <c r="I28" i="7"/>
  <c r="J28" i="7"/>
  <c r="K28" i="7"/>
  <c r="L28" i="7"/>
  <c r="M28" i="7"/>
  <c r="N28" i="7"/>
  <c r="O28" i="7"/>
  <c r="G30" i="7"/>
  <c r="H30" i="7"/>
  <c r="I30" i="7"/>
  <c r="J30" i="7"/>
  <c r="K30" i="7"/>
  <c r="L30" i="7"/>
  <c r="M30" i="7"/>
  <c r="N30" i="7"/>
  <c r="O30" i="7"/>
  <c r="G31" i="7"/>
  <c r="H31" i="7"/>
  <c r="I31" i="7"/>
  <c r="J31" i="7"/>
  <c r="K31" i="7"/>
  <c r="L31" i="7"/>
  <c r="M31" i="7"/>
  <c r="N31" i="7"/>
  <c r="O31" i="7"/>
  <c r="G37" i="7"/>
  <c r="H37" i="7"/>
  <c r="I37" i="7"/>
  <c r="J37" i="7"/>
  <c r="K37" i="7"/>
  <c r="L37" i="7"/>
  <c r="M37" i="7"/>
  <c r="N37" i="7"/>
  <c r="O37" i="7"/>
  <c r="N38" i="7"/>
  <c r="N15" i="5" s="1"/>
  <c r="O38" i="7"/>
  <c r="O15" i="5" s="1"/>
  <c r="G40" i="7"/>
  <c r="G38" i="7" s="1"/>
  <c r="G15" i="5" s="1"/>
  <c r="G14" i="9" s="1"/>
  <c r="H40" i="7"/>
  <c r="H38" i="7" s="1"/>
  <c r="H15" i="5" s="1"/>
  <c r="H14" i="9" s="1"/>
  <c r="I40" i="7"/>
  <c r="I38" i="7" s="1"/>
  <c r="I15" i="5" s="1"/>
  <c r="I14" i="9" s="1"/>
  <c r="J40" i="7"/>
  <c r="J38" i="7" s="1"/>
  <c r="J15" i="5" s="1"/>
  <c r="J14" i="9" s="1"/>
  <c r="K40" i="7"/>
  <c r="K38" i="7" s="1"/>
  <c r="K15" i="5" s="1"/>
  <c r="K14" i="9" s="1"/>
  <c r="L40" i="7"/>
  <c r="L38" i="7" s="1"/>
  <c r="L15" i="5" s="1"/>
  <c r="L14" i="9" s="1"/>
  <c r="M40" i="7"/>
  <c r="M38" i="7" s="1"/>
  <c r="M15" i="5" s="1"/>
  <c r="N40" i="7"/>
  <c r="O40" i="7"/>
  <c r="G41" i="7"/>
  <c r="H41" i="7"/>
  <c r="I41" i="7"/>
  <c r="J41" i="7"/>
  <c r="K41" i="7"/>
  <c r="L41" i="7"/>
  <c r="M41" i="7"/>
  <c r="N41" i="7"/>
  <c r="O41" i="7"/>
  <c r="G16" i="6"/>
  <c r="H16" i="6"/>
  <c r="H24" i="6" s="1"/>
  <c r="I16" i="6"/>
  <c r="I24" i="6" s="1"/>
  <c r="J16" i="6"/>
  <c r="J24" i="6" s="1"/>
  <c r="K16" i="6"/>
  <c r="K24" i="6" s="1"/>
  <c r="L16" i="6"/>
  <c r="M16" i="6"/>
  <c r="M24" i="6" s="1"/>
  <c r="N16" i="6"/>
  <c r="N24" i="6" s="1"/>
  <c r="O16" i="6"/>
  <c r="G17" i="6"/>
  <c r="G20" i="6" s="1"/>
  <c r="G18" i="6"/>
  <c r="H18" i="6"/>
  <c r="I18" i="6"/>
  <c r="J18" i="6"/>
  <c r="K18" i="6"/>
  <c r="L18" i="6"/>
  <c r="M18" i="6"/>
  <c r="N18" i="6"/>
  <c r="O18" i="6"/>
  <c r="G19" i="6"/>
  <c r="H19" i="6"/>
  <c r="I19" i="6"/>
  <c r="J19" i="6"/>
  <c r="K19" i="6"/>
  <c r="L19" i="6"/>
  <c r="M19" i="6"/>
  <c r="N19" i="6"/>
  <c r="O19" i="6"/>
  <c r="G21" i="6"/>
  <c r="H21" i="6"/>
  <c r="I21" i="6"/>
  <c r="J21" i="6"/>
  <c r="K21" i="6"/>
  <c r="L21" i="6"/>
  <c r="M21" i="6"/>
  <c r="N21" i="6"/>
  <c r="O21" i="6"/>
  <c r="G24" i="6"/>
  <c r="L24" i="6"/>
  <c r="O24" i="6"/>
  <c r="G25" i="6"/>
  <c r="H25" i="6"/>
  <c r="I25" i="6"/>
  <c r="J25" i="6"/>
  <c r="K25" i="6"/>
  <c r="L25" i="6"/>
  <c r="M25" i="6"/>
  <c r="N25" i="6"/>
  <c r="O25" i="6"/>
  <c r="G30" i="6"/>
  <c r="H30" i="6"/>
  <c r="I30" i="6"/>
  <c r="J30" i="6"/>
  <c r="K30" i="6"/>
  <c r="L30" i="6"/>
  <c r="M30" i="6"/>
  <c r="N30" i="6"/>
  <c r="O30" i="6"/>
  <c r="G32" i="6"/>
  <c r="H32" i="6"/>
  <c r="I32" i="6"/>
  <c r="J32" i="6"/>
  <c r="K32" i="6"/>
  <c r="L32" i="6"/>
  <c r="M32" i="6"/>
  <c r="N32" i="6"/>
  <c r="O32" i="6"/>
  <c r="G11" i="5"/>
  <c r="G15" i="9" s="1"/>
  <c r="H11" i="5"/>
  <c r="H16" i="5" s="1"/>
  <c r="I11" i="5"/>
  <c r="I16" i="5" s="1"/>
  <c r="J11" i="5"/>
  <c r="J16" i="5" s="1"/>
  <c r="K11" i="5"/>
  <c r="K16" i="5" s="1"/>
  <c r="L11" i="5"/>
  <c r="L16" i="5" s="1"/>
  <c r="M11" i="5"/>
  <c r="M16" i="5" s="1"/>
  <c r="N11" i="5"/>
  <c r="N16" i="5" s="1"/>
  <c r="O11" i="5"/>
  <c r="O16" i="5" s="1"/>
  <c r="G19" i="5"/>
  <c r="H19" i="5"/>
  <c r="I19" i="5"/>
  <c r="J19" i="5"/>
  <c r="K19" i="5"/>
  <c r="L19" i="5"/>
  <c r="M19" i="5"/>
  <c r="N19" i="5"/>
  <c r="O19" i="5"/>
  <c r="L20" i="5"/>
  <c r="M20" i="5"/>
  <c r="N20" i="5"/>
  <c r="O20" i="5"/>
  <c r="G21" i="5"/>
  <c r="H21" i="5"/>
  <c r="I21" i="5"/>
  <c r="J21" i="5"/>
  <c r="G22" i="5"/>
  <c r="H22" i="5"/>
  <c r="I22" i="5"/>
  <c r="J22" i="5"/>
  <c r="K22" i="5"/>
  <c r="L22" i="5"/>
  <c r="M22" i="5"/>
  <c r="N22" i="5"/>
  <c r="O22" i="5"/>
  <c r="G23" i="5"/>
  <c r="H23" i="5"/>
  <c r="I23" i="5"/>
  <c r="J23" i="5"/>
  <c r="K23" i="5"/>
  <c r="L23" i="5"/>
  <c r="M23" i="5"/>
  <c r="N23" i="5"/>
  <c r="G3" i="10"/>
  <c r="G5" i="10"/>
  <c r="H5" i="10"/>
  <c r="I5" i="10"/>
  <c r="J5" i="10"/>
  <c r="K5" i="10"/>
  <c r="L5" i="10"/>
  <c r="M5" i="10"/>
  <c r="N5" i="10"/>
  <c r="O5" i="10"/>
  <c r="G9" i="10"/>
  <c r="H9" i="10"/>
  <c r="I9" i="10"/>
  <c r="J9" i="10"/>
  <c r="K9" i="10"/>
  <c r="L9" i="10"/>
  <c r="M9" i="10"/>
  <c r="N9" i="10"/>
  <c r="O9" i="10"/>
  <c r="L11" i="10"/>
  <c r="M11" i="10"/>
  <c r="N11" i="10"/>
  <c r="O11" i="10"/>
  <c r="G12" i="10"/>
  <c r="H12" i="10"/>
  <c r="I12" i="10"/>
  <c r="J12" i="10"/>
  <c r="K12" i="10"/>
  <c r="L12" i="10"/>
  <c r="M12" i="10"/>
  <c r="N12" i="10"/>
  <c r="O12" i="10"/>
  <c r="F9" i="10"/>
  <c r="F11" i="10"/>
  <c r="F12" i="10"/>
  <c r="F21" i="9"/>
  <c r="B22" i="9"/>
  <c r="F16" i="9"/>
  <c r="F15" i="5"/>
  <c r="F14" i="9" s="1"/>
  <c r="E17" i="5"/>
  <c r="F13" i="5" s="1"/>
  <c r="F8" i="9"/>
  <c r="F7" i="9"/>
  <c r="F19" i="5"/>
  <c r="F20" i="5"/>
  <c r="F21" i="5"/>
  <c r="F22" i="5"/>
  <c r="F23" i="5"/>
  <c r="F24" i="5"/>
  <c r="F25" i="5"/>
  <c r="E24" i="5"/>
  <c r="E23" i="5"/>
  <c r="E22" i="5"/>
  <c r="E21" i="5"/>
  <c r="E20" i="5"/>
  <c r="E19" i="5"/>
  <c r="E25" i="5" s="1"/>
  <c r="F26" i="5" s="1"/>
  <c r="F6" i="9" s="1"/>
  <c r="F10" i="10" s="1"/>
  <c r="F5" i="9"/>
  <c r="F34" i="8"/>
  <c r="F31" i="7"/>
  <c r="F30" i="7"/>
  <c r="F32" i="6"/>
  <c r="F28" i="6"/>
  <c r="F27" i="6"/>
  <c r="F26" i="6"/>
  <c r="F25" i="6"/>
  <c r="F22" i="6"/>
  <c r="F21" i="6"/>
  <c r="F20" i="6"/>
  <c r="F19" i="6"/>
  <c r="F18" i="6"/>
  <c r="F17" i="6"/>
  <c r="E20" i="6"/>
  <c r="F35" i="8"/>
  <c r="F31" i="8"/>
  <c r="F30" i="8"/>
  <c r="F24" i="8"/>
  <c r="F23" i="8"/>
  <c r="C33" i="13"/>
  <c r="D33" i="13"/>
  <c r="E33" i="13"/>
  <c r="E9" i="5"/>
  <c r="F6" i="5" s="1"/>
  <c r="F19" i="8"/>
  <c r="F18" i="8"/>
  <c r="F17" i="8"/>
  <c r="F15" i="8"/>
  <c r="G18" i="13"/>
  <c r="H18" i="13"/>
  <c r="I18" i="13"/>
  <c r="J18" i="13" s="1"/>
  <c r="K18" i="13" s="1"/>
  <c r="L18" i="13" s="1"/>
  <c r="M18" i="13" s="1"/>
  <c r="N18" i="13" s="1"/>
  <c r="O18" i="13" s="1"/>
  <c r="F18" i="13"/>
  <c r="F41" i="7"/>
  <c r="F40" i="7"/>
  <c r="F21" i="7"/>
  <c r="F4" i="10" s="1"/>
  <c r="F28" i="7"/>
  <c r="F27" i="7"/>
  <c r="F24" i="7"/>
  <c r="F20" i="7"/>
  <c r="F19" i="7"/>
  <c r="F18" i="7"/>
  <c r="F17" i="7"/>
  <c r="F3" i="10" s="1"/>
  <c r="O14" i="13"/>
  <c r="F14" i="13"/>
  <c r="AC6" i="32"/>
  <c r="AD6" i="32" s="1"/>
  <c r="AD4" i="32"/>
  <c r="AE4" i="32"/>
  <c r="AF4" i="32"/>
  <c r="AG4" i="32"/>
  <c r="AH4" i="32"/>
  <c r="AI4" i="32"/>
  <c r="AC4" i="32"/>
  <c r="H6" i="13"/>
  <c r="H10" i="13" s="1"/>
  <c r="H4" i="7" s="1"/>
  <c r="I6" i="13"/>
  <c r="I10" i="13" s="1"/>
  <c r="I4" i="7" s="1"/>
  <c r="G6" i="13"/>
  <c r="F6" i="13"/>
  <c r="F8" i="13" s="1"/>
  <c r="AB5" i="32"/>
  <c r="AC5" i="32" s="1"/>
  <c r="AB3" i="32"/>
  <c r="AC3" i="32" s="1"/>
  <c r="K2" i="10"/>
  <c r="L2" i="10" s="1"/>
  <c r="M2" i="10" s="1"/>
  <c r="N2" i="10" s="1"/>
  <c r="O2" i="10" s="1"/>
  <c r="K2" i="9"/>
  <c r="L2" i="9"/>
  <c r="M2" i="9"/>
  <c r="N2" i="9"/>
  <c r="O2" i="9"/>
  <c r="K2" i="8"/>
  <c r="L2" i="8" s="1"/>
  <c r="K4" i="8"/>
  <c r="L4" i="8"/>
  <c r="M4" i="8"/>
  <c r="N4" i="8"/>
  <c r="O4" i="8" s="1"/>
  <c r="K5" i="8"/>
  <c r="L5" i="8"/>
  <c r="M5" i="8"/>
  <c r="N5" i="8"/>
  <c r="O5" i="8"/>
  <c r="K6" i="8"/>
  <c r="L6" i="8"/>
  <c r="M6" i="8"/>
  <c r="N6" i="8"/>
  <c r="O6" i="8"/>
  <c r="K7" i="8"/>
  <c r="L7" i="8"/>
  <c r="M7" i="8"/>
  <c r="N7" i="8"/>
  <c r="O7" i="8"/>
  <c r="K8" i="8"/>
  <c r="L8" i="8"/>
  <c r="M8" i="8"/>
  <c r="N8" i="8"/>
  <c r="O8" i="8"/>
  <c r="K10" i="8"/>
  <c r="L10" i="8"/>
  <c r="M10" i="8"/>
  <c r="N10" i="8"/>
  <c r="O10" i="8"/>
  <c r="K11" i="8"/>
  <c r="L11" i="8"/>
  <c r="M11" i="8"/>
  <c r="N11" i="8"/>
  <c r="O11" i="8"/>
  <c r="K12" i="8"/>
  <c r="L12" i="8"/>
  <c r="M12" i="8"/>
  <c r="N12" i="8"/>
  <c r="O12" i="8"/>
  <c r="K14" i="8"/>
  <c r="K2" i="7"/>
  <c r="L2" i="7"/>
  <c r="M2" i="7"/>
  <c r="N2" i="7"/>
  <c r="O2" i="7"/>
  <c r="K5" i="7"/>
  <c r="L5" i="7"/>
  <c r="M5" i="7"/>
  <c r="N5" i="7"/>
  <c r="O5" i="7"/>
  <c r="K6" i="7"/>
  <c r="L6" i="7"/>
  <c r="M6" i="7"/>
  <c r="N6" i="7"/>
  <c r="O6" i="7"/>
  <c r="K7" i="7"/>
  <c r="L7" i="7"/>
  <c r="M7" i="7"/>
  <c r="N7" i="7"/>
  <c r="O7" i="7"/>
  <c r="K9" i="7"/>
  <c r="L9" i="7"/>
  <c r="M9" i="7"/>
  <c r="N9" i="7"/>
  <c r="O9" i="7"/>
  <c r="K10" i="7"/>
  <c r="L10" i="7"/>
  <c r="M10" i="7"/>
  <c r="N10" i="7"/>
  <c r="O10" i="7"/>
  <c r="K13" i="7"/>
  <c r="L13" i="7"/>
  <c r="M13" i="7"/>
  <c r="N13" i="7"/>
  <c r="O13" i="7"/>
  <c r="K14" i="7"/>
  <c r="L14" i="7"/>
  <c r="M14" i="7"/>
  <c r="N14" i="7"/>
  <c r="O14" i="7"/>
  <c r="K2" i="6"/>
  <c r="L2" i="6"/>
  <c r="M2" i="6"/>
  <c r="M11" i="6" s="1"/>
  <c r="N2" i="6"/>
  <c r="N11" i="6" s="1"/>
  <c r="O2" i="6"/>
  <c r="O11" i="6" s="1"/>
  <c r="K4" i="6"/>
  <c r="L4" i="6"/>
  <c r="M4" i="6"/>
  <c r="N4" i="6"/>
  <c r="O4" i="6"/>
  <c r="K5" i="6"/>
  <c r="L5" i="6"/>
  <c r="M5" i="6"/>
  <c r="N5" i="6"/>
  <c r="O5" i="6"/>
  <c r="K6" i="6"/>
  <c r="L6" i="6"/>
  <c r="M6" i="6"/>
  <c r="N6" i="6"/>
  <c r="O6" i="6"/>
  <c r="K8" i="6"/>
  <c r="L8" i="6"/>
  <c r="M8" i="6"/>
  <c r="N8" i="6"/>
  <c r="O8" i="6"/>
  <c r="K9" i="6"/>
  <c r="L9" i="6"/>
  <c r="M9" i="6"/>
  <c r="N9" i="6"/>
  <c r="O9" i="6"/>
  <c r="K11" i="6"/>
  <c r="L11" i="6"/>
  <c r="O2" i="13"/>
  <c r="O22" i="13" s="1"/>
  <c r="O31" i="13" s="1"/>
  <c r="O37" i="13" s="1"/>
  <c r="O43" i="13" s="1"/>
  <c r="O51" i="13" s="1"/>
  <c r="O11" i="13"/>
  <c r="O12" i="13"/>
  <c r="O13" i="13"/>
  <c r="O19" i="13"/>
  <c r="O20" i="13"/>
  <c r="O24" i="13"/>
  <c r="O25" i="13"/>
  <c r="O26" i="13"/>
  <c r="O34" i="13"/>
  <c r="O40" i="13"/>
  <c r="O41" i="13"/>
  <c r="O45" i="13"/>
  <c r="O46" i="13"/>
  <c r="O47" i="13"/>
  <c r="O48" i="13"/>
  <c r="O49" i="13"/>
  <c r="O53" i="13"/>
  <c r="O54" i="13"/>
  <c r="O55" i="13"/>
  <c r="K2" i="13"/>
  <c r="L2" i="13" s="1"/>
  <c r="K11" i="13"/>
  <c r="L11" i="13"/>
  <c r="M11" i="13"/>
  <c r="N11" i="13" s="1"/>
  <c r="K12" i="13"/>
  <c r="L12" i="13"/>
  <c r="M12" i="13"/>
  <c r="N12" i="13"/>
  <c r="K13" i="13"/>
  <c r="L13" i="13"/>
  <c r="M13" i="13"/>
  <c r="N13" i="13"/>
  <c r="K19" i="13"/>
  <c r="L19" i="13"/>
  <c r="M19" i="13"/>
  <c r="N19" i="13"/>
  <c r="K20" i="13"/>
  <c r="L20" i="13"/>
  <c r="M20" i="13"/>
  <c r="N20" i="13"/>
  <c r="K24" i="13"/>
  <c r="L24" i="13"/>
  <c r="M24" i="13"/>
  <c r="N24" i="13"/>
  <c r="K25" i="13"/>
  <c r="L25" i="13"/>
  <c r="M25" i="13"/>
  <c r="N25" i="13"/>
  <c r="K26" i="13"/>
  <c r="L26" i="13"/>
  <c r="M26" i="13"/>
  <c r="N26" i="13"/>
  <c r="K34" i="13"/>
  <c r="L34" i="13"/>
  <c r="M34" i="13"/>
  <c r="N34" i="13"/>
  <c r="K40" i="13"/>
  <c r="L40" i="13"/>
  <c r="M40" i="13"/>
  <c r="N40" i="13"/>
  <c r="K41" i="13"/>
  <c r="L41" i="13"/>
  <c r="M41" i="13"/>
  <c r="N41" i="13"/>
  <c r="K45" i="13"/>
  <c r="L45" i="13" s="1"/>
  <c r="M45" i="13" s="1"/>
  <c r="N45" i="13" s="1"/>
  <c r="K46" i="13"/>
  <c r="L46" i="13"/>
  <c r="M46" i="13"/>
  <c r="N46" i="13"/>
  <c r="K47" i="13"/>
  <c r="L47" i="13"/>
  <c r="M47" i="13"/>
  <c r="N47" i="13"/>
  <c r="K48" i="13"/>
  <c r="L48" i="13"/>
  <c r="M48" i="13"/>
  <c r="N48" i="13"/>
  <c r="K49" i="13"/>
  <c r="L49" i="13"/>
  <c r="M49" i="13"/>
  <c r="N49" i="13"/>
  <c r="K53" i="13"/>
  <c r="L53" i="13"/>
  <c r="M53" i="13"/>
  <c r="N53" i="13"/>
  <c r="K54" i="13"/>
  <c r="L54" i="13"/>
  <c r="M54" i="13"/>
  <c r="N54" i="13"/>
  <c r="K55" i="13"/>
  <c r="L55" i="13" s="1"/>
  <c r="M55" i="13" s="1"/>
  <c r="N55" i="13" s="1"/>
  <c r="AE2" i="32"/>
  <c r="AF2" i="32"/>
  <c r="AG2" i="32"/>
  <c r="AH2" i="32"/>
  <c r="AI2" i="32" s="1"/>
  <c r="AC2" i="32"/>
  <c r="AD2" i="32" s="1"/>
  <c r="AB2" i="32"/>
  <c r="X8" i="32"/>
  <c r="W8" i="32"/>
  <c r="U8" i="32"/>
  <c r="Y5" i="32"/>
  <c r="X5" i="32"/>
  <c r="W5" i="32"/>
  <c r="U5" i="32"/>
  <c r="V5" i="32" s="1"/>
  <c r="U3" i="32"/>
  <c r="U7" i="32" s="1"/>
  <c r="Z5" i="32"/>
  <c r="X6" i="32"/>
  <c r="W6" i="32"/>
  <c r="W4" i="32"/>
  <c r="W3" i="32" s="1"/>
  <c r="U6" i="32"/>
  <c r="S7" i="32"/>
  <c r="R7" i="32"/>
  <c r="Q7" i="32"/>
  <c r="P7" i="32"/>
  <c r="O7" i="32"/>
  <c r="T8" i="32" s="1"/>
  <c r="N7" i="32"/>
  <c r="M7" i="32"/>
  <c r="L7" i="32"/>
  <c r="K7" i="32"/>
  <c r="J7" i="32"/>
  <c r="I7" i="32"/>
  <c r="H7" i="32"/>
  <c r="G7" i="32"/>
  <c r="F7" i="32"/>
  <c r="E7" i="32"/>
  <c r="D7" i="32"/>
  <c r="C7" i="32"/>
  <c r="T7" i="32"/>
  <c r="T4" i="32"/>
  <c r="S4" i="32"/>
  <c r="R4" i="32"/>
  <c r="Q4" i="32"/>
  <c r="P4" i="32"/>
  <c r="O4" i="32"/>
  <c r="N4" i="32"/>
  <c r="M4" i="32"/>
  <c r="L4" i="32"/>
  <c r="K4" i="32"/>
  <c r="J4" i="32"/>
  <c r="J8" i="32" s="1"/>
  <c r="I4" i="32"/>
  <c r="I8" i="32" s="1"/>
  <c r="H4" i="32"/>
  <c r="H8" i="32" s="1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5" i="32"/>
  <c r="G3" i="32"/>
  <c r="L3" i="32"/>
  <c r="L5" i="32"/>
  <c r="Q5" i="32"/>
  <c r="Q3" i="32"/>
  <c r="A1" i="32"/>
  <c r="C31" i="8"/>
  <c r="C54" i="13" s="1"/>
  <c r="C23" i="8"/>
  <c r="C25" i="8" s="1"/>
  <c r="C16" i="8"/>
  <c r="D31" i="8"/>
  <c r="D23" i="8"/>
  <c r="D16" i="8"/>
  <c r="E34" i="8"/>
  <c r="E36" i="8" s="1"/>
  <c r="E31" i="8"/>
  <c r="E54" i="13" s="1"/>
  <c r="E23" i="8"/>
  <c r="E25" i="8" s="1"/>
  <c r="D15" i="8"/>
  <c r="C15" i="8"/>
  <c r="E15" i="8"/>
  <c r="E16" i="8" s="1"/>
  <c r="E37" i="7"/>
  <c r="D37" i="7"/>
  <c r="C37" i="7"/>
  <c r="E27" i="7"/>
  <c r="D27" i="7"/>
  <c r="C27" i="7"/>
  <c r="E20" i="7"/>
  <c r="D20" i="7"/>
  <c r="C20" i="7"/>
  <c r="C21" i="7" s="1"/>
  <c r="E18" i="7"/>
  <c r="E21" i="7" s="1"/>
  <c r="D18" i="7"/>
  <c r="D47" i="13" s="1"/>
  <c r="C20" i="8"/>
  <c r="D20" i="8"/>
  <c r="D25" i="8"/>
  <c r="D32" i="8"/>
  <c r="C36" i="8"/>
  <c r="D36" i="8"/>
  <c r="D39" i="8"/>
  <c r="D49" i="13"/>
  <c r="C49" i="13"/>
  <c r="C47" i="13"/>
  <c r="D18" i="13"/>
  <c r="D39" i="13" s="1"/>
  <c r="C18" i="13"/>
  <c r="C39" i="13" s="1"/>
  <c r="E15" i="13"/>
  <c r="D15" i="13"/>
  <c r="E13" i="13"/>
  <c r="F8" i="3"/>
  <c r="F7" i="3"/>
  <c r="D10" i="13"/>
  <c r="E10" i="13"/>
  <c r="D34" i="13"/>
  <c r="E34" i="13"/>
  <c r="F34" i="13" s="1"/>
  <c r="G34" i="13" s="1"/>
  <c r="H34" i="13" s="1"/>
  <c r="I34" i="13" s="1"/>
  <c r="J34" i="13" s="1"/>
  <c r="E55" i="13"/>
  <c r="D55" i="13"/>
  <c r="C55" i="13"/>
  <c r="D54" i="13"/>
  <c r="E49" i="13"/>
  <c r="E46" i="13"/>
  <c r="D46" i="13"/>
  <c r="C46" i="13"/>
  <c r="D45" i="13"/>
  <c r="C45" i="13"/>
  <c r="E18" i="13"/>
  <c r="E39" i="13" s="1"/>
  <c r="E16" i="13"/>
  <c r="D16" i="13"/>
  <c r="C16" i="13"/>
  <c r="C15" i="13"/>
  <c r="E14" i="13"/>
  <c r="F8" i="7" s="1"/>
  <c r="D14" i="13"/>
  <c r="C14" i="13"/>
  <c r="D13" i="13"/>
  <c r="C13" i="13"/>
  <c r="E12" i="13"/>
  <c r="D12" i="13"/>
  <c r="C12" i="13"/>
  <c r="C11" i="13"/>
  <c r="E20" i="13"/>
  <c r="E41" i="13" s="1"/>
  <c r="D20" i="13"/>
  <c r="D41" i="13" s="1"/>
  <c r="C20" i="13"/>
  <c r="C41" i="13" s="1"/>
  <c r="E19" i="13"/>
  <c r="E40" i="13" s="1"/>
  <c r="D19" i="13"/>
  <c r="D40" i="13" s="1"/>
  <c r="C19" i="13"/>
  <c r="C40" i="13" s="1"/>
  <c r="F6" i="3"/>
  <c r="B39" i="13"/>
  <c r="G8" i="13"/>
  <c r="G7" i="13"/>
  <c r="F7" i="13"/>
  <c r="D2" i="8"/>
  <c r="E2" i="8" s="1"/>
  <c r="E14" i="8" s="1"/>
  <c r="D2" i="7"/>
  <c r="E2" i="7" s="1"/>
  <c r="F2" i="7" s="1"/>
  <c r="G2" i="7" s="1"/>
  <c r="H2" i="7" s="1"/>
  <c r="I2" i="7" s="1"/>
  <c r="J2" i="7" s="1"/>
  <c r="E2" i="6"/>
  <c r="F2" i="6" s="1"/>
  <c r="D2" i="6"/>
  <c r="D11" i="6" s="1"/>
  <c r="D16" i="6" s="1"/>
  <c r="D24" i="6" s="1"/>
  <c r="C22" i="13"/>
  <c r="C31" i="13" s="1"/>
  <c r="C37" i="13" s="1"/>
  <c r="C43" i="13" s="1"/>
  <c r="C51" i="13" s="1"/>
  <c r="D2" i="13"/>
  <c r="E2" i="13" s="1"/>
  <c r="G9" i="7"/>
  <c r="H9" i="7"/>
  <c r="I9" i="7"/>
  <c r="J9" i="7"/>
  <c r="G10" i="7"/>
  <c r="H10" i="7"/>
  <c r="I10" i="7"/>
  <c r="J10" i="7"/>
  <c r="A1" i="10"/>
  <c r="C10" i="5"/>
  <c r="C18" i="5" s="1"/>
  <c r="D2" i="5"/>
  <c r="E2" i="5" s="1"/>
  <c r="G10" i="13"/>
  <c r="G4" i="7" s="1"/>
  <c r="F33" i="13"/>
  <c r="F3" i="5" s="1"/>
  <c r="F7" i="5" s="1"/>
  <c r="F11" i="9" s="1"/>
  <c r="F12" i="9" s="1"/>
  <c r="F13" i="10" s="1"/>
  <c r="C11" i="6"/>
  <c r="C30" i="6" s="1"/>
  <c r="F25" i="13"/>
  <c r="G25" i="13" s="1"/>
  <c r="F24" i="13"/>
  <c r="F4" i="6" s="1"/>
  <c r="F26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C14" i="8"/>
  <c r="F10" i="7"/>
  <c r="E16" i="7"/>
  <c r="D16" i="7"/>
  <c r="C16" i="7"/>
  <c r="A1" i="3"/>
  <c r="A1" i="13"/>
  <c r="A1" i="5"/>
  <c r="A1" i="6"/>
  <c r="A1" i="7"/>
  <c r="A1" i="8"/>
  <c r="A1" i="9"/>
  <c r="A1" i="11"/>
  <c r="A1" i="12"/>
  <c r="F8" i="6"/>
  <c r="F11" i="5"/>
  <c r="F16" i="5" s="1"/>
  <c r="B21" i="5"/>
  <c r="B20" i="5"/>
  <c r="G9" i="6"/>
  <c r="H9" i="6"/>
  <c r="I9" i="6"/>
  <c r="J9" i="6"/>
  <c r="J8" i="6"/>
  <c r="I8" i="6"/>
  <c r="H8" i="6"/>
  <c r="G8" i="6"/>
  <c r="E2" i="12"/>
  <c r="F2" i="12" s="1"/>
  <c r="G2" i="12" s="1"/>
  <c r="H2" i="12" s="1"/>
  <c r="H3" i="12" s="1"/>
  <c r="H4" i="12" s="1"/>
  <c r="F9" i="7"/>
  <c r="J27" i="12" l="1"/>
  <c r="F3" i="12"/>
  <c r="F4" i="12" s="1"/>
  <c r="I2" i="12"/>
  <c r="G3" i="12"/>
  <c r="G4" i="12" s="1"/>
  <c r="E3" i="12"/>
  <c r="E4" i="12" s="1"/>
  <c r="G17" i="9"/>
  <c r="F15" i="9"/>
  <c r="F17" i="9" s="1"/>
  <c r="H25" i="5"/>
  <c r="G25" i="5"/>
  <c r="G26" i="5" s="1"/>
  <c r="G6" i="9" s="1"/>
  <c r="G10" i="10" s="1"/>
  <c r="G16" i="5"/>
  <c r="K15" i="9"/>
  <c r="K17" i="9" s="1"/>
  <c r="J15" i="9"/>
  <c r="J17" i="9" s="1"/>
  <c r="J25" i="5"/>
  <c r="N17" i="9"/>
  <c r="M17" i="9"/>
  <c r="H15" i="9"/>
  <c r="H17" i="9" s="1"/>
  <c r="I25" i="5"/>
  <c r="L15" i="9"/>
  <c r="L17" i="9" s="1"/>
  <c r="I15" i="9"/>
  <c r="I17" i="9" s="1"/>
  <c r="J26" i="5"/>
  <c r="J6" i="9" s="1"/>
  <c r="J10" i="10" s="1"/>
  <c r="I26" i="5"/>
  <c r="I6" i="9" s="1"/>
  <c r="I10" i="10" s="1"/>
  <c r="O25" i="5"/>
  <c r="L25" i="5"/>
  <c r="K25" i="5"/>
  <c r="L26" i="5" s="1"/>
  <c r="L6" i="9" s="1"/>
  <c r="L10" i="10" s="1"/>
  <c r="N21" i="5"/>
  <c r="N25" i="5" s="1"/>
  <c r="M21" i="5"/>
  <c r="M25" i="5" s="1"/>
  <c r="I17" i="7"/>
  <c r="H18" i="7"/>
  <c r="H21" i="7" s="1"/>
  <c r="H20" i="7"/>
  <c r="H3" i="10"/>
  <c r="H19" i="7"/>
  <c r="G19" i="7"/>
  <c r="G18" i="7"/>
  <c r="G21" i="7"/>
  <c r="H17" i="6"/>
  <c r="H20" i="6" s="1"/>
  <c r="G26" i="6"/>
  <c r="G27" i="6" s="1"/>
  <c r="G22" i="6"/>
  <c r="G28" i="6" s="1"/>
  <c r="H26" i="5"/>
  <c r="H6" i="9" s="1"/>
  <c r="H10" i="10" s="1"/>
  <c r="F33" i="7"/>
  <c r="F35" i="7" s="1"/>
  <c r="F36" i="7" s="1"/>
  <c r="F14" i="5" s="1"/>
  <c r="F17" i="5" s="1"/>
  <c r="J6" i="13"/>
  <c r="J10" i="13" s="1"/>
  <c r="J4" i="7" s="1"/>
  <c r="AE6" i="32"/>
  <c r="H8" i="13"/>
  <c r="I7" i="13"/>
  <c r="H7" i="13"/>
  <c r="I8" i="13"/>
  <c r="AD3" i="32"/>
  <c r="AE3" i="32" s="1"/>
  <c r="AF3" i="32" s="1"/>
  <c r="AG3" i="32" s="1"/>
  <c r="AH3" i="32" s="1"/>
  <c r="AI3" i="32" s="1"/>
  <c r="AD5" i="32"/>
  <c r="AB7" i="32"/>
  <c r="AB8" i="32" s="1"/>
  <c r="AC7" i="32"/>
  <c r="M2" i="8"/>
  <c r="L14" i="8"/>
  <c r="M2" i="13"/>
  <c r="L22" i="13"/>
  <c r="L31" i="13" s="1"/>
  <c r="L37" i="13" s="1"/>
  <c r="L43" i="13" s="1"/>
  <c r="L51" i="13" s="1"/>
  <c r="K22" i="13"/>
  <c r="K31" i="13" s="1"/>
  <c r="K37" i="13" s="1"/>
  <c r="K43" i="13" s="1"/>
  <c r="K51" i="13" s="1"/>
  <c r="X4" i="32"/>
  <c r="V3" i="32"/>
  <c r="V6" i="32"/>
  <c r="V7" i="32"/>
  <c r="V8" i="32" s="1"/>
  <c r="V4" i="32"/>
  <c r="L8" i="32"/>
  <c r="P8" i="32"/>
  <c r="M8" i="32"/>
  <c r="N8" i="32"/>
  <c r="O8" i="32"/>
  <c r="R8" i="32"/>
  <c r="S8" i="32"/>
  <c r="Q8" i="32"/>
  <c r="K8" i="32"/>
  <c r="E11" i="11"/>
  <c r="C32" i="8"/>
  <c r="C39" i="8" s="1"/>
  <c r="D27" i="8"/>
  <c r="E32" i="8"/>
  <c r="E39" i="8" s="1"/>
  <c r="C27" i="8"/>
  <c r="D14" i="8"/>
  <c r="E20" i="8"/>
  <c r="E27" i="8" s="1"/>
  <c r="E45" i="13"/>
  <c r="E33" i="7"/>
  <c r="E36" i="7" s="1"/>
  <c r="E25" i="7"/>
  <c r="C33" i="7"/>
  <c r="C25" i="7"/>
  <c r="D21" i="7"/>
  <c r="D48" i="13"/>
  <c r="E48" i="13"/>
  <c r="F48" i="13" s="1"/>
  <c r="F7" i="8" s="1"/>
  <c r="F12" i="7"/>
  <c r="F37" i="7" s="1"/>
  <c r="F38" i="7" s="1"/>
  <c r="D11" i="13"/>
  <c r="E47" i="13"/>
  <c r="F47" i="13" s="1"/>
  <c r="F6" i="8" s="1"/>
  <c r="E11" i="13"/>
  <c r="E10" i="11"/>
  <c r="F9" i="3"/>
  <c r="D22" i="13"/>
  <c r="D31" i="13" s="1"/>
  <c r="D37" i="13" s="1"/>
  <c r="D43" i="13" s="1"/>
  <c r="D51" i="13" s="1"/>
  <c r="F2" i="13"/>
  <c r="E22" i="13"/>
  <c r="E31" i="13" s="1"/>
  <c r="E37" i="13" s="1"/>
  <c r="E43" i="13" s="1"/>
  <c r="E51" i="13" s="1"/>
  <c r="F2" i="8"/>
  <c r="F11" i="6"/>
  <c r="F30" i="6" s="1"/>
  <c r="G2" i="6"/>
  <c r="E11" i="6"/>
  <c r="E16" i="6" s="1"/>
  <c r="E24" i="6" s="1"/>
  <c r="E30" i="6"/>
  <c r="F5" i="6"/>
  <c r="G5" i="6"/>
  <c r="H25" i="13"/>
  <c r="G26" i="13"/>
  <c r="G6" i="6" s="1"/>
  <c r="G14" i="13"/>
  <c r="G24" i="13"/>
  <c r="G4" i="6" s="1"/>
  <c r="D10" i="5"/>
  <c r="D18" i="5" s="1"/>
  <c r="E10" i="5"/>
  <c r="E18" i="5" s="1"/>
  <c r="F2" i="5"/>
  <c r="D30" i="6"/>
  <c r="C16" i="6"/>
  <c r="C24" i="6" s="1"/>
  <c r="G33" i="13"/>
  <c r="F4" i="5"/>
  <c r="G4" i="5" s="1"/>
  <c r="H4" i="5" s="1"/>
  <c r="I4" i="5" s="1"/>
  <c r="J4" i="5" s="1"/>
  <c r="K4" i="5" s="1"/>
  <c r="L4" i="5" s="1"/>
  <c r="M4" i="5" s="1"/>
  <c r="N4" i="5" s="1"/>
  <c r="O4" i="5" s="1"/>
  <c r="F12" i="13"/>
  <c r="G12" i="13" s="1"/>
  <c r="F45" i="13"/>
  <c r="F54" i="13"/>
  <c r="F46" i="13"/>
  <c r="F49" i="13"/>
  <c r="F55" i="13"/>
  <c r="J2" i="12" l="1"/>
  <c r="I3" i="12"/>
  <c r="I4" i="12" s="1"/>
  <c r="F38" i="8"/>
  <c r="G13" i="5"/>
  <c r="N26" i="5"/>
  <c r="N6" i="9" s="1"/>
  <c r="N10" i="10" s="1"/>
  <c r="O26" i="5"/>
  <c r="O6" i="9" s="1"/>
  <c r="O10" i="10" s="1"/>
  <c r="F8" i="5"/>
  <c r="M26" i="5"/>
  <c r="M6" i="9" s="1"/>
  <c r="M10" i="10" s="1"/>
  <c r="K26" i="5"/>
  <c r="K6" i="9" s="1"/>
  <c r="K10" i="10" s="1"/>
  <c r="H33" i="7"/>
  <c r="H4" i="10"/>
  <c r="H7" i="10" s="1"/>
  <c r="G4" i="10"/>
  <c r="G7" i="10" s="1"/>
  <c r="G33" i="7"/>
  <c r="I3" i="10"/>
  <c r="J17" i="7"/>
  <c r="I18" i="7"/>
  <c r="I21" i="7" s="1"/>
  <c r="I20" i="7"/>
  <c r="I19" i="7"/>
  <c r="I17" i="6"/>
  <c r="I20" i="6" s="1"/>
  <c r="H22" i="6"/>
  <c r="H28" i="6" s="1"/>
  <c r="H26" i="6"/>
  <c r="H27" i="6" s="1"/>
  <c r="F43" i="7"/>
  <c r="F42" i="7"/>
  <c r="J8" i="13"/>
  <c r="J7" i="13"/>
  <c r="AF6" i="32"/>
  <c r="K6" i="13"/>
  <c r="AC8" i="32"/>
  <c r="AE5" i="32"/>
  <c r="AD7" i="32"/>
  <c r="AD8" i="32" s="1"/>
  <c r="M14" i="8"/>
  <c r="N2" i="8"/>
  <c r="N2" i="13"/>
  <c r="N22" i="13" s="1"/>
  <c r="N31" i="13" s="1"/>
  <c r="N37" i="13" s="1"/>
  <c r="N43" i="13" s="1"/>
  <c r="N51" i="13" s="1"/>
  <c r="M22" i="13"/>
  <c r="M31" i="13" s="1"/>
  <c r="M37" i="13" s="1"/>
  <c r="M43" i="13" s="1"/>
  <c r="M51" i="13" s="1"/>
  <c r="X3" i="32"/>
  <c r="W7" i="32"/>
  <c r="AA5" i="32"/>
  <c r="AA6" i="32" s="1"/>
  <c r="E43" i="7"/>
  <c r="E42" i="7"/>
  <c r="G48" i="13"/>
  <c r="G7" i="8" s="1"/>
  <c r="D33" i="7"/>
  <c r="D36" i="7" s="1"/>
  <c r="D25" i="7"/>
  <c r="C36" i="7"/>
  <c r="C17" i="13"/>
  <c r="D41" i="8"/>
  <c r="C48" i="13"/>
  <c r="E53" i="13"/>
  <c r="F53" i="13" s="1"/>
  <c r="D53" i="13"/>
  <c r="F39" i="13"/>
  <c r="G12" i="7"/>
  <c r="G47" i="13"/>
  <c r="H47" i="13" s="1"/>
  <c r="H6" i="8" s="1"/>
  <c r="G2" i="13"/>
  <c r="F22" i="13"/>
  <c r="F31" i="13" s="1"/>
  <c r="F37" i="13" s="1"/>
  <c r="F43" i="13" s="1"/>
  <c r="F51" i="13" s="1"/>
  <c r="F14" i="8"/>
  <c r="G2" i="8"/>
  <c r="H2" i="6"/>
  <c r="G11" i="6"/>
  <c r="F16" i="6"/>
  <c r="F24" i="6" s="1"/>
  <c r="H26" i="13"/>
  <c r="I26" i="13" s="1"/>
  <c r="H5" i="6"/>
  <c r="I25" i="13"/>
  <c r="H12" i="13"/>
  <c r="G6" i="7"/>
  <c r="H24" i="13"/>
  <c r="H4" i="6" s="1"/>
  <c r="H14" i="13"/>
  <c r="G8" i="7"/>
  <c r="G2" i="5"/>
  <c r="G10" i="5" s="1"/>
  <c r="G18" i="5" s="1"/>
  <c r="F10" i="5"/>
  <c r="F18" i="5" s="1"/>
  <c r="H33" i="13"/>
  <c r="G3" i="5"/>
  <c r="G7" i="5" s="1"/>
  <c r="F5" i="8"/>
  <c r="G46" i="13"/>
  <c r="G45" i="13"/>
  <c r="H45" i="13" s="1"/>
  <c r="I45" i="13" s="1"/>
  <c r="J45" i="13" s="1"/>
  <c r="F4" i="8"/>
  <c r="F13" i="13"/>
  <c r="G13" i="13" s="1"/>
  <c r="F6" i="7"/>
  <c r="F12" i="8"/>
  <c r="G55" i="13"/>
  <c r="G49" i="13"/>
  <c r="F8" i="8"/>
  <c r="F11" i="13"/>
  <c r="G11" i="13" s="1"/>
  <c r="F11" i="8"/>
  <c r="G54" i="13"/>
  <c r="K2" i="12" l="1"/>
  <c r="J3" i="12"/>
  <c r="J4" i="12" s="1"/>
  <c r="F23" i="7"/>
  <c r="F9" i="5"/>
  <c r="G11" i="9"/>
  <c r="G12" i="9" s="1"/>
  <c r="G13" i="10" s="1"/>
  <c r="I4" i="10"/>
  <c r="I7" i="10" s="1"/>
  <c r="I33" i="7"/>
  <c r="J3" i="10"/>
  <c r="K17" i="7"/>
  <c r="J18" i="7"/>
  <c r="J21" i="7" s="1"/>
  <c r="J19" i="7"/>
  <c r="J20" i="7"/>
  <c r="G35" i="7"/>
  <c r="G36" i="7" s="1"/>
  <c r="H35" i="7"/>
  <c r="H36" i="7" s="1"/>
  <c r="J17" i="6"/>
  <c r="J20" i="6" s="1"/>
  <c r="I26" i="6"/>
  <c r="I27" i="6" s="1"/>
  <c r="I22" i="6"/>
  <c r="I28" i="6" s="1"/>
  <c r="G39" i="13"/>
  <c r="K10" i="13"/>
  <c r="K4" i="7" s="1"/>
  <c r="K7" i="13"/>
  <c r="K8" i="13"/>
  <c r="L6" i="13"/>
  <c r="AG6" i="32"/>
  <c r="AF5" i="32"/>
  <c r="AE7" i="32"/>
  <c r="AE8" i="32" s="1"/>
  <c r="N14" i="8"/>
  <c r="O2" i="8"/>
  <c r="O14" i="8" s="1"/>
  <c r="Z3" i="32"/>
  <c r="Y3" i="32"/>
  <c r="X7" i="32"/>
  <c r="I24" i="13"/>
  <c r="H48" i="13"/>
  <c r="C43" i="7"/>
  <c r="C42" i="7"/>
  <c r="D43" i="7"/>
  <c r="D42" i="7"/>
  <c r="F10" i="8"/>
  <c r="G53" i="13"/>
  <c r="E41" i="8"/>
  <c r="C53" i="13"/>
  <c r="I47" i="13"/>
  <c r="J47" i="13" s="1"/>
  <c r="G6" i="8"/>
  <c r="D17" i="13"/>
  <c r="I6" i="8"/>
  <c r="E17" i="13"/>
  <c r="H2" i="13"/>
  <c r="G22" i="13"/>
  <c r="G31" i="13" s="1"/>
  <c r="G37" i="13" s="1"/>
  <c r="G43" i="13" s="1"/>
  <c r="G51" i="13" s="1"/>
  <c r="H39" i="13"/>
  <c r="H12" i="7"/>
  <c r="G14" i="8"/>
  <c r="H2" i="8"/>
  <c r="I2" i="6"/>
  <c r="H11" i="6"/>
  <c r="H6" i="6"/>
  <c r="J25" i="13"/>
  <c r="I5" i="6"/>
  <c r="G5" i="7"/>
  <c r="H11" i="13"/>
  <c r="I14" i="13"/>
  <c r="H8" i="7"/>
  <c r="H13" i="13"/>
  <c r="G7" i="7"/>
  <c r="I12" i="13"/>
  <c r="H6" i="7"/>
  <c r="H2" i="5"/>
  <c r="H10" i="5" s="1"/>
  <c r="H18" i="5" s="1"/>
  <c r="I4" i="6"/>
  <c r="J24" i="13"/>
  <c r="I33" i="13"/>
  <c r="H3" i="5"/>
  <c r="H7" i="5" s="1"/>
  <c r="H11" i="9" s="1"/>
  <c r="H12" i="9" s="1"/>
  <c r="H13" i="10" s="1"/>
  <c r="J26" i="13"/>
  <c r="I6" i="6"/>
  <c r="J6" i="8"/>
  <c r="H54" i="13"/>
  <c r="G11" i="8"/>
  <c r="F5" i="7"/>
  <c r="H49" i="13"/>
  <c r="G8" i="8"/>
  <c r="H55" i="13"/>
  <c r="G12" i="8"/>
  <c r="F36" i="8"/>
  <c r="I48" i="13"/>
  <c r="H7" i="8"/>
  <c r="F7" i="7"/>
  <c r="G4" i="8"/>
  <c r="H46" i="13"/>
  <c r="G5" i="8"/>
  <c r="L2" i="12" l="1"/>
  <c r="K3" i="12"/>
  <c r="K4" i="12" s="1"/>
  <c r="F22" i="8"/>
  <c r="F25" i="8" s="1"/>
  <c r="G6" i="5"/>
  <c r="F25" i="7"/>
  <c r="F4" i="9"/>
  <c r="F8" i="10" s="1"/>
  <c r="G42" i="7"/>
  <c r="G14" i="5"/>
  <c r="G17" i="5" s="1"/>
  <c r="G43" i="7"/>
  <c r="J4" i="10"/>
  <c r="J7" i="10" s="1"/>
  <c r="J33" i="7"/>
  <c r="H14" i="5"/>
  <c r="H42" i="7"/>
  <c r="H43" i="7"/>
  <c r="K3" i="10"/>
  <c r="K18" i="7"/>
  <c r="K19" i="7"/>
  <c r="L17" i="7"/>
  <c r="K20" i="7"/>
  <c r="K21" i="7" s="1"/>
  <c r="I35" i="7"/>
  <c r="I36" i="7" s="1"/>
  <c r="K17" i="6"/>
  <c r="K20" i="6" s="1"/>
  <c r="J26" i="6"/>
  <c r="J27" i="6" s="1"/>
  <c r="J22" i="6"/>
  <c r="J28" i="6" s="1"/>
  <c r="L10" i="13"/>
  <c r="L4" i="7" s="1"/>
  <c r="L7" i="13"/>
  <c r="L8" i="13"/>
  <c r="AH6" i="32"/>
  <c r="M6" i="13"/>
  <c r="AG5" i="32"/>
  <c r="AF7" i="32"/>
  <c r="AF8" i="32" s="1"/>
  <c r="Z7" i="32"/>
  <c r="Z8" i="32" s="1"/>
  <c r="Y7" i="32"/>
  <c r="Y8" i="32" s="1"/>
  <c r="AA3" i="32"/>
  <c r="C41" i="8"/>
  <c r="H53" i="13"/>
  <c r="G10" i="8"/>
  <c r="G17" i="13"/>
  <c r="F5" i="10"/>
  <c r="E4" i="11"/>
  <c r="L4" i="11" s="1"/>
  <c r="L5" i="11" s="1"/>
  <c r="L6" i="11" s="1"/>
  <c r="L7" i="11" s="1"/>
  <c r="I2" i="13"/>
  <c r="H22" i="13"/>
  <c r="H31" i="13" s="1"/>
  <c r="H37" i="13" s="1"/>
  <c r="H43" i="13" s="1"/>
  <c r="H51" i="13" s="1"/>
  <c r="I39" i="13"/>
  <c r="I12" i="7"/>
  <c r="I2" i="8"/>
  <c r="H14" i="8"/>
  <c r="J2" i="6"/>
  <c r="J11" i="6" s="1"/>
  <c r="I11" i="6"/>
  <c r="J5" i="6"/>
  <c r="J12" i="13"/>
  <c r="I6" i="7"/>
  <c r="I13" i="13"/>
  <c r="H7" i="7"/>
  <c r="J14" i="13"/>
  <c r="K14" i="13" s="1"/>
  <c r="I8" i="7"/>
  <c r="I11" i="13"/>
  <c r="H5" i="7"/>
  <c r="I2" i="5"/>
  <c r="I10" i="5" s="1"/>
  <c r="I18" i="5" s="1"/>
  <c r="I3" i="5"/>
  <c r="I7" i="5" s="1"/>
  <c r="I11" i="9" s="1"/>
  <c r="I12" i="9" s="1"/>
  <c r="I13" i="10" s="1"/>
  <c r="J33" i="13"/>
  <c r="K33" i="13" s="1"/>
  <c r="J4" i="6"/>
  <c r="J6" i="6"/>
  <c r="F19" i="13"/>
  <c r="J48" i="13"/>
  <c r="I7" i="8"/>
  <c r="H12" i="8"/>
  <c r="I55" i="13"/>
  <c r="I49" i="13"/>
  <c r="H8" i="8"/>
  <c r="I46" i="13"/>
  <c r="H5" i="8"/>
  <c r="H4" i="8"/>
  <c r="I54" i="13"/>
  <c r="H11" i="8"/>
  <c r="M2" i="12" l="1"/>
  <c r="M3" i="12" s="1"/>
  <c r="L3" i="12"/>
  <c r="L4" i="12" s="1"/>
  <c r="G8" i="5"/>
  <c r="G23" i="7" s="1"/>
  <c r="G9" i="5"/>
  <c r="H13" i="5"/>
  <c r="H17" i="5" s="1"/>
  <c r="G38" i="8"/>
  <c r="I42" i="7"/>
  <c r="I43" i="7"/>
  <c r="I14" i="5"/>
  <c r="K4" i="10"/>
  <c r="K7" i="10" s="1"/>
  <c r="K33" i="7"/>
  <c r="L20" i="7"/>
  <c r="L21" i="7" s="1"/>
  <c r="L3" i="10"/>
  <c r="M17" i="7"/>
  <c r="L18" i="7"/>
  <c r="L19" i="7"/>
  <c r="J35" i="7"/>
  <c r="J36" i="7" s="1"/>
  <c r="L17" i="6"/>
  <c r="L20" i="6" s="1"/>
  <c r="K26" i="6"/>
  <c r="K27" i="6" s="1"/>
  <c r="K22" i="6"/>
  <c r="K28" i="6" s="1"/>
  <c r="K3" i="5"/>
  <c r="K7" i="5" s="1"/>
  <c r="K11" i="9" s="1"/>
  <c r="K12" i="9" s="1"/>
  <c r="K13" i="10" s="1"/>
  <c r="L33" i="13"/>
  <c r="K12" i="7"/>
  <c r="K39" i="13"/>
  <c r="L14" i="13"/>
  <c r="K8" i="7"/>
  <c r="M10" i="13"/>
  <c r="M4" i="7" s="1"/>
  <c r="M7" i="13"/>
  <c r="M8" i="13"/>
  <c r="AI6" i="32"/>
  <c r="O6" i="13" s="1"/>
  <c r="N6" i="13"/>
  <c r="AH5" i="32"/>
  <c r="AG7" i="32"/>
  <c r="AG8" i="32" s="1"/>
  <c r="AA4" i="32"/>
  <c r="AA7" i="32"/>
  <c r="AA8" i="32" s="1"/>
  <c r="H10" i="8"/>
  <c r="I53" i="13"/>
  <c r="G11" i="7"/>
  <c r="H17" i="13"/>
  <c r="J2" i="13"/>
  <c r="J22" i="13" s="1"/>
  <c r="J31" i="13" s="1"/>
  <c r="J37" i="13" s="1"/>
  <c r="J43" i="13" s="1"/>
  <c r="J51" i="13" s="1"/>
  <c r="I22" i="13"/>
  <c r="I31" i="13" s="1"/>
  <c r="I37" i="13" s="1"/>
  <c r="I43" i="13" s="1"/>
  <c r="I51" i="13" s="1"/>
  <c r="J39" i="13"/>
  <c r="J12" i="7"/>
  <c r="G19" i="13"/>
  <c r="G40" i="13" s="1"/>
  <c r="F40" i="13"/>
  <c r="I14" i="8"/>
  <c r="J2" i="8"/>
  <c r="J14" i="8" s="1"/>
  <c r="J11" i="13"/>
  <c r="I5" i="7"/>
  <c r="J8" i="7"/>
  <c r="I7" i="7"/>
  <c r="J13" i="13"/>
  <c r="J6" i="7"/>
  <c r="J2" i="5"/>
  <c r="J3" i="5"/>
  <c r="J7" i="5" s="1"/>
  <c r="J11" i="9" s="1"/>
  <c r="J12" i="9" s="1"/>
  <c r="J13" i="10" s="1"/>
  <c r="I4" i="8"/>
  <c r="F20" i="13"/>
  <c r="I5" i="8"/>
  <c r="J46" i="13"/>
  <c r="J49" i="13"/>
  <c r="I8" i="8"/>
  <c r="I12" i="8"/>
  <c r="J55" i="13"/>
  <c r="J7" i="8"/>
  <c r="J54" i="13"/>
  <c r="I11" i="8"/>
  <c r="F11" i="7"/>
  <c r="E12" i="11"/>
  <c r="F13" i="7"/>
  <c r="M4" i="12" l="1"/>
  <c r="G8" i="12"/>
  <c r="M5" i="12"/>
  <c r="C8" i="12" s="1"/>
  <c r="C7" i="12"/>
  <c r="J10" i="5"/>
  <c r="J18" i="5" s="1"/>
  <c r="K2" i="5"/>
  <c r="H6" i="5"/>
  <c r="G22" i="8"/>
  <c r="G25" i="8" s="1"/>
  <c r="G4" i="9"/>
  <c r="G8" i="10" s="1"/>
  <c r="G15" i="10" s="1"/>
  <c r="G25" i="7"/>
  <c r="I13" i="5"/>
  <c r="I17" i="5" s="1"/>
  <c r="H38" i="8"/>
  <c r="L4" i="10"/>
  <c r="L7" i="10" s="1"/>
  <c r="L33" i="7"/>
  <c r="J43" i="7"/>
  <c r="J14" i="5"/>
  <c r="J42" i="7"/>
  <c r="M19" i="7"/>
  <c r="M20" i="7"/>
  <c r="M3" i="10"/>
  <c r="N17" i="7"/>
  <c r="M18" i="7"/>
  <c r="M21" i="7" s="1"/>
  <c r="K35" i="7"/>
  <c r="K36" i="7" s="1"/>
  <c r="M17" i="6"/>
  <c r="M20" i="6" s="1"/>
  <c r="L26" i="6"/>
  <c r="L27" i="6" s="1"/>
  <c r="L22" i="6"/>
  <c r="L28" i="6" s="1"/>
  <c r="L3" i="5"/>
  <c r="L7" i="5" s="1"/>
  <c r="L11" i="9" s="1"/>
  <c r="L12" i="9" s="1"/>
  <c r="L13" i="10" s="1"/>
  <c r="M33" i="13"/>
  <c r="L12" i="7"/>
  <c r="L39" i="13"/>
  <c r="L8" i="7"/>
  <c r="M14" i="13"/>
  <c r="N7" i="13"/>
  <c r="N8" i="13"/>
  <c r="N10" i="13"/>
  <c r="N4" i="7" s="1"/>
  <c r="O8" i="13"/>
  <c r="O10" i="13"/>
  <c r="O4" i="7" s="1"/>
  <c r="O7" i="13"/>
  <c r="AI5" i="32"/>
  <c r="AI7" i="32" s="1"/>
  <c r="AH7" i="32"/>
  <c r="AH8" i="32" s="1"/>
  <c r="I10" i="8"/>
  <c r="J53" i="13"/>
  <c r="J10" i="8" s="1"/>
  <c r="H11" i="7"/>
  <c r="I17" i="13"/>
  <c r="G13" i="7"/>
  <c r="G20" i="13"/>
  <c r="G41" i="13" s="1"/>
  <c r="F41" i="13"/>
  <c r="H19" i="13"/>
  <c r="H40" i="13" s="1"/>
  <c r="J7" i="7"/>
  <c r="J5" i="7"/>
  <c r="I19" i="13"/>
  <c r="I40" i="13" s="1"/>
  <c r="J8" i="8"/>
  <c r="M4" i="11"/>
  <c r="J12" i="8"/>
  <c r="J11" i="8"/>
  <c r="F7" i="10"/>
  <c r="F15" i="10" s="1"/>
  <c r="J5" i="8"/>
  <c r="F14" i="7"/>
  <c r="J4" i="8"/>
  <c r="C9" i="12" l="1"/>
  <c r="C15" i="12" s="1"/>
  <c r="C18" i="12" s="1"/>
  <c r="G7" i="12"/>
  <c r="G9" i="12" s="1"/>
  <c r="G15" i="12" s="1"/>
  <c r="G18" i="12" s="1"/>
  <c r="H8" i="5"/>
  <c r="H23" i="7" s="1"/>
  <c r="H9" i="5"/>
  <c r="L2" i="5"/>
  <c r="K10" i="5"/>
  <c r="K18" i="5" s="1"/>
  <c r="J13" i="5"/>
  <c r="J17" i="5" s="1"/>
  <c r="I38" i="8"/>
  <c r="K14" i="5"/>
  <c r="K3" i="9"/>
  <c r="K43" i="7"/>
  <c r="K42" i="7"/>
  <c r="M4" i="10"/>
  <c r="M7" i="10" s="1"/>
  <c r="M33" i="7"/>
  <c r="L35" i="7"/>
  <c r="L36" i="7" s="1"/>
  <c r="N20" i="7"/>
  <c r="O17" i="7"/>
  <c r="N3" i="10"/>
  <c r="N18" i="7"/>
  <c r="N21" i="7" s="1"/>
  <c r="N19" i="7"/>
  <c r="N17" i="6"/>
  <c r="N20" i="6" s="1"/>
  <c r="M26" i="6"/>
  <c r="M27" i="6" s="1"/>
  <c r="M22" i="6"/>
  <c r="M28" i="6" s="1"/>
  <c r="M3" i="5"/>
  <c r="M7" i="5" s="1"/>
  <c r="M11" i="9" s="1"/>
  <c r="M12" i="9" s="1"/>
  <c r="M13" i="10" s="1"/>
  <c r="N33" i="13"/>
  <c r="M12" i="7"/>
  <c r="M39" i="13"/>
  <c r="M8" i="7"/>
  <c r="AI8" i="32"/>
  <c r="G14" i="7"/>
  <c r="H20" i="13"/>
  <c r="H41" i="13" s="1"/>
  <c r="H13" i="7"/>
  <c r="J17" i="13"/>
  <c r="I11" i="7"/>
  <c r="H14" i="7"/>
  <c r="I20" i="13"/>
  <c r="I41" i="13" s="1"/>
  <c r="J19" i="13"/>
  <c r="J40" i="13" s="1"/>
  <c r="I13" i="7"/>
  <c r="F3" i="9"/>
  <c r="F9" i="9" s="1"/>
  <c r="F19" i="9" s="1"/>
  <c r="F22" i="9" s="1"/>
  <c r="F23" i="9" s="1"/>
  <c r="M5" i="11"/>
  <c r="D27" i="12" l="1"/>
  <c r="J5" i="3"/>
  <c r="J6" i="3" s="1"/>
  <c r="I27" i="12"/>
  <c r="I5" i="3"/>
  <c r="I6" i="5"/>
  <c r="H22" i="8"/>
  <c r="H25" i="8" s="1"/>
  <c r="F16" i="8"/>
  <c r="F29" i="8"/>
  <c r="L10" i="5"/>
  <c r="L18" i="5" s="1"/>
  <c r="M2" i="5"/>
  <c r="H4" i="9"/>
  <c r="H8" i="10" s="1"/>
  <c r="H15" i="10" s="1"/>
  <c r="H25" i="7"/>
  <c r="K13" i="5"/>
  <c r="K17" i="5" s="1"/>
  <c r="J38" i="8"/>
  <c r="N4" i="10"/>
  <c r="N7" i="10" s="1"/>
  <c r="N33" i="7"/>
  <c r="O19" i="7"/>
  <c r="O20" i="7"/>
  <c r="O3" i="10"/>
  <c r="O18" i="7"/>
  <c r="O21" i="7" s="1"/>
  <c r="M35" i="7"/>
  <c r="M36" i="7" s="1"/>
  <c r="L14" i="5"/>
  <c r="L3" i="9"/>
  <c r="L42" i="7"/>
  <c r="L43" i="7"/>
  <c r="O17" i="6"/>
  <c r="O20" i="6" s="1"/>
  <c r="N26" i="6"/>
  <c r="N27" i="6" s="1"/>
  <c r="N22" i="6"/>
  <c r="N28" i="6" s="1"/>
  <c r="N3" i="5"/>
  <c r="N7" i="5" s="1"/>
  <c r="O33" i="13"/>
  <c r="O3" i="5" s="1"/>
  <c r="O7" i="5" s="1"/>
  <c r="O11" i="9" s="1"/>
  <c r="O12" i="9" s="1"/>
  <c r="O13" i="10" s="1"/>
  <c r="N12" i="7"/>
  <c r="N39" i="13"/>
  <c r="J11" i="7"/>
  <c r="K17" i="13"/>
  <c r="N8" i="7"/>
  <c r="O8" i="7"/>
  <c r="J13" i="7"/>
  <c r="J20" i="13"/>
  <c r="J41" i="13" s="1"/>
  <c r="I14" i="7"/>
  <c r="G3" i="9"/>
  <c r="G9" i="9" s="1"/>
  <c r="G19" i="9" s="1"/>
  <c r="G22" i="9" s="1"/>
  <c r="M6" i="11"/>
  <c r="M7" i="11"/>
  <c r="I6" i="3" l="1"/>
  <c r="K5" i="3"/>
  <c r="K6" i="3" s="1"/>
  <c r="M10" i="5"/>
  <c r="M18" i="5" s="1"/>
  <c r="N2" i="5"/>
  <c r="I8" i="5"/>
  <c r="I23" i="7" s="1"/>
  <c r="I9" i="5"/>
  <c r="N11" i="9"/>
  <c r="N12" i="9" s="1"/>
  <c r="N13" i="10" s="1"/>
  <c r="F31" i="6"/>
  <c r="F33" i="6" s="1"/>
  <c r="G21" i="9"/>
  <c r="G23" i="9" s="1"/>
  <c r="L13" i="5"/>
  <c r="L17" i="5" s="1"/>
  <c r="K38" i="8"/>
  <c r="M14" i="5"/>
  <c r="M3" i="9"/>
  <c r="M42" i="7"/>
  <c r="M43" i="7"/>
  <c r="O4" i="10"/>
  <c r="O7" i="10" s="1"/>
  <c r="O33" i="7"/>
  <c r="N35" i="7"/>
  <c r="N36" i="7" s="1"/>
  <c r="O26" i="6"/>
  <c r="O27" i="6" s="1"/>
  <c r="O22" i="6"/>
  <c r="O28" i="6" s="1"/>
  <c r="O12" i="7"/>
  <c r="O39" i="13"/>
  <c r="L17" i="13"/>
  <c r="K11" i="7"/>
  <c r="J14" i="7"/>
  <c r="M9" i="11"/>
  <c r="M11" i="11" s="1"/>
  <c r="E8" i="11" s="1"/>
  <c r="E13" i="11" s="1"/>
  <c r="H3" i="9"/>
  <c r="H9" i="9" s="1"/>
  <c r="H19" i="9" s="1"/>
  <c r="H22" i="9" s="1"/>
  <c r="F20" i="8"/>
  <c r="F27" i="8" s="1"/>
  <c r="F32" i="8"/>
  <c r="G29" i="8" l="1"/>
  <c r="G32" i="8" s="1"/>
  <c r="G39" i="8" s="1"/>
  <c r="G16" i="8"/>
  <c r="J6" i="5"/>
  <c r="I22" i="8"/>
  <c r="I25" i="8" s="1"/>
  <c r="N10" i="5"/>
  <c r="N18" i="5" s="1"/>
  <c r="O2" i="5"/>
  <c r="O10" i="5" s="1"/>
  <c r="O18" i="5" s="1"/>
  <c r="I25" i="7"/>
  <c r="I4" i="9"/>
  <c r="I8" i="10" s="1"/>
  <c r="I15" i="10" s="1"/>
  <c r="G20" i="8"/>
  <c r="G27" i="8" s="1"/>
  <c r="G41" i="8" s="1"/>
  <c r="H21" i="9"/>
  <c r="H23" i="9" s="1"/>
  <c r="G31" i="6"/>
  <c r="G33" i="6" s="1"/>
  <c r="M13" i="5"/>
  <c r="L38" i="8"/>
  <c r="M17" i="5"/>
  <c r="N14" i="5"/>
  <c r="N3" i="9"/>
  <c r="N42" i="7"/>
  <c r="N43" i="7"/>
  <c r="O35" i="7"/>
  <c r="O36" i="7" s="1"/>
  <c r="M17" i="13"/>
  <c r="L11" i="7"/>
  <c r="F39" i="8"/>
  <c r="F41" i="8" s="1"/>
  <c r="J3" i="9"/>
  <c r="I3" i="9"/>
  <c r="I9" i="9" s="1"/>
  <c r="I19" i="9" s="1"/>
  <c r="I22" i="9" s="1"/>
  <c r="J8" i="5" l="1"/>
  <c r="J23" i="7" s="1"/>
  <c r="J9" i="5"/>
  <c r="H16" i="8"/>
  <c r="H29" i="8"/>
  <c r="H32" i="8" s="1"/>
  <c r="H39" i="8" s="1"/>
  <c r="N13" i="5"/>
  <c r="N17" i="5" s="1"/>
  <c r="M38" i="8"/>
  <c r="O43" i="7"/>
  <c r="O14" i="5"/>
  <c r="O3" i="9"/>
  <c r="O42" i="7"/>
  <c r="N17" i="13"/>
  <c r="M11" i="7"/>
  <c r="K6" i="5" l="1"/>
  <c r="J22" i="8"/>
  <c r="J25" i="8" s="1"/>
  <c r="J4" i="9"/>
  <c r="J25" i="7"/>
  <c r="H20" i="8"/>
  <c r="H27" i="8" s="1"/>
  <c r="H41" i="8" s="1"/>
  <c r="I21" i="9"/>
  <c r="I23" i="9" s="1"/>
  <c r="H31" i="6"/>
  <c r="H33" i="6" s="1"/>
  <c r="O13" i="5"/>
  <c r="O17" i="5" s="1"/>
  <c r="N38" i="8"/>
  <c r="O17" i="13"/>
  <c r="O11" i="7" s="1"/>
  <c r="N11" i="7"/>
  <c r="J8" i="10" l="1"/>
  <c r="J15" i="10" s="1"/>
  <c r="J9" i="9"/>
  <c r="J19" i="9" s="1"/>
  <c r="J22" i="9" s="1"/>
  <c r="K9" i="5"/>
  <c r="K8" i="5"/>
  <c r="K23" i="7" s="1"/>
  <c r="I16" i="8"/>
  <c r="I29" i="8"/>
  <c r="I32" i="8" s="1"/>
  <c r="I39" i="8" s="1"/>
  <c r="O38" i="8"/>
  <c r="L6" i="5" l="1"/>
  <c r="K22" i="8"/>
  <c r="K25" i="8" s="1"/>
  <c r="K4" i="9"/>
  <c r="K25" i="7"/>
  <c r="I31" i="6"/>
  <c r="I33" i="6" s="1"/>
  <c r="J21" i="9"/>
  <c r="J23" i="9" s="1"/>
  <c r="I20" i="8"/>
  <c r="I27" i="8" s="1"/>
  <c r="I41" i="8" s="1"/>
  <c r="F10" i="13"/>
  <c r="K8" i="10" l="1"/>
  <c r="K15" i="10" s="1"/>
  <c r="K9" i="9"/>
  <c r="K19" i="9" s="1"/>
  <c r="K22" i="9" s="1"/>
  <c r="L8" i="5"/>
  <c r="L23" i="7" s="1"/>
  <c r="J16" i="8"/>
  <c r="J29" i="8"/>
  <c r="J32" i="8" s="1"/>
  <c r="J39" i="8" s="1"/>
  <c r="F4" i="7"/>
  <c r="L25" i="7" l="1"/>
  <c r="L4" i="9"/>
  <c r="L9" i="5"/>
  <c r="J31" i="6"/>
  <c r="J33" i="6" s="1"/>
  <c r="K21" i="9"/>
  <c r="K23" i="9" s="1"/>
  <c r="J20" i="8"/>
  <c r="J27" i="8" s="1"/>
  <c r="J41" i="8" s="1"/>
  <c r="M6" i="5" l="1"/>
  <c r="L22" i="8"/>
  <c r="L25" i="8" s="1"/>
  <c r="L8" i="10"/>
  <c r="L15" i="10" s="1"/>
  <c r="L9" i="9"/>
  <c r="L19" i="9" s="1"/>
  <c r="L22" i="9" s="1"/>
  <c r="K16" i="8"/>
  <c r="K29" i="8"/>
  <c r="K32" i="8" s="1"/>
  <c r="K39" i="8" s="1"/>
  <c r="M8" i="5" l="1"/>
  <c r="M23" i="7" s="1"/>
  <c r="M9" i="5"/>
  <c r="K31" i="6"/>
  <c r="K33" i="6" s="1"/>
  <c r="L21" i="9"/>
  <c r="L23" i="9" s="1"/>
  <c r="K20" i="8"/>
  <c r="K27" i="8" s="1"/>
  <c r="K41" i="8" s="1"/>
  <c r="N6" i="5" l="1"/>
  <c r="M22" i="8"/>
  <c r="M25" i="8" s="1"/>
  <c r="M4" i="9"/>
  <c r="M25" i="7"/>
  <c r="L29" i="8"/>
  <c r="L32" i="8" s="1"/>
  <c r="L39" i="8" s="1"/>
  <c r="L16" i="8"/>
  <c r="M8" i="10" l="1"/>
  <c r="M15" i="10" s="1"/>
  <c r="M9" i="9"/>
  <c r="M19" i="9" s="1"/>
  <c r="M22" i="9" s="1"/>
  <c r="N8" i="5"/>
  <c r="N23" i="7" s="1"/>
  <c r="N9" i="5"/>
  <c r="L31" i="6"/>
  <c r="L33" i="6" s="1"/>
  <c r="M21" i="9"/>
  <c r="M23" i="9" s="1"/>
  <c r="L20" i="8"/>
  <c r="L27" i="8" s="1"/>
  <c r="L41" i="8" s="1"/>
  <c r="O6" i="5" l="1"/>
  <c r="N22" i="8"/>
  <c r="N25" i="8" s="1"/>
  <c r="N4" i="9"/>
  <c r="N25" i="7"/>
  <c r="M16" i="8"/>
  <c r="M29" i="8"/>
  <c r="M32" i="8" s="1"/>
  <c r="M39" i="8" s="1"/>
  <c r="N8" i="10" l="1"/>
  <c r="N15" i="10" s="1"/>
  <c r="N9" i="9"/>
  <c r="N19" i="9" s="1"/>
  <c r="N22" i="9" s="1"/>
  <c r="O8" i="5"/>
  <c r="O23" i="7" s="1"/>
  <c r="O9" i="5"/>
  <c r="O22" i="8" s="1"/>
  <c r="O25" i="8" s="1"/>
  <c r="M31" i="6"/>
  <c r="M33" i="6" s="1"/>
  <c r="N21" i="9"/>
  <c r="N23" i="9" s="1"/>
  <c r="M20" i="8"/>
  <c r="M27" i="8" s="1"/>
  <c r="M41" i="8" s="1"/>
  <c r="O4" i="9" l="1"/>
  <c r="O25" i="7"/>
  <c r="N16" i="8"/>
  <c r="N29" i="8"/>
  <c r="N32" i="8" s="1"/>
  <c r="N39" i="8" s="1"/>
  <c r="O8" i="10" l="1"/>
  <c r="O15" i="10" s="1"/>
  <c r="O9" i="9"/>
  <c r="O19" i="9" s="1"/>
  <c r="O22" i="9" s="1"/>
  <c r="N31" i="6"/>
  <c r="N33" i="6" s="1"/>
  <c r="O21" i="9"/>
  <c r="N20" i="8"/>
  <c r="N27" i="8" s="1"/>
  <c r="N41" i="8" s="1"/>
  <c r="O23" i="9" l="1"/>
  <c r="O16" i="8"/>
  <c r="O29" i="8"/>
  <c r="O32" i="8" s="1"/>
  <c r="O39" i="8" s="1"/>
  <c r="O31" i="6" l="1"/>
  <c r="O33" i="6" s="1"/>
  <c r="O20" i="8"/>
  <c r="O27" i="8" s="1"/>
  <c r="O4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<sst xmlns="http://schemas.openxmlformats.org/spreadsheetml/2006/main" count="426" uniqueCount="233">
  <si>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</si>
  <si>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</si>
  <si>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</si>
  <si>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</si>
  <si>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</si>
  <si>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</si>
  <si>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</si>
  <si>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</si>
  <si>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</si>
  <si>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</si>
  <si>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</si>
  <si>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</si>
  <si>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</si>
  <si>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</si>
  <si>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</si>
  <si>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</si>
  <si>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</si>
  <si>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</si>
  <si>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</si>
  <si>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</si>
  <si>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</si>
  <si>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</si>
  <si>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</si>
  <si>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</si>
  <si>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</si>
  <si>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</si>
  <si>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</si>
  <si>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</si>
  <si>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</si>
  <si>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</si>
  <si>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</si>
  <si>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</si>
  <si>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</si>
  <si>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</si>
  <si>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</si>
  <si>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</si>
  <si>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</si>
  <si>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</si>
  <si>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</si>
  <si>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</si>
  <si>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</si>
  <si>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</si>
  <si>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</si>
  <si>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</si>
  <si>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</si>
  <si>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</si>
  <si>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</si>
  <si>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</si>
  <si>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</si>
  <si>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</si>
  <si>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</si>
  <si>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</si>
  <si>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</si>
  <si>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</si>
  <si>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</si>
  <si>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</si>
  <si>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</si>
  <si>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</si>
  <si>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</si>
  <si>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</si>
  <si>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</si>
  <si>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</si>
  <si>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</si>
  <si>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</si>
  <si>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</si>
  <si>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</si>
  <si>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</si>
  <si>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</si>
  <si>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</si>
  <si>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</si>
  <si>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</si>
  <si>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</si>
  <si>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</si>
  <si>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</si>
  <si>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</si>
  <si>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</si>
  <si>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</si>
  <si>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</si>
  <si>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</si>
  <si>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</si>
  <si>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</si>
  <si>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</si>
  <si>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</si>
  <si>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</si>
  <si>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</si>
  <si>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</si>
  <si>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</si>
  <si>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</si>
  <si>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</si>
  <si>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</si>
  <si>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</si>
  <si>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</si>
  <si>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</si>
  <si>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</si>
  <si>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</si>
  <si>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</si>
  <si>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</si>
  <si>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</si>
  <si>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</si>
  <si>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</si>
  <si>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</si>
  <si>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</si>
  <si>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</si>
  <si>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</si>
  <si>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</si>
  <si>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</si>
  <si>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</si>
  <si>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</si>
  <si>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</si>
  <si>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</si>
  <si>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</si>
  <si>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</si>
  <si>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</si>
  <si>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</si>
  <si>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</si>
  <si>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</si>
  <si>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</si>
  <si>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</si>
  <si>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</si>
  <si>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</si>
  <si>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</si>
  <si>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</si>
  <si>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</si>
  <si>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</si>
  <si>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</si>
  <si>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</si>
  <si>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</si>
  <si>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</si>
  <si>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</si>
  <si>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</si>
  <si>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</si>
  <si>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</si>
  <si>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</si>
  <si>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</si>
  <si>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</si>
  <si>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</si>
  <si>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</si>
  <si>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</si>
  <si>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</si>
  <si>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</si>
  <si>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</si>
  <si>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</si>
  <si>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</si>
  <si>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</si>
  <si>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</si>
  <si>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</si>
  <si>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</si>
  <si>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</si>
  <si>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</si>
  <si>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</si>
  <si>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</si>
  <si>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</si>
  <si>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</si>
  <si>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</si>
  <si>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</si>
  <si>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</si>
  <si>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</si>
  <si>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</si>
  <si>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</si>
  <si>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</si>
  <si>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</si>
  <si>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</si>
  <si>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</si>
  <si>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</si>
  <si>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</si>
  <si>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</si>
  <si>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</si>
  <si>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</si>
  <si>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</si>
  <si>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</si>
  <si>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</si>
  <si>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</si>
  <si>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</si>
  <si>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</si>
  <si>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</si>
  <si>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</si>
  <si>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</si>
  <si>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</si>
  <si>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R&amp;D</t>
  </si>
  <si>
    <t>R&amp;D % of sales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</si>
  <si>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</si>
  <si>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</si>
  <si>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</si>
  <si>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</si>
  <si>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</si>
  <si>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</si>
  <si>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</si>
  <si>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</si>
  <si>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Broadcom Inc.</t>
  </si>
  <si>
    <t>Revenues</t>
  </si>
  <si>
    <t>TOTAL REVENUES</t>
  </si>
  <si>
    <t>Q122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</si>
  <si>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</si>
  <si>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</si>
  <si>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</si>
  <si>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</si>
  <si>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</si>
  <si>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</si>
  <si>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</si>
  <si>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</si>
  <si>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</si>
  <si>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</si>
  <si>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</si>
  <si>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</si>
  <si>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</si>
  <si>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</si>
  <si>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</si>
  <si>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</si>
  <si>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Semiconductor solutions</t>
  </si>
  <si>
    <t>Infrastructure software</t>
  </si>
  <si>
    <t>Q222</t>
  </si>
  <si>
    <t>Q322</t>
  </si>
  <si>
    <t>Q422</t>
  </si>
  <si>
    <t>y/y</t>
  </si>
  <si>
    <t>NO REVOLVER</t>
  </si>
  <si>
    <t>(inc) / dec In OWC</t>
  </si>
  <si>
    <t>(inc) / dec In LT assets</t>
  </si>
  <si>
    <t>inc / (dec) In LT liabilities</t>
  </si>
  <si>
    <t>Cash Flow From Operations</t>
  </si>
  <si>
    <t>Cash Flow From Investing</t>
  </si>
  <si>
    <t>Dividends Paid</t>
  </si>
  <si>
    <t>Debt issuance / (repayment)</t>
  </si>
  <si>
    <t>Cash Flow From Financing</t>
  </si>
  <si>
    <t>Net Changes in Cash</t>
  </si>
  <si>
    <t>Beginning cash</t>
  </si>
  <si>
    <t>Ending Cash</t>
  </si>
  <si>
    <t>NVDA</t>
  </si>
  <si>
    <t>INTC</t>
  </si>
  <si>
    <t>CSCO</t>
  </si>
  <si>
    <t>AMD</t>
  </si>
  <si>
    <t>LTGR</t>
  </si>
  <si>
    <t>Average</t>
  </si>
  <si>
    <t>Exit Mult.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</si>
</sst>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74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69" fontId="40" fillId="0" borderId="0" xfId="4" applyFont="1" applyBorder="1"/>
    <xf numFmtId="178" fontId="33" fillId="34" borderId="0" xfId="0" applyNumberFormat="1" applyFont="1" applyFill="1"/>
    <xf numFmtId="167" fontId="45" fillId="35" borderId="0" xfId="0" applyFont="1" applyFill="1"/>
    <xf numFmtId="175" fontId="33" fillId="0" borderId="0" xfId="0" applyNumberFormat="1" applyFont="1"/>
    <xf numFmtId="175" fontId="59" fillId="0" borderId="0" xfId="3" applyNumberFormat="1" applyFont="1" applyFill="1" applyBorder="1"/>
    <xf numFmtId="173" fontId="56" fillId="40" borderId="1" xfId="0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"/>
    </xf>
    <xf numFmtId="10" fontId="33" fillId="0" borderId="0" xfId="0" applyNumberFormat="1" applyFont="1"/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78" fontId="33" fillId="42" borderId="0" xfId="0" applyNumberFormat="1" applyFont="1" applyFill="1"/>
    <xf numFmtId="178" fontId="33" fillId="42" borderId="0" xfId="0" applyNumberFormat="1" applyFont="1" applyFill="1" applyAlignment="1">
      <alignment horizontal="right"/>
    </xf>
    <xf numFmtId="37" fontId="39" fillId="0" borderId="0" xfId="0" applyNumberFormat="1" applyFont="1"/>
    <xf numFmtId="37" fontId="45" fillId="0" borderId="0" xfId="0" applyNumberFormat="1" applyFont="1"/>
    <xf numFmtId="178" fontId="33" fillId="0" borderId="0" xfId="0" applyNumberFormat="1" applyFont="1" applyFill="1"/>
    <xf numFmtId="173" fontId="0" fillId="0" borderId="0" xfId="0" applyNumberFormat="1"/>
    <xf numFmtId="37" fontId="39" fillId="0" borderId="18" xfId="0" applyNumberFormat="1" applyFont="1" applyBorder="1"/>
    <xf numFmtId="37" fontId="45" fillId="0" borderId="18" xfId="0" applyNumberFormat="1" applyFont="1" applyBorder="1"/>
    <xf numFmtId="37" fontId="39" fillId="0" borderId="21" xfId="0" applyNumberFormat="1" applyFont="1" applyBorder="1"/>
    <xf numFmtId="173" fontId="39" fillId="0" borderId="21" xfId="0" applyNumberFormat="1" applyFont="1" applyBorder="1"/>
    <xf numFmtId="37" fontId="45" fillId="0" borderId="21" xfId="0" applyNumberFormat="1" applyFont="1" applyBorder="1"/>
    <xf numFmtId="173" fontId="37" fillId="43" borderId="0" xfId="0" applyNumberFormat="1" applyFont="1" applyFill="1"/>
    <xf numFmtId="37" fontId="39" fillId="0" borderId="0" xfId="0" applyNumberFormat="1" applyFont="1" applyBorder="1"/>
    <xf numFmtId="173" fontId="37" fillId="43" borderId="0" xfId="0" applyNumberFormat="1" applyFont="1" applyFill="1" applyBorder="1"/>
    <xf numFmtId="173" fontId="39" fillId="0" borderId="0" xfId="0" applyNumberFormat="1" applyFont="1" applyBorder="1"/>
    <xf numFmtId="179" fontId="37" fillId="0" borderId="0" xfId="0" applyNumberFormat="1" applyFont="1" applyBorder="1"/>
    <xf numFmtId="167" fontId="37" fillId="0" borderId="0" xfId="0" applyFont="1" applyBorder="1"/>
    <xf numFmtId="167" fontId="39" fillId="0" borderId="0" xfId="0" applyFont="1" applyFill="1"/>
    <xf numFmtId="179" fontId="39" fillId="0" borderId="0" xfId="4" applyNumberFormat="1" applyFont="1" applyBorder="1"/>
    <xf numFmtId="182" fontId="39" fillId="0" borderId="0" xfId="0" applyNumberFormat="1" applyFont="1" applyAlignment="1">
      <alignment horizontal="center"/>
    </xf>
    <xf numFmtId="182" fontId="45" fillId="0" borderId="0" xfId="0" applyNumberFormat="1" applyFont="1" applyAlignment="1">
      <alignment horizontal="center"/>
    </xf>
    <xf numFmtId="182" fontId="39" fillId="0" borderId="0" xfId="59" applyNumberFormat="1" applyFont="1" applyAlignment="1" applyProtection="1">
      <alignment horizontal="center"/>
    </xf>
    <xf numFmtId="182" fontId="39" fillId="0" borderId="0" xfId="4" applyNumberFormat="1" applyFont="1" applyFill="1" applyBorder="1" applyAlignment="1" applyProtection="1">
      <alignment horizontal="center"/>
    </xf>
    <xf numFmtId="10" fontId="39" fillId="0" borderId="0" xfId="4" applyNumberFormat="1" applyFont="1" applyFill="1" applyBorder="1" applyAlignment="1" applyProtection="1">
      <alignment horizontal="center"/>
    </xf>
    <xf numFmtId="172" fontId="39" fillId="0" borderId="0" xfId="59" applyNumberFormat="1" applyFont="1" applyAlignment="1" applyProtection="1">
      <alignment horizontal="center"/>
    </xf>
    <xf numFmtId="40" fontId="39" fillId="0" borderId="0" xfId="59" applyNumberFormat="1" applyFont="1" applyAlignment="1" applyProtection="1">
      <alignment horizontal="center"/>
    </xf>
    <xf numFmtId="7" fontId="45" fillId="0" borderId="0" xfId="59" applyNumberFormat="1" applyFont="1" applyAlignment="1" applyProtection="1">
      <alignment horizontal="center"/>
    </xf>
    <xf numFmtId="182" fontId="45" fillId="0" borderId="0" xfId="59" applyNumberFormat="1" applyFont="1" applyAlignment="1" applyProtection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44546A"/>
      <color rgb="FFEA4335"/>
      <color rgb="FF5F6368"/>
      <color rgb="FF34A853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topLeftCell="C1" zoomScaleNormal="100" workbookViewId="0">
      <selection activeCell="H20" sqref="H20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26" t="str">
        <f>CoName</f>
        <v>Broadcom Inc.</v>
      </c>
      <c r="B1" s="2"/>
      <c r="C1" s="2"/>
      <c r="D1" s="153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184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188</v>
      </c>
      <c r="E4" s="4" t="s">
        <v>169</v>
      </c>
      <c r="F4" s="202">
        <v>354.19</v>
      </c>
      <c r="H4" s="169" t="s">
        <v>185</v>
      </c>
      <c r="I4" s="168" t="s">
        <v>183</v>
      </c>
      <c r="J4" s="168" t="s">
        <v>182</v>
      </c>
      <c r="K4" s="168" t="s">
        <v>231</v>
      </c>
    </row>
    <row r="5" spans="1:15" x14ac:dyDescent="0.25">
      <c r="B5" s="4" t="s">
        <v>4</v>
      </c>
      <c r="C5" s="52">
        <v>247.43</v>
      </c>
      <c r="E5" s="4" t="s">
        <v>174</v>
      </c>
      <c r="F5" s="159">
        <v>4722.365022</v>
      </c>
      <c r="H5" s="168" t="s">
        <v>176</v>
      </c>
      <c r="I5" s="209">
        <f>'DCF Model'!G18</f>
        <v>305.86787683821177</v>
      </c>
      <c r="J5" s="208">
        <f>'DCF Model'!C18</f>
        <v>286.89669594799506</v>
      </c>
      <c r="K5" s="208">
        <f>AVERAGE(I5:J5)</f>
        <v>296.38228639310341</v>
      </c>
    </row>
    <row r="6" spans="1:15" x14ac:dyDescent="0.25">
      <c r="B6" s="4" t="s">
        <v>5</v>
      </c>
      <c r="C6" s="51" t="s">
        <v>9</v>
      </c>
      <c r="E6" s="4" t="s">
        <v>104</v>
      </c>
      <c r="F6" s="159">
        <f>F5*F4</f>
        <v>1672614.4671421801</v>
      </c>
      <c r="H6" s="168" t="s">
        <v>177</v>
      </c>
      <c r="I6" s="203">
        <f>I5/$F$4-1</f>
        <v>-0.13642994766026206</v>
      </c>
      <c r="J6" s="203">
        <f>J5/$F$4-1</f>
        <v>-0.18999210607867234</v>
      </c>
      <c r="K6" s="203">
        <f>K5/$F$4-1</f>
        <v>-0.1632110268694672</v>
      </c>
    </row>
    <row r="7" spans="1:15" x14ac:dyDescent="0.25">
      <c r="B7" s="4" t="s">
        <v>6</v>
      </c>
      <c r="C7" s="51" t="s">
        <v>8</v>
      </c>
      <c r="E7" s="4" t="s">
        <v>175</v>
      </c>
      <c r="F7" s="51">
        <f>10718</f>
        <v>10718</v>
      </c>
    </row>
    <row r="8" spans="1:15" x14ac:dyDescent="0.25">
      <c r="B8" s="4" t="s">
        <v>2</v>
      </c>
      <c r="C8" s="51" t="s">
        <v>87</v>
      </c>
      <c r="E8" s="4" t="s">
        <v>146</v>
      </c>
      <c r="F8" s="51">
        <f>1399+82830</f>
        <v>84229</v>
      </c>
    </row>
    <row r="9" spans="1:15" x14ac:dyDescent="0.25">
      <c r="B9" s="4" t="s">
        <v>7</v>
      </c>
      <c r="C9" s="51">
        <v>0</v>
      </c>
      <c r="E9" s="4" t="s">
        <v>118</v>
      </c>
      <c r="F9" s="51">
        <f>F6-F7+F8</f>
        <v>1746125.4671421801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I8"/>
  <sheetViews>
    <sheetView showGridLines="0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C7" sqref="AC7"/>
    </sheetView>
  </sheetViews>
  <sheetFormatPr defaultColWidth="11.7109375" defaultRowHeight="15" x14ac:dyDescent="0.25"/>
  <cols>
    <col min="1" max="1" width="2" style="4" bestFit="1" customWidth="1"/>
    <col min="2" max="2" width="23.28515625" style="4" bestFit="1" customWidth="1"/>
    <col min="4" max="16384" width="11.7109375" style="4"/>
  </cols>
  <sheetData>
    <row r="1" spans="1:35" ht="19.5" x14ac:dyDescent="0.3">
      <c r="A1" s="226" t="str">
        <f>CoName</f>
        <v>Broadcom Inc.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35" s="250" customFormat="1" x14ac:dyDescent="0.25">
      <c r="A2" s="246" t="s">
        <v>189</v>
      </c>
      <c r="B2" s="246"/>
      <c r="C2" s="247" t="s">
        <v>191</v>
      </c>
      <c r="D2" s="247" t="s">
        <v>210</v>
      </c>
      <c r="E2" s="247" t="s">
        <v>211</v>
      </c>
      <c r="F2" s="247" t="s">
        <v>212</v>
      </c>
      <c r="G2" s="247">
        <v>2022</v>
      </c>
      <c r="H2" s="247" t="s">
        <v>192</v>
      </c>
      <c r="I2" s="247" t="s">
        <v>193</v>
      </c>
      <c r="J2" s="247" t="s">
        <v>194</v>
      </c>
      <c r="K2" s="247" t="s">
        <v>195</v>
      </c>
      <c r="L2" s="247">
        <v>2023</v>
      </c>
      <c r="M2" s="247" t="s">
        <v>196</v>
      </c>
      <c r="N2" s="247" t="s">
        <v>197</v>
      </c>
      <c r="O2" s="247" t="s">
        <v>198</v>
      </c>
      <c r="P2" s="247" t="s">
        <v>199</v>
      </c>
      <c r="Q2" s="247">
        <v>2024</v>
      </c>
      <c r="R2" s="247" t="s">
        <v>200</v>
      </c>
      <c r="S2" s="247" t="s">
        <v>201</v>
      </c>
      <c r="T2" s="247" t="s">
        <v>202</v>
      </c>
      <c r="U2" s="247" t="s">
        <v>203</v>
      </c>
      <c r="V2" s="247">
        <v>2025</v>
      </c>
      <c r="W2" s="247" t="s">
        <v>204</v>
      </c>
      <c r="X2" s="247" t="s">
        <v>205</v>
      </c>
      <c r="Y2" s="247" t="s">
        <v>206</v>
      </c>
      <c r="Z2" s="247" t="s">
        <v>207</v>
      </c>
      <c r="AA2" s="247">
        <v>2026</v>
      </c>
      <c r="AB2" s="246">
        <f>AA2+1</f>
        <v>2027</v>
      </c>
      <c r="AC2" s="246">
        <f t="shared" ref="AC2:AI2" si="0">AB2+1</f>
        <v>2028</v>
      </c>
      <c r="AD2" s="246">
        <f t="shared" si="0"/>
        <v>2029</v>
      </c>
      <c r="AE2" s="246">
        <f t="shared" si="0"/>
        <v>2030</v>
      </c>
      <c r="AF2" s="246">
        <f t="shared" si="0"/>
        <v>2031</v>
      </c>
      <c r="AG2" s="246">
        <f t="shared" si="0"/>
        <v>2032</v>
      </c>
      <c r="AH2" s="246">
        <f t="shared" si="0"/>
        <v>2033</v>
      </c>
      <c r="AI2" s="246">
        <f t="shared" si="0"/>
        <v>2034</v>
      </c>
    </row>
    <row r="3" spans="1:35" s="248" customFormat="1" x14ac:dyDescent="0.25">
      <c r="B3" s="248" t="s">
        <v>208</v>
      </c>
      <c r="C3" s="248">
        <v>5873</v>
      </c>
      <c r="D3" s="248">
        <v>6229</v>
      </c>
      <c r="E3" s="248">
        <v>6624</v>
      </c>
      <c r="F3" s="252">
        <v>7092</v>
      </c>
      <c r="G3" s="254">
        <f>SUM(C3:F3)</f>
        <v>25818</v>
      </c>
      <c r="H3" s="248">
        <v>7107</v>
      </c>
      <c r="I3" s="248">
        <v>6808</v>
      </c>
      <c r="J3" s="248">
        <v>6941</v>
      </c>
      <c r="K3" s="252">
        <v>7326</v>
      </c>
      <c r="L3" s="254">
        <f>SUM(H3:K3)</f>
        <v>28182</v>
      </c>
      <c r="M3" s="248">
        <v>7390</v>
      </c>
      <c r="N3" s="248">
        <v>7202</v>
      </c>
      <c r="O3" s="248">
        <v>7274</v>
      </c>
      <c r="P3" s="252">
        <v>8230</v>
      </c>
      <c r="Q3" s="254">
        <f>SUM(M3:P3)</f>
        <v>30096</v>
      </c>
      <c r="R3" s="248">
        <v>8212</v>
      </c>
      <c r="S3" s="248">
        <v>8408</v>
      </c>
      <c r="T3" s="248">
        <v>9166</v>
      </c>
      <c r="U3" s="252">
        <f>P3*(1+U4)</f>
        <v>9876</v>
      </c>
      <c r="V3" s="254">
        <f>SUM(R3:U3)</f>
        <v>35662</v>
      </c>
      <c r="W3" s="258">
        <f t="shared" ref="W3:Z3" si="1">R3*(1+W4)</f>
        <v>9854.4</v>
      </c>
      <c r="X3" s="258">
        <f t="shared" si="1"/>
        <v>10089.6</v>
      </c>
      <c r="Y3" s="258">
        <f t="shared" si="1"/>
        <v>13474.02</v>
      </c>
      <c r="Z3" s="252">
        <f t="shared" si="1"/>
        <v>14715.24</v>
      </c>
      <c r="AA3" s="254">
        <f>SUM(W3:Z3)</f>
        <v>48133.26</v>
      </c>
      <c r="AB3" s="248">
        <f>AA3*(1+AB4)</f>
        <v>62573.238000000005</v>
      </c>
      <c r="AC3" s="248">
        <f t="shared" ref="AC3:AI3" si="2">AB3*(1+AC4)</f>
        <v>81032.343210000006</v>
      </c>
      <c r="AD3" s="248">
        <f t="shared" si="2"/>
        <v>104531.7227409</v>
      </c>
      <c r="AE3" s="248">
        <f t="shared" si="2"/>
        <v>134323.26372205649</v>
      </c>
      <c r="AF3" s="248">
        <f t="shared" si="2"/>
        <v>171933.77756423232</v>
      </c>
      <c r="AG3" s="248">
        <f t="shared" si="2"/>
        <v>219215.56639439621</v>
      </c>
      <c r="AH3" s="248">
        <f t="shared" si="2"/>
        <v>278403.76932088321</v>
      </c>
      <c r="AI3" s="248">
        <f t="shared" si="2"/>
        <v>352180.76819091721</v>
      </c>
    </row>
    <row r="4" spans="1:35" s="8" customFormat="1" x14ac:dyDescent="0.25">
      <c r="B4" s="8" t="s">
        <v>213</v>
      </c>
      <c r="C4" s="251"/>
      <c r="F4" s="26"/>
      <c r="G4" s="255"/>
      <c r="H4" s="8">
        <f t="shared" ref="H4" si="3">H3/C3-1</f>
        <v>0.21011408138940912</v>
      </c>
      <c r="I4" s="8">
        <f t="shared" ref="I4" si="4">I3/D3-1</f>
        <v>9.2952319794509464E-2</v>
      </c>
      <c r="J4" s="8">
        <f t="shared" ref="J4" si="5">J3/E3-1</f>
        <v>4.7856280193236733E-2</v>
      </c>
      <c r="K4" s="26">
        <f>K3/F3-1</f>
        <v>3.2994923857867953E-2</v>
      </c>
      <c r="L4" s="255">
        <f>L3/G3-1</f>
        <v>9.1564025098768376E-2</v>
      </c>
      <c r="M4" s="8">
        <f t="shared" ref="M4" si="6">M3/H3-1</f>
        <v>3.9819895877304168E-2</v>
      </c>
      <c r="N4" s="8">
        <f t="shared" ref="N4" si="7">N3/I3-1</f>
        <v>5.7873090481786127E-2</v>
      </c>
      <c r="O4" s="8">
        <f t="shared" ref="O4" si="8">O3/J3-1</f>
        <v>4.7975795994813497E-2</v>
      </c>
      <c r="P4" s="26">
        <f>P3/K3-1</f>
        <v>0.12339612339612338</v>
      </c>
      <c r="Q4" s="255">
        <f>Q3/L3-1</f>
        <v>6.7915690866510614E-2</v>
      </c>
      <c r="R4" s="8">
        <f t="shared" ref="R4" si="9">R3/M3-1</f>
        <v>0.11123139377537217</v>
      </c>
      <c r="S4" s="8">
        <f t="shared" ref="S4" si="10">S3/N3-1</f>
        <v>0.16745348514301583</v>
      </c>
      <c r="T4" s="8">
        <f t="shared" ref="T4" si="11">T3/O3-1</f>
        <v>0.26010448171569966</v>
      </c>
      <c r="U4" s="257">
        <v>0.2</v>
      </c>
      <c r="V4" s="255">
        <f>V3/Q3-1</f>
        <v>0.18494152046783618</v>
      </c>
      <c r="W4" s="257">
        <f>U4</f>
        <v>0.2</v>
      </c>
      <c r="X4" s="259">
        <f>W4</f>
        <v>0.2</v>
      </c>
      <c r="Y4" s="259">
        <v>0.47</v>
      </c>
      <c r="Z4" s="257">
        <v>0.49</v>
      </c>
      <c r="AA4" s="255">
        <f>AA3/V3-1</f>
        <v>0.34970725141607328</v>
      </c>
      <c r="AB4" s="257">
        <v>0.3</v>
      </c>
      <c r="AC4" s="259">
        <f>AB4-0.005</f>
        <v>0.29499999999999998</v>
      </c>
      <c r="AD4" s="259">
        <f t="shared" ref="AD4:AI6" si="12">AC4-0.005</f>
        <v>0.28999999999999998</v>
      </c>
      <c r="AE4" s="259">
        <f t="shared" si="12"/>
        <v>0.28499999999999998</v>
      </c>
      <c r="AF4" s="259">
        <f t="shared" si="12"/>
        <v>0.27999999999999997</v>
      </c>
      <c r="AG4" s="259">
        <f t="shared" si="12"/>
        <v>0.27499999999999997</v>
      </c>
      <c r="AH4" s="259">
        <f t="shared" si="12"/>
        <v>0.26999999999999996</v>
      </c>
      <c r="AI4" s="259">
        <f t="shared" si="12"/>
        <v>0.26499999999999996</v>
      </c>
    </row>
    <row r="5" spans="1:35" s="248" customFormat="1" x14ac:dyDescent="0.25">
      <c r="B5" s="248" t="s">
        <v>209</v>
      </c>
      <c r="C5" s="248">
        <v>1833</v>
      </c>
      <c r="D5" s="248">
        <v>1874</v>
      </c>
      <c r="E5" s="248">
        <v>1840</v>
      </c>
      <c r="F5" s="252">
        <v>1838</v>
      </c>
      <c r="G5" s="254">
        <f>SUM(C5:F5)</f>
        <v>7385</v>
      </c>
      <c r="H5" s="248">
        <v>1808</v>
      </c>
      <c r="I5" s="248">
        <v>1925</v>
      </c>
      <c r="J5" s="248">
        <v>1935</v>
      </c>
      <c r="K5" s="252">
        <v>1969</v>
      </c>
      <c r="L5" s="254">
        <f>SUM(H5:K5)</f>
        <v>7637</v>
      </c>
      <c r="M5" s="248">
        <v>4571</v>
      </c>
      <c r="N5" s="248">
        <v>5285</v>
      </c>
      <c r="O5" s="248">
        <v>5798</v>
      </c>
      <c r="P5" s="252">
        <v>5824</v>
      </c>
      <c r="Q5" s="254">
        <f>SUM(M5:P5)</f>
        <v>21478</v>
      </c>
      <c r="R5" s="248">
        <v>6704</v>
      </c>
      <c r="S5" s="248">
        <v>6596</v>
      </c>
      <c r="T5" s="248">
        <v>6786</v>
      </c>
      <c r="U5" s="252">
        <f>P5*(1+U6)</f>
        <v>7542.277304369547</v>
      </c>
      <c r="V5" s="254">
        <f>SUM(R5:U5)</f>
        <v>27628.277304369549</v>
      </c>
      <c r="W5" s="258">
        <f t="shared" ref="W5:Z5" si="13">R5*(1+W6)</f>
        <v>8681.9071168429673</v>
      </c>
      <c r="X5" s="258">
        <f t="shared" si="13"/>
        <v>8542.0434580394103</v>
      </c>
      <c r="Y5" s="258">
        <f t="shared" si="13"/>
        <v>9975.42</v>
      </c>
      <c r="Z5" s="252">
        <f t="shared" si="13"/>
        <v>11313.41595655432</v>
      </c>
      <c r="AA5" s="254">
        <f>SUM(W5:Z5)</f>
        <v>38512.786531436694</v>
      </c>
      <c r="AB5" s="248">
        <f>AA5*(1+AB6)</f>
        <v>50066.622490867703</v>
      </c>
      <c r="AC5" s="248">
        <f t="shared" ref="AC5" si="14">AB5*(1+AC6)</f>
        <v>64836.27612567367</v>
      </c>
      <c r="AD5" s="248">
        <f t="shared" ref="AD5" si="15">AC5*(1+AD6)</f>
        <v>83638.796202119032</v>
      </c>
      <c r="AE5" s="248">
        <f t="shared" ref="AE5" si="16">AD5*(1+AE6)</f>
        <v>107475.85311972295</v>
      </c>
      <c r="AF5" s="248">
        <f t="shared" ref="AF5" si="17">AE5*(1+AF6)</f>
        <v>137569.09199324538</v>
      </c>
      <c r="AG5" s="248">
        <f t="shared" ref="AG5" si="18">AF5*(1+AG6)</f>
        <v>175400.59229138785</v>
      </c>
      <c r="AH5" s="248">
        <f t="shared" ref="AH5" si="19">AG5*(1+AH6)</f>
        <v>222758.75221006258</v>
      </c>
      <c r="AI5" s="248">
        <f t="shared" ref="AI5" si="20">AH5*(1+AI6)</f>
        <v>281789.82154572912</v>
      </c>
    </row>
    <row r="6" spans="1:35" s="8" customFormat="1" x14ac:dyDescent="0.25">
      <c r="B6" s="8" t="s">
        <v>213</v>
      </c>
      <c r="C6" s="251"/>
      <c r="F6" s="26"/>
      <c r="G6" s="255"/>
      <c r="H6" s="8">
        <f t="shared" ref="H6" si="21">H5/C5-1</f>
        <v>-1.3638843426077463E-2</v>
      </c>
      <c r="I6" s="8">
        <f t="shared" ref="I6" si="22">I5/D5-1</f>
        <v>2.7214514407684076E-2</v>
      </c>
      <c r="J6" s="8">
        <f t="shared" ref="J6" si="23">J5/E5-1</f>
        <v>5.1630434782608647E-2</v>
      </c>
      <c r="K6" s="26">
        <f>K5/F5-1</f>
        <v>7.1273122959738755E-2</v>
      </c>
      <c r="L6" s="255">
        <f>L5/G5-1</f>
        <v>3.4123222748815074E-2</v>
      </c>
      <c r="M6" s="8">
        <f t="shared" ref="M6" si="24">M5/H5-1</f>
        <v>1.5282079646017701</v>
      </c>
      <c r="N6" s="8">
        <f t="shared" ref="N6" si="25">N5/I5-1</f>
        <v>1.7454545454545456</v>
      </c>
      <c r="O6" s="8">
        <f t="shared" ref="O6" si="26">O5/J5-1</f>
        <v>1.9963824289405685</v>
      </c>
      <c r="P6" s="26">
        <f>P5/K5-1</f>
        <v>1.957846622651092</v>
      </c>
      <c r="Q6" s="255">
        <f>Q5/L5-1</f>
        <v>1.8123608746890141</v>
      </c>
      <c r="R6" s="8">
        <f t="shared" ref="R6" si="27">R5/M5-1</f>
        <v>0.46663749726536863</v>
      </c>
      <c r="S6" s="8">
        <f t="shared" ref="S6" si="28">S5/N5-1</f>
        <v>0.24806054872280048</v>
      </c>
      <c r="T6" s="8">
        <f t="shared" ref="T6" si="29">T5/O5-1</f>
        <v>0.17040358744394624</v>
      </c>
      <c r="U6" s="257">
        <f>AVERAGE(R6:T6)</f>
        <v>0.29503387781070511</v>
      </c>
      <c r="V6" s="255">
        <f>V5/Q5-1</f>
        <v>0.28635242128548044</v>
      </c>
      <c r="W6" s="257">
        <f>U6</f>
        <v>0.29503387781070511</v>
      </c>
      <c r="X6" s="257">
        <f>W6</f>
        <v>0.29503387781070511</v>
      </c>
      <c r="Y6" s="259">
        <v>0.47</v>
      </c>
      <c r="Z6" s="257">
        <v>0.5</v>
      </c>
      <c r="AA6" s="255">
        <f>AA5/V5-1</f>
        <v>0.39396264584855989</v>
      </c>
      <c r="AB6" s="257">
        <v>0.3</v>
      </c>
      <c r="AC6" s="259">
        <f>AB6-0.005</f>
        <v>0.29499999999999998</v>
      </c>
      <c r="AD6" s="259">
        <f t="shared" si="12"/>
        <v>0.28999999999999998</v>
      </c>
      <c r="AE6" s="259">
        <f t="shared" si="12"/>
        <v>0.28499999999999998</v>
      </c>
      <c r="AF6" s="259">
        <f t="shared" si="12"/>
        <v>0.27999999999999997</v>
      </c>
      <c r="AG6" s="259">
        <f t="shared" si="12"/>
        <v>0.27499999999999997</v>
      </c>
      <c r="AH6" s="259">
        <f t="shared" si="12"/>
        <v>0.26999999999999996</v>
      </c>
      <c r="AI6" s="259">
        <f t="shared" si="12"/>
        <v>0.26499999999999996</v>
      </c>
    </row>
    <row r="7" spans="1:35" s="249" customFormat="1" x14ac:dyDescent="0.25">
      <c r="A7" s="249" t="s">
        <v>126</v>
      </c>
      <c r="B7" s="249" t="s">
        <v>190</v>
      </c>
      <c r="C7" s="249">
        <f t="shared" ref="A7:AA7" si="30">SUM(C5,C3)</f>
        <v>7706</v>
      </c>
      <c r="D7" s="249">
        <f t="shared" si="30"/>
        <v>8103</v>
      </c>
      <c r="E7" s="249">
        <f t="shared" si="30"/>
        <v>8464</v>
      </c>
      <c r="F7" s="253">
        <f t="shared" si="30"/>
        <v>8930</v>
      </c>
      <c r="G7" s="256">
        <f t="shared" si="30"/>
        <v>33203</v>
      </c>
      <c r="H7" s="249">
        <f t="shared" si="30"/>
        <v>8915</v>
      </c>
      <c r="I7" s="249">
        <f t="shared" si="30"/>
        <v>8733</v>
      </c>
      <c r="J7" s="249">
        <f t="shared" si="30"/>
        <v>8876</v>
      </c>
      <c r="K7" s="253">
        <f t="shared" si="30"/>
        <v>9295</v>
      </c>
      <c r="L7" s="256">
        <f t="shared" si="30"/>
        <v>35819</v>
      </c>
      <c r="M7" s="249">
        <f t="shared" si="30"/>
        <v>11961</v>
      </c>
      <c r="N7" s="249">
        <f t="shared" si="30"/>
        <v>12487</v>
      </c>
      <c r="O7" s="249">
        <f t="shared" si="30"/>
        <v>13072</v>
      </c>
      <c r="P7" s="253">
        <f t="shared" si="30"/>
        <v>14054</v>
      </c>
      <c r="Q7" s="256">
        <f t="shared" si="30"/>
        <v>51574</v>
      </c>
      <c r="R7" s="249">
        <f t="shared" si="30"/>
        <v>14916</v>
      </c>
      <c r="S7" s="249">
        <f t="shared" si="30"/>
        <v>15004</v>
      </c>
      <c r="T7" s="249">
        <f>SUM(T5,T3)</f>
        <v>15952</v>
      </c>
      <c r="U7" s="253">
        <f t="shared" ref="U7:AA7" si="31">SUM(U5,U3)</f>
        <v>17418.277304369549</v>
      </c>
      <c r="V7" s="256">
        <f t="shared" si="31"/>
        <v>63290.277304369549</v>
      </c>
      <c r="W7" s="249">
        <f t="shared" si="31"/>
        <v>18536.307116842967</v>
      </c>
      <c r="X7" s="249">
        <f t="shared" si="31"/>
        <v>18631.643458039413</v>
      </c>
      <c r="Y7" s="249">
        <f t="shared" si="31"/>
        <v>23449.440000000002</v>
      </c>
      <c r="Z7" s="249">
        <f t="shared" si="31"/>
        <v>26028.655956554321</v>
      </c>
      <c r="AA7" s="256">
        <f t="shared" ref="AA7" si="32">SUM(AA5,AA3)</f>
        <v>86646.046531436703</v>
      </c>
      <c r="AB7" s="249">
        <f>SUM(AB5,AB3)</f>
        <v>112639.86049086771</v>
      </c>
      <c r="AC7" s="249">
        <f t="shared" ref="AC7:AI7" si="33">SUM(AC5,AC3)</f>
        <v>145868.61933567369</v>
      </c>
      <c r="AD7" s="249">
        <f t="shared" si="33"/>
        <v>188170.51894301904</v>
      </c>
      <c r="AE7" s="249">
        <f t="shared" si="33"/>
        <v>241799.11684177944</v>
      </c>
      <c r="AF7" s="249">
        <f t="shared" si="33"/>
        <v>309502.86955747771</v>
      </c>
      <c r="AG7" s="249">
        <f t="shared" si="33"/>
        <v>394616.15868578409</v>
      </c>
      <c r="AH7" s="249">
        <f t="shared" si="33"/>
        <v>501162.52153094579</v>
      </c>
      <c r="AI7" s="249">
        <f t="shared" si="33"/>
        <v>633970.58973664627</v>
      </c>
    </row>
    <row r="8" spans="1:35" s="8" customFormat="1" x14ac:dyDescent="0.25">
      <c r="B8" s="8" t="s">
        <v>213</v>
      </c>
      <c r="C8" s="251"/>
      <c r="F8" s="26"/>
      <c r="G8" s="255"/>
      <c r="H8" s="8">
        <f t="shared" ref="H8:J8" si="34">H7/C7-1</f>
        <v>0.15689073449260316</v>
      </c>
      <c r="I8" s="8">
        <f t="shared" si="34"/>
        <v>7.774898185857082E-2</v>
      </c>
      <c r="J8" s="8">
        <f t="shared" si="34"/>
        <v>4.8676748582230589E-2</v>
      </c>
      <c r="K8" s="26">
        <f>K7/F7-1</f>
        <v>4.0873460246360516E-2</v>
      </c>
      <c r="L8" s="255">
        <f>L7/G7-1</f>
        <v>7.8788061319760239E-2</v>
      </c>
      <c r="M8" s="8">
        <f t="shared" ref="M8" si="35">M7/H7-1</f>
        <v>0.34167134043746494</v>
      </c>
      <c r="N8" s="8">
        <f t="shared" ref="N8" si="36">N7/I7-1</f>
        <v>0.42986373525707089</v>
      </c>
      <c r="O8" s="8">
        <f t="shared" ref="O8" si="37">O7/J7-1</f>
        <v>0.47273546642631814</v>
      </c>
      <c r="P8" s="26">
        <f>P7/K7-1</f>
        <v>0.51199569661108124</v>
      </c>
      <c r="Q8" s="255">
        <f>Q7/L7-1</f>
        <v>0.43985035874815037</v>
      </c>
      <c r="R8" s="8">
        <f t="shared" ref="R8" si="38">R7/M7-1</f>
        <v>0.24705292199648854</v>
      </c>
      <c r="S8" s="8">
        <f t="shared" ref="S8" si="39">S7/N7-1</f>
        <v>0.20156963241771453</v>
      </c>
      <c r="T8" s="8">
        <f t="shared" ref="T8:U8" si="40">T7/O7-1</f>
        <v>0.2203182374541004</v>
      </c>
      <c r="U8" s="8">
        <f t="shared" si="40"/>
        <v>0.23938219043471953</v>
      </c>
      <c r="V8" s="255">
        <f>V7/Q7-1</f>
        <v>0.22717410525399528</v>
      </c>
      <c r="W8" s="8">
        <f t="shared" ref="W8" si="41">W7/R7-1</f>
        <v>0.24271300059285106</v>
      </c>
      <c r="X8" s="8">
        <f t="shared" ref="X8" si="42">X7/S7-1</f>
        <v>0.24177842295650587</v>
      </c>
      <c r="Y8" s="8">
        <f t="shared" ref="Y8" si="43">Y7/T7-1</f>
        <v>0.4700000000000002</v>
      </c>
      <c r="Z8" s="8">
        <f t="shared" ref="Z8" si="44">Z7/U7-1</f>
        <v>0.49433009371281345</v>
      </c>
      <c r="AA8" s="255">
        <f>AA7/V7-1</f>
        <v>0.3690261794042522</v>
      </c>
      <c r="AB8" s="260">
        <f>AB7/AA7-1</f>
        <v>0.29999999999999982</v>
      </c>
      <c r="AC8" s="260">
        <f t="shared" ref="AC8:AI8" si="45">AC7/AB7-1</f>
        <v>0.29500000000000015</v>
      </c>
      <c r="AD8" s="260">
        <f t="shared" si="45"/>
        <v>0.28999999999999981</v>
      </c>
      <c r="AE8" s="260">
        <f t="shared" si="45"/>
        <v>0.28499999999999992</v>
      </c>
      <c r="AF8" s="260">
        <f t="shared" si="45"/>
        <v>0.28000000000000003</v>
      </c>
      <c r="AG8" s="260">
        <f t="shared" si="45"/>
        <v>0.27500000000000013</v>
      </c>
      <c r="AH8" s="260">
        <f t="shared" si="45"/>
        <v>0.27</v>
      </c>
      <c r="AI8" s="260">
        <f t="shared" si="45"/>
        <v>0.26499999999999968</v>
      </c>
    </row>
  </sheetData>
  <phoneticPr fontId="7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8"/>
  <sheetViews>
    <sheetView showGridLines="0" zoomScaleNormal="100" workbookViewId="0">
      <selection activeCell="D33" sqref="D33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5" width="11.7109375" style="4" customWidth="1"/>
    <col min="16" max="20" width="11.42578125" style="4" customWidth="1"/>
    <col min="21" max="16384" width="9" style="4"/>
  </cols>
  <sheetData>
    <row r="1" spans="1:20" ht="19.5" x14ac:dyDescent="0.3">
      <c r="A1" s="226" t="str">
        <f>CoName</f>
        <v>Broadcom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20" x14ac:dyDescent="0.25">
      <c r="A2" s="64" t="s">
        <v>126</v>
      </c>
      <c r="B2" s="234" t="s">
        <v>127</v>
      </c>
      <c r="C2" s="234">
        <v>2022</v>
      </c>
      <c r="D2" s="234">
        <f>C2+1</f>
        <v>2023</v>
      </c>
      <c r="E2" s="234">
        <f t="shared" ref="E2:J2" si="0">D2+1</f>
        <v>2024</v>
      </c>
      <c r="F2" s="234">
        <f t="shared" si="0"/>
        <v>2025</v>
      </c>
      <c r="G2" s="234">
        <f t="shared" si="0"/>
        <v>2026</v>
      </c>
      <c r="H2" s="234">
        <f t="shared" si="0"/>
        <v>2027</v>
      </c>
      <c r="I2" s="234">
        <f t="shared" si="0"/>
        <v>2028</v>
      </c>
      <c r="J2" s="234">
        <f t="shared" si="0"/>
        <v>2029</v>
      </c>
      <c r="K2" s="234">
        <f t="shared" ref="K2" si="1">J2+1</f>
        <v>2030</v>
      </c>
      <c r="L2" s="234">
        <f t="shared" ref="L2" si="2">K2+1</f>
        <v>2031</v>
      </c>
      <c r="M2" s="234">
        <f t="shared" ref="M2" si="3">L2+1</f>
        <v>2032</v>
      </c>
      <c r="N2" s="234">
        <f t="shared" ref="N2:O2" si="4">M2+1</f>
        <v>2033</v>
      </c>
      <c r="O2" s="234">
        <f t="shared" si="4"/>
        <v>2034</v>
      </c>
    </row>
    <row r="3" spans="1:20" x14ac:dyDescent="0.25">
      <c r="A3" s="86"/>
      <c r="B3" s="158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</row>
    <row r="4" spans="1:20" x14ac:dyDescent="0.25">
      <c r="B4" s="94" t="s">
        <v>133</v>
      </c>
      <c r="C4"/>
      <c r="D4" s="231">
        <v>1</v>
      </c>
      <c r="E4"/>
      <c r="F4"/>
      <c r="G4" s="89"/>
      <c r="H4" s="89"/>
      <c r="I4" s="89"/>
      <c r="J4" s="89"/>
      <c r="K4" s="89"/>
      <c r="L4" s="89"/>
      <c r="M4" s="89"/>
      <c r="N4" s="89"/>
      <c r="O4" s="89"/>
    </row>
    <row r="5" spans="1:20" x14ac:dyDescent="0.25">
      <c r="B5" s="88"/>
      <c r="C5" s="90"/>
      <c r="D5" s="113" t="s">
        <v>128</v>
      </c>
      <c r="E5" s="91"/>
    </row>
    <row r="6" spans="1:20" x14ac:dyDescent="0.25">
      <c r="B6" s="92" t="s">
        <v>134</v>
      </c>
      <c r="D6" s="101">
        <v>0</v>
      </c>
      <c r="E6" s="93"/>
      <c r="F6" s="101">
        <f>'Quarterly Projections'!V6</f>
        <v>0.28635242128548044</v>
      </c>
      <c r="G6" s="101">
        <f>'Quarterly Projections'!AA6</f>
        <v>0.39396264584855989</v>
      </c>
      <c r="H6" s="101">
        <f>'Quarterly Projections'!AB6</f>
        <v>0.3</v>
      </c>
      <c r="I6" s="101">
        <f>'Quarterly Projections'!AC6</f>
        <v>0.29499999999999998</v>
      </c>
      <c r="J6" s="101">
        <f>'Quarterly Projections'!AD6</f>
        <v>0.28999999999999998</v>
      </c>
      <c r="K6" s="101">
        <f>'Quarterly Projections'!AE6</f>
        <v>0.28499999999999998</v>
      </c>
      <c r="L6" s="101">
        <f>'Quarterly Projections'!AF6</f>
        <v>0.27999999999999997</v>
      </c>
      <c r="M6" s="101">
        <f>'Quarterly Projections'!AG6</f>
        <v>0.27499999999999997</v>
      </c>
      <c r="N6" s="101">
        <f>'Quarterly Projections'!AH6</f>
        <v>0.26999999999999996</v>
      </c>
      <c r="O6" s="101">
        <f>'Quarterly Projections'!AI6</f>
        <v>0.26499999999999996</v>
      </c>
      <c r="P6" s="210"/>
      <c r="Q6" s="210"/>
      <c r="R6" s="210"/>
      <c r="S6" s="210"/>
      <c r="T6" s="210"/>
    </row>
    <row r="7" spans="1:20" x14ac:dyDescent="0.25">
      <c r="B7" s="4" t="s">
        <v>130</v>
      </c>
      <c r="D7" s="101">
        <v>2.5000000000000001E-2</v>
      </c>
      <c r="E7" s="93"/>
      <c r="F7" s="101">
        <f>F6+$D$7</f>
        <v>0.31135242128548046</v>
      </c>
      <c r="G7" s="101">
        <f t="shared" ref="G7:J7" si="5">G6+$D$7</f>
        <v>0.41896264584855991</v>
      </c>
      <c r="H7" s="101">
        <f t="shared" si="5"/>
        <v>0.32500000000000001</v>
      </c>
      <c r="I7" s="101">
        <f t="shared" si="5"/>
        <v>0.32</v>
      </c>
      <c r="J7" s="101">
        <f t="shared" si="5"/>
        <v>0.315</v>
      </c>
      <c r="K7" s="101">
        <f t="shared" ref="K7:N7" si="6">K6+$D$7</f>
        <v>0.31</v>
      </c>
      <c r="L7" s="101">
        <f t="shared" si="6"/>
        <v>0.30499999999999999</v>
      </c>
      <c r="M7" s="101">
        <f t="shared" si="6"/>
        <v>0.3</v>
      </c>
      <c r="N7" s="101">
        <f t="shared" si="6"/>
        <v>0.29499999999999998</v>
      </c>
      <c r="O7" s="101">
        <f t="shared" ref="O7" si="7">O6+$D$7</f>
        <v>0.28999999999999998</v>
      </c>
      <c r="P7" s="170"/>
      <c r="Q7" s="170"/>
      <c r="R7" s="170"/>
      <c r="S7" s="170"/>
      <c r="T7" s="170"/>
    </row>
    <row r="8" spans="1:20" x14ac:dyDescent="0.25">
      <c r="B8" s="4" t="s">
        <v>129</v>
      </c>
      <c r="D8" s="101">
        <v>-2.5000000000000001E-2</v>
      </c>
      <c r="E8" s="93"/>
      <c r="F8" s="101">
        <f>F6+$D$8</f>
        <v>0.26135242128548042</v>
      </c>
      <c r="G8" s="101">
        <f t="shared" ref="G8:J8" si="8">G6+$D$8</f>
        <v>0.36896264584855987</v>
      </c>
      <c r="H8" s="101">
        <f t="shared" si="8"/>
        <v>0.27499999999999997</v>
      </c>
      <c r="I8" s="101">
        <f t="shared" si="8"/>
        <v>0.26999999999999996</v>
      </c>
      <c r="J8" s="101">
        <f t="shared" si="8"/>
        <v>0.26499999999999996</v>
      </c>
      <c r="K8" s="101">
        <f t="shared" ref="K8:N8" si="9">K6+$D$8</f>
        <v>0.25999999999999995</v>
      </c>
      <c r="L8" s="101">
        <f t="shared" si="9"/>
        <v>0.25499999999999995</v>
      </c>
      <c r="M8" s="101">
        <f t="shared" si="9"/>
        <v>0.24999999999999997</v>
      </c>
      <c r="N8" s="101">
        <f t="shared" si="9"/>
        <v>0.24499999999999997</v>
      </c>
      <c r="O8" s="101">
        <f t="shared" ref="O8" si="10">O6+$D$8</f>
        <v>0.23999999999999996</v>
      </c>
    </row>
    <row r="10" spans="1:20" x14ac:dyDescent="0.25">
      <c r="B10" s="118" t="s">
        <v>151</v>
      </c>
      <c r="C10" s="188"/>
      <c r="D10" s="244">
        <f>IncState!D17/IncState!C17-1</f>
        <v>7.8788061319760239E-2</v>
      </c>
      <c r="E10" s="189">
        <f>IncState!E17/IncState!D17-1</f>
        <v>0.43985035874815037</v>
      </c>
      <c r="F10" s="105">
        <f t="shared" ref="F10" si="11">CHOOSE(ScenarioREV,F6,F7,F8)</f>
        <v>0.28635242128548044</v>
      </c>
      <c r="G10" s="105">
        <f t="shared" ref="G10:J10" si="12">CHOOSE(ScenarioREV,G6,G7,G8)</f>
        <v>0.39396264584855989</v>
      </c>
      <c r="H10" s="105">
        <f t="shared" si="12"/>
        <v>0.3</v>
      </c>
      <c r="I10" s="105">
        <f t="shared" si="12"/>
        <v>0.29499999999999998</v>
      </c>
      <c r="J10" s="105">
        <f t="shared" si="12"/>
        <v>0.28999999999999998</v>
      </c>
      <c r="K10" s="105">
        <f t="shared" ref="K10:N10" si="13">CHOOSE(ScenarioREV,K6,K7,K8)</f>
        <v>0.28499999999999998</v>
      </c>
      <c r="L10" s="105">
        <f t="shared" si="13"/>
        <v>0.27999999999999997</v>
      </c>
      <c r="M10" s="105">
        <f t="shared" si="13"/>
        <v>0.27499999999999997</v>
      </c>
      <c r="N10" s="105">
        <f t="shared" si="13"/>
        <v>0.26999999999999996</v>
      </c>
      <c r="O10" s="105">
        <f t="shared" ref="O10" si="14">CHOOSE(ScenarioREV,O6,O7,O8)</f>
        <v>0.26499999999999996</v>
      </c>
    </row>
    <row r="11" spans="1:20" x14ac:dyDescent="0.25">
      <c r="B11" s="4" t="s">
        <v>135</v>
      </c>
      <c r="C11" s="8">
        <f>IncState!C18/IncState!C17</f>
        <v>0.3345480830045478</v>
      </c>
      <c r="D11" s="8">
        <f>IncState!D18/IncState!D17</f>
        <v>0.3105893520198777</v>
      </c>
      <c r="E11" s="8">
        <f>IncState!E18/IncState!E17</f>
        <v>0.36473804630240042</v>
      </c>
      <c r="F11" s="101">
        <f>E11</f>
        <v>0.36473804630240042</v>
      </c>
      <c r="G11" s="101">
        <f t="shared" ref="G11:J11" si="15">F11</f>
        <v>0.36473804630240042</v>
      </c>
      <c r="H11" s="101">
        <f t="shared" si="15"/>
        <v>0.36473804630240042</v>
      </c>
      <c r="I11" s="101">
        <f t="shared" si="15"/>
        <v>0.36473804630240042</v>
      </c>
      <c r="J11" s="101">
        <f t="shared" si="15"/>
        <v>0.36473804630240042</v>
      </c>
      <c r="K11" s="101">
        <f t="shared" ref="K11:K14" si="16">J11</f>
        <v>0.36473804630240042</v>
      </c>
      <c r="L11" s="101">
        <f t="shared" ref="L11:L14" si="17">K11</f>
        <v>0.36473804630240042</v>
      </c>
      <c r="M11" s="101">
        <f t="shared" ref="M11:O14" si="18">L11</f>
        <v>0.36473804630240042</v>
      </c>
      <c r="N11" s="101">
        <f t="shared" ref="N11:O14" si="19">M11</f>
        <v>0.36473804630240042</v>
      </c>
      <c r="O11" s="101">
        <f t="shared" si="19"/>
        <v>0.36473804630240042</v>
      </c>
    </row>
    <row r="12" spans="1:20" x14ac:dyDescent="0.25">
      <c r="B12" s="4" t="s">
        <v>179</v>
      </c>
      <c r="C12" s="8">
        <f>IncState!C19/IncState!C17</f>
        <v>0.14814926362075717</v>
      </c>
      <c r="D12" s="8">
        <f>IncState!D19/IncState!D17</f>
        <v>0.14665401044138585</v>
      </c>
      <c r="E12" s="8">
        <f>IncState!E19/IncState!E17</f>
        <v>0.18051731492612558</v>
      </c>
      <c r="F12" s="101">
        <f>E12</f>
        <v>0.18051731492612558</v>
      </c>
      <c r="G12" s="101">
        <f t="shared" ref="G12:J12" si="20">F12</f>
        <v>0.18051731492612558</v>
      </c>
      <c r="H12" s="101">
        <f t="shared" si="20"/>
        <v>0.18051731492612558</v>
      </c>
      <c r="I12" s="101">
        <f t="shared" si="20"/>
        <v>0.18051731492612558</v>
      </c>
      <c r="J12" s="101">
        <f t="shared" si="20"/>
        <v>0.18051731492612558</v>
      </c>
      <c r="K12" s="101">
        <f t="shared" si="16"/>
        <v>0.18051731492612558</v>
      </c>
      <c r="L12" s="101">
        <f t="shared" si="17"/>
        <v>0.18051731492612558</v>
      </c>
      <c r="M12" s="101">
        <f t="shared" si="18"/>
        <v>0.18051731492612558</v>
      </c>
      <c r="N12" s="101">
        <f t="shared" si="19"/>
        <v>0.18051731492612558</v>
      </c>
      <c r="O12" s="101">
        <f t="shared" si="19"/>
        <v>0.18051731492612558</v>
      </c>
    </row>
    <row r="13" spans="1:20" x14ac:dyDescent="0.25">
      <c r="B13" s="4" t="s">
        <v>45</v>
      </c>
      <c r="C13" s="8">
        <f>IncState!C20/IncState!C17</f>
        <v>8.887751106827696E-2</v>
      </c>
      <c r="D13" s="8">
        <f>IncState!D20/IncState!D17</f>
        <v>8.3363577989335275E-2</v>
      </c>
      <c r="E13" s="8">
        <f>IncState!E20/IncState!E17</f>
        <v>0.15905301120719742</v>
      </c>
      <c r="F13" s="101">
        <f>E13</f>
        <v>0.15905301120719742</v>
      </c>
      <c r="G13" s="101">
        <f t="shared" ref="G13:J13" si="21">F13</f>
        <v>0.15905301120719742</v>
      </c>
      <c r="H13" s="101">
        <f t="shared" si="21"/>
        <v>0.15905301120719742</v>
      </c>
      <c r="I13" s="101">
        <f t="shared" si="21"/>
        <v>0.15905301120719742</v>
      </c>
      <c r="J13" s="101">
        <f t="shared" si="21"/>
        <v>0.15905301120719742</v>
      </c>
      <c r="K13" s="101">
        <f t="shared" si="16"/>
        <v>0.15905301120719742</v>
      </c>
      <c r="L13" s="101">
        <f t="shared" si="17"/>
        <v>0.15905301120719742</v>
      </c>
      <c r="M13" s="101">
        <f t="shared" si="18"/>
        <v>0.15905301120719742</v>
      </c>
      <c r="N13" s="101">
        <f t="shared" si="19"/>
        <v>0.15905301120719742</v>
      </c>
      <c r="O13" s="101">
        <f t="shared" si="19"/>
        <v>0.15905301120719742</v>
      </c>
    </row>
    <row r="14" spans="1:20" x14ac:dyDescent="0.25">
      <c r="B14" s="4" t="s">
        <v>137</v>
      </c>
      <c r="C14" s="4">
        <f>IncState!C24</f>
        <v>4455</v>
      </c>
      <c r="D14" s="4">
        <f>IncState!D24</f>
        <v>3333</v>
      </c>
      <c r="E14" s="4">
        <f>IncState!E24</f>
        <v>9417</v>
      </c>
      <c r="F14" s="102">
        <f>(24156+15239)/8</f>
        <v>4924.375</v>
      </c>
      <c r="G14" s="102">
        <f t="shared" ref="G14:J14" si="22">F14</f>
        <v>4924.375</v>
      </c>
      <c r="H14" s="102">
        <f t="shared" si="22"/>
        <v>4924.375</v>
      </c>
      <c r="I14" s="102">
        <f t="shared" si="22"/>
        <v>4924.375</v>
      </c>
      <c r="J14" s="102">
        <f t="shared" si="22"/>
        <v>4924.375</v>
      </c>
      <c r="K14" s="102">
        <f t="shared" si="16"/>
        <v>4924.375</v>
      </c>
      <c r="L14" s="102">
        <f t="shared" si="17"/>
        <v>4924.375</v>
      </c>
      <c r="M14" s="102">
        <f t="shared" si="18"/>
        <v>4924.375</v>
      </c>
      <c r="N14" s="102">
        <v>0</v>
      </c>
      <c r="O14" s="102">
        <f t="shared" si="18"/>
        <v>0</v>
      </c>
    </row>
    <row r="15" spans="1:20" x14ac:dyDescent="0.25">
      <c r="B15" s="4" t="s">
        <v>138</v>
      </c>
      <c r="C15" s="4">
        <f>IncState!C27</f>
        <v>-62</v>
      </c>
      <c r="D15" s="4">
        <f>IncState!D27</f>
        <v>-248</v>
      </c>
      <c r="E15" s="4">
        <f>IncState!E27</f>
        <v>-1787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</row>
    <row r="16" spans="1:20" x14ac:dyDescent="0.25">
      <c r="B16" s="4" t="s">
        <v>140</v>
      </c>
      <c r="C16" s="4">
        <f>IncState!C28</f>
        <v>-54</v>
      </c>
      <c r="D16" s="4">
        <f>IncState!D28</f>
        <v>512</v>
      </c>
      <c r="E16" s="4">
        <f>IncState!E28</f>
        <v>406</v>
      </c>
      <c r="F16" s="102">
        <v>0</v>
      </c>
      <c r="G16" s="102">
        <v>0</v>
      </c>
      <c r="H16" s="102">
        <v>0</v>
      </c>
      <c r="I16" s="102">
        <v>0</v>
      </c>
      <c r="J16" s="102">
        <v>0</v>
      </c>
      <c r="K16" s="102">
        <v>0</v>
      </c>
      <c r="L16" s="102">
        <v>0</v>
      </c>
      <c r="M16" s="102">
        <v>0</v>
      </c>
      <c r="N16" s="102">
        <v>0</v>
      </c>
      <c r="O16" s="102">
        <v>0</v>
      </c>
    </row>
    <row r="17" spans="1:15" x14ac:dyDescent="0.25">
      <c r="B17" s="4" t="s">
        <v>48</v>
      </c>
      <c r="C17" s="8">
        <f>IncState!C35/IncState!C33</f>
        <v>7.5518738941611707E-2</v>
      </c>
      <c r="D17" s="8">
        <f>IncState!D35/IncState!D33</f>
        <v>6.6145324209840345E-2</v>
      </c>
      <c r="E17" s="8">
        <f>IncState!E35/IncState!E33</f>
        <v>0.37797498991528844</v>
      </c>
      <c r="F17" s="101">
        <v>0.21</v>
      </c>
      <c r="G17" s="101">
        <f t="shared" ref="G17:J17" si="23">F17</f>
        <v>0.21</v>
      </c>
      <c r="H17" s="101">
        <f t="shared" si="23"/>
        <v>0.21</v>
      </c>
      <c r="I17" s="101">
        <f t="shared" si="23"/>
        <v>0.21</v>
      </c>
      <c r="J17" s="101">
        <f t="shared" si="23"/>
        <v>0.21</v>
      </c>
      <c r="K17" s="101">
        <f t="shared" ref="K17:K20" si="24">J17</f>
        <v>0.21</v>
      </c>
      <c r="L17" s="101">
        <f t="shared" ref="L17:L20" si="25">K17</f>
        <v>0.21</v>
      </c>
      <c r="M17" s="101">
        <f t="shared" ref="M17:M20" si="26">L17</f>
        <v>0.21</v>
      </c>
      <c r="N17" s="101">
        <f t="shared" ref="N17:O20" si="27">M17</f>
        <v>0.21</v>
      </c>
      <c r="O17" s="101">
        <f t="shared" si="27"/>
        <v>0.21</v>
      </c>
    </row>
    <row r="18" spans="1:15" s="237" customFormat="1" x14ac:dyDescent="0.25">
      <c r="B18" s="237" t="s">
        <v>141</v>
      </c>
      <c r="C18" s="237">
        <f>IncState!C37</f>
        <v>1.7197358767424797</v>
      </c>
      <c r="D18" s="237">
        <f>IncState!D37</f>
        <v>1.8426126777536755</v>
      </c>
      <c r="E18" s="237">
        <f>IncState!E37</f>
        <v>2.1224048442906573</v>
      </c>
      <c r="F18" s="238">
        <f>E18+(E18-D18)</f>
        <v>2.4021970108276394</v>
      </c>
      <c r="G18" s="238">
        <f t="shared" ref="G18:O18" si="28">F18+(F18-E18)</f>
        <v>2.6819891773646214</v>
      </c>
      <c r="H18" s="238">
        <f t="shared" si="28"/>
        <v>2.9617813439016034</v>
      </c>
      <c r="I18" s="238">
        <f t="shared" si="28"/>
        <v>3.2415735104385854</v>
      </c>
      <c r="J18" s="238">
        <f t="shared" si="28"/>
        <v>3.5213656769755675</v>
      </c>
      <c r="K18" s="238">
        <f t="shared" si="28"/>
        <v>3.8011578435125495</v>
      </c>
      <c r="L18" s="238">
        <f t="shared" si="28"/>
        <v>4.0809500100495315</v>
      </c>
      <c r="M18" s="238">
        <f t="shared" si="28"/>
        <v>4.3607421765865135</v>
      </c>
      <c r="N18" s="238">
        <f t="shared" si="28"/>
        <v>4.6405343431234956</v>
      </c>
      <c r="O18" s="238">
        <f t="shared" si="28"/>
        <v>4.9203265096604776</v>
      </c>
    </row>
    <row r="19" spans="1:15" x14ac:dyDescent="0.25">
      <c r="B19" s="4" t="s">
        <v>49</v>
      </c>
      <c r="C19" s="4">
        <f>IncState!C40</f>
        <v>4089</v>
      </c>
      <c r="D19" s="4">
        <f>IncState!D40</f>
        <v>4149</v>
      </c>
      <c r="E19" s="4">
        <f>IncState!E40</f>
        <v>4624</v>
      </c>
      <c r="F19" s="102">
        <f>E19</f>
        <v>4624</v>
      </c>
      <c r="G19" s="102">
        <f t="shared" ref="G19:J19" si="29">F19</f>
        <v>4624</v>
      </c>
      <c r="H19" s="102">
        <f t="shared" si="29"/>
        <v>4624</v>
      </c>
      <c r="I19" s="102">
        <f t="shared" si="29"/>
        <v>4624</v>
      </c>
      <c r="J19" s="102">
        <f t="shared" si="29"/>
        <v>4624</v>
      </c>
      <c r="K19" s="102">
        <f t="shared" si="24"/>
        <v>4624</v>
      </c>
      <c r="L19" s="102">
        <f t="shared" si="25"/>
        <v>4624</v>
      </c>
      <c r="M19" s="102">
        <f t="shared" si="26"/>
        <v>4624</v>
      </c>
      <c r="N19" s="102">
        <f t="shared" si="27"/>
        <v>4624</v>
      </c>
      <c r="O19" s="102">
        <f t="shared" si="27"/>
        <v>4624</v>
      </c>
    </row>
    <row r="20" spans="1:15" x14ac:dyDescent="0.25">
      <c r="B20" s="4" t="s">
        <v>50</v>
      </c>
      <c r="C20" s="4">
        <f>IncState!C41</f>
        <v>4232</v>
      </c>
      <c r="D20" s="4">
        <f>IncState!D41</f>
        <v>4272</v>
      </c>
      <c r="E20" s="4">
        <f>IncState!E41</f>
        <v>4778</v>
      </c>
      <c r="F20" s="102">
        <f>E20</f>
        <v>4778</v>
      </c>
      <c r="G20" s="102">
        <f t="shared" ref="G20:J20" si="30">F20</f>
        <v>4778</v>
      </c>
      <c r="H20" s="102">
        <f t="shared" si="30"/>
        <v>4778</v>
      </c>
      <c r="I20" s="102">
        <f t="shared" si="30"/>
        <v>4778</v>
      </c>
      <c r="J20" s="102">
        <f t="shared" si="30"/>
        <v>4778</v>
      </c>
      <c r="K20" s="102">
        <f t="shared" si="24"/>
        <v>4778</v>
      </c>
      <c r="L20" s="102">
        <f t="shared" si="25"/>
        <v>4778</v>
      </c>
      <c r="M20" s="102">
        <f t="shared" si="26"/>
        <v>4778</v>
      </c>
      <c r="N20" s="102">
        <f t="shared" si="27"/>
        <v>4778</v>
      </c>
      <c r="O20" s="102">
        <f t="shared" si="27"/>
        <v>4778</v>
      </c>
    </row>
    <row r="21" spans="1:15" x14ac:dyDescent="0.25">
      <c r="F21" s="104"/>
      <c r="G21" s="104"/>
      <c r="H21" s="104"/>
      <c r="I21" s="104"/>
      <c r="J21" s="104"/>
      <c r="K21" s="104"/>
      <c r="L21" s="104"/>
      <c r="M21" s="104"/>
      <c r="N21" s="104"/>
      <c r="O21" s="104"/>
    </row>
    <row r="22" spans="1:15" x14ac:dyDescent="0.25">
      <c r="A22" s="64" t="s">
        <v>126</v>
      </c>
      <c r="B22" s="107" t="s">
        <v>146</v>
      </c>
      <c r="C22" s="234">
        <f>C2</f>
        <v>2022</v>
      </c>
      <c r="D22" s="234">
        <f t="shared" ref="D22:J22" si="31">D2</f>
        <v>2023</v>
      </c>
      <c r="E22" s="234">
        <f t="shared" si="31"/>
        <v>2024</v>
      </c>
      <c r="F22" s="234">
        <f t="shared" si="31"/>
        <v>2025</v>
      </c>
      <c r="G22" s="234">
        <f t="shared" si="31"/>
        <v>2026</v>
      </c>
      <c r="H22" s="234">
        <f t="shared" si="31"/>
        <v>2027</v>
      </c>
      <c r="I22" s="234">
        <f t="shared" si="31"/>
        <v>2028</v>
      </c>
      <c r="J22" s="234">
        <f t="shared" si="31"/>
        <v>2029</v>
      </c>
      <c r="K22" s="234">
        <f t="shared" ref="K22:N22" si="32">K2</f>
        <v>2030</v>
      </c>
      <c r="L22" s="234">
        <f t="shared" si="32"/>
        <v>2031</v>
      </c>
      <c r="M22" s="234">
        <f t="shared" si="32"/>
        <v>2032</v>
      </c>
      <c r="N22" s="234">
        <f t="shared" si="32"/>
        <v>2033</v>
      </c>
      <c r="O22" s="234">
        <f t="shared" ref="O22" si="33">O2</f>
        <v>2034</v>
      </c>
    </row>
    <row r="23" spans="1:15" x14ac:dyDescent="0.25">
      <c r="A23" s="86"/>
      <c r="B23" s="158"/>
      <c r="C23" s="193"/>
      <c r="D23" s="193"/>
      <c r="E23" s="193"/>
      <c r="F23" s="194"/>
      <c r="G23" s="194"/>
      <c r="H23" s="194"/>
      <c r="I23" s="194"/>
      <c r="J23" s="194"/>
      <c r="K23" s="194"/>
      <c r="L23" s="194"/>
      <c r="M23" s="194"/>
      <c r="N23" s="194"/>
      <c r="O23" s="194"/>
    </row>
    <row r="24" spans="1:15" x14ac:dyDescent="0.25">
      <c r="B24" s="4" t="s">
        <v>139</v>
      </c>
      <c r="E24" s="8"/>
      <c r="F24" s="101">
        <f>E24</f>
        <v>0</v>
      </c>
      <c r="G24" s="101">
        <f t="shared" ref="G24:J24" si="34">F24</f>
        <v>0</v>
      </c>
      <c r="H24" s="101">
        <f t="shared" si="34"/>
        <v>0</v>
      </c>
      <c r="I24" s="101">
        <f t="shared" si="34"/>
        <v>0</v>
      </c>
      <c r="J24" s="101">
        <f t="shared" si="34"/>
        <v>0</v>
      </c>
      <c r="K24" s="101">
        <f t="shared" ref="K24:K26" si="35">J24</f>
        <v>0</v>
      </c>
      <c r="L24" s="101">
        <f t="shared" ref="L24:L26" si="36">K24</f>
        <v>0</v>
      </c>
      <c r="M24" s="101">
        <f t="shared" ref="M24:M26" si="37">L24</f>
        <v>0</v>
      </c>
      <c r="N24" s="101">
        <f t="shared" ref="N24:O26" si="38">M24</f>
        <v>0</v>
      </c>
      <c r="O24" s="101">
        <f t="shared" si="38"/>
        <v>0</v>
      </c>
    </row>
    <row r="25" spans="1:15" x14ac:dyDescent="0.25">
      <c r="B25" s="4" t="s">
        <v>26</v>
      </c>
      <c r="E25" s="8">
        <v>4.4740000000000002E-2</v>
      </c>
      <c r="F25" s="101">
        <f>E25</f>
        <v>4.4740000000000002E-2</v>
      </c>
      <c r="G25" s="101">
        <f t="shared" ref="G25:J25" si="39">F25</f>
        <v>4.4740000000000002E-2</v>
      </c>
      <c r="H25" s="101">
        <f t="shared" si="39"/>
        <v>4.4740000000000002E-2</v>
      </c>
      <c r="I25" s="101">
        <f t="shared" si="39"/>
        <v>4.4740000000000002E-2</v>
      </c>
      <c r="J25" s="101">
        <f t="shared" si="39"/>
        <v>4.4740000000000002E-2</v>
      </c>
      <c r="K25" s="101">
        <f t="shared" si="35"/>
        <v>4.4740000000000002E-2</v>
      </c>
      <c r="L25" s="101">
        <f t="shared" si="36"/>
        <v>4.4740000000000002E-2</v>
      </c>
      <c r="M25" s="101">
        <f t="shared" si="37"/>
        <v>4.4740000000000002E-2</v>
      </c>
      <c r="N25" s="101">
        <f t="shared" si="38"/>
        <v>4.4740000000000002E-2</v>
      </c>
      <c r="O25" s="101">
        <f t="shared" si="38"/>
        <v>4.4740000000000002E-2</v>
      </c>
    </row>
    <row r="26" spans="1:15" x14ac:dyDescent="0.25">
      <c r="B26" s="4" t="s">
        <v>27</v>
      </c>
      <c r="C26" s="8"/>
      <c r="D26" s="8"/>
      <c r="E26" s="8">
        <v>0.05</v>
      </c>
      <c r="F26" s="127">
        <f>E26</f>
        <v>0.05</v>
      </c>
      <c r="G26" s="127">
        <f t="shared" ref="G26:J26" si="40">F26</f>
        <v>0.05</v>
      </c>
      <c r="H26" s="127">
        <f t="shared" si="40"/>
        <v>0.05</v>
      </c>
      <c r="I26" s="127">
        <f t="shared" si="40"/>
        <v>0.05</v>
      </c>
      <c r="J26" s="127">
        <f t="shared" si="40"/>
        <v>0.05</v>
      </c>
      <c r="K26" s="127">
        <f t="shared" si="35"/>
        <v>0.05</v>
      </c>
      <c r="L26" s="127">
        <f t="shared" si="36"/>
        <v>0.05</v>
      </c>
      <c r="M26" s="127">
        <f t="shared" si="37"/>
        <v>0.05</v>
      </c>
      <c r="N26" s="127">
        <f t="shared" si="38"/>
        <v>0.05</v>
      </c>
      <c r="O26" s="127">
        <f t="shared" si="38"/>
        <v>0.05</v>
      </c>
    </row>
    <row r="27" spans="1:15" x14ac:dyDescent="0.25">
      <c r="F27" s="104"/>
      <c r="G27" s="104"/>
      <c r="H27" s="104"/>
      <c r="I27" s="104"/>
      <c r="J27" s="104"/>
      <c r="K27" s="104"/>
      <c r="L27" s="104"/>
      <c r="M27" s="104"/>
      <c r="N27" s="104"/>
      <c r="O27" s="104"/>
    </row>
    <row r="28" spans="1:15" x14ac:dyDescent="0.25">
      <c r="B28" s="4" t="s">
        <v>28</v>
      </c>
      <c r="F28" s="102">
        <v>0</v>
      </c>
      <c r="G28" s="102">
        <v>0</v>
      </c>
      <c r="H28" s="102">
        <v>0</v>
      </c>
      <c r="I28" s="102">
        <v>0</v>
      </c>
      <c r="J28" s="102">
        <v>0</v>
      </c>
      <c r="K28" s="102">
        <v>0</v>
      </c>
      <c r="L28" s="102">
        <v>0</v>
      </c>
      <c r="M28" s="102">
        <v>0</v>
      </c>
      <c r="N28" s="102">
        <v>0</v>
      </c>
      <c r="O28" s="102">
        <v>0</v>
      </c>
    </row>
    <row r="29" spans="1:15" x14ac:dyDescent="0.25">
      <c r="B29" s="4" t="s">
        <v>29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</row>
    <row r="30" spans="1:15" x14ac:dyDescent="0.25">
      <c r="F30" s="104"/>
      <c r="G30" s="104"/>
      <c r="H30" s="104"/>
      <c r="I30" s="104"/>
      <c r="J30" s="104"/>
      <c r="K30" s="104"/>
      <c r="L30" s="104"/>
      <c r="M30" s="104"/>
      <c r="N30" s="104"/>
      <c r="O30" s="104"/>
    </row>
    <row r="31" spans="1:15" x14ac:dyDescent="0.25">
      <c r="A31" s="64" t="s">
        <v>126</v>
      </c>
      <c r="B31" s="107" t="s">
        <v>143</v>
      </c>
      <c r="C31" s="234">
        <f>C22</f>
        <v>2022</v>
      </c>
      <c r="D31" s="234">
        <f t="shared" ref="D31:J31" si="41">D22</f>
        <v>2023</v>
      </c>
      <c r="E31" s="234">
        <f t="shared" si="41"/>
        <v>2024</v>
      </c>
      <c r="F31" s="234">
        <f t="shared" si="41"/>
        <v>2025</v>
      </c>
      <c r="G31" s="234">
        <f t="shared" si="41"/>
        <v>2026</v>
      </c>
      <c r="H31" s="234">
        <f t="shared" si="41"/>
        <v>2027</v>
      </c>
      <c r="I31" s="234">
        <f t="shared" si="41"/>
        <v>2028</v>
      </c>
      <c r="J31" s="234">
        <f t="shared" si="41"/>
        <v>2029</v>
      </c>
      <c r="K31" s="234">
        <f t="shared" ref="K31:N31" si="42">K22</f>
        <v>2030</v>
      </c>
      <c r="L31" s="234">
        <f t="shared" si="42"/>
        <v>2031</v>
      </c>
      <c r="M31" s="234">
        <f t="shared" si="42"/>
        <v>2032</v>
      </c>
      <c r="N31" s="234">
        <f t="shared" si="42"/>
        <v>2033</v>
      </c>
      <c r="O31" s="234">
        <f t="shared" ref="O31" si="43">O22</f>
        <v>2034</v>
      </c>
    </row>
    <row r="32" spans="1:15" x14ac:dyDescent="0.25">
      <c r="A32" s="86"/>
      <c r="B32" s="158"/>
      <c r="C32" s="193"/>
      <c r="D32" s="193"/>
      <c r="E32" s="193"/>
      <c r="F32" s="194"/>
      <c r="G32" s="194"/>
      <c r="H32" s="194"/>
      <c r="I32" s="194"/>
      <c r="J32" s="194"/>
      <c r="K32" s="194"/>
      <c r="L32" s="194"/>
      <c r="M32" s="194"/>
      <c r="N32" s="194"/>
      <c r="O32" s="194"/>
    </row>
    <row r="33" spans="1:15" x14ac:dyDescent="0.25">
      <c r="B33" s="4" t="s">
        <v>144</v>
      </c>
      <c r="C33" s="8">
        <f>424/IncState!C17</f>
        <v>1.2769930427973376E-2</v>
      </c>
      <c r="D33" s="8">
        <f>452/IncState!D17</f>
        <v>1.2619001088807615E-2</v>
      </c>
      <c r="E33" s="8">
        <f>548/IncState!E17</f>
        <v>1.062550897739171E-2</v>
      </c>
      <c r="F33" s="201">
        <f>E33</f>
        <v>1.062550897739171E-2</v>
      </c>
      <c r="G33" s="201">
        <f t="shared" ref="G33:J33" si="44">F33</f>
        <v>1.062550897739171E-2</v>
      </c>
      <c r="H33" s="201">
        <f t="shared" si="44"/>
        <v>1.062550897739171E-2</v>
      </c>
      <c r="I33" s="201">
        <f t="shared" si="44"/>
        <v>1.062550897739171E-2</v>
      </c>
      <c r="J33" s="201">
        <f t="shared" si="44"/>
        <v>1.062550897739171E-2</v>
      </c>
      <c r="K33" s="201">
        <f t="shared" ref="K33:K34" si="45">J33</f>
        <v>1.062550897739171E-2</v>
      </c>
      <c r="L33" s="201">
        <f t="shared" ref="L33:L34" si="46">K33</f>
        <v>1.062550897739171E-2</v>
      </c>
      <c r="M33" s="201">
        <f t="shared" ref="M33:M34" si="47">L33</f>
        <v>1.062550897739171E-2</v>
      </c>
      <c r="N33" s="201">
        <f t="shared" ref="N33:O34" si="48">M33</f>
        <v>1.062550897739171E-2</v>
      </c>
      <c r="O33" s="201">
        <f t="shared" si="48"/>
        <v>1.062550897739171E-2</v>
      </c>
    </row>
    <row r="34" spans="1:15" x14ac:dyDescent="0.25">
      <c r="B34" s="4" t="s">
        <v>157</v>
      </c>
      <c r="D34" s="8">
        <f>IncState!D23/BalSheet!C22</f>
        <v>0.22582096266306792</v>
      </c>
      <c r="E34" s="8">
        <f>IncState!E23/BalSheet!D22</f>
        <v>0.27530176415970287</v>
      </c>
      <c r="F34" s="101">
        <f>E34</f>
        <v>0.27530176415970287</v>
      </c>
      <c r="G34" s="101">
        <f t="shared" ref="G34:J34" si="49">F34</f>
        <v>0.27530176415970287</v>
      </c>
      <c r="H34" s="101">
        <f t="shared" si="49"/>
        <v>0.27530176415970287</v>
      </c>
      <c r="I34" s="101">
        <f t="shared" si="49"/>
        <v>0.27530176415970287</v>
      </c>
      <c r="J34" s="101">
        <f t="shared" si="49"/>
        <v>0.27530176415970287</v>
      </c>
      <c r="K34" s="101">
        <f t="shared" si="45"/>
        <v>0.27530176415970287</v>
      </c>
      <c r="L34" s="101">
        <f t="shared" si="46"/>
        <v>0.27530176415970287</v>
      </c>
      <c r="M34" s="101">
        <f t="shared" si="47"/>
        <v>0.27530176415970287</v>
      </c>
      <c r="N34" s="101">
        <f t="shared" si="48"/>
        <v>0.27530176415970287</v>
      </c>
      <c r="O34" s="101">
        <f t="shared" si="48"/>
        <v>0.27530176415970287</v>
      </c>
    </row>
    <row r="35" spans="1:15" x14ac:dyDescent="0.25">
      <c r="B35" s="4" t="s">
        <v>145</v>
      </c>
      <c r="F35" s="106">
        <v>0</v>
      </c>
      <c r="G35" s="106">
        <v>0</v>
      </c>
      <c r="H35" s="106">
        <v>0</v>
      </c>
      <c r="I35" s="106">
        <v>0</v>
      </c>
      <c r="J35" s="106">
        <v>0</v>
      </c>
      <c r="K35" s="106">
        <v>0</v>
      </c>
      <c r="L35" s="106">
        <v>0</v>
      </c>
      <c r="M35" s="106">
        <v>0</v>
      </c>
      <c r="N35" s="106">
        <v>0</v>
      </c>
      <c r="O35" s="106">
        <v>0</v>
      </c>
    </row>
    <row r="36" spans="1:15" x14ac:dyDescent="0.25"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spans="1:15" x14ac:dyDescent="0.25">
      <c r="A37" s="64" t="s">
        <v>126</v>
      </c>
      <c r="B37" s="107" t="s">
        <v>61</v>
      </c>
      <c r="C37" s="234">
        <f>C31</f>
        <v>2022</v>
      </c>
      <c r="D37" s="234">
        <f t="shared" ref="D37:J37" si="50">D31</f>
        <v>2023</v>
      </c>
      <c r="E37" s="234">
        <f t="shared" si="50"/>
        <v>2024</v>
      </c>
      <c r="F37" s="234">
        <f t="shared" si="50"/>
        <v>2025</v>
      </c>
      <c r="G37" s="234">
        <f t="shared" si="50"/>
        <v>2026</v>
      </c>
      <c r="H37" s="234">
        <f t="shared" si="50"/>
        <v>2027</v>
      </c>
      <c r="I37" s="234">
        <f t="shared" si="50"/>
        <v>2028</v>
      </c>
      <c r="J37" s="234">
        <f t="shared" si="50"/>
        <v>2029</v>
      </c>
      <c r="K37" s="234">
        <f t="shared" ref="K37:N37" si="51">K31</f>
        <v>2030</v>
      </c>
      <c r="L37" s="234">
        <f t="shared" si="51"/>
        <v>2031</v>
      </c>
      <c r="M37" s="234">
        <f t="shared" si="51"/>
        <v>2032</v>
      </c>
      <c r="N37" s="234">
        <f t="shared" si="51"/>
        <v>2033</v>
      </c>
      <c r="O37" s="234">
        <f t="shared" ref="O37" si="52">O31</f>
        <v>2034</v>
      </c>
    </row>
    <row r="38" spans="1:15" x14ac:dyDescent="0.25">
      <c r="A38" s="86"/>
      <c r="B38" s="158"/>
      <c r="C38" s="193"/>
      <c r="D38" s="193"/>
      <c r="E38" s="193"/>
      <c r="F38" s="232"/>
      <c r="G38" s="232"/>
      <c r="H38" s="232"/>
      <c r="I38" s="232"/>
      <c r="J38" s="232"/>
      <c r="K38" s="232"/>
      <c r="L38" s="232"/>
      <c r="M38" s="232"/>
      <c r="N38" s="232"/>
      <c r="O38" s="232"/>
    </row>
    <row r="39" spans="1:15" s="237" customFormat="1" x14ac:dyDescent="0.25">
      <c r="B39" s="237" t="str">
        <f>B18</f>
        <v>Dividend Payout Rate</v>
      </c>
      <c r="C39" s="237">
        <f>C18</f>
        <v>1.7197358767424797</v>
      </c>
      <c r="D39" s="237">
        <f t="shared" ref="D39:E39" si="53">D18</f>
        <v>1.8426126777536755</v>
      </c>
      <c r="E39" s="237">
        <f t="shared" si="53"/>
        <v>2.1224048442906573</v>
      </c>
      <c r="F39" s="238">
        <f>F18</f>
        <v>2.4021970108276394</v>
      </c>
      <c r="G39" s="238">
        <f t="shared" ref="G39:J39" si="54">G18</f>
        <v>2.6819891773646214</v>
      </c>
      <c r="H39" s="238">
        <f t="shared" si="54"/>
        <v>2.9617813439016034</v>
      </c>
      <c r="I39" s="238">
        <f t="shared" si="54"/>
        <v>3.2415735104385854</v>
      </c>
      <c r="J39" s="238">
        <f t="shared" si="54"/>
        <v>3.5213656769755675</v>
      </c>
      <c r="K39" s="238">
        <f t="shared" ref="K39:N39" si="55">K18</f>
        <v>3.8011578435125495</v>
      </c>
      <c r="L39" s="238">
        <f t="shared" si="55"/>
        <v>4.0809500100495315</v>
      </c>
      <c r="M39" s="238">
        <f t="shared" si="55"/>
        <v>4.3607421765865135</v>
      </c>
      <c r="N39" s="238">
        <f t="shared" si="55"/>
        <v>4.6405343431234956</v>
      </c>
      <c r="O39" s="238">
        <f t="shared" ref="O39" si="56">O18</f>
        <v>4.9203265096604776</v>
      </c>
    </row>
    <row r="40" spans="1:15" x14ac:dyDescent="0.25">
      <c r="B40" s="4" t="s">
        <v>49</v>
      </c>
      <c r="C40" s="4">
        <f>C19</f>
        <v>4089</v>
      </c>
      <c r="D40" s="4">
        <f t="shared" ref="D40:E40" si="57">D19</f>
        <v>4149</v>
      </c>
      <c r="E40" s="4">
        <f t="shared" si="57"/>
        <v>4624</v>
      </c>
      <c r="F40" s="102">
        <f>F19</f>
        <v>4624</v>
      </c>
      <c r="G40" s="102">
        <f t="shared" ref="G40:J41" si="58">G19</f>
        <v>4624</v>
      </c>
      <c r="H40" s="102">
        <f t="shared" si="58"/>
        <v>4624</v>
      </c>
      <c r="I40" s="102">
        <f t="shared" si="58"/>
        <v>4624</v>
      </c>
      <c r="J40" s="102">
        <f t="shared" si="58"/>
        <v>4624</v>
      </c>
      <c r="K40" s="102">
        <f t="shared" ref="K40:N40" si="59">K19</f>
        <v>4624</v>
      </c>
      <c r="L40" s="102">
        <f t="shared" si="59"/>
        <v>4624</v>
      </c>
      <c r="M40" s="102">
        <f t="shared" si="59"/>
        <v>4624</v>
      </c>
      <c r="N40" s="102">
        <f t="shared" si="59"/>
        <v>4624</v>
      </c>
      <c r="O40" s="102">
        <f t="shared" ref="O40" si="60">O19</f>
        <v>4624</v>
      </c>
    </row>
    <row r="41" spans="1:15" x14ac:dyDescent="0.25">
      <c r="B41" s="4" t="s">
        <v>50</v>
      </c>
      <c r="C41" s="4">
        <f t="shared" ref="C41:E41" si="61">C20</f>
        <v>4232</v>
      </c>
      <c r="D41" s="4">
        <f t="shared" si="61"/>
        <v>4272</v>
      </c>
      <c r="E41" s="4">
        <f t="shared" si="61"/>
        <v>4778</v>
      </c>
      <c r="F41" s="102">
        <f>F20</f>
        <v>4778</v>
      </c>
      <c r="G41" s="102">
        <f t="shared" si="58"/>
        <v>4778</v>
      </c>
      <c r="H41" s="102">
        <f t="shared" si="58"/>
        <v>4778</v>
      </c>
      <c r="I41" s="102">
        <f t="shared" si="58"/>
        <v>4778</v>
      </c>
      <c r="J41" s="102">
        <f t="shared" si="58"/>
        <v>4778</v>
      </c>
      <c r="K41" s="102">
        <f t="shared" ref="K41:N41" si="62">K20</f>
        <v>4778</v>
      </c>
      <c r="L41" s="102">
        <f t="shared" si="62"/>
        <v>4778</v>
      </c>
      <c r="M41" s="102">
        <f t="shared" si="62"/>
        <v>4778</v>
      </c>
      <c r="N41" s="102">
        <f t="shared" si="62"/>
        <v>4778</v>
      </c>
      <c r="O41" s="102">
        <f t="shared" ref="O41" si="63">O20</f>
        <v>4778</v>
      </c>
    </row>
    <row r="42" spans="1:15" x14ac:dyDescent="0.25"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1:15" x14ac:dyDescent="0.25">
      <c r="A43" s="64" t="s">
        <v>126</v>
      </c>
      <c r="B43" s="107" t="s">
        <v>131</v>
      </c>
      <c r="C43" s="234">
        <f>C37</f>
        <v>2022</v>
      </c>
      <c r="D43" s="234">
        <f t="shared" ref="D43:J43" si="64">D37</f>
        <v>2023</v>
      </c>
      <c r="E43" s="234">
        <f t="shared" si="64"/>
        <v>2024</v>
      </c>
      <c r="F43" s="234">
        <f t="shared" si="64"/>
        <v>2025</v>
      </c>
      <c r="G43" s="234">
        <f t="shared" si="64"/>
        <v>2026</v>
      </c>
      <c r="H43" s="234">
        <f t="shared" si="64"/>
        <v>2027</v>
      </c>
      <c r="I43" s="234">
        <f t="shared" si="64"/>
        <v>2028</v>
      </c>
      <c r="J43" s="234">
        <f t="shared" si="64"/>
        <v>2029</v>
      </c>
      <c r="K43" s="234">
        <f t="shared" ref="K43:N43" si="65">K37</f>
        <v>2030</v>
      </c>
      <c r="L43" s="234">
        <f t="shared" si="65"/>
        <v>2031</v>
      </c>
      <c r="M43" s="234">
        <f t="shared" si="65"/>
        <v>2032</v>
      </c>
      <c r="N43" s="234">
        <f t="shared" si="65"/>
        <v>2033</v>
      </c>
      <c r="O43" s="234">
        <f t="shared" ref="O43" si="66">O37</f>
        <v>2034</v>
      </c>
    </row>
    <row r="44" spans="1:15" x14ac:dyDescent="0.25">
      <c r="A44" s="86"/>
      <c r="B44" s="158"/>
      <c r="C44" s="193"/>
      <c r="D44" s="193"/>
      <c r="E44" s="193"/>
      <c r="F44" s="232"/>
      <c r="G44" s="232"/>
      <c r="H44" s="232"/>
      <c r="I44" s="232"/>
      <c r="J44" s="232"/>
      <c r="K44" s="232"/>
      <c r="L44" s="232"/>
      <c r="M44" s="232"/>
      <c r="N44" s="232"/>
      <c r="O44" s="232"/>
    </row>
    <row r="45" spans="1:15" x14ac:dyDescent="0.25">
      <c r="B45" s="4" t="s">
        <v>142</v>
      </c>
      <c r="C45" s="8">
        <f>BalSheet!C15/IncState!C17</f>
        <v>1.4999999999999999E-2</v>
      </c>
      <c r="D45" s="8">
        <f>BalSheet!D15/IncState!D17</f>
        <v>1.4999999999999999E-2</v>
      </c>
      <c r="E45" s="8">
        <f>BalSheet!E15/IncState!E17</f>
        <v>1.4999999999999999E-2</v>
      </c>
      <c r="F45" s="101">
        <f>E45</f>
        <v>1.4999999999999999E-2</v>
      </c>
      <c r="G45" s="101">
        <f t="shared" ref="G45:J45" si="67">F45</f>
        <v>1.4999999999999999E-2</v>
      </c>
      <c r="H45" s="101">
        <f t="shared" si="67"/>
        <v>1.4999999999999999E-2</v>
      </c>
      <c r="I45" s="101">
        <f t="shared" si="67"/>
        <v>1.4999999999999999E-2</v>
      </c>
      <c r="J45" s="101">
        <f t="shared" si="67"/>
        <v>1.4999999999999999E-2</v>
      </c>
      <c r="K45" s="101">
        <f t="shared" ref="K45:K49" si="68">J45</f>
        <v>1.4999999999999999E-2</v>
      </c>
      <c r="L45" s="101">
        <f t="shared" ref="L45:L49" si="69">K45</f>
        <v>1.4999999999999999E-2</v>
      </c>
      <c r="M45" s="101">
        <f t="shared" ref="M45:M49" si="70">L45</f>
        <v>1.4999999999999999E-2</v>
      </c>
      <c r="N45" s="101">
        <f t="shared" ref="N45:O49" si="71">M45</f>
        <v>1.4999999999999999E-2</v>
      </c>
      <c r="O45" s="101">
        <f t="shared" si="71"/>
        <v>1.4999999999999999E-2</v>
      </c>
    </row>
    <row r="46" spans="1:15" x14ac:dyDescent="0.25">
      <c r="B46" s="4" t="s">
        <v>155</v>
      </c>
      <c r="C46" s="8">
        <f>BalSheet!C17/IncState!C17</f>
        <v>8.9088335391380294E-2</v>
      </c>
      <c r="D46" s="8">
        <f>BalSheet!D17/IncState!D17</f>
        <v>8.8053826181635445E-2</v>
      </c>
      <c r="E46" s="8">
        <f>BalSheet!E17/IncState!E17</f>
        <v>8.5624539496645599E-2</v>
      </c>
      <c r="F46" s="101">
        <f>E46</f>
        <v>8.5624539496645599E-2</v>
      </c>
      <c r="G46" s="101">
        <f t="shared" ref="G46:J46" si="72">F46</f>
        <v>8.5624539496645599E-2</v>
      </c>
      <c r="H46" s="101">
        <f t="shared" si="72"/>
        <v>8.5624539496645599E-2</v>
      </c>
      <c r="I46" s="101">
        <f t="shared" si="72"/>
        <v>8.5624539496645599E-2</v>
      </c>
      <c r="J46" s="101">
        <f t="shared" si="72"/>
        <v>8.5624539496645599E-2</v>
      </c>
      <c r="K46" s="101">
        <f t="shared" si="68"/>
        <v>8.5624539496645599E-2</v>
      </c>
      <c r="L46" s="101">
        <f t="shared" si="69"/>
        <v>8.5624539496645599E-2</v>
      </c>
      <c r="M46" s="101">
        <f t="shared" si="70"/>
        <v>8.5624539496645599E-2</v>
      </c>
      <c r="N46" s="101">
        <f t="shared" si="71"/>
        <v>8.5624539496645599E-2</v>
      </c>
      <c r="O46" s="101">
        <f t="shared" si="71"/>
        <v>8.5624539496645599E-2</v>
      </c>
    </row>
    <row r="47" spans="1:15" x14ac:dyDescent="0.25">
      <c r="B47" s="4" t="s">
        <v>65</v>
      </c>
      <c r="C47" s="8">
        <f>BalSheet!C18/IncState!C18</f>
        <v>0.17329852358660425</v>
      </c>
      <c r="D47" s="8">
        <f>BalSheet!D18/IncState!D18</f>
        <v>0.17060674157303371</v>
      </c>
      <c r="E47" s="8">
        <f>BalSheet!E18/IncState!E18</f>
        <v>9.3562277390888307E-2</v>
      </c>
      <c r="F47" s="101">
        <f t="shared" ref="F47:J47" si="73">E47</f>
        <v>9.3562277390888307E-2</v>
      </c>
      <c r="G47" s="101">
        <f t="shared" si="73"/>
        <v>9.3562277390888307E-2</v>
      </c>
      <c r="H47" s="101">
        <f t="shared" si="73"/>
        <v>9.3562277390888307E-2</v>
      </c>
      <c r="I47" s="101">
        <f t="shared" si="73"/>
        <v>9.3562277390888307E-2</v>
      </c>
      <c r="J47" s="101">
        <f t="shared" si="73"/>
        <v>9.3562277390888307E-2</v>
      </c>
      <c r="K47" s="101">
        <f t="shared" si="68"/>
        <v>9.3562277390888307E-2</v>
      </c>
      <c r="L47" s="101">
        <f t="shared" si="69"/>
        <v>9.3562277390888307E-2</v>
      </c>
      <c r="M47" s="101">
        <f t="shared" si="70"/>
        <v>9.3562277390888307E-2</v>
      </c>
      <c r="N47" s="101">
        <f t="shared" si="71"/>
        <v>9.3562277390888307E-2</v>
      </c>
      <c r="O47" s="101">
        <f t="shared" si="71"/>
        <v>9.3562277390888307E-2</v>
      </c>
    </row>
    <row r="48" spans="1:15" x14ac:dyDescent="0.25">
      <c r="B48" s="4" t="s">
        <v>66</v>
      </c>
      <c r="C48" s="8">
        <f>BalSheet!C19/IncState!C17</f>
        <v>3.6291901334216788E-2</v>
      </c>
      <c r="D48" s="8">
        <f>BalSheet!D19/IncState!D17</f>
        <v>4.4836539266869535E-2</v>
      </c>
      <c r="E48" s="8">
        <f>BalSheet!E19/IncState!E17</f>
        <v>7.8935122348470166E-2</v>
      </c>
      <c r="F48" s="101">
        <f t="shared" ref="F48:J48" si="74">E48</f>
        <v>7.8935122348470166E-2</v>
      </c>
      <c r="G48" s="101">
        <f t="shared" si="74"/>
        <v>7.8935122348470166E-2</v>
      </c>
      <c r="H48" s="101">
        <f t="shared" si="74"/>
        <v>7.8935122348470166E-2</v>
      </c>
      <c r="I48" s="101">
        <f t="shared" si="74"/>
        <v>7.8935122348470166E-2</v>
      </c>
      <c r="J48" s="101">
        <f t="shared" si="74"/>
        <v>7.8935122348470166E-2</v>
      </c>
      <c r="K48" s="101">
        <f t="shared" si="68"/>
        <v>7.8935122348470166E-2</v>
      </c>
      <c r="L48" s="101">
        <f t="shared" si="69"/>
        <v>7.8935122348470166E-2</v>
      </c>
      <c r="M48" s="101">
        <f t="shared" si="70"/>
        <v>7.8935122348470166E-2</v>
      </c>
      <c r="N48" s="101">
        <f t="shared" si="71"/>
        <v>7.8935122348470166E-2</v>
      </c>
      <c r="O48" s="101">
        <f t="shared" si="71"/>
        <v>7.8935122348470166E-2</v>
      </c>
    </row>
    <row r="49" spans="1:15" x14ac:dyDescent="0.25">
      <c r="B49" s="4" t="s">
        <v>67</v>
      </c>
      <c r="C49" s="8">
        <f>BalSheet!C24/IncState!C17</f>
        <v>5.4121615516670184E-2</v>
      </c>
      <c r="D49" s="8">
        <f>BalSheet!D24/IncState!D17</f>
        <v>6.532845696418102E-2</v>
      </c>
      <c r="E49" s="8">
        <f>BalSheet!E24/IncState!E17</f>
        <v>9.8363516500562298E-2</v>
      </c>
      <c r="F49" s="101">
        <f>E49</f>
        <v>9.8363516500562298E-2</v>
      </c>
      <c r="G49" s="101">
        <f t="shared" ref="G49:J49" si="75">F49</f>
        <v>9.8363516500562298E-2</v>
      </c>
      <c r="H49" s="101">
        <f t="shared" si="75"/>
        <v>9.8363516500562298E-2</v>
      </c>
      <c r="I49" s="101">
        <f t="shared" si="75"/>
        <v>9.8363516500562298E-2</v>
      </c>
      <c r="J49" s="101">
        <f t="shared" si="75"/>
        <v>9.8363516500562298E-2</v>
      </c>
      <c r="K49" s="101">
        <f t="shared" si="68"/>
        <v>9.8363516500562298E-2</v>
      </c>
      <c r="L49" s="101">
        <f t="shared" si="69"/>
        <v>9.8363516500562298E-2</v>
      </c>
      <c r="M49" s="101">
        <f t="shared" si="70"/>
        <v>9.8363516500562298E-2</v>
      </c>
      <c r="N49" s="101">
        <f t="shared" si="71"/>
        <v>9.8363516500562298E-2</v>
      </c>
      <c r="O49" s="101">
        <f t="shared" si="71"/>
        <v>9.8363516500562298E-2</v>
      </c>
    </row>
    <row r="50" spans="1:15" x14ac:dyDescent="0.25"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spans="1:15" x14ac:dyDescent="0.25">
      <c r="A51" s="64" t="s">
        <v>126</v>
      </c>
      <c r="B51" s="107" t="s">
        <v>132</v>
      </c>
      <c r="C51" s="234">
        <f t="shared" ref="C51:J51" si="76">C43</f>
        <v>2022</v>
      </c>
      <c r="D51" s="234">
        <f t="shared" si="76"/>
        <v>2023</v>
      </c>
      <c r="E51" s="234">
        <f t="shared" si="76"/>
        <v>2024</v>
      </c>
      <c r="F51" s="234">
        <f t="shared" si="76"/>
        <v>2025</v>
      </c>
      <c r="G51" s="234">
        <f t="shared" si="76"/>
        <v>2026</v>
      </c>
      <c r="H51" s="234">
        <f t="shared" si="76"/>
        <v>2027</v>
      </c>
      <c r="I51" s="234">
        <f t="shared" si="76"/>
        <v>2028</v>
      </c>
      <c r="J51" s="234">
        <f t="shared" si="76"/>
        <v>2029</v>
      </c>
      <c r="K51" s="234">
        <f t="shared" ref="K51:N51" si="77">K43</f>
        <v>2030</v>
      </c>
      <c r="L51" s="234">
        <f t="shared" si="77"/>
        <v>2031</v>
      </c>
      <c r="M51" s="234">
        <f t="shared" si="77"/>
        <v>2032</v>
      </c>
      <c r="N51" s="234">
        <f t="shared" si="77"/>
        <v>2033</v>
      </c>
      <c r="O51" s="234">
        <f t="shared" ref="O51" si="78">O43</f>
        <v>2034</v>
      </c>
    </row>
    <row r="52" spans="1:15" x14ac:dyDescent="0.25">
      <c r="A52" s="86"/>
      <c r="B52" s="158"/>
      <c r="C52" s="193"/>
      <c r="D52" s="193"/>
      <c r="E52" s="193"/>
      <c r="F52" s="232"/>
      <c r="G52" s="232"/>
      <c r="H52" s="232"/>
      <c r="I52" s="232"/>
      <c r="J52" s="232"/>
      <c r="K52" s="232"/>
      <c r="L52" s="232"/>
      <c r="M52" s="232"/>
      <c r="N52" s="232"/>
      <c r="O52" s="232"/>
    </row>
    <row r="53" spans="1:15" x14ac:dyDescent="0.25">
      <c r="B53" s="4" t="s">
        <v>156</v>
      </c>
      <c r="C53" s="8">
        <f>BalSheet!C30/IncState!C18</f>
        <v>8.984515664386028E-2</v>
      </c>
      <c r="D53" s="8">
        <f>BalSheet!D30/IncState!D18</f>
        <v>0.10876404494382022</v>
      </c>
      <c r="E53" s="8">
        <f>BalSheet!E30/IncState!E18</f>
        <v>8.8352559672532027E-2</v>
      </c>
      <c r="F53" s="101">
        <f t="shared" ref="F53:J53" si="79">E53</f>
        <v>8.8352559672532027E-2</v>
      </c>
      <c r="G53" s="101">
        <f t="shared" si="79"/>
        <v>8.8352559672532027E-2</v>
      </c>
      <c r="H53" s="101">
        <f t="shared" si="79"/>
        <v>8.8352559672532027E-2</v>
      </c>
      <c r="I53" s="101">
        <f t="shared" si="79"/>
        <v>8.8352559672532027E-2</v>
      </c>
      <c r="J53" s="101">
        <f t="shared" si="79"/>
        <v>8.8352559672532027E-2</v>
      </c>
      <c r="K53" s="101">
        <f t="shared" ref="K53:K55" si="80">J53</f>
        <v>8.8352559672532027E-2</v>
      </c>
      <c r="L53" s="101">
        <f t="shared" ref="L53:L55" si="81">K53</f>
        <v>8.8352559672532027E-2</v>
      </c>
      <c r="M53" s="101">
        <f t="shared" ref="M53:M55" si="82">L53</f>
        <v>8.8352559672532027E-2</v>
      </c>
      <c r="N53" s="101">
        <f t="shared" ref="N53:O55" si="83">M53</f>
        <v>8.8352559672532027E-2</v>
      </c>
      <c r="O53" s="101">
        <f t="shared" si="83"/>
        <v>8.8352559672532027E-2</v>
      </c>
    </row>
    <row r="54" spans="1:15" x14ac:dyDescent="0.25">
      <c r="B54" s="4" t="s">
        <v>68</v>
      </c>
      <c r="C54" s="8">
        <f>BalSheet!C31/IncState!C17</f>
        <v>0.16908110712887389</v>
      </c>
      <c r="D54" s="8">
        <f>BalSheet!D31/IncState!D17</f>
        <v>0.12806052653619587</v>
      </c>
      <c r="E54" s="8">
        <f>BalSheet!E31/IncState!E17</f>
        <v>0.26687865978981656</v>
      </c>
      <c r="F54" s="101">
        <f t="shared" ref="F54:J54" si="84">E54</f>
        <v>0.26687865978981656</v>
      </c>
      <c r="G54" s="101">
        <f t="shared" si="84"/>
        <v>0.26687865978981656</v>
      </c>
      <c r="H54" s="101">
        <f t="shared" si="84"/>
        <v>0.26687865978981656</v>
      </c>
      <c r="I54" s="101">
        <f t="shared" si="84"/>
        <v>0.26687865978981656</v>
      </c>
      <c r="J54" s="101">
        <f t="shared" si="84"/>
        <v>0.26687865978981656</v>
      </c>
      <c r="K54" s="101">
        <f t="shared" si="80"/>
        <v>0.26687865978981656</v>
      </c>
      <c r="L54" s="101">
        <f t="shared" si="81"/>
        <v>0.26687865978981656</v>
      </c>
      <c r="M54" s="101">
        <f t="shared" si="82"/>
        <v>0.26687865978981656</v>
      </c>
      <c r="N54" s="101">
        <f t="shared" si="83"/>
        <v>0.26687865978981656</v>
      </c>
      <c r="O54" s="101">
        <f t="shared" si="83"/>
        <v>0.26687865978981656</v>
      </c>
    </row>
    <row r="55" spans="1:15" x14ac:dyDescent="0.25">
      <c r="B55" s="4" t="s">
        <v>69</v>
      </c>
      <c r="C55" s="8">
        <f>BalSheet!C35/IncState!C17</f>
        <v>0.13290967683643043</v>
      </c>
      <c r="D55" s="8">
        <f>BalSheet!D35/IncState!D17</f>
        <v>0.10740109997487367</v>
      </c>
      <c r="E55" s="8">
        <f>BalSheet!E35/IncState!E17</f>
        <v>0.29035948346065849</v>
      </c>
      <c r="F55" s="101">
        <f t="shared" ref="F55:J55" si="85">E55</f>
        <v>0.29035948346065849</v>
      </c>
      <c r="G55" s="101">
        <f t="shared" si="85"/>
        <v>0.29035948346065849</v>
      </c>
      <c r="H55" s="101">
        <f t="shared" si="85"/>
        <v>0.29035948346065849</v>
      </c>
      <c r="I55" s="101">
        <f t="shared" si="85"/>
        <v>0.29035948346065849</v>
      </c>
      <c r="J55" s="101">
        <f t="shared" si="85"/>
        <v>0.29035948346065849</v>
      </c>
      <c r="K55" s="101">
        <f t="shared" si="80"/>
        <v>0.29035948346065849</v>
      </c>
      <c r="L55" s="101">
        <f t="shared" si="81"/>
        <v>0.29035948346065849</v>
      </c>
      <c r="M55" s="101">
        <f t="shared" si="82"/>
        <v>0.29035948346065849</v>
      </c>
      <c r="N55" s="101">
        <f t="shared" si="83"/>
        <v>0.29035948346065849</v>
      </c>
      <c r="O55" s="101">
        <f t="shared" si="83"/>
        <v>0.29035948346065849</v>
      </c>
    </row>
    <row r="56" spans="1:15" x14ac:dyDescent="0.25">
      <c r="F56" s="122"/>
      <c r="G56" s="30"/>
      <c r="H56" s="30"/>
      <c r="I56" s="30"/>
      <c r="J56" s="30"/>
      <c r="K56" s="30"/>
      <c r="L56" s="30"/>
      <c r="M56" s="30"/>
      <c r="N56" s="30"/>
      <c r="O56" s="30"/>
    </row>
    <row r="57" spans="1:15" x14ac:dyDescent="0.25">
      <c r="F57" s="123"/>
      <c r="G57" s="95"/>
      <c r="H57" s="95"/>
      <c r="I57" s="95"/>
      <c r="J57" s="95"/>
      <c r="K57" s="95"/>
      <c r="L57" s="95"/>
      <c r="M57" s="95"/>
      <c r="N57" s="95"/>
      <c r="O57" s="95"/>
    </row>
    <row r="58" spans="1:15" x14ac:dyDescent="0.25">
      <c r="F58" s="95"/>
      <c r="G58" s="95"/>
      <c r="H58" s="95"/>
      <c r="I58" s="95"/>
      <c r="J58" s="95"/>
      <c r="K58" s="95"/>
      <c r="L58" s="95"/>
      <c r="M58" s="95"/>
      <c r="N58" s="95"/>
      <c r="O58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P7:T7 D7:D8 F23:O30 F32:O35 F39:O41 F45:O49 F53:O55 F57:O58 F6:O8 F11:O21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O40"/>
  <sheetViews>
    <sheetView showGridLines="0" topLeftCell="G1" zoomScaleNormal="100" workbookViewId="0">
      <selection activeCell="P1" sqref="P1:T104857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5" width="11.7109375" style="6" customWidth="1"/>
    <col min="16" max="248" width="8.85546875" style="4"/>
    <col min="249" max="249" width="1.7109375" style="4" customWidth="1"/>
    <col min="250" max="250" width="40.7109375" style="4" customWidth="1"/>
    <col min="251" max="258" width="10.7109375" style="4" customWidth="1"/>
    <col min="259" max="504" width="8.85546875" style="4"/>
    <col min="505" max="505" width="1.7109375" style="4" customWidth="1"/>
    <col min="506" max="506" width="40.7109375" style="4" customWidth="1"/>
    <col min="507" max="514" width="10.7109375" style="4" customWidth="1"/>
    <col min="515" max="760" width="8.85546875" style="4"/>
    <col min="761" max="761" width="1.7109375" style="4" customWidth="1"/>
    <col min="762" max="762" width="40.7109375" style="4" customWidth="1"/>
    <col min="763" max="770" width="10.7109375" style="4" customWidth="1"/>
    <col min="771" max="1016" width="8.85546875" style="4"/>
    <col min="1017" max="1017" width="1.7109375" style="4" customWidth="1"/>
    <col min="1018" max="1018" width="40.7109375" style="4" customWidth="1"/>
    <col min="1019" max="1026" width="10.7109375" style="4" customWidth="1"/>
    <col min="1027" max="1272" width="8.85546875" style="4"/>
    <col min="1273" max="1273" width="1.7109375" style="4" customWidth="1"/>
    <col min="1274" max="1274" width="40.7109375" style="4" customWidth="1"/>
    <col min="1275" max="1282" width="10.7109375" style="4" customWidth="1"/>
    <col min="1283" max="1528" width="8.85546875" style="4"/>
    <col min="1529" max="1529" width="1.7109375" style="4" customWidth="1"/>
    <col min="1530" max="1530" width="40.7109375" style="4" customWidth="1"/>
    <col min="1531" max="1538" width="10.7109375" style="4" customWidth="1"/>
    <col min="1539" max="1784" width="8.85546875" style="4"/>
    <col min="1785" max="1785" width="1.7109375" style="4" customWidth="1"/>
    <col min="1786" max="1786" width="40.7109375" style="4" customWidth="1"/>
    <col min="1787" max="1794" width="10.7109375" style="4" customWidth="1"/>
    <col min="1795" max="2040" width="8.85546875" style="4"/>
    <col min="2041" max="2041" width="1.7109375" style="4" customWidth="1"/>
    <col min="2042" max="2042" width="40.7109375" style="4" customWidth="1"/>
    <col min="2043" max="2050" width="10.7109375" style="4" customWidth="1"/>
    <col min="2051" max="2296" width="8.85546875" style="4"/>
    <col min="2297" max="2297" width="1.7109375" style="4" customWidth="1"/>
    <col min="2298" max="2298" width="40.7109375" style="4" customWidth="1"/>
    <col min="2299" max="2306" width="10.7109375" style="4" customWidth="1"/>
    <col min="2307" max="2552" width="8.85546875" style="4"/>
    <col min="2553" max="2553" width="1.7109375" style="4" customWidth="1"/>
    <col min="2554" max="2554" width="40.7109375" style="4" customWidth="1"/>
    <col min="2555" max="2562" width="10.7109375" style="4" customWidth="1"/>
    <col min="2563" max="2808" width="8.85546875" style="4"/>
    <col min="2809" max="2809" width="1.7109375" style="4" customWidth="1"/>
    <col min="2810" max="2810" width="40.7109375" style="4" customWidth="1"/>
    <col min="2811" max="2818" width="10.7109375" style="4" customWidth="1"/>
    <col min="2819" max="3064" width="8.85546875" style="4"/>
    <col min="3065" max="3065" width="1.7109375" style="4" customWidth="1"/>
    <col min="3066" max="3066" width="40.7109375" style="4" customWidth="1"/>
    <col min="3067" max="3074" width="10.7109375" style="4" customWidth="1"/>
    <col min="3075" max="3320" width="8.85546875" style="4"/>
    <col min="3321" max="3321" width="1.7109375" style="4" customWidth="1"/>
    <col min="3322" max="3322" width="40.7109375" style="4" customWidth="1"/>
    <col min="3323" max="3330" width="10.7109375" style="4" customWidth="1"/>
    <col min="3331" max="3576" width="8.85546875" style="4"/>
    <col min="3577" max="3577" width="1.7109375" style="4" customWidth="1"/>
    <col min="3578" max="3578" width="40.7109375" style="4" customWidth="1"/>
    <col min="3579" max="3586" width="10.7109375" style="4" customWidth="1"/>
    <col min="3587" max="3832" width="8.85546875" style="4"/>
    <col min="3833" max="3833" width="1.7109375" style="4" customWidth="1"/>
    <col min="3834" max="3834" width="40.7109375" style="4" customWidth="1"/>
    <col min="3835" max="3842" width="10.7109375" style="4" customWidth="1"/>
    <col min="3843" max="4088" width="8.85546875" style="4"/>
    <col min="4089" max="4089" width="1.7109375" style="4" customWidth="1"/>
    <col min="4090" max="4090" width="40.7109375" style="4" customWidth="1"/>
    <col min="4091" max="4098" width="10.7109375" style="4" customWidth="1"/>
    <col min="4099" max="4344" width="8.85546875" style="4"/>
    <col min="4345" max="4345" width="1.7109375" style="4" customWidth="1"/>
    <col min="4346" max="4346" width="40.7109375" style="4" customWidth="1"/>
    <col min="4347" max="4354" width="10.7109375" style="4" customWidth="1"/>
    <col min="4355" max="4600" width="8.85546875" style="4"/>
    <col min="4601" max="4601" width="1.7109375" style="4" customWidth="1"/>
    <col min="4602" max="4602" width="40.7109375" style="4" customWidth="1"/>
    <col min="4603" max="4610" width="10.7109375" style="4" customWidth="1"/>
    <col min="4611" max="4856" width="8.85546875" style="4"/>
    <col min="4857" max="4857" width="1.7109375" style="4" customWidth="1"/>
    <col min="4858" max="4858" width="40.7109375" style="4" customWidth="1"/>
    <col min="4859" max="4866" width="10.7109375" style="4" customWidth="1"/>
    <col min="4867" max="5112" width="8.85546875" style="4"/>
    <col min="5113" max="5113" width="1.7109375" style="4" customWidth="1"/>
    <col min="5114" max="5114" width="40.7109375" style="4" customWidth="1"/>
    <col min="5115" max="5122" width="10.7109375" style="4" customWidth="1"/>
    <col min="5123" max="5368" width="8.85546875" style="4"/>
    <col min="5369" max="5369" width="1.7109375" style="4" customWidth="1"/>
    <col min="5370" max="5370" width="40.7109375" style="4" customWidth="1"/>
    <col min="5371" max="5378" width="10.7109375" style="4" customWidth="1"/>
    <col min="5379" max="5624" width="8.85546875" style="4"/>
    <col min="5625" max="5625" width="1.7109375" style="4" customWidth="1"/>
    <col min="5626" max="5626" width="40.7109375" style="4" customWidth="1"/>
    <col min="5627" max="5634" width="10.7109375" style="4" customWidth="1"/>
    <col min="5635" max="5880" width="8.85546875" style="4"/>
    <col min="5881" max="5881" width="1.7109375" style="4" customWidth="1"/>
    <col min="5882" max="5882" width="40.7109375" style="4" customWidth="1"/>
    <col min="5883" max="5890" width="10.7109375" style="4" customWidth="1"/>
    <col min="5891" max="6136" width="8.85546875" style="4"/>
    <col min="6137" max="6137" width="1.7109375" style="4" customWidth="1"/>
    <col min="6138" max="6138" width="40.7109375" style="4" customWidth="1"/>
    <col min="6139" max="6146" width="10.7109375" style="4" customWidth="1"/>
    <col min="6147" max="6392" width="8.85546875" style="4"/>
    <col min="6393" max="6393" width="1.7109375" style="4" customWidth="1"/>
    <col min="6394" max="6394" width="40.7109375" style="4" customWidth="1"/>
    <col min="6395" max="6402" width="10.7109375" style="4" customWidth="1"/>
    <col min="6403" max="6648" width="8.85546875" style="4"/>
    <col min="6649" max="6649" width="1.7109375" style="4" customWidth="1"/>
    <col min="6650" max="6650" width="40.7109375" style="4" customWidth="1"/>
    <col min="6651" max="6658" width="10.7109375" style="4" customWidth="1"/>
    <col min="6659" max="6904" width="8.85546875" style="4"/>
    <col min="6905" max="6905" width="1.7109375" style="4" customWidth="1"/>
    <col min="6906" max="6906" width="40.7109375" style="4" customWidth="1"/>
    <col min="6907" max="6914" width="10.7109375" style="4" customWidth="1"/>
    <col min="6915" max="7160" width="8.85546875" style="4"/>
    <col min="7161" max="7161" width="1.7109375" style="4" customWidth="1"/>
    <col min="7162" max="7162" width="40.7109375" style="4" customWidth="1"/>
    <col min="7163" max="7170" width="10.7109375" style="4" customWidth="1"/>
    <col min="7171" max="7416" width="8.85546875" style="4"/>
    <col min="7417" max="7417" width="1.7109375" style="4" customWidth="1"/>
    <col min="7418" max="7418" width="40.7109375" style="4" customWidth="1"/>
    <col min="7419" max="7426" width="10.7109375" style="4" customWidth="1"/>
    <col min="7427" max="7672" width="8.85546875" style="4"/>
    <col min="7673" max="7673" width="1.7109375" style="4" customWidth="1"/>
    <col min="7674" max="7674" width="40.7109375" style="4" customWidth="1"/>
    <col min="7675" max="7682" width="10.7109375" style="4" customWidth="1"/>
    <col min="7683" max="7928" width="8.85546875" style="4"/>
    <col min="7929" max="7929" width="1.7109375" style="4" customWidth="1"/>
    <col min="7930" max="7930" width="40.7109375" style="4" customWidth="1"/>
    <col min="7931" max="7938" width="10.7109375" style="4" customWidth="1"/>
    <col min="7939" max="8184" width="8.85546875" style="4"/>
    <col min="8185" max="8185" width="1.7109375" style="4" customWidth="1"/>
    <col min="8186" max="8186" width="40.7109375" style="4" customWidth="1"/>
    <col min="8187" max="8194" width="10.7109375" style="4" customWidth="1"/>
    <col min="8195" max="8440" width="8.85546875" style="4"/>
    <col min="8441" max="8441" width="1.7109375" style="4" customWidth="1"/>
    <col min="8442" max="8442" width="40.7109375" style="4" customWidth="1"/>
    <col min="8443" max="8450" width="10.7109375" style="4" customWidth="1"/>
    <col min="8451" max="8696" width="8.85546875" style="4"/>
    <col min="8697" max="8697" width="1.7109375" style="4" customWidth="1"/>
    <col min="8698" max="8698" width="40.7109375" style="4" customWidth="1"/>
    <col min="8699" max="8706" width="10.7109375" style="4" customWidth="1"/>
    <col min="8707" max="8952" width="8.85546875" style="4"/>
    <col min="8953" max="8953" width="1.7109375" style="4" customWidth="1"/>
    <col min="8954" max="8954" width="40.7109375" style="4" customWidth="1"/>
    <col min="8955" max="8962" width="10.7109375" style="4" customWidth="1"/>
    <col min="8963" max="9208" width="8.85546875" style="4"/>
    <col min="9209" max="9209" width="1.7109375" style="4" customWidth="1"/>
    <col min="9210" max="9210" width="40.7109375" style="4" customWidth="1"/>
    <col min="9211" max="9218" width="10.7109375" style="4" customWidth="1"/>
    <col min="9219" max="9464" width="8.85546875" style="4"/>
    <col min="9465" max="9465" width="1.7109375" style="4" customWidth="1"/>
    <col min="9466" max="9466" width="40.7109375" style="4" customWidth="1"/>
    <col min="9467" max="9474" width="10.7109375" style="4" customWidth="1"/>
    <col min="9475" max="9720" width="8.85546875" style="4"/>
    <col min="9721" max="9721" width="1.7109375" style="4" customWidth="1"/>
    <col min="9722" max="9722" width="40.7109375" style="4" customWidth="1"/>
    <col min="9723" max="9730" width="10.7109375" style="4" customWidth="1"/>
    <col min="9731" max="9976" width="8.85546875" style="4"/>
    <col min="9977" max="9977" width="1.7109375" style="4" customWidth="1"/>
    <col min="9978" max="9978" width="40.7109375" style="4" customWidth="1"/>
    <col min="9979" max="9986" width="10.7109375" style="4" customWidth="1"/>
    <col min="9987" max="10232" width="8.85546875" style="4"/>
    <col min="10233" max="10233" width="1.7109375" style="4" customWidth="1"/>
    <col min="10234" max="10234" width="40.7109375" style="4" customWidth="1"/>
    <col min="10235" max="10242" width="10.7109375" style="4" customWidth="1"/>
    <col min="10243" max="10488" width="8.85546875" style="4"/>
    <col min="10489" max="10489" width="1.7109375" style="4" customWidth="1"/>
    <col min="10490" max="10490" width="40.7109375" style="4" customWidth="1"/>
    <col min="10491" max="10498" width="10.7109375" style="4" customWidth="1"/>
    <col min="10499" max="10744" width="8.85546875" style="4"/>
    <col min="10745" max="10745" width="1.7109375" style="4" customWidth="1"/>
    <col min="10746" max="10746" width="40.7109375" style="4" customWidth="1"/>
    <col min="10747" max="10754" width="10.7109375" style="4" customWidth="1"/>
    <col min="10755" max="11000" width="8.85546875" style="4"/>
    <col min="11001" max="11001" width="1.7109375" style="4" customWidth="1"/>
    <col min="11002" max="11002" width="40.7109375" style="4" customWidth="1"/>
    <col min="11003" max="11010" width="10.7109375" style="4" customWidth="1"/>
    <col min="11011" max="11256" width="8.85546875" style="4"/>
    <col min="11257" max="11257" width="1.7109375" style="4" customWidth="1"/>
    <col min="11258" max="11258" width="40.7109375" style="4" customWidth="1"/>
    <col min="11259" max="11266" width="10.7109375" style="4" customWidth="1"/>
    <col min="11267" max="11512" width="8.85546875" style="4"/>
    <col min="11513" max="11513" width="1.7109375" style="4" customWidth="1"/>
    <col min="11514" max="11514" width="40.7109375" style="4" customWidth="1"/>
    <col min="11515" max="11522" width="10.7109375" style="4" customWidth="1"/>
    <col min="11523" max="11768" width="8.85546875" style="4"/>
    <col min="11769" max="11769" width="1.7109375" style="4" customWidth="1"/>
    <col min="11770" max="11770" width="40.7109375" style="4" customWidth="1"/>
    <col min="11771" max="11778" width="10.7109375" style="4" customWidth="1"/>
    <col min="11779" max="12024" width="8.85546875" style="4"/>
    <col min="12025" max="12025" width="1.7109375" style="4" customWidth="1"/>
    <col min="12026" max="12026" width="40.7109375" style="4" customWidth="1"/>
    <col min="12027" max="12034" width="10.7109375" style="4" customWidth="1"/>
    <col min="12035" max="12280" width="8.85546875" style="4"/>
    <col min="12281" max="12281" width="1.7109375" style="4" customWidth="1"/>
    <col min="12282" max="12282" width="40.7109375" style="4" customWidth="1"/>
    <col min="12283" max="12290" width="10.7109375" style="4" customWidth="1"/>
    <col min="12291" max="12536" width="8.85546875" style="4"/>
    <col min="12537" max="12537" width="1.7109375" style="4" customWidth="1"/>
    <col min="12538" max="12538" width="40.7109375" style="4" customWidth="1"/>
    <col min="12539" max="12546" width="10.7109375" style="4" customWidth="1"/>
    <col min="12547" max="12792" width="8.85546875" style="4"/>
    <col min="12793" max="12793" width="1.7109375" style="4" customWidth="1"/>
    <col min="12794" max="12794" width="40.7109375" style="4" customWidth="1"/>
    <col min="12795" max="12802" width="10.7109375" style="4" customWidth="1"/>
    <col min="12803" max="13048" width="8.85546875" style="4"/>
    <col min="13049" max="13049" width="1.7109375" style="4" customWidth="1"/>
    <col min="13050" max="13050" width="40.7109375" style="4" customWidth="1"/>
    <col min="13051" max="13058" width="10.7109375" style="4" customWidth="1"/>
    <col min="13059" max="13304" width="8.85546875" style="4"/>
    <col min="13305" max="13305" width="1.7109375" style="4" customWidth="1"/>
    <col min="13306" max="13306" width="40.7109375" style="4" customWidth="1"/>
    <col min="13307" max="13314" width="10.7109375" style="4" customWidth="1"/>
    <col min="13315" max="13560" width="8.85546875" style="4"/>
    <col min="13561" max="13561" width="1.7109375" style="4" customWidth="1"/>
    <col min="13562" max="13562" width="40.7109375" style="4" customWidth="1"/>
    <col min="13563" max="13570" width="10.7109375" style="4" customWidth="1"/>
    <col min="13571" max="13816" width="8.85546875" style="4"/>
    <col min="13817" max="13817" width="1.7109375" style="4" customWidth="1"/>
    <col min="13818" max="13818" width="40.7109375" style="4" customWidth="1"/>
    <col min="13819" max="13826" width="10.7109375" style="4" customWidth="1"/>
    <col min="13827" max="14072" width="8.85546875" style="4"/>
    <col min="14073" max="14073" width="1.7109375" style="4" customWidth="1"/>
    <col min="14074" max="14074" width="40.7109375" style="4" customWidth="1"/>
    <col min="14075" max="14082" width="10.7109375" style="4" customWidth="1"/>
    <col min="14083" max="14328" width="8.85546875" style="4"/>
    <col min="14329" max="14329" width="1.7109375" style="4" customWidth="1"/>
    <col min="14330" max="14330" width="40.7109375" style="4" customWidth="1"/>
    <col min="14331" max="14338" width="10.7109375" style="4" customWidth="1"/>
    <col min="14339" max="14584" width="8.85546875" style="4"/>
    <col min="14585" max="14585" width="1.7109375" style="4" customWidth="1"/>
    <col min="14586" max="14586" width="40.7109375" style="4" customWidth="1"/>
    <col min="14587" max="14594" width="10.7109375" style="4" customWidth="1"/>
    <col min="14595" max="14840" width="8.85546875" style="4"/>
    <col min="14841" max="14841" width="1.7109375" style="4" customWidth="1"/>
    <col min="14842" max="14842" width="40.7109375" style="4" customWidth="1"/>
    <col min="14843" max="14850" width="10.7109375" style="4" customWidth="1"/>
    <col min="14851" max="15096" width="8.85546875" style="4"/>
    <col min="15097" max="15097" width="1.7109375" style="4" customWidth="1"/>
    <col min="15098" max="15098" width="40.7109375" style="4" customWidth="1"/>
    <col min="15099" max="15106" width="10.7109375" style="4" customWidth="1"/>
    <col min="15107" max="15352" width="8.85546875" style="4"/>
    <col min="15353" max="15353" width="1.7109375" style="4" customWidth="1"/>
    <col min="15354" max="15354" width="40.7109375" style="4" customWidth="1"/>
    <col min="15355" max="15362" width="10.7109375" style="4" customWidth="1"/>
    <col min="15363" max="15608" width="8.85546875" style="4"/>
    <col min="15609" max="15609" width="1.7109375" style="4" customWidth="1"/>
    <col min="15610" max="15610" width="40.7109375" style="4" customWidth="1"/>
    <col min="15611" max="15618" width="10.7109375" style="4" customWidth="1"/>
    <col min="15619" max="15864" width="8.85546875" style="4"/>
    <col min="15865" max="15865" width="1.7109375" style="4" customWidth="1"/>
    <col min="15866" max="15866" width="40.7109375" style="4" customWidth="1"/>
    <col min="15867" max="15874" width="10.7109375" style="4" customWidth="1"/>
    <col min="15875" max="16120" width="8.85546875" style="4"/>
    <col min="16121" max="16121" width="1.7109375" style="4" customWidth="1"/>
    <col min="16122" max="16122" width="40.7109375" style="4" customWidth="1"/>
    <col min="16123" max="16130" width="10.7109375" style="4" customWidth="1"/>
    <col min="16131" max="16384" width="8.85546875" style="4"/>
  </cols>
  <sheetData>
    <row r="1" spans="1:15" s="2" customFormat="1" ht="19.5" x14ac:dyDescent="0.3">
      <c r="A1" s="226" t="str">
        <f>CoName</f>
        <v>Broadcom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x14ac:dyDescent="0.25">
      <c r="A2" s="20" t="s">
        <v>11</v>
      </c>
      <c r="B2" s="19"/>
      <c r="C2" s="191">
        <v>2022</v>
      </c>
      <c r="D2" s="225">
        <f>C2+1</f>
        <v>2023</v>
      </c>
      <c r="E2" s="225">
        <f t="shared" ref="E2:J2" si="0">D2+1</f>
        <v>2024</v>
      </c>
      <c r="F2" s="225">
        <f t="shared" si="0"/>
        <v>2025</v>
      </c>
      <c r="G2" s="225">
        <f t="shared" si="0"/>
        <v>2026</v>
      </c>
      <c r="H2" s="225">
        <f t="shared" si="0"/>
        <v>2027</v>
      </c>
      <c r="I2" s="225">
        <f t="shared" si="0"/>
        <v>2028</v>
      </c>
      <c r="J2" s="225">
        <f t="shared" si="0"/>
        <v>2029</v>
      </c>
      <c r="K2" s="225">
        <f t="shared" ref="K2" si="1">J2+1</f>
        <v>2030</v>
      </c>
      <c r="L2" s="225">
        <f t="shared" ref="L2" si="2">K2+1</f>
        <v>2031</v>
      </c>
      <c r="M2" s="225">
        <f t="shared" ref="M2" si="3">L2+1</f>
        <v>2032</v>
      </c>
      <c r="N2" s="225">
        <f t="shared" ref="N2" si="4">M2+1</f>
        <v>2033</v>
      </c>
      <c r="O2" s="225">
        <f t="shared" ref="O2" si="5">N2+1</f>
        <v>2034</v>
      </c>
    </row>
    <row r="3" spans="1:15" x14ac:dyDescent="0.25">
      <c r="B3" s="4" t="s">
        <v>12</v>
      </c>
      <c r="C3" s="29"/>
      <c r="D3" s="29"/>
      <c r="E3" s="40"/>
      <c r="F3" s="195">
        <f>Assumptions!F33</f>
        <v>1.062550897739171E-2</v>
      </c>
      <c r="G3" s="195">
        <f>Assumptions!G33</f>
        <v>1.062550897739171E-2</v>
      </c>
      <c r="H3" s="195">
        <f>Assumptions!H33</f>
        <v>1.062550897739171E-2</v>
      </c>
      <c r="I3" s="195">
        <f>Assumptions!I33</f>
        <v>1.062550897739171E-2</v>
      </c>
      <c r="J3" s="195">
        <f>Assumptions!J33</f>
        <v>1.062550897739171E-2</v>
      </c>
      <c r="K3" s="195">
        <f>Assumptions!K33</f>
        <v>1.062550897739171E-2</v>
      </c>
      <c r="L3" s="195">
        <f>Assumptions!L33</f>
        <v>1.062550897739171E-2</v>
      </c>
      <c r="M3" s="195">
        <f>Assumptions!M33</f>
        <v>1.062550897739171E-2</v>
      </c>
      <c r="N3" s="195">
        <f>Assumptions!N33</f>
        <v>1.062550897739171E-2</v>
      </c>
      <c r="O3" s="195">
        <f>Assumptions!O33</f>
        <v>1.062550897739171E-2</v>
      </c>
    </row>
    <row r="4" spans="1:15" x14ac:dyDescent="0.25">
      <c r="B4" s="4" t="s">
        <v>136</v>
      </c>
      <c r="C4" s="29"/>
      <c r="D4" s="29"/>
      <c r="E4" s="40"/>
      <c r="F4" s="195">
        <f>Assumptions!F34</f>
        <v>0.27530176415970287</v>
      </c>
      <c r="G4" s="195">
        <f>F4</f>
        <v>0.27530176415970287</v>
      </c>
      <c r="H4" s="195">
        <f t="shared" ref="H4:J4" si="6">G4</f>
        <v>0.27530176415970287</v>
      </c>
      <c r="I4" s="195">
        <f t="shared" si="6"/>
        <v>0.27530176415970287</v>
      </c>
      <c r="J4" s="195">
        <f t="shared" si="6"/>
        <v>0.27530176415970287</v>
      </c>
      <c r="K4" s="195">
        <f t="shared" ref="K4" si="7">J4</f>
        <v>0.27530176415970287</v>
      </c>
      <c r="L4" s="195">
        <f t="shared" ref="L4" si="8">K4</f>
        <v>0.27530176415970287</v>
      </c>
      <c r="M4" s="195">
        <f t="shared" ref="M4" si="9">L4</f>
        <v>0.27530176415970287</v>
      </c>
      <c r="N4" s="195">
        <f t="shared" ref="N4" si="10">M4</f>
        <v>0.27530176415970287</v>
      </c>
      <c r="O4" s="195">
        <f t="shared" ref="O4" si="11">N4</f>
        <v>0.27530176415970287</v>
      </c>
    </row>
    <row r="5" spans="1:15" x14ac:dyDescent="0.25">
      <c r="E5" s="27"/>
      <c r="F5" s="78"/>
      <c r="G5" s="66"/>
      <c r="H5" s="84"/>
      <c r="I5" s="66"/>
      <c r="J5" s="66"/>
      <c r="K5" s="66"/>
      <c r="L5" s="66"/>
      <c r="M5" s="66"/>
      <c r="N5" s="66"/>
      <c r="O5" s="66"/>
    </row>
    <row r="6" spans="1:15" x14ac:dyDescent="0.25">
      <c r="B6" s="4" t="s">
        <v>13</v>
      </c>
      <c r="E6" s="27"/>
      <c r="F6" s="4">
        <f>E9</f>
        <v>2521</v>
      </c>
      <c r="G6" s="4">
        <f t="shared" ref="G6:O6" si="12">F9</f>
        <v>2531.8853794178326</v>
      </c>
      <c r="H6" s="4">
        <f t="shared" si="12"/>
        <v>2817.4865869324526</v>
      </c>
      <c r="I6" s="4">
        <f t="shared" si="12"/>
        <v>3319.251393907708</v>
      </c>
      <c r="J6" s="4">
        <f t="shared" si="12"/>
        <v>4059.7194956113708</v>
      </c>
      <c r="K6" s="4">
        <f t="shared" si="12"/>
        <v>5076.0719437914713</v>
      </c>
      <c r="L6" s="4">
        <f t="shared" si="12"/>
        <v>6420.8108803644609</v>
      </c>
      <c r="M6" s="4">
        <f t="shared" si="12"/>
        <v>8163.1541547207626</v>
      </c>
      <c r="N6" s="4">
        <f t="shared" si="12"/>
        <v>10391.078307065505</v>
      </c>
      <c r="O6" s="4">
        <f t="shared" si="12"/>
        <v>13213.969830762411</v>
      </c>
    </row>
    <row r="7" spans="1:15" x14ac:dyDescent="0.25">
      <c r="B7" s="4" t="s">
        <v>14</v>
      </c>
      <c r="C7" s="12"/>
      <c r="D7" s="12"/>
      <c r="E7" s="128"/>
      <c r="F7" s="4">
        <f>F3*IncState!F17</f>
        <v>704.92112686444341</v>
      </c>
      <c r="G7" s="4">
        <f>G3*IncState!G17</f>
        <v>982.63371911850777</v>
      </c>
      <c r="H7" s="4">
        <f>H3*IncState!H17</f>
        <v>1277.42383485406</v>
      </c>
      <c r="I7" s="4">
        <f>I3*IncState!I17</f>
        <v>1654.2638661360077</v>
      </c>
      <c r="J7" s="4">
        <f>J3*IncState!J17</f>
        <v>2134.0003873154501</v>
      </c>
      <c r="K7" s="4">
        <f>K3*IncState!K17</f>
        <v>2742.1904977003533</v>
      </c>
      <c r="L7" s="4">
        <f>L3*IncState!L17</f>
        <v>3510.0038370564525</v>
      </c>
      <c r="M7" s="4">
        <f>M3*IncState!M17</f>
        <v>4475.2548922469769</v>
      </c>
      <c r="N7" s="4">
        <f>N3*IncState!N17</f>
        <v>5683.5737131536598</v>
      </c>
      <c r="O7" s="4">
        <f>O3*IncState!O17</f>
        <v>7189.7207471393795</v>
      </c>
    </row>
    <row r="8" spans="1:15" x14ac:dyDescent="0.25">
      <c r="B8" s="4" t="s">
        <v>15</v>
      </c>
      <c r="E8" s="27"/>
      <c r="F8" s="4">
        <f>F6*F4</f>
        <v>694.03574744661091</v>
      </c>
      <c r="G8" s="4">
        <f t="shared" ref="G8:O8" si="13">G6*G4</f>
        <v>697.032511603888</v>
      </c>
      <c r="H8" s="4">
        <f t="shared" si="13"/>
        <v>775.65902787880418</v>
      </c>
      <c r="I8" s="4">
        <f t="shared" si="13"/>
        <v>913.79576443234487</v>
      </c>
      <c r="J8" s="4">
        <f t="shared" si="13"/>
        <v>1117.6479391353496</v>
      </c>
      <c r="K8" s="4">
        <f t="shared" si="13"/>
        <v>1397.4515611273641</v>
      </c>
      <c r="L8" s="4">
        <f t="shared" si="13"/>
        <v>1767.6605627001509</v>
      </c>
      <c r="M8" s="4">
        <f t="shared" si="13"/>
        <v>2247.3307399022342</v>
      </c>
      <c r="N8" s="4">
        <f t="shared" si="13"/>
        <v>2860.6821894567524</v>
      </c>
      <c r="O8" s="4">
        <f t="shared" si="13"/>
        <v>3637.8292059619821</v>
      </c>
    </row>
    <row r="9" spans="1:15" x14ac:dyDescent="0.25">
      <c r="B9" s="4" t="s">
        <v>16</v>
      </c>
      <c r="E9" s="27">
        <f>BalSheet!E22</f>
        <v>2521</v>
      </c>
      <c r="F9" s="4">
        <f>F6+F7-F8</f>
        <v>2531.8853794178326</v>
      </c>
      <c r="G9" s="4">
        <f t="shared" ref="G9:O9" si="14">G6+G7-G8</f>
        <v>2817.4865869324526</v>
      </c>
      <c r="H9" s="4">
        <f t="shared" si="14"/>
        <v>3319.251393907708</v>
      </c>
      <c r="I9" s="4">
        <f t="shared" si="14"/>
        <v>4059.7194956113708</v>
      </c>
      <c r="J9" s="4">
        <f t="shared" si="14"/>
        <v>5076.0719437914713</v>
      </c>
      <c r="K9" s="4">
        <f t="shared" si="14"/>
        <v>6420.8108803644609</v>
      </c>
      <c r="L9" s="4">
        <f t="shared" si="14"/>
        <v>8163.1541547207626</v>
      </c>
      <c r="M9" s="4">
        <f t="shared" si="14"/>
        <v>10391.078307065505</v>
      </c>
      <c r="N9" s="4">
        <f t="shared" si="14"/>
        <v>13213.969830762411</v>
      </c>
      <c r="O9" s="4">
        <f t="shared" si="14"/>
        <v>16765.861371939809</v>
      </c>
    </row>
    <row r="10" spans="1:15" x14ac:dyDescent="0.25">
      <c r="A10" s="20" t="s">
        <v>17</v>
      </c>
      <c r="B10" s="42"/>
      <c r="C10" s="211">
        <f t="shared" ref="C10:F10" si="15">C2</f>
        <v>2022</v>
      </c>
      <c r="D10" s="211">
        <f t="shared" si="15"/>
        <v>2023</v>
      </c>
      <c r="E10" s="211">
        <f t="shared" si="15"/>
        <v>2024</v>
      </c>
      <c r="F10" s="211">
        <f t="shared" si="15"/>
        <v>2025</v>
      </c>
      <c r="G10" s="211">
        <f t="shared" ref="G10:O10" si="16">G2</f>
        <v>2026</v>
      </c>
      <c r="H10" s="211">
        <f t="shared" si="16"/>
        <v>2027</v>
      </c>
      <c r="I10" s="211">
        <f t="shared" si="16"/>
        <v>2028</v>
      </c>
      <c r="J10" s="211">
        <f t="shared" si="16"/>
        <v>2029</v>
      </c>
      <c r="K10" s="211">
        <f t="shared" si="16"/>
        <v>2030</v>
      </c>
      <c r="L10" s="211">
        <f t="shared" si="16"/>
        <v>2031</v>
      </c>
      <c r="M10" s="211">
        <f t="shared" si="16"/>
        <v>2032</v>
      </c>
      <c r="N10" s="211">
        <f t="shared" si="16"/>
        <v>2033</v>
      </c>
      <c r="O10" s="211">
        <f t="shared" si="16"/>
        <v>2034</v>
      </c>
    </row>
    <row r="11" spans="1:15" x14ac:dyDescent="0.25">
      <c r="B11" s="4" t="s">
        <v>18</v>
      </c>
      <c r="E11" s="27"/>
      <c r="F11" s="227">
        <f>Assumptions!F35</f>
        <v>0</v>
      </c>
      <c r="G11" s="227">
        <f>Assumptions!G35</f>
        <v>0</v>
      </c>
      <c r="H11" s="227">
        <f>Assumptions!H35</f>
        <v>0</v>
      </c>
      <c r="I11" s="227">
        <f>Assumptions!I35</f>
        <v>0</v>
      </c>
      <c r="J11" s="227">
        <f>Assumptions!J35</f>
        <v>0</v>
      </c>
      <c r="K11" s="227">
        <f>Assumptions!K35</f>
        <v>0</v>
      </c>
      <c r="L11" s="227">
        <f>Assumptions!L35</f>
        <v>0</v>
      </c>
      <c r="M11" s="227">
        <f>Assumptions!M35</f>
        <v>0</v>
      </c>
      <c r="N11" s="227">
        <f>Assumptions!N35</f>
        <v>0</v>
      </c>
      <c r="O11" s="227">
        <f>Assumptions!O35</f>
        <v>0</v>
      </c>
    </row>
    <row r="12" spans="1:15" x14ac:dyDescent="0.25">
      <c r="E12" s="27"/>
      <c r="F12" s="78"/>
      <c r="G12" s="78"/>
      <c r="H12" s="78"/>
      <c r="I12" s="78"/>
      <c r="J12" s="78"/>
      <c r="K12" s="78"/>
      <c r="L12" s="78"/>
      <c r="M12" s="78"/>
      <c r="N12" s="78"/>
      <c r="O12" s="78"/>
    </row>
    <row r="13" spans="1:15" x14ac:dyDescent="0.25">
      <c r="B13" s="4" t="s">
        <v>19</v>
      </c>
      <c r="E13" s="27"/>
      <c r="F13" s="4">
        <f>E17</f>
        <v>67678</v>
      </c>
      <c r="G13" s="4">
        <f t="shared" ref="G13:O13" si="17">F17</f>
        <v>72067.571817369826</v>
      </c>
      <c r="H13" s="4">
        <f t="shared" si="17"/>
        <v>81268.754100433303</v>
      </c>
      <c r="I13" s="4">
        <f t="shared" si="17"/>
        <v>95656.987477189017</v>
      </c>
      <c r="J13" s="4">
        <f t="shared" si="17"/>
        <v>117036.09741760996</v>
      </c>
      <c r="K13" s="4">
        <f t="shared" si="17"/>
        <v>147668.21067724368</v>
      </c>
      <c r="L13" s="4">
        <f t="shared" si="17"/>
        <v>190377.31378155152</v>
      </c>
      <c r="M13" s="4">
        <f t="shared" si="17"/>
        <v>248672.64186015111</v>
      </c>
      <c r="N13" s="4">
        <f t="shared" si="17"/>
        <v>326894.76221507759</v>
      </c>
      <c r="O13" s="4">
        <f t="shared" si="17"/>
        <v>430387.39548039192</v>
      </c>
    </row>
    <row r="14" spans="1:15" x14ac:dyDescent="0.25">
      <c r="B14" s="4" t="s">
        <v>20</v>
      </c>
      <c r="E14" s="27"/>
      <c r="F14" s="4">
        <f>IncState!F36</f>
        <v>15497.330795436828</v>
      </c>
      <c r="G14" s="4">
        <f>IncState!G36</f>
        <v>21602.700239197482</v>
      </c>
      <c r="H14" s="4">
        <f>IncState!H36</f>
        <v>28083.510310956732</v>
      </c>
      <c r="I14" s="4">
        <f>IncState!I36</f>
        <v>36368.145852688969</v>
      </c>
      <c r="J14" s="4">
        <f>IncState!J36</f>
        <v>46914.908149968767</v>
      </c>
      <c r="K14" s="4">
        <f>IncState!K36</f>
        <v>60285.656972709876</v>
      </c>
      <c r="L14" s="4">
        <f>IncState!L36</f>
        <v>77165.640925068627</v>
      </c>
      <c r="M14" s="4">
        <f>IncState!M36</f>
        <v>98386.192179462523</v>
      </c>
      <c r="N14" s="4">
        <f>IncState!N36</f>
        <v>124950.46406791738</v>
      </c>
      <c r="O14" s="4">
        <f>IncState!O36</f>
        <v>158062.33704591545</v>
      </c>
    </row>
    <row r="15" spans="1:15" x14ac:dyDescent="0.25">
      <c r="B15" s="4" t="s">
        <v>21</v>
      </c>
      <c r="E15" s="27"/>
      <c r="F15" s="4">
        <f>-IncState!F38</f>
        <v>-11107.758978067004</v>
      </c>
      <c r="G15" s="4">
        <f>-IncState!G38</f>
        <v>-12401.51795613401</v>
      </c>
      <c r="H15" s="4">
        <f>-IncState!H38</f>
        <v>-13695.276934201014</v>
      </c>
      <c r="I15" s="4">
        <f>-IncState!I38</f>
        <v>-14989.035912268018</v>
      </c>
      <c r="J15" s="4">
        <f>-IncState!J38</f>
        <v>-16282.794890335024</v>
      </c>
      <c r="K15" s="4">
        <f>-IncState!K38</f>
        <v>-17576.553868402028</v>
      </c>
      <c r="L15" s="4">
        <f>-IncState!L38</f>
        <v>-18870.312846469034</v>
      </c>
      <c r="M15" s="4">
        <f>-IncState!M38</f>
        <v>-20164.07182453604</v>
      </c>
      <c r="N15" s="4">
        <f>-IncState!N38</f>
        <v>-21457.830802603043</v>
      </c>
      <c r="O15" s="4">
        <f>-IncState!O38</f>
        <v>-22751.589780670049</v>
      </c>
    </row>
    <row r="16" spans="1:15" x14ac:dyDescent="0.25">
      <c r="B16" s="4" t="s">
        <v>22</v>
      </c>
      <c r="E16" s="27"/>
      <c r="F16" s="4">
        <f>F11</f>
        <v>0</v>
      </c>
      <c r="G16" s="4">
        <f t="shared" ref="G16:O16" si="18">G11</f>
        <v>0</v>
      </c>
      <c r="H16" s="4">
        <f t="shared" si="18"/>
        <v>0</v>
      </c>
      <c r="I16" s="4">
        <f t="shared" si="18"/>
        <v>0</v>
      </c>
      <c r="J16" s="4">
        <f t="shared" si="18"/>
        <v>0</v>
      </c>
      <c r="K16" s="4">
        <f t="shared" si="18"/>
        <v>0</v>
      </c>
      <c r="L16" s="4">
        <f t="shared" si="18"/>
        <v>0</v>
      </c>
      <c r="M16" s="4">
        <f t="shared" si="18"/>
        <v>0</v>
      </c>
      <c r="N16" s="4">
        <f t="shared" si="18"/>
        <v>0</v>
      </c>
      <c r="O16" s="4">
        <f t="shared" si="18"/>
        <v>0</v>
      </c>
    </row>
    <row r="17" spans="1:15" x14ac:dyDescent="0.25">
      <c r="B17" s="4" t="s">
        <v>23</v>
      </c>
      <c r="E17" s="27">
        <f>BalSheet!E38</f>
        <v>67678</v>
      </c>
      <c r="F17" s="4">
        <f>SUM(F13:F16)</f>
        <v>72067.571817369826</v>
      </c>
      <c r="G17" s="4">
        <f t="shared" ref="G17:O17" si="19">SUM(G13:G16)</f>
        <v>81268.754100433303</v>
      </c>
      <c r="H17" s="4">
        <f t="shared" si="19"/>
        <v>95656.987477189017</v>
      </c>
      <c r="I17" s="4">
        <f t="shared" si="19"/>
        <v>117036.09741760996</v>
      </c>
      <c r="J17" s="4">
        <f t="shared" si="19"/>
        <v>147668.21067724368</v>
      </c>
      <c r="K17" s="4">
        <f t="shared" si="19"/>
        <v>190377.31378155152</v>
      </c>
      <c r="L17" s="4">
        <f t="shared" si="19"/>
        <v>248672.64186015111</v>
      </c>
      <c r="M17" s="4">
        <f t="shared" si="19"/>
        <v>326894.76221507759</v>
      </c>
      <c r="N17" s="4">
        <f t="shared" si="19"/>
        <v>430387.39548039192</v>
      </c>
      <c r="O17" s="4">
        <f t="shared" si="19"/>
        <v>565698.14274563733</v>
      </c>
    </row>
    <row r="18" spans="1:15" x14ac:dyDescent="0.25">
      <c r="A18" s="20" t="s">
        <v>24</v>
      </c>
      <c r="B18" s="42"/>
      <c r="C18" s="211">
        <f>C10</f>
        <v>2022</v>
      </c>
      <c r="D18" s="211">
        <f t="shared" ref="D18:F18" si="20">D10</f>
        <v>2023</v>
      </c>
      <c r="E18" s="211">
        <f t="shared" si="20"/>
        <v>2024</v>
      </c>
      <c r="F18" s="211">
        <f t="shared" si="20"/>
        <v>2025</v>
      </c>
      <c r="G18" s="211">
        <f t="shared" ref="G18:O18" si="21">G10</f>
        <v>2026</v>
      </c>
      <c r="H18" s="211">
        <f t="shared" si="21"/>
        <v>2027</v>
      </c>
      <c r="I18" s="211">
        <f t="shared" si="21"/>
        <v>2028</v>
      </c>
      <c r="J18" s="211">
        <f t="shared" si="21"/>
        <v>2029</v>
      </c>
      <c r="K18" s="211">
        <f t="shared" si="21"/>
        <v>2030</v>
      </c>
      <c r="L18" s="211">
        <f t="shared" si="21"/>
        <v>2031</v>
      </c>
      <c r="M18" s="211">
        <f t="shared" si="21"/>
        <v>2032</v>
      </c>
      <c r="N18" s="211">
        <f t="shared" si="21"/>
        <v>2033</v>
      </c>
      <c r="O18" s="211">
        <f t="shared" si="21"/>
        <v>2034</v>
      </c>
    </row>
    <row r="19" spans="1:15" x14ac:dyDescent="0.25">
      <c r="A19" s="87"/>
      <c r="B19" s="171" t="s">
        <v>160</v>
      </c>
      <c r="C19" s="193"/>
      <c r="D19" s="193"/>
      <c r="E19" s="197">
        <f>BalSheet!E15</f>
        <v>773.61</v>
      </c>
      <c r="F19" s="261">
        <f>BalSheet!F15</f>
        <v>995.13509663066054</v>
      </c>
      <c r="G19" s="261">
        <f>BalSheet!G15</f>
        <v>1387.1811522760379</v>
      </c>
      <c r="H19" s="261">
        <f>BalSheet!H15</f>
        <v>1803.3354979588491</v>
      </c>
      <c r="I19" s="261">
        <f>BalSheet!I15</f>
        <v>2335.3194698567095</v>
      </c>
      <c r="J19" s="261">
        <f>BalSheet!J15</f>
        <v>3012.5621161151557</v>
      </c>
      <c r="K19" s="261">
        <f>BalSheet!K15</f>
        <v>3871.1423192079747</v>
      </c>
      <c r="L19" s="261">
        <f>BalSheet!L15</f>
        <v>4955.0621685862079</v>
      </c>
      <c r="M19" s="261">
        <f>BalSheet!M15</f>
        <v>6317.7042649474142</v>
      </c>
      <c r="N19" s="261">
        <f>BalSheet!N15</f>
        <v>8023.4844164832157</v>
      </c>
      <c r="O19" s="261">
        <f>BalSheet!O15</f>
        <v>10149.707786851268</v>
      </c>
    </row>
    <row r="20" spans="1:15" x14ac:dyDescent="0.25">
      <c r="B20" s="4" t="str">
        <f>BalSheet!B18</f>
        <v>Inventories</v>
      </c>
      <c r="D20" s="98"/>
      <c r="E20" s="99">
        <f>BalSheet!E18</f>
        <v>1760</v>
      </c>
      <c r="F20" s="262">
        <f>BalSheet!F18</f>
        <v>2263.9802614624455</v>
      </c>
      <c r="G20" s="262">
        <f>BalSheet!G18</f>
        <v>3155.9039154171051</v>
      </c>
      <c r="H20" s="262">
        <f>BalSheet!H18</f>
        <v>4102.6750900422367</v>
      </c>
      <c r="I20" s="262">
        <f>BalSheet!I18</f>
        <v>5312.9642416046954</v>
      </c>
      <c r="J20" s="262">
        <f>BalSheet!J18</f>
        <v>6853.7238716700585</v>
      </c>
      <c r="K20" s="262">
        <f>BalSheet!K18</f>
        <v>8807.0351750960235</v>
      </c>
      <c r="L20" s="262">
        <f>BalSheet!L18</f>
        <v>11273.005024122911</v>
      </c>
      <c r="M20" s="262">
        <f>BalSheet!M18</f>
        <v>14373.08140575671</v>
      </c>
      <c r="N20" s="262">
        <f>BalSheet!N18</f>
        <v>18253.813385311023</v>
      </c>
      <c r="O20" s="262">
        <f>BalSheet!O18</f>
        <v>23091.07393241844</v>
      </c>
    </row>
    <row r="21" spans="1:15" x14ac:dyDescent="0.25">
      <c r="B21" s="4" t="str">
        <f>BalSheet!B17</f>
        <v>Accounts receivable</v>
      </c>
      <c r="C21" s="98"/>
      <c r="D21" s="98"/>
      <c r="E21" s="99">
        <f>BalSheet!E17</f>
        <v>4416</v>
      </c>
      <c r="F21" s="262">
        <f>BalSheet!F17</f>
        <v>5680.5322923966824</v>
      </c>
      <c r="G21" s="262">
        <f>BalSheet!G17</f>
        <v>7918.449824137464</v>
      </c>
      <c r="H21" s="262">
        <f>BalSheet!H17</f>
        <v>10293.984771378702</v>
      </c>
      <c r="I21" s="262">
        <f>BalSheet!I17</f>
        <v>13330.710278935419</v>
      </c>
      <c r="J21" s="262">
        <f>BalSheet!J17</f>
        <v>17196.616259826693</v>
      </c>
      <c r="K21" s="262">
        <f>BalSheet!K17</f>
        <v>22097.651893877301</v>
      </c>
      <c r="L21" s="262">
        <f>BalSheet!L17</f>
        <v>28284.994424162942</v>
      </c>
      <c r="M21" s="262">
        <f>BalSheet!M17</f>
        <v>36063.367890807749</v>
      </c>
      <c r="N21" s="262">
        <f>BalSheet!N17</f>
        <v>45800.47722132584</v>
      </c>
      <c r="O21" s="262">
        <f>BalSheet!O17</f>
        <v>57937.603684977184</v>
      </c>
    </row>
    <row r="22" spans="1:15" x14ac:dyDescent="0.25">
      <c r="B22" s="4" t="s">
        <v>72</v>
      </c>
      <c r="C22" s="98"/>
      <c r="D22" s="98"/>
      <c r="E22" s="99">
        <f>BalSheet!E19</f>
        <v>4071</v>
      </c>
      <c r="F22" s="262">
        <f>BalSheet!F19</f>
        <v>5236.7407070531917</v>
      </c>
      <c r="G22" s="262">
        <f>BalSheet!G19</f>
        <v>7299.8209316267248</v>
      </c>
      <c r="H22" s="262">
        <f>BalSheet!H19</f>
        <v>9489.7672111147422</v>
      </c>
      <c r="I22" s="262">
        <f>BalSheet!I19</f>
        <v>12289.248538393591</v>
      </c>
      <c r="J22" s="262">
        <f>BalSheet!J19</f>
        <v>15853.130614527734</v>
      </c>
      <c r="K22" s="262">
        <f>BalSheet!K19</f>
        <v>20371.272839668138</v>
      </c>
      <c r="L22" s="262">
        <f>BalSheet!L19</f>
        <v>26075.229234775215</v>
      </c>
      <c r="M22" s="262">
        <f>BalSheet!M19</f>
        <v>33245.917274338397</v>
      </c>
      <c r="N22" s="262">
        <f>BalSheet!N19</f>
        <v>42222.314938409763</v>
      </c>
      <c r="O22" s="262">
        <f>BalSheet!O19</f>
        <v>53411.228397088344</v>
      </c>
    </row>
    <row r="23" spans="1:15" x14ac:dyDescent="0.25">
      <c r="B23" s="4" t="s">
        <v>164</v>
      </c>
      <c r="C23" s="98"/>
      <c r="D23" s="98"/>
      <c r="E23" s="99">
        <f>BalSheet!E30</f>
        <v>1662</v>
      </c>
      <c r="F23" s="262">
        <f>BalSheet!F30</f>
        <v>2137.9177241764687</v>
      </c>
      <c r="G23" s="262">
        <f>BalSheet!G30</f>
        <v>2980.1774473995615</v>
      </c>
      <c r="H23" s="262">
        <f>BalSheet!H30</f>
        <v>3874.23068161943</v>
      </c>
      <c r="I23" s="262">
        <f>BalSheet!I30</f>
        <v>5017.1287326971615</v>
      </c>
      <c r="J23" s="262">
        <f>BalSheet!J30</f>
        <v>6472.0960651793393</v>
      </c>
      <c r="K23" s="262">
        <f>BalSheet!K30</f>
        <v>8316.6434437554508</v>
      </c>
      <c r="L23" s="262">
        <f>BalSheet!L30</f>
        <v>10645.303608006976</v>
      </c>
      <c r="M23" s="262">
        <f>BalSheet!M30</f>
        <v>13572.762100208894</v>
      </c>
      <c r="N23" s="262">
        <f>BalSheet!N30</f>
        <v>17237.407867265294</v>
      </c>
      <c r="O23" s="262">
        <f>BalSheet!O30</f>
        <v>21805.320952090595</v>
      </c>
    </row>
    <row r="24" spans="1:15" x14ac:dyDescent="0.25">
      <c r="B24" s="4" t="s">
        <v>78</v>
      </c>
      <c r="C24" s="98"/>
      <c r="D24" s="98"/>
      <c r="E24" s="99">
        <f>BalSheet!E31</f>
        <v>13764</v>
      </c>
      <c r="F24" s="262">
        <f>BalSheet!F31</f>
        <v>17705.354726573354</v>
      </c>
      <c r="G24" s="262">
        <f>BalSheet!G31</f>
        <v>24680.603120341497</v>
      </c>
      <c r="H24" s="262">
        <f>BalSheet!H31</f>
        <v>32084.784056443943</v>
      </c>
      <c r="I24" s="262">
        <f>BalSheet!I31</f>
        <v>41549.795353094909</v>
      </c>
      <c r="J24" s="262">
        <f>BalSheet!J31</f>
        <v>53599.236005492436</v>
      </c>
      <c r="K24" s="262">
        <f>BalSheet!K31</f>
        <v>68875.018267057778</v>
      </c>
      <c r="L24" s="262">
        <f>BalSheet!L31</f>
        <v>88160.023381833947</v>
      </c>
      <c r="M24" s="262">
        <f>BalSheet!M31</f>
        <v>112404.02981183828</v>
      </c>
      <c r="N24" s="262">
        <f>BalSheet!N31</f>
        <v>142753.11786103461</v>
      </c>
      <c r="O24" s="262">
        <f>BalSheet!O31</f>
        <v>180582.69409420877</v>
      </c>
    </row>
    <row r="25" spans="1:15" x14ac:dyDescent="0.25">
      <c r="A25" s="11" t="s">
        <v>126</v>
      </c>
      <c r="B25" s="17" t="s">
        <v>24</v>
      </c>
      <c r="C25" s="18"/>
      <c r="D25" s="18"/>
      <c r="E25" s="18">
        <f>SUM(E19:E22)-SUM(E23:E24)</f>
        <v>-4405.3899999999994</v>
      </c>
      <c r="F25" s="18">
        <f>SUM(F19:F22)-SUM(F23:F24)</f>
        <v>-5666.8840932068451</v>
      </c>
      <c r="G25" s="18">
        <f t="shared" ref="G25:O25" si="22">SUM(G19:G22)-SUM(G23:G24)</f>
        <v>-7899.4247442837259</v>
      </c>
      <c r="H25" s="18">
        <f t="shared" si="22"/>
        <v>-10269.25216756884</v>
      </c>
      <c r="I25" s="18">
        <f t="shared" si="22"/>
        <v>-13298.681557001648</v>
      </c>
      <c r="J25" s="18">
        <f t="shared" si="22"/>
        <v>-17155.299208532138</v>
      </c>
      <c r="K25" s="18">
        <f t="shared" si="22"/>
        <v>-22044.559482963799</v>
      </c>
      <c r="L25" s="18">
        <f t="shared" si="22"/>
        <v>-28217.036138193653</v>
      </c>
      <c r="M25" s="18">
        <f t="shared" si="22"/>
        <v>-35976.721076196904</v>
      </c>
      <c r="N25" s="18">
        <f t="shared" si="22"/>
        <v>-45690.435766770053</v>
      </c>
      <c r="O25" s="18">
        <f t="shared" si="22"/>
        <v>-57798.40124496416</v>
      </c>
    </row>
    <row r="26" spans="1:15" s="11" customFormat="1" x14ac:dyDescent="0.25">
      <c r="A26" s="24"/>
      <c r="B26" s="11" t="s">
        <v>152</v>
      </c>
      <c r="F26" s="11">
        <f>E25-F25</f>
        <v>1261.4940932068457</v>
      </c>
      <c r="G26" s="11">
        <f t="shared" ref="G26:O26" si="23">F25-G25</f>
        <v>2232.5406510768807</v>
      </c>
      <c r="H26" s="11">
        <f t="shared" si="23"/>
        <v>2369.8274232851145</v>
      </c>
      <c r="I26" s="11">
        <f t="shared" si="23"/>
        <v>3029.4293894328075</v>
      </c>
      <c r="J26" s="11">
        <f t="shared" si="23"/>
        <v>3856.6176515304905</v>
      </c>
      <c r="K26" s="11">
        <f t="shared" si="23"/>
        <v>4889.2602744316609</v>
      </c>
      <c r="L26" s="11">
        <f t="shared" si="23"/>
        <v>6172.4766552298533</v>
      </c>
      <c r="M26" s="11">
        <f t="shared" si="23"/>
        <v>7759.6849380032509</v>
      </c>
      <c r="N26" s="11">
        <f t="shared" si="23"/>
        <v>9713.7146905731497</v>
      </c>
      <c r="O26" s="11">
        <f t="shared" si="23"/>
        <v>12107.965478194106</v>
      </c>
    </row>
    <row r="27" spans="1:15" x14ac:dyDescent="0.25">
      <c r="B27" s="66"/>
      <c r="C27" s="66"/>
      <c r="D27" s="66"/>
      <c r="E27" s="66"/>
      <c r="F27" s="66"/>
      <c r="G27" s="66"/>
      <c r="H27" s="84"/>
      <c r="I27" s="66"/>
      <c r="J27" s="66"/>
      <c r="K27" s="66"/>
      <c r="L27" s="66"/>
      <c r="M27" s="66"/>
      <c r="N27" s="66"/>
      <c r="O27" s="66"/>
    </row>
    <row r="28" spans="1:15" x14ac:dyDescent="0.25">
      <c r="H28" s="6"/>
      <c r="I28" s="4"/>
      <c r="J28" s="4"/>
      <c r="K28" s="4"/>
      <c r="L28" s="4"/>
      <c r="M28" s="4"/>
      <c r="N28" s="4"/>
      <c r="O28" s="4"/>
    </row>
    <row r="29" spans="1:15" x14ac:dyDescent="0.25">
      <c r="H29" s="6"/>
      <c r="I29" s="4"/>
      <c r="J29" s="4"/>
      <c r="K29" s="4"/>
      <c r="L29" s="4"/>
      <c r="M29" s="4"/>
      <c r="N29" s="4"/>
      <c r="O29" s="4"/>
    </row>
    <row r="30" spans="1:15" x14ac:dyDescent="0.25">
      <c r="H30" s="6"/>
      <c r="I30" s="4"/>
      <c r="J30" s="4"/>
      <c r="K30" s="4"/>
      <c r="L30" s="4"/>
      <c r="M30" s="4"/>
      <c r="N30" s="4"/>
      <c r="O30" s="4"/>
    </row>
    <row r="31" spans="1:15" x14ac:dyDescent="0.25">
      <c r="H31" s="6"/>
      <c r="I31" s="4"/>
      <c r="J31" s="4"/>
      <c r="K31" s="4"/>
      <c r="L31" s="4"/>
      <c r="M31" s="4"/>
      <c r="N31" s="4"/>
      <c r="O31" s="4"/>
    </row>
    <row r="32" spans="1:15" x14ac:dyDescent="0.25">
      <c r="H32" s="6"/>
      <c r="I32" s="4"/>
      <c r="J32" s="4"/>
      <c r="K32" s="4"/>
      <c r="L32" s="4"/>
      <c r="M32" s="4"/>
      <c r="N32" s="4"/>
      <c r="O32" s="4"/>
    </row>
    <row r="33" spans="8:15" x14ac:dyDescent="0.25">
      <c r="H33" s="6"/>
      <c r="I33" s="4"/>
      <c r="J33" s="4"/>
      <c r="K33" s="4"/>
      <c r="L33" s="4"/>
      <c r="M33" s="4"/>
      <c r="N33" s="4"/>
      <c r="O33" s="4"/>
    </row>
    <row r="34" spans="8:15" x14ac:dyDescent="0.25">
      <c r="H34" s="6"/>
      <c r="I34" s="4"/>
      <c r="J34" s="4"/>
      <c r="K34" s="4"/>
      <c r="L34" s="4"/>
      <c r="M34" s="4"/>
      <c r="N34" s="4"/>
      <c r="O34" s="4"/>
    </row>
    <row r="35" spans="8:15" x14ac:dyDescent="0.25">
      <c r="H35" s="6"/>
      <c r="I35" s="4"/>
      <c r="J35" s="4"/>
      <c r="K35" s="4"/>
      <c r="L35" s="4"/>
      <c r="M35" s="4"/>
      <c r="N35" s="4"/>
      <c r="O35" s="4"/>
    </row>
    <row r="36" spans="8:15" x14ac:dyDescent="0.25">
      <c r="H36" s="6"/>
      <c r="I36" s="4"/>
      <c r="J36" s="4"/>
      <c r="K36" s="4"/>
      <c r="L36" s="4"/>
      <c r="M36" s="4"/>
      <c r="N36" s="4"/>
      <c r="O36" s="4"/>
    </row>
    <row r="37" spans="8:15" x14ac:dyDescent="0.25">
      <c r="H37" s="6"/>
      <c r="I37" s="4"/>
      <c r="J37" s="4"/>
      <c r="K37" s="4"/>
      <c r="L37" s="4"/>
      <c r="M37" s="4"/>
      <c r="N37" s="4"/>
      <c r="O37" s="4"/>
    </row>
    <row r="38" spans="8:15" x14ac:dyDescent="0.25">
      <c r="H38" s="6"/>
      <c r="I38" s="4"/>
      <c r="J38" s="4"/>
      <c r="K38" s="4"/>
      <c r="L38" s="4"/>
      <c r="M38" s="4"/>
      <c r="N38" s="4"/>
      <c r="O38" s="4"/>
    </row>
    <row r="39" spans="8:15" x14ac:dyDescent="0.25">
      <c r="H39" s="6"/>
      <c r="I39" s="4"/>
      <c r="J39" s="4"/>
      <c r="K39" s="4"/>
      <c r="L39" s="4"/>
      <c r="M39" s="4"/>
      <c r="N39" s="4"/>
      <c r="O39" s="4"/>
    </row>
    <row r="40" spans="8:15" x14ac:dyDescent="0.25">
      <c r="H40" s="6"/>
      <c r="I40" s="4"/>
      <c r="J40" s="4"/>
      <c r="K40" s="4"/>
      <c r="L40" s="4"/>
      <c r="M40" s="4"/>
      <c r="N40" s="4"/>
      <c r="O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O34"/>
  <sheetViews>
    <sheetView showGridLines="0" topLeftCell="B1" zoomScaleNormal="100" workbookViewId="0">
      <selection activeCell="B22" sqref="B2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5" width="11.7109375" style="6" customWidth="1"/>
    <col min="16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5" s="2" customFormat="1" ht="19.5" x14ac:dyDescent="0.3">
      <c r="A1" s="226" t="str">
        <f>CoName</f>
        <v>Broadcom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s="2" customFormat="1" x14ac:dyDescent="0.25">
      <c r="A2" s="16" t="s">
        <v>10</v>
      </c>
      <c r="B2" s="192"/>
      <c r="C2" s="234">
        <v>2022</v>
      </c>
      <c r="D2" s="234">
        <f>C2</f>
        <v>2022</v>
      </c>
      <c r="E2" s="234">
        <f t="shared" ref="E2:J2" si="0">D2</f>
        <v>2022</v>
      </c>
      <c r="F2" s="234">
        <f t="shared" si="0"/>
        <v>2022</v>
      </c>
      <c r="G2" s="234">
        <f t="shared" si="0"/>
        <v>2022</v>
      </c>
      <c r="H2" s="234">
        <f t="shared" si="0"/>
        <v>2022</v>
      </c>
      <c r="I2" s="234">
        <f t="shared" si="0"/>
        <v>2022</v>
      </c>
      <c r="J2" s="234">
        <f t="shared" si="0"/>
        <v>2022</v>
      </c>
      <c r="K2" s="234">
        <f t="shared" ref="K2" si="1">J2</f>
        <v>2022</v>
      </c>
      <c r="L2" s="234">
        <f t="shared" ref="L2" si="2">K2</f>
        <v>2022</v>
      </c>
      <c r="M2" s="234">
        <f t="shared" ref="M2" si="3">L2</f>
        <v>2022</v>
      </c>
      <c r="N2" s="234">
        <f t="shared" ref="N2" si="4">M2</f>
        <v>2022</v>
      </c>
      <c r="O2" s="234">
        <f t="shared" ref="O2" si="5">N2</f>
        <v>2022</v>
      </c>
    </row>
    <row r="3" spans="1:15" s="2" customFormat="1" x14ac:dyDescent="0.25">
      <c r="A3" s="87"/>
      <c r="B3" s="11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</row>
    <row r="4" spans="1:15" s="2" customFormat="1" x14ac:dyDescent="0.25">
      <c r="A4" s="11"/>
      <c r="B4" s="4" t="s">
        <v>25</v>
      </c>
      <c r="C4" s="30"/>
      <c r="D4" s="56"/>
      <c r="E4" s="60"/>
      <c r="F4" s="111">
        <f>Assumptions!F24</f>
        <v>0</v>
      </c>
      <c r="G4" s="111">
        <f>Assumptions!G24</f>
        <v>0</v>
      </c>
      <c r="H4" s="111">
        <f>Assumptions!H24</f>
        <v>0</v>
      </c>
      <c r="I4" s="111">
        <f>Assumptions!I24</f>
        <v>0</v>
      </c>
      <c r="J4" s="111">
        <f>Assumptions!J24</f>
        <v>0</v>
      </c>
      <c r="K4" s="111">
        <f>Assumptions!K24</f>
        <v>0</v>
      </c>
      <c r="L4" s="111">
        <f>Assumptions!L24</f>
        <v>0</v>
      </c>
      <c r="M4" s="111">
        <f>Assumptions!M24</f>
        <v>0</v>
      </c>
      <c r="N4" s="111">
        <f>Assumptions!N24</f>
        <v>0</v>
      </c>
      <c r="O4" s="111">
        <f>Assumptions!O24</f>
        <v>0</v>
      </c>
    </row>
    <row r="5" spans="1:15" s="2" customFormat="1" x14ac:dyDescent="0.25">
      <c r="A5" s="11"/>
      <c r="B5" s="4" t="s">
        <v>26</v>
      </c>
      <c r="C5" s="30"/>
      <c r="D5" s="57"/>
      <c r="E5" s="61"/>
      <c r="F5" s="111">
        <f>Assumptions!F25</f>
        <v>4.4740000000000002E-2</v>
      </c>
      <c r="G5" s="111">
        <f>Assumptions!G25</f>
        <v>4.4740000000000002E-2</v>
      </c>
      <c r="H5" s="111">
        <f>Assumptions!H25</f>
        <v>4.4740000000000002E-2</v>
      </c>
      <c r="I5" s="111">
        <f>Assumptions!I25</f>
        <v>4.4740000000000002E-2</v>
      </c>
      <c r="J5" s="111">
        <f>Assumptions!J25</f>
        <v>4.4740000000000002E-2</v>
      </c>
      <c r="K5" s="111">
        <f>Assumptions!K25</f>
        <v>4.4740000000000002E-2</v>
      </c>
      <c r="L5" s="111">
        <f>Assumptions!L25</f>
        <v>4.4740000000000002E-2</v>
      </c>
      <c r="M5" s="111">
        <f>Assumptions!M25</f>
        <v>4.4740000000000002E-2</v>
      </c>
      <c r="N5" s="111">
        <f>Assumptions!N25</f>
        <v>4.4740000000000002E-2</v>
      </c>
      <c r="O5" s="111">
        <f>Assumptions!O25</f>
        <v>4.4740000000000002E-2</v>
      </c>
    </row>
    <row r="6" spans="1:15" s="2" customFormat="1" x14ac:dyDescent="0.25">
      <c r="A6" s="11"/>
      <c r="B6" s="4" t="s">
        <v>27</v>
      </c>
      <c r="C6" s="30"/>
      <c r="D6" s="56"/>
      <c r="E6" s="60"/>
      <c r="F6" s="111">
        <f>Assumptions!F26</f>
        <v>0.05</v>
      </c>
      <c r="G6" s="111">
        <f>Assumptions!G26</f>
        <v>0.05</v>
      </c>
      <c r="H6" s="111">
        <f>Assumptions!H26</f>
        <v>0.05</v>
      </c>
      <c r="I6" s="111">
        <f>Assumptions!I26</f>
        <v>0.05</v>
      </c>
      <c r="J6" s="111">
        <f>Assumptions!J26</f>
        <v>0.05</v>
      </c>
      <c r="K6" s="111">
        <f>Assumptions!K26</f>
        <v>0.05</v>
      </c>
      <c r="L6" s="111">
        <f>Assumptions!L26</f>
        <v>0.05</v>
      </c>
      <c r="M6" s="111">
        <f>Assumptions!M26</f>
        <v>0.05</v>
      </c>
      <c r="N6" s="111">
        <f>Assumptions!N26</f>
        <v>0.05</v>
      </c>
      <c r="O6" s="111">
        <f>Assumptions!O26</f>
        <v>0.05</v>
      </c>
    </row>
    <row r="7" spans="1:15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110"/>
      <c r="L7" s="110"/>
      <c r="M7" s="110"/>
      <c r="N7" s="110"/>
      <c r="O7" s="110"/>
    </row>
    <row r="8" spans="1:15" s="2" customFormat="1" x14ac:dyDescent="0.25">
      <c r="A8" s="11"/>
      <c r="B8" s="4" t="s">
        <v>28</v>
      </c>
      <c r="C8" s="30"/>
      <c r="D8" s="58"/>
      <c r="E8" s="62"/>
      <c r="F8" s="112">
        <f>Assumptions!F28</f>
        <v>0</v>
      </c>
      <c r="G8" s="112">
        <f>Assumptions!G28</f>
        <v>0</v>
      </c>
      <c r="H8" s="112">
        <f>Assumptions!H28</f>
        <v>0</v>
      </c>
      <c r="I8" s="112">
        <f>Assumptions!I28</f>
        <v>0</v>
      </c>
      <c r="J8" s="112">
        <f>Assumptions!J28</f>
        <v>0</v>
      </c>
      <c r="K8" s="112">
        <f>Assumptions!K28</f>
        <v>0</v>
      </c>
      <c r="L8" s="112">
        <f>Assumptions!L28</f>
        <v>0</v>
      </c>
      <c r="M8" s="112">
        <f>Assumptions!M28</f>
        <v>0</v>
      </c>
      <c r="N8" s="112">
        <f>Assumptions!N28</f>
        <v>0</v>
      </c>
      <c r="O8" s="112">
        <f>Assumptions!O28</f>
        <v>0</v>
      </c>
    </row>
    <row r="9" spans="1:15" s="2" customFormat="1" x14ac:dyDescent="0.25">
      <c r="A9" s="11"/>
      <c r="B9" s="4" t="s">
        <v>29</v>
      </c>
      <c r="C9" s="30"/>
      <c r="D9" s="58"/>
      <c r="E9" s="62"/>
      <c r="F9" s="112">
        <v>-1271</v>
      </c>
      <c r="G9" s="112">
        <f>Assumptions!G29</f>
        <v>0</v>
      </c>
      <c r="H9" s="112">
        <f>Assumptions!H29</f>
        <v>0</v>
      </c>
      <c r="I9" s="112">
        <f>Assumptions!I29</f>
        <v>0</v>
      </c>
      <c r="J9" s="112">
        <f>Assumptions!J29</f>
        <v>0</v>
      </c>
      <c r="K9" s="112">
        <f>Assumptions!K29</f>
        <v>0</v>
      </c>
      <c r="L9" s="112">
        <f>Assumptions!L29</f>
        <v>0</v>
      </c>
      <c r="M9" s="112">
        <f>Assumptions!M29</f>
        <v>0</v>
      </c>
      <c r="N9" s="112">
        <f>Assumptions!N29</f>
        <v>0</v>
      </c>
      <c r="O9" s="112">
        <f>Assumptions!O29</f>
        <v>0</v>
      </c>
    </row>
    <row r="10" spans="1:15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1" spans="1:15" x14ac:dyDescent="0.25">
      <c r="A11" s="20" t="s">
        <v>30</v>
      </c>
      <c r="B11" s="54"/>
      <c r="C11" s="225">
        <f>C2</f>
        <v>2022</v>
      </c>
      <c r="D11" s="225">
        <f t="shared" ref="D11:J11" si="6">D2</f>
        <v>2022</v>
      </c>
      <c r="E11" s="225">
        <f t="shared" si="6"/>
        <v>2022</v>
      </c>
      <c r="F11" s="225">
        <f t="shared" si="6"/>
        <v>2022</v>
      </c>
      <c r="G11" s="225">
        <f t="shared" si="6"/>
        <v>2022</v>
      </c>
      <c r="H11" s="225">
        <f t="shared" si="6"/>
        <v>2022</v>
      </c>
      <c r="I11" s="225">
        <f t="shared" si="6"/>
        <v>2022</v>
      </c>
      <c r="J11" s="225">
        <f t="shared" si="6"/>
        <v>2022</v>
      </c>
      <c r="K11" s="225">
        <f t="shared" ref="K11:O11" si="7">K2</f>
        <v>2022</v>
      </c>
      <c r="L11" s="225">
        <f t="shared" si="7"/>
        <v>2022</v>
      </c>
      <c r="M11" s="225">
        <f t="shared" si="7"/>
        <v>2022</v>
      </c>
      <c r="N11" s="225">
        <f t="shared" si="7"/>
        <v>2022</v>
      </c>
      <c r="O11" s="225">
        <f t="shared" si="7"/>
        <v>2022</v>
      </c>
    </row>
    <row r="12" spans="1:15" x14ac:dyDescent="0.25">
      <c r="B12" s="4" t="s">
        <v>31</v>
      </c>
      <c r="E12" s="27"/>
      <c r="F12" s="4" t="s">
        <v>214</v>
      </c>
      <c r="G12" s="4" t="s">
        <v>214</v>
      </c>
      <c r="H12" s="4" t="s">
        <v>214</v>
      </c>
      <c r="I12" s="4" t="s">
        <v>214</v>
      </c>
      <c r="J12" s="4" t="s">
        <v>214</v>
      </c>
      <c r="K12" s="4" t="s">
        <v>214</v>
      </c>
      <c r="L12" s="4" t="s">
        <v>214</v>
      </c>
      <c r="M12" s="4" t="s">
        <v>214</v>
      </c>
      <c r="N12" s="4" t="s">
        <v>214</v>
      </c>
      <c r="O12" s="4" t="s">
        <v>214</v>
      </c>
    </row>
    <row r="13" spans="1:15" x14ac:dyDescent="0.25">
      <c r="B13" s="4" t="s">
        <v>32</v>
      </c>
      <c r="E13" s="28"/>
      <c r="I13" s="4"/>
      <c r="J13" s="4"/>
      <c r="K13" s="4"/>
      <c r="L13" s="4"/>
      <c r="M13" s="4"/>
      <c r="N13" s="4"/>
      <c r="O13" s="4"/>
    </row>
    <row r="14" spans="1:15" x14ac:dyDescent="0.25">
      <c r="B14" s="4" t="s">
        <v>33</v>
      </c>
      <c r="E14" s="27"/>
      <c r="I14" s="4"/>
      <c r="J14" s="4"/>
      <c r="K14" s="4"/>
      <c r="L14" s="4"/>
      <c r="M14" s="4"/>
      <c r="N14" s="4"/>
      <c r="O14" s="4"/>
    </row>
    <row r="15" spans="1:15" x14ac:dyDescent="0.25">
      <c r="E15" s="27"/>
      <c r="I15" s="4"/>
      <c r="J15" s="4"/>
      <c r="K15" s="4"/>
      <c r="L15" s="4"/>
      <c r="M15" s="4"/>
      <c r="N15" s="4"/>
      <c r="O15" s="4"/>
    </row>
    <row r="16" spans="1:15" x14ac:dyDescent="0.25">
      <c r="A16" s="233" t="s">
        <v>34</v>
      </c>
      <c r="B16" s="19"/>
      <c r="C16" s="225">
        <f t="shared" ref="C16:J16" si="8">C11</f>
        <v>2022</v>
      </c>
      <c r="D16" s="225">
        <f t="shared" si="8"/>
        <v>2022</v>
      </c>
      <c r="E16" s="225">
        <f t="shared" si="8"/>
        <v>2022</v>
      </c>
      <c r="F16" s="225">
        <f t="shared" si="8"/>
        <v>2022</v>
      </c>
      <c r="G16" s="225">
        <f t="shared" ref="G16:O16" si="9">G11</f>
        <v>2022</v>
      </c>
      <c r="H16" s="225">
        <f t="shared" si="9"/>
        <v>2022</v>
      </c>
      <c r="I16" s="225">
        <f t="shared" si="9"/>
        <v>2022</v>
      </c>
      <c r="J16" s="225">
        <f t="shared" si="9"/>
        <v>2022</v>
      </c>
      <c r="K16" s="225">
        <f t="shared" si="9"/>
        <v>2022</v>
      </c>
      <c r="L16" s="225">
        <f t="shared" si="9"/>
        <v>2022</v>
      </c>
      <c r="M16" s="225">
        <f t="shared" si="9"/>
        <v>2022</v>
      </c>
      <c r="N16" s="225">
        <f t="shared" si="9"/>
        <v>2022</v>
      </c>
      <c r="O16" s="225">
        <f t="shared" si="9"/>
        <v>2022</v>
      </c>
    </row>
    <row r="17" spans="1:15" x14ac:dyDescent="0.25">
      <c r="B17" s="4" t="s">
        <v>19</v>
      </c>
      <c r="E17" s="27"/>
      <c r="F17" s="4">
        <f>E20</f>
        <v>67566</v>
      </c>
      <c r="G17" s="4">
        <f t="shared" ref="G17:O17" si="10">F20</f>
        <v>66295</v>
      </c>
      <c r="H17" s="4">
        <f t="shared" si="10"/>
        <v>66295</v>
      </c>
      <c r="I17" s="4">
        <f t="shared" si="10"/>
        <v>66295</v>
      </c>
      <c r="J17" s="4">
        <f t="shared" si="10"/>
        <v>66295</v>
      </c>
      <c r="K17" s="4">
        <f t="shared" si="10"/>
        <v>66295</v>
      </c>
      <c r="L17" s="4">
        <f t="shared" si="10"/>
        <v>66295</v>
      </c>
      <c r="M17" s="4">
        <f t="shared" si="10"/>
        <v>66295</v>
      </c>
      <c r="N17" s="4">
        <f t="shared" si="10"/>
        <v>66295</v>
      </c>
      <c r="O17" s="4">
        <f t="shared" si="10"/>
        <v>66295</v>
      </c>
    </row>
    <row r="18" spans="1:15" x14ac:dyDescent="0.25">
      <c r="B18" s="4" t="s">
        <v>35</v>
      </c>
      <c r="E18" s="27"/>
      <c r="F18" s="4">
        <f>F8</f>
        <v>0</v>
      </c>
      <c r="G18" s="4">
        <f t="shared" ref="G18:O18" si="11">G8</f>
        <v>0</v>
      </c>
      <c r="H18" s="4">
        <f t="shared" si="11"/>
        <v>0</v>
      </c>
      <c r="I18" s="4">
        <f t="shared" si="11"/>
        <v>0</v>
      </c>
      <c r="J18" s="4">
        <f t="shared" si="11"/>
        <v>0</v>
      </c>
      <c r="K18" s="4">
        <f t="shared" si="11"/>
        <v>0</v>
      </c>
      <c r="L18" s="4">
        <f t="shared" si="11"/>
        <v>0</v>
      </c>
      <c r="M18" s="4">
        <f t="shared" si="11"/>
        <v>0</v>
      </c>
      <c r="N18" s="4">
        <f t="shared" si="11"/>
        <v>0</v>
      </c>
      <c r="O18" s="4">
        <f t="shared" si="11"/>
        <v>0</v>
      </c>
    </row>
    <row r="19" spans="1:15" x14ac:dyDescent="0.25">
      <c r="B19" s="4" t="s">
        <v>36</v>
      </c>
      <c r="E19" s="27"/>
      <c r="F19" s="4">
        <f>F9</f>
        <v>-1271</v>
      </c>
      <c r="G19" s="4">
        <f t="shared" ref="G19:O19" si="12">G9</f>
        <v>0</v>
      </c>
      <c r="H19" s="4">
        <f t="shared" si="12"/>
        <v>0</v>
      </c>
      <c r="I19" s="4">
        <f t="shared" si="12"/>
        <v>0</v>
      </c>
      <c r="J19" s="4">
        <f t="shared" si="12"/>
        <v>0</v>
      </c>
      <c r="K19" s="4">
        <f t="shared" si="12"/>
        <v>0</v>
      </c>
      <c r="L19" s="4">
        <f t="shared" si="12"/>
        <v>0</v>
      </c>
      <c r="M19" s="4">
        <f t="shared" si="12"/>
        <v>0</v>
      </c>
      <c r="N19" s="4">
        <f t="shared" si="12"/>
        <v>0</v>
      </c>
      <c r="O19" s="4">
        <f t="shared" si="12"/>
        <v>0</v>
      </c>
    </row>
    <row r="20" spans="1:15" x14ac:dyDescent="0.25">
      <c r="B20" s="4" t="s">
        <v>23</v>
      </c>
      <c r="C20" s="10"/>
      <c r="E20" s="27">
        <f>BalSheet!E34</f>
        <v>67566</v>
      </c>
      <c r="F20" s="4">
        <f>SUM(F17:F19)</f>
        <v>66295</v>
      </c>
      <c r="G20" s="4">
        <f t="shared" ref="G20:O20" si="13">SUM(G17:G19)</f>
        <v>66295</v>
      </c>
      <c r="H20" s="4">
        <f t="shared" si="13"/>
        <v>66295</v>
      </c>
      <c r="I20" s="4">
        <f t="shared" si="13"/>
        <v>66295</v>
      </c>
      <c r="J20" s="4">
        <f t="shared" si="13"/>
        <v>66295</v>
      </c>
      <c r="K20" s="4">
        <f t="shared" si="13"/>
        <v>66295</v>
      </c>
      <c r="L20" s="4">
        <f t="shared" si="13"/>
        <v>66295</v>
      </c>
      <c r="M20" s="4">
        <f t="shared" si="13"/>
        <v>66295</v>
      </c>
      <c r="N20" s="4">
        <f t="shared" si="13"/>
        <v>66295</v>
      </c>
      <c r="O20" s="4">
        <f t="shared" si="13"/>
        <v>66295</v>
      </c>
    </row>
    <row r="21" spans="1:15" x14ac:dyDescent="0.25">
      <c r="B21" s="4" t="s">
        <v>32</v>
      </c>
      <c r="D21" s="48"/>
      <c r="E21" s="27"/>
      <c r="F21" s="8">
        <f>F5</f>
        <v>4.4740000000000002E-2</v>
      </c>
      <c r="G21" s="8">
        <f t="shared" ref="G21:O21" si="14">G5</f>
        <v>4.4740000000000002E-2</v>
      </c>
      <c r="H21" s="8">
        <f t="shared" si="14"/>
        <v>4.4740000000000002E-2</v>
      </c>
      <c r="I21" s="8">
        <f t="shared" si="14"/>
        <v>4.4740000000000002E-2</v>
      </c>
      <c r="J21" s="8">
        <f t="shared" si="14"/>
        <v>4.4740000000000002E-2</v>
      </c>
      <c r="K21" s="8">
        <f t="shared" si="14"/>
        <v>4.4740000000000002E-2</v>
      </c>
      <c r="L21" s="8">
        <f t="shared" si="14"/>
        <v>4.4740000000000002E-2</v>
      </c>
      <c r="M21" s="8">
        <f t="shared" si="14"/>
        <v>4.4740000000000002E-2</v>
      </c>
      <c r="N21" s="8">
        <f t="shared" si="14"/>
        <v>4.4740000000000002E-2</v>
      </c>
      <c r="O21" s="8">
        <f t="shared" si="14"/>
        <v>4.4740000000000002E-2</v>
      </c>
    </row>
    <row r="22" spans="1:15" x14ac:dyDescent="0.25">
      <c r="B22" s="4" t="s">
        <v>33</v>
      </c>
      <c r="E22" s="27"/>
      <c r="F22" s="4">
        <f>F20*F21</f>
        <v>2966.0383000000002</v>
      </c>
      <c r="G22" s="4">
        <f t="shared" ref="G22:O22" si="15">G20*G21</f>
        <v>2966.0383000000002</v>
      </c>
      <c r="H22" s="4">
        <f t="shared" si="15"/>
        <v>2966.0383000000002</v>
      </c>
      <c r="I22" s="4">
        <f t="shared" si="15"/>
        <v>2966.0383000000002</v>
      </c>
      <c r="J22" s="4">
        <f t="shared" si="15"/>
        <v>2966.0383000000002</v>
      </c>
      <c r="K22" s="4">
        <f t="shared" si="15"/>
        <v>2966.0383000000002</v>
      </c>
      <c r="L22" s="4">
        <f t="shared" si="15"/>
        <v>2966.0383000000002</v>
      </c>
      <c r="M22" s="4">
        <f t="shared" si="15"/>
        <v>2966.0383000000002</v>
      </c>
      <c r="N22" s="4">
        <f t="shared" si="15"/>
        <v>2966.0383000000002</v>
      </c>
      <c r="O22" s="4">
        <f t="shared" si="15"/>
        <v>2966.0383000000002</v>
      </c>
    </row>
    <row r="23" spans="1:15" x14ac:dyDescent="0.25">
      <c r="E23" s="27"/>
      <c r="I23" s="4"/>
      <c r="J23" s="4"/>
      <c r="K23" s="4"/>
      <c r="L23" s="4"/>
      <c r="M23" s="4"/>
      <c r="N23" s="4"/>
      <c r="O23" s="4"/>
    </row>
    <row r="24" spans="1:15" x14ac:dyDescent="0.25">
      <c r="A24" s="20" t="s">
        <v>37</v>
      </c>
      <c r="B24" s="42"/>
      <c r="C24" s="225">
        <f>C16</f>
        <v>2022</v>
      </c>
      <c r="D24" s="225">
        <f t="shared" ref="D24:J24" si="16">D16</f>
        <v>2022</v>
      </c>
      <c r="E24" s="225">
        <f t="shared" si="16"/>
        <v>2022</v>
      </c>
      <c r="F24" s="225">
        <f t="shared" si="16"/>
        <v>2022</v>
      </c>
      <c r="G24" s="225">
        <f t="shared" ref="G24:O24" si="17">G16</f>
        <v>2022</v>
      </c>
      <c r="H24" s="225">
        <f t="shared" si="17"/>
        <v>2022</v>
      </c>
      <c r="I24" s="225">
        <f t="shared" si="17"/>
        <v>2022</v>
      </c>
      <c r="J24" s="225">
        <f t="shared" si="17"/>
        <v>2022</v>
      </c>
      <c r="K24" s="225">
        <f t="shared" si="17"/>
        <v>2022</v>
      </c>
      <c r="L24" s="225">
        <f t="shared" si="17"/>
        <v>2022</v>
      </c>
      <c r="M24" s="225">
        <f t="shared" si="17"/>
        <v>2022</v>
      </c>
      <c r="N24" s="225">
        <f t="shared" si="17"/>
        <v>2022</v>
      </c>
      <c r="O24" s="225">
        <f t="shared" si="17"/>
        <v>2022</v>
      </c>
    </row>
    <row r="25" spans="1:15" x14ac:dyDescent="0.25">
      <c r="A25" s="7"/>
      <c r="B25" s="4" t="s">
        <v>30</v>
      </c>
      <c r="E25" s="27"/>
      <c r="F25" s="4" t="str">
        <f>F12</f>
        <v>NO REVOLVER</v>
      </c>
      <c r="G25" s="4" t="str">
        <f t="shared" ref="G25:O25" si="18">G12</f>
        <v>NO REVOLVER</v>
      </c>
      <c r="H25" s="4" t="str">
        <f t="shared" si="18"/>
        <v>NO REVOLVER</v>
      </c>
      <c r="I25" s="4" t="str">
        <f t="shared" si="18"/>
        <v>NO REVOLVER</v>
      </c>
      <c r="J25" s="4" t="str">
        <f t="shared" si="18"/>
        <v>NO REVOLVER</v>
      </c>
      <c r="K25" s="4" t="str">
        <f t="shared" si="18"/>
        <v>NO REVOLVER</v>
      </c>
      <c r="L25" s="4" t="str">
        <f t="shared" si="18"/>
        <v>NO REVOLVER</v>
      </c>
      <c r="M25" s="4" t="str">
        <f t="shared" si="18"/>
        <v>NO REVOLVER</v>
      </c>
      <c r="N25" s="4" t="str">
        <f t="shared" si="18"/>
        <v>NO REVOLVER</v>
      </c>
      <c r="O25" s="4" t="str">
        <f t="shared" si="18"/>
        <v>NO REVOLVER</v>
      </c>
    </row>
    <row r="26" spans="1:15" x14ac:dyDescent="0.25">
      <c r="A26" s="7"/>
      <c r="B26" s="4" t="s">
        <v>38</v>
      </c>
      <c r="E26" s="27"/>
      <c r="F26" s="4">
        <f>F20</f>
        <v>66295</v>
      </c>
      <c r="G26" s="4">
        <f t="shared" ref="G26:O26" si="19">G20</f>
        <v>66295</v>
      </c>
      <c r="H26" s="4">
        <f t="shared" si="19"/>
        <v>66295</v>
      </c>
      <c r="I26" s="4">
        <f t="shared" si="19"/>
        <v>66295</v>
      </c>
      <c r="J26" s="4">
        <f t="shared" si="19"/>
        <v>66295</v>
      </c>
      <c r="K26" s="4">
        <f t="shared" si="19"/>
        <v>66295</v>
      </c>
      <c r="L26" s="4">
        <f t="shared" si="19"/>
        <v>66295</v>
      </c>
      <c r="M26" s="4">
        <f t="shared" si="19"/>
        <v>66295</v>
      </c>
      <c r="N26" s="4">
        <f t="shared" si="19"/>
        <v>66295</v>
      </c>
      <c r="O26" s="4">
        <f t="shared" si="19"/>
        <v>66295</v>
      </c>
    </row>
    <row r="27" spans="1:15" x14ac:dyDescent="0.25">
      <c r="A27" s="7"/>
      <c r="B27" s="11" t="s">
        <v>39</v>
      </c>
      <c r="D27" s="11"/>
      <c r="E27" s="24"/>
      <c r="F27" s="11">
        <f>SUM(F25:F26)</f>
        <v>66295</v>
      </c>
      <c r="G27" s="11">
        <f t="shared" ref="G27:O27" si="20">SUM(G25:G26)</f>
        <v>66295</v>
      </c>
      <c r="H27" s="11">
        <f t="shared" si="20"/>
        <v>66295</v>
      </c>
      <c r="I27" s="11">
        <f t="shared" si="20"/>
        <v>66295</v>
      </c>
      <c r="J27" s="11">
        <f t="shared" si="20"/>
        <v>66295</v>
      </c>
      <c r="K27" s="11">
        <f t="shared" si="20"/>
        <v>66295</v>
      </c>
      <c r="L27" s="11">
        <f t="shared" si="20"/>
        <v>66295</v>
      </c>
      <c r="M27" s="11">
        <f t="shared" si="20"/>
        <v>66295</v>
      </c>
      <c r="N27" s="11">
        <f t="shared" si="20"/>
        <v>66295</v>
      </c>
      <c r="O27" s="11">
        <f t="shared" si="20"/>
        <v>66295</v>
      </c>
    </row>
    <row r="28" spans="1:15" x14ac:dyDescent="0.25">
      <c r="A28" s="7"/>
      <c r="B28" s="4" t="s">
        <v>40</v>
      </c>
      <c r="E28" s="27"/>
      <c r="F28" s="4">
        <f>F22</f>
        <v>2966.0383000000002</v>
      </c>
      <c r="G28" s="4">
        <f t="shared" ref="G28:O28" si="21">G22</f>
        <v>2966.0383000000002</v>
      </c>
      <c r="H28" s="4">
        <f t="shared" si="21"/>
        <v>2966.0383000000002</v>
      </c>
      <c r="I28" s="4">
        <f t="shared" si="21"/>
        <v>2966.0383000000002</v>
      </c>
      <c r="J28" s="4">
        <f t="shared" si="21"/>
        <v>2966.0383000000002</v>
      </c>
      <c r="K28" s="4">
        <f t="shared" si="21"/>
        <v>2966.0383000000002</v>
      </c>
      <c r="L28" s="4">
        <f t="shared" si="21"/>
        <v>2966.0383000000002</v>
      </c>
      <c r="M28" s="4">
        <f t="shared" si="21"/>
        <v>2966.0383000000002</v>
      </c>
      <c r="N28" s="4">
        <f t="shared" si="21"/>
        <v>2966.0383000000002</v>
      </c>
      <c r="O28" s="4">
        <f t="shared" si="21"/>
        <v>2966.0383000000002</v>
      </c>
    </row>
    <row r="29" spans="1:15" x14ac:dyDescent="0.25">
      <c r="A29" s="7"/>
      <c r="E29" s="27"/>
      <c r="I29" s="4"/>
      <c r="J29" s="4"/>
      <c r="K29" s="4"/>
      <c r="L29" s="4"/>
      <c r="M29" s="4"/>
      <c r="N29" s="4"/>
      <c r="O29" s="4"/>
    </row>
    <row r="30" spans="1:15" x14ac:dyDescent="0.25">
      <c r="A30" s="20" t="s">
        <v>41</v>
      </c>
      <c r="B30" s="42"/>
      <c r="C30" s="225">
        <f>C11</f>
        <v>2022</v>
      </c>
      <c r="D30" s="225">
        <f t="shared" ref="D30:J30" si="22">D11</f>
        <v>2022</v>
      </c>
      <c r="E30" s="225">
        <f t="shared" si="22"/>
        <v>2022</v>
      </c>
      <c r="F30" s="225">
        <f t="shared" si="22"/>
        <v>2022</v>
      </c>
      <c r="G30" s="225">
        <f t="shared" ref="G30:O30" si="23">G11</f>
        <v>2022</v>
      </c>
      <c r="H30" s="225">
        <f t="shared" si="23"/>
        <v>2022</v>
      </c>
      <c r="I30" s="225">
        <f t="shared" si="23"/>
        <v>2022</v>
      </c>
      <c r="J30" s="225">
        <f t="shared" si="23"/>
        <v>2022</v>
      </c>
      <c r="K30" s="225">
        <f t="shared" si="23"/>
        <v>2022</v>
      </c>
      <c r="L30" s="225">
        <f t="shared" si="23"/>
        <v>2022</v>
      </c>
      <c r="M30" s="225">
        <f t="shared" si="23"/>
        <v>2022</v>
      </c>
      <c r="N30" s="225">
        <f t="shared" si="23"/>
        <v>2022</v>
      </c>
      <c r="O30" s="225">
        <f t="shared" si="23"/>
        <v>2022</v>
      </c>
    </row>
    <row r="31" spans="1:15" x14ac:dyDescent="0.25">
      <c r="A31" s="7"/>
      <c r="B31" s="4" t="s">
        <v>170</v>
      </c>
      <c r="E31" s="27"/>
      <c r="F31" s="4">
        <f>BalSheet!F16</f>
        <v>20703.407206727665</v>
      </c>
      <c r="G31" s="4">
        <f>BalSheet!G16</f>
        <v>41793.988036455128</v>
      </c>
      <c r="H31" s="4">
        <f>BalSheet!H16</f>
        <v>68301.322763121861</v>
      </c>
      <c r="I31" s="4">
        <f>BalSheet!I16</f>
        <v>103703.02079739212</v>
      </c>
      <c r="J31" s="4">
        <f>BalSheet!J16</f>
        <v>150768.29804270988</v>
      </c>
      <c r="K31" s="4">
        <f>BalSheet!K16</f>
        <v>212935.89323858317</v>
      </c>
      <c r="L31" s="4">
        <f>BalSheet!L16</f>
        <v>294459.61233729735</v>
      </c>
      <c r="M31" s="4">
        <f>BalSheet!M16</f>
        <v>400579.32093864249</v>
      </c>
      <c r="N31" s="4">
        <f>BalSheet!N16</f>
        <v>532796.30467853008</v>
      </c>
      <c r="O31" s="4">
        <f>BalSheet!O16</f>
        <v>703878.21334525687</v>
      </c>
    </row>
    <row r="32" spans="1:15" x14ac:dyDescent="0.25">
      <c r="B32" s="4" t="s">
        <v>32</v>
      </c>
      <c r="D32" s="48"/>
      <c r="E32" s="23"/>
      <c r="F32" s="5">
        <f>F6</f>
        <v>0.05</v>
      </c>
      <c r="G32" s="5">
        <f t="shared" ref="G32:O32" si="24">G6</f>
        <v>0.05</v>
      </c>
      <c r="H32" s="5">
        <f t="shared" si="24"/>
        <v>0.05</v>
      </c>
      <c r="I32" s="5">
        <f t="shared" si="24"/>
        <v>0.05</v>
      </c>
      <c r="J32" s="5">
        <f t="shared" si="24"/>
        <v>0.05</v>
      </c>
      <c r="K32" s="5">
        <f t="shared" si="24"/>
        <v>0.05</v>
      </c>
      <c r="L32" s="5">
        <f t="shared" si="24"/>
        <v>0.05</v>
      </c>
      <c r="M32" s="5">
        <f t="shared" si="24"/>
        <v>0.05</v>
      </c>
      <c r="N32" s="5">
        <f t="shared" si="24"/>
        <v>0.05</v>
      </c>
      <c r="O32" s="5">
        <f t="shared" si="24"/>
        <v>0.05</v>
      </c>
    </row>
    <row r="33" spans="2:15" x14ac:dyDescent="0.25">
      <c r="B33" s="4" t="s">
        <v>41</v>
      </c>
      <c r="E33" s="27"/>
      <c r="F33" s="4">
        <f>F31*F32</f>
        <v>1035.1703603363833</v>
      </c>
      <c r="G33" s="4">
        <f t="shared" ref="G33:O33" si="25">G31*G32</f>
        <v>2089.6994018227565</v>
      </c>
      <c r="H33" s="4">
        <f t="shared" si="25"/>
        <v>3415.0661381560931</v>
      </c>
      <c r="I33" s="4">
        <f t="shared" si="25"/>
        <v>5185.1510398696064</v>
      </c>
      <c r="J33" s="4">
        <f t="shared" si="25"/>
        <v>7538.4149021354942</v>
      </c>
      <c r="K33" s="4">
        <f t="shared" si="25"/>
        <v>10646.79466192916</v>
      </c>
      <c r="L33" s="4">
        <f t="shared" si="25"/>
        <v>14722.980616864868</v>
      </c>
      <c r="M33" s="4">
        <f t="shared" si="25"/>
        <v>20028.966046932124</v>
      </c>
      <c r="N33" s="4">
        <f t="shared" si="25"/>
        <v>26639.815233926507</v>
      </c>
      <c r="O33" s="4">
        <f t="shared" si="25"/>
        <v>35193.910667262848</v>
      </c>
    </row>
    <row r="34" spans="2:15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O45"/>
  <sheetViews>
    <sheetView showGridLines="0" topLeftCell="C1" zoomScaleNormal="100" workbookViewId="0">
      <selection activeCell="F16" sqref="F1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5" width="11.7109375" style="4" customWidth="1"/>
    <col min="16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5" s="2" customFormat="1" ht="19.5" x14ac:dyDescent="0.3">
      <c r="A1" s="226" t="str">
        <f>CoName</f>
        <v>Broadcom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x14ac:dyDescent="0.25">
      <c r="A2" s="16" t="s">
        <v>10</v>
      </c>
      <c r="B2" s="15"/>
      <c r="C2" s="235">
        <v>2022</v>
      </c>
      <c r="D2" s="235">
        <f>C2+1</f>
        <v>2023</v>
      </c>
      <c r="E2" s="235">
        <f t="shared" ref="E2:J2" si="0">D2+1</f>
        <v>2024</v>
      </c>
      <c r="F2" s="235">
        <f t="shared" si="0"/>
        <v>2025</v>
      </c>
      <c r="G2" s="235">
        <f t="shared" si="0"/>
        <v>2026</v>
      </c>
      <c r="H2" s="235">
        <f t="shared" si="0"/>
        <v>2027</v>
      </c>
      <c r="I2" s="235">
        <f t="shared" si="0"/>
        <v>2028</v>
      </c>
      <c r="J2" s="235">
        <f t="shared" si="0"/>
        <v>2029</v>
      </c>
      <c r="K2" s="235">
        <f t="shared" ref="K2" si="1">J2+1</f>
        <v>2030</v>
      </c>
      <c r="L2" s="235">
        <f t="shared" ref="L2" si="2">K2+1</f>
        <v>2031</v>
      </c>
      <c r="M2" s="235">
        <f t="shared" ref="M2" si="3">L2+1</f>
        <v>2032</v>
      </c>
      <c r="N2" s="235">
        <f t="shared" ref="N2" si="4">M2+1</f>
        <v>2033</v>
      </c>
      <c r="O2" s="235">
        <f t="shared" ref="O2" si="5">N2+1</f>
        <v>2034</v>
      </c>
    </row>
    <row r="3" spans="1:15" x14ac:dyDescent="0.25">
      <c r="A3" s="87"/>
      <c r="C3" s="100"/>
      <c r="D3" s="100"/>
      <c r="E3" s="100"/>
    </row>
    <row r="4" spans="1:15" x14ac:dyDescent="0.25">
      <c r="B4" s="30" t="s">
        <v>43</v>
      </c>
      <c r="C4" s="31"/>
      <c r="D4" s="31"/>
      <c r="E4" s="32"/>
      <c r="F4" s="174">
        <f>Assumptions!F10</f>
        <v>0.28635242128548044</v>
      </c>
      <c r="G4" s="174">
        <f>Assumptions!G10</f>
        <v>0.39396264584855989</v>
      </c>
      <c r="H4" s="174">
        <f>Assumptions!H10</f>
        <v>0.3</v>
      </c>
      <c r="I4" s="174">
        <f>Assumptions!I10</f>
        <v>0.29499999999999998</v>
      </c>
      <c r="J4" s="174">
        <f>Assumptions!J10</f>
        <v>0.28999999999999998</v>
      </c>
      <c r="K4" s="174">
        <f>Assumptions!K10</f>
        <v>0.28499999999999998</v>
      </c>
      <c r="L4" s="174">
        <f>Assumptions!L10</f>
        <v>0.27999999999999997</v>
      </c>
      <c r="M4" s="174">
        <f>Assumptions!M10</f>
        <v>0.27499999999999997</v>
      </c>
      <c r="N4" s="174">
        <f>Assumptions!N10</f>
        <v>0.26999999999999996</v>
      </c>
      <c r="O4" s="174">
        <f>Assumptions!O10</f>
        <v>0.26499999999999996</v>
      </c>
    </row>
    <row r="5" spans="1:15" x14ac:dyDescent="0.25">
      <c r="B5" s="30" t="s">
        <v>44</v>
      </c>
      <c r="C5" s="31"/>
      <c r="D5" s="31"/>
      <c r="E5" s="31"/>
      <c r="F5" s="174">
        <f>Assumptions!F11</f>
        <v>0.36473804630240042</v>
      </c>
      <c r="G5" s="174">
        <f>Assumptions!G11</f>
        <v>0.36473804630240042</v>
      </c>
      <c r="H5" s="174">
        <f>Assumptions!H11</f>
        <v>0.36473804630240042</v>
      </c>
      <c r="I5" s="174">
        <f>Assumptions!I11</f>
        <v>0.36473804630240042</v>
      </c>
      <c r="J5" s="174">
        <f>Assumptions!J11</f>
        <v>0.36473804630240042</v>
      </c>
      <c r="K5" s="174">
        <f>Assumptions!K11</f>
        <v>0.36473804630240042</v>
      </c>
      <c r="L5" s="174">
        <f>Assumptions!L11</f>
        <v>0.36473804630240042</v>
      </c>
      <c r="M5" s="174">
        <f>Assumptions!M11</f>
        <v>0.36473804630240042</v>
      </c>
      <c r="N5" s="174">
        <f>Assumptions!N11</f>
        <v>0.36473804630240042</v>
      </c>
      <c r="O5" s="174">
        <f>Assumptions!O11</f>
        <v>0.36473804630240042</v>
      </c>
    </row>
    <row r="6" spans="1:15" x14ac:dyDescent="0.25">
      <c r="B6" s="30" t="s">
        <v>179</v>
      </c>
      <c r="C6" s="190"/>
      <c r="D6" s="190"/>
      <c r="E6" s="32"/>
      <c r="F6" s="174">
        <f>Assumptions!F12</f>
        <v>0.18051731492612558</v>
      </c>
      <c r="G6" s="174">
        <f>Assumptions!G12</f>
        <v>0.18051731492612558</v>
      </c>
      <c r="H6" s="174">
        <f>Assumptions!H12</f>
        <v>0.18051731492612558</v>
      </c>
      <c r="I6" s="174">
        <f>Assumptions!I12</f>
        <v>0.18051731492612558</v>
      </c>
      <c r="J6" s="174">
        <f>Assumptions!J12</f>
        <v>0.18051731492612558</v>
      </c>
      <c r="K6" s="174">
        <f>Assumptions!K12</f>
        <v>0.18051731492612558</v>
      </c>
      <c r="L6" s="174">
        <f>Assumptions!L12</f>
        <v>0.18051731492612558</v>
      </c>
      <c r="M6" s="174">
        <f>Assumptions!M12</f>
        <v>0.18051731492612558</v>
      </c>
      <c r="N6" s="174">
        <f>Assumptions!N12</f>
        <v>0.18051731492612558</v>
      </c>
      <c r="O6" s="174">
        <f>Assumptions!O12</f>
        <v>0.18051731492612558</v>
      </c>
    </row>
    <row r="7" spans="1:15" x14ac:dyDescent="0.25">
      <c r="B7" s="30" t="s">
        <v>45</v>
      </c>
      <c r="C7" s="31"/>
      <c r="D7" s="31"/>
      <c r="E7" s="31"/>
      <c r="F7" s="174">
        <f>Assumptions!F13</f>
        <v>0.15905301120719742</v>
      </c>
      <c r="G7" s="174">
        <f>Assumptions!G13</f>
        <v>0.15905301120719742</v>
      </c>
      <c r="H7" s="174">
        <f>Assumptions!H13</f>
        <v>0.15905301120719742</v>
      </c>
      <c r="I7" s="174">
        <f>Assumptions!I13</f>
        <v>0.15905301120719742</v>
      </c>
      <c r="J7" s="174">
        <f>Assumptions!J13</f>
        <v>0.15905301120719742</v>
      </c>
      <c r="K7" s="174">
        <f>Assumptions!K13</f>
        <v>0.15905301120719742</v>
      </c>
      <c r="L7" s="174">
        <f>Assumptions!L13</f>
        <v>0.15905301120719742</v>
      </c>
      <c r="M7" s="174">
        <f>Assumptions!M13</f>
        <v>0.15905301120719742</v>
      </c>
      <c r="N7" s="174">
        <f>Assumptions!N13</f>
        <v>0.15905301120719742</v>
      </c>
      <c r="O7" s="174">
        <f>Assumptions!O13</f>
        <v>0.15905301120719742</v>
      </c>
    </row>
    <row r="8" spans="1:15" x14ac:dyDescent="0.25">
      <c r="A8" s="87"/>
      <c r="B8" s="4" t="s">
        <v>46</v>
      </c>
      <c r="C8" s="30"/>
      <c r="D8" s="30"/>
      <c r="E8" s="30"/>
      <c r="F8" s="175">
        <f>Assumptions!F14</f>
        <v>4924.375</v>
      </c>
      <c r="G8" s="175">
        <f>Assumptions!G14</f>
        <v>4924.375</v>
      </c>
      <c r="H8" s="175">
        <f>Assumptions!H14</f>
        <v>4924.375</v>
      </c>
      <c r="I8" s="175">
        <f>Assumptions!I14</f>
        <v>4924.375</v>
      </c>
      <c r="J8" s="175">
        <f>Assumptions!J14</f>
        <v>4924.375</v>
      </c>
      <c r="K8" s="175">
        <f>Assumptions!K14</f>
        <v>4924.375</v>
      </c>
      <c r="L8" s="175">
        <f>Assumptions!L14</f>
        <v>4924.375</v>
      </c>
      <c r="M8" s="175">
        <f>Assumptions!M14</f>
        <v>4924.375</v>
      </c>
      <c r="N8" s="175">
        <f>Assumptions!N14</f>
        <v>0</v>
      </c>
      <c r="O8" s="175">
        <f>Assumptions!O14</f>
        <v>0</v>
      </c>
    </row>
    <row r="9" spans="1:15" x14ac:dyDescent="0.25">
      <c r="A9" s="87"/>
      <c r="B9" s="4" t="s">
        <v>47</v>
      </c>
      <c r="C9" s="30"/>
      <c r="D9" s="30"/>
      <c r="E9" s="30"/>
      <c r="F9" s="176">
        <f>Assumptions!F15</f>
        <v>0</v>
      </c>
      <c r="G9" s="176">
        <f>Assumptions!G15</f>
        <v>0</v>
      </c>
      <c r="H9" s="176">
        <f>Assumptions!H15</f>
        <v>0</v>
      </c>
      <c r="I9" s="176">
        <f>Assumptions!I15</f>
        <v>0</v>
      </c>
      <c r="J9" s="176">
        <f>Assumptions!J15</f>
        <v>0</v>
      </c>
      <c r="K9" s="176">
        <f>Assumptions!K15</f>
        <v>0</v>
      </c>
      <c r="L9" s="176">
        <f>Assumptions!L15</f>
        <v>0</v>
      </c>
      <c r="M9" s="176">
        <f>Assumptions!M15</f>
        <v>0</v>
      </c>
      <c r="N9" s="176">
        <f>Assumptions!N15</f>
        <v>0</v>
      </c>
      <c r="O9" s="176">
        <f>Assumptions!O15</f>
        <v>0</v>
      </c>
    </row>
    <row r="10" spans="1:15" x14ac:dyDescent="0.25">
      <c r="B10" s="4" t="s">
        <v>147</v>
      </c>
      <c r="F10" s="176">
        <f>Assumptions!F16</f>
        <v>0</v>
      </c>
      <c r="G10" s="176">
        <f>Assumptions!G16</f>
        <v>0</v>
      </c>
      <c r="H10" s="176">
        <f>Assumptions!H16</f>
        <v>0</v>
      </c>
      <c r="I10" s="176">
        <f>Assumptions!I16</f>
        <v>0</v>
      </c>
      <c r="J10" s="176">
        <f>Assumptions!J16</f>
        <v>0</v>
      </c>
      <c r="K10" s="176">
        <f>Assumptions!K16</f>
        <v>0</v>
      </c>
      <c r="L10" s="176">
        <f>Assumptions!L16</f>
        <v>0</v>
      </c>
      <c r="M10" s="176">
        <f>Assumptions!M16</f>
        <v>0</v>
      </c>
      <c r="N10" s="176">
        <f>Assumptions!N16</f>
        <v>0</v>
      </c>
      <c r="O10" s="176">
        <f>Assumptions!O16</f>
        <v>0</v>
      </c>
    </row>
    <row r="11" spans="1:15" x14ac:dyDescent="0.25">
      <c r="B11" s="30" t="s">
        <v>48</v>
      </c>
      <c r="C11" s="43"/>
      <c r="D11" s="43"/>
      <c r="E11" s="43"/>
      <c r="F11" s="174">
        <f>Assumptions!F17</f>
        <v>0.21</v>
      </c>
      <c r="G11" s="174">
        <f>Assumptions!G17</f>
        <v>0.21</v>
      </c>
      <c r="H11" s="174">
        <f>Assumptions!H17</f>
        <v>0.21</v>
      </c>
      <c r="I11" s="174">
        <f>Assumptions!I17</f>
        <v>0.21</v>
      </c>
      <c r="J11" s="174">
        <f>Assumptions!J17</f>
        <v>0.21</v>
      </c>
      <c r="K11" s="174">
        <f>Assumptions!K17</f>
        <v>0.21</v>
      </c>
      <c r="L11" s="174">
        <f>Assumptions!L17</f>
        <v>0.21</v>
      </c>
      <c r="M11" s="174">
        <f>Assumptions!M17</f>
        <v>0.21</v>
      </c>
      <c r="N11" s="174">
        <f>Assumptions!N17</f>
        <v>0.21</v>
      </c>
      <c r="O11" s="174">
        <f>Assumptions!O17</f>
        <v>0.21</v>
      </c>
    </row>
    <row r="12" spans="1:15" s="237" customFormat="1" x14ac:dyDescent="0.25">
      <c r="A12" s="239"/>
      <c r="B12" s="237" t="s">
        <v>141</v>
      </c>
      <c r="E12" s="240"/>
      <c r="F12" s="241">
        <f>Assumptions!F18</f>
        <v>2.4021970108276394</v>
      </c>
      <c r="G12" s="241">
        <f>Assumptions!G18</f>
        <v>2.6819891773646214</v>
      </c>
      <c r="H12" s="241">
        <f>Assumptions!H18</f>
        <v>2.9617813439016034</v>
      </c>
      <c r="I12" s="241">
        <f>Assumptions!I18</f>
        <v>3.2415735104385854</v>
      </c>
      <c r="J12" s="241">
        <f>Assumptions!J18</f>
        <v>3.5213656769755675</v>
      </c>
      <c r="K12" s="241">
        <f>Assumptions!K18</f>
        <v>3.8011578435125495</v>
      </c>
      <c r="L12" s="241">
        <f>Assumptions!L18</f>
        <v>4.0809500100495315</v>
      </c>
      <c r="M12" s="241">
        <f>Assumptions!M18</f>
        <v>4.3607421765865135</v>
      </c>
      <c r="N12" s="241">
        <f>Assumptions!N18</f>
        <v>4.6405343431234956</v>
      </c>
      <c r="O12" s="241">
        <f>Assumptions!O18</f>
        <v>4.9203265096604776</v>
      </c>
    </row>
    <row r="13" spans="1:15" x14ac:dyDescent="0.25">
      <c r="B13" s="4" t="s">
        <v>49</v>
      </c>
      <c r="C13" s="30"/>
      <c r="D13" s="30"/>
      <c r="E13" s="39"/>
      <c r="F13" s="176">
        <f>Assumptions!F19</f>
        <v>4624</v>
      </c>
      <c r="G13" s="176">
        <f>Assumptions!G19</f>
        <v>4624</v>
      </c>
      <c r="H13" s="176">
        <f>Assumptions!H19</f>
        <v>4624</v>
      </c>
      <c r="I13" s="176">
        <f>Assumptions!I19</f>
        <v>4624</v>
      </c>
      <c r="J13" s="176">
        <f>Assumptions!J19</f>
        <v>4624</v>
      </c>
      <c r="K13" s="176">
        <f>Assumptions!K19</f>
        <v>4624</v>
      </c>
      <c r="L13" s="176">
        <f>Assumptions!L19</f>
        <v>4624</v>
      </c>
      <c r="M13" s="176">
        <f>Assumptions!M19</f>
        <v>4624</v>
      </c>
      <c r="N13" s="176">
        <f>Assumptions!N19</f>
        <v>4624</v>
      </c>
      <c r="O13" s="176">
        <f>Assumptions!O19</f>
        <v>4624</v>
      </c>
    </row>
    <row r="14" spans="1:15" x14ac:dyDescent="0.25">
      <c r="B14" s="4" t="s">
        <v>50</v>
      </c>
      <c r="C14" s="30"/>
      <c r="D14" s="30"/>
      <c r="E14" s="39"/>
      <c r="F14" s="176">
        <f>Assumptions!F20</f>
        <v>4778</v>
      </c>
      <c r="G14" s="176">
        <f>Assumptions!G20</f>
        <v>4778</v>
      </c>
      <c r="H14" s="176">
        <f>Assumptions!H20</f>
        <v>4778</v>
      </c>
      <c r="I14" s="176">
        <f>Assumptions!I20</f>
        <v>4778</v>
      </c>
      <c r="J14" s="176">
        <f>Assumptions!J20</f>
        <v>4778</v>
      </c>
      <c r="K14" s="176">
        <f>Assumptions!K20</f>
        <v>4778</v>
      </c>
      <c r="L14" s="176">
        <f>Assumptions!L20</f>
        <v>4778</v>
      </c>
      <c r="M14" s="176">
        <f>Assumptions!M20</f>
        <v>4778</v>
      </c>
      <c r="N14" s="176">
        <f>Assumptions!N20</f>
        <v>4778</v>
      </c>
      <c r="O14" s="176">
        <f>Assumptions!O20</f>
        <v>4778</v>
      </c>
    </row>
    <row r="15" spans="1:15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85" customHeight="1" x14ac:dyDescent="0.25">
      <c r="A16" s="177" t="s">
        <v>42</v>
      </c>
      <c r="B16" s="178"/>
      <c r="C16" s="150">
        <f>C39</f>
        <v>44926</v>
      </c>
      <c r="D16" s="150">
        <f t="shared" ref="D16:J16" si="6">D39</f>
        <v>45291</v>
      </c>
      <c r="E16" s="150">
        <f t="shared" si="6"/>
        <v>45657</v>
      </c>
      <c r="F16" s="225">
        <f t="shared" si="6"/>
        <v>2025</v>
      </c>
      <c r="G16" s="225">
        <f>G2</f>
        <v>2026</v>
      </c>
      <c r="H16" s="225">
        <f t="shared" ref="H16:O16" si="7">H2</f>
        <v>2027</v>
      </c>
      <c r="I16" s="225">
        <f t="shared" si="7"/>
        <v>2028</v>
      </c>
      <c r="J16" s="225">
        <f t="shared" si="7"/>
        <v>2029</v>
      </c>
      <c r="K16" s="225">
        <f t="shared" si="7"/>
        <v>2030</v>
      </c>
      <c r="L16" s="225">
        <f t="shared" si="7"/>
        <v>2031</v>
      </c>
      <c r="M16" s="225">
        <f t="shared" si="7"/>
        <v>2032</v>
      </c>
      <c r="N16" s="225">
        <f t="shared" si="7"/>
        <v>2033</v>
      </c>
      <c r="O16" s="225">
        <f t="shared" si="7"/>
        <v>2034</v>
      </c>
    </row>
    <row r="17" spans="1:15" x14ac:dyDescent="0.25">
      <c r="B17" s="4" t="s">
        <v>51</v>
      </c>
      <c r="C17" s="98">
        <v>33203</v>
      </c>
      <c r="D17" s="124">
        <v>35819</v>
      </c>
      <c r="E17" s="22">
        <v>51574</v>
      </c>
      <c r="F17" s="4">
        <f>E17*(1+F4)</f>
        <v>66342.339775377375</v>
      </c>
      <c r="G17" s="4">
        <f t="shared" ref="G17:O17" si="8">F17*(1+G4)</f>
        <v>92478.743485069193</v>
      </c>
      <c r="H17" s="4">
        <f t="shared" si="8"/>
        <v>120222.36653058995</v>
      </c>
      <c r="I17" s="4">
        <f t="shared" si="8"/>
        <v>155687.96465711397</v>
      </c>
      <c r="J17" s="4">
        <f t="shared" si="8"/>
        <v>200837.47440767704</v>
      </c>
      <c r="K17" s="4">
        <f t="shared" si="8"/>
        <v>258076.15461386499</v>
      </c>
      <c r="L17" s="4">
        <f t="shared" si="8"/>
        <v>330337.47790574719</v>
      </c>
      <c r="M17" s="4">
        <f t="shared" si="8"/>
        <v>421180.28432982764</v>
      </c>
      <c r="N17" s="4">
        <f t="shared" si="8"/>
        <v>534898.96109888109</v>
      </c>
      <c r="O17" s="4">
        <f t="shared" si="8"/>
        <v>676647.18579008454</v>
      </c>
    </row>
    <row r="18" spans="1:15" x14ac:dyDescent="0.25">
      <c r="B18" s="4" t="s">
        <v>159</v>
      </c>
      <c r="C18" s="124">
        <v>11108</v>
      </c>
      <c r="D18" s="124">
        <f>11129-4</f>
        <v>11125</v>
      </c>
      <c r="E18" s="22">
        <f>19065-254</f>
        <v>18811</v>
      </c>
      <c r="F18" s="172">
        <f>F17*F5</f>
        <v>24197.575396801174</v>
      </c>
      <c r="G18" s="172">
        <f t="shared" ref="G18:O18" si="9">G17*G5</f>
        <v>33730.51622324498</v>
      </c>
      <c r="H18" s="172">
        <f t="shared" si="9"/>
        <v>43849.671090218471</v>
      </c>
      <c r="I18" s="172">
        <f t="shared" si="9"/>
        <v>56785.324061832915</v>
      </c>
      <c r="J18" s="172">
        <f t="shared" si="9"/>
        <v>73253.068039764476</v>
      </c>
      <c r="K18" s="172">
        <f t="shared" si="9"/>
        <v>94130.192431097341</v>
      </c>
      <c r="L18" s="172">
        <f t="shared" si="9"/>
        <v>120486.64631180459</v>
      </c>
      <c r="M18" s="172">
        <f t="shared" si="9"/>
        <v>153620.47404755084</v>
      </c>
      <c r="N18" s="172">
        <f t="shared" si="9"/>
        <v>195098.00204038958</v>
      </c>
      <c r="O18" s="172">
        <f t="shared" si="9"/>
        <v>246798.97258109279</v>
      </c>
    </row>
    <row r="19" spans="1:15" x14ac:dyDescent="0.25">
      <c r="B19" s="4" t="s">
        <v>178</v>
      </c>
      <c r="C19" s="124">
        <v>4919</v>
      </c>
      <c r="D19" s="124">
        <v>5253</v>
      </c>
      <c r="E19" s="22">
        <v>9310</v>
      </c>
      <c r="F19" s="172">
        <f>F6*F17</f>
        <v>11975.941042167824</v>
      </c>
      <c r="G19" s="172">
        <f t="shared" ref="G19:O19" si="10">G6*G17</f>
        <v>16694.014461666618</v>
      </c>
      <c r="H19" s="172">
        <f t="shared" si="10"/>
        <v>21702.218800166604</v>
      </c>
      <c r="I19" s="172">
        <f t="shared" si="10"/>
        <v>28104.373346215751</v>
      </c>
      <c r="J19" s="172">
        <f t="shared" si="10"/>
        <v>36254.641616618326</v>
      </c>
      <c r="K19" s="172">
        <f t="shared" si="10"/>
        <v>46587.214477354544</v>
      </c>
      <c r="L19" s="172">
        <f t="shared" si="10"/>
        <v>59631.634531013813</v>
      </c>
      <c r="M19" s="172">
        <f t="shared" si="10"/>
        <v>76030.334027042612</v>
      </c>
      <c r="N19" s="172">
        <f t="shared" si="10"/>
        <v>96558.524214344114</v>
      </c>
      <c r="O19" s="172">
        <f t="shared" si="10"/>
        <v>122146.53313114529</v>
      </c>
    </row>
    <row r="20" spans="1:15" x14ac:dyDescent="0.25">
      <c r="B20" s="4" t="s">
        <v>52</v>
      </c>
      <c r="C20" s="124">
        <f>1382+1512+57</f>
        <v>2951</v>
      </c>
      <c r="D20" s="124">
        <f>1592+1394</f>
        <v>2986</v>
      </c>
      <c r="E20" s="22">
        <f>4959+3244</f>
        <v>8203</v>
      </c>
      <c r="F20" s="172">
        <f>F17*F7</f>
        <v>10551.948911804797</v>
      </c>
      <c r="G20" s="172">
        <f t="shared" ref="G20:O20" si="11">G17*G7</f>
        <v>14709.022623958246</v>
      </c>
      <c r="H20" s="172">
        <f t="shared" si="11"/>
        <v>19121.729411145719</v>
      </c>
      <c r="I20" s="172">
        <f t="shared" si="11"/>
        <v>24762.639587433703</v>
      </c>
      <c r="J20" s="172">
        <f t="shared" si="11"/>
        <v>31943.805067789483</v>
      </c>
      <c r="K20" s="172">
        <f t="shared" si="11"/>
        <v>41047.789512109484</v>
      </c>
      <c r="L20" s="172">
        <f t="shared" si="11"/>
        <v>52541.170575500139</v>
      </c>
      <c r="M20" s="172">
        <f t="shared" si="11"/>
        <v>66989.992483762675</v>
      </c>
      <c r="N20" s="172">
        <f t="shared" si="11"/>
        <v>85077.290454378584</v>
      </c>
      <c r="O20" s="172">
        <f t="shared" si="11"/>
        <v>107622.77242478891</v>
      </c>
    </row>
    <row r="21" spans="1:15" s="11" customFormat="1" x14ac:dyDescent="0.25">
      <c r="A21" s="11" t="s">
        <v>126</v>
      </c>
      <c r="B21" s="17" t="s">
        <v>55</v>
      </c>
      <c r="C21" s="18">
        <f>C17-SUM(C18:C20)</f>
        <v>14225</v>
      </c>
      <c r="D21" s="18">
        <f t="shared" ref="D21:F21" si="12">D17-SUM(D18:D20)</f>
        <v>16455</v>
      </c>
      <c r="E21" s="18">
        <f t="shared" si="12"/>
        <v>15250</v>
      </c>
      <c r="F21" s="18">
        <f t="shared" si="12"/>
        <v>19616.874424603579</v>
      </c>
      <c r="G21" s="18">
        <f t="shared" ref="G21:O21" si="13">G17-SUM(G18:G20)</f>
        <v>27345.190176199343</v>
      </c>
      <c r="H21" s="18">
        <f t="shared" si="13"/>
        <v>35548.747229059154</v>
      </c>
      <c r="I21" s="18">
        <f t="shared" si="13"/>
        <v>46035.627661631603</v>
      </c>
      <c r="J21" s="18">
        <f t="shared" si="13"/>
        <v>59385.959683504771</v>
      </c>
      <c r="K21" s="18">
        <f t="shared" si="13"/>
        <v>76310.958193303639</v>
      </c>
      <c r="L21" s="18">
        <f t="shared" si="13"/>
        <v>97678.026487428637</v>
      </c>
      <c r="M21" s="18">
        <f t="shared" si="13"/>
        <v>124539.48377147154</v>
      </c>
      <c r="N21" s="18">
        <f t="shared" si="13"/>
        <v>158165.14438976883</v>
      </c>
      <c r="O21" s="18">
        <f t="shared" si="13"/>
        <v>200078.90765305754</v>
      </c>
    </row>
    <row r="22" spans="1:15" s="11" customFormat="1" x14ac:dyDescent="0.25">
      <c r="E22" s="35"/>
    </row>
    <row r="23" spans="1:15" s="11" customFormat="1" x14ac:dyDescent="0.25">
      <c r="B23" s="4" t="s">
        <v>15</v>
      </c>
      <c r="C23" s="125">
        <v>529</v>
      </c>
      <c r="D23" s="125">
        <v>502</v>
      </c>
      <c r="E23" s="25">
        <v>593</v>
      </c>
      <c r="F23" s="4">
        <f>Calcs!F8</f>
        <v>694.03574744661091</v>
      </c>
      <c r="G23" s="4">
        <f>Calcs!G8</f>
        <v>697.032511603888</v>
      </c>
      <c r="H23" s="4">
        <f>Calcs!H8</f>
        <v>775.65902787880418</v>
      </c>
      <c r="I23" s="4">
        <f>Calcs!I8</f>
        <v>913.79576443234487</v>
      </c>
      <c r="J23" s="4">
        <f>Calcs!J8</f>
        <v>1117.6479391353496</v>
      </c>
      <c r="K23" s="4">
        <f>Calcs!K8</f>
        <v>1397.4515611273641</v>
      </c>
      <c r="L23" s="4">
        <f>Calcs!L8</f>
        <v>1767.6605627001509</v>
      </c>
      <c r="M23" s="4">
        <f>Calcs!M8</f>
        <v>2247.3307399022342</v>
      </c>
      <c r="N23" s="4">
        <f>Calcs!N8</f>
        <v>2860.6821894567524</v>
      </c>
      <c r="O23" s="4">
        <f>Calcs!O8</f>
        <v>3637.8292059619821</v>
      </c>
    </row>
    <row r="24" spans="1:15" s="11" customFormat="1" x14ac:dyDescent="0.25">
      <c r="B24" s="4" t="s">
        <v>54</v>
      </c>
      <c r="C24" s="98">
        <v>4455</v>
      </c>
      <c r="D24" s="98">
        <v>3333</v>
      </c>
      <c r="E24" s="126">
        <v>9417</v>
      </c>
      <c r="F24" s="4">
        <f>F8</f>
        <v>4924.375</v>
      </c>
      <c r="G24" s="4">
        <f t="shared" ref="G24:O24" si="14">G8</f>
        <v>4924.375</v>
      </c>
      <c r="H24" s="4">
        <f t="shared" si="14"/>
        <v>4924.375</v>
      </c>
      <c r="I24" s="4">
        <f t="shared" si="14"/>
        <v>4924.375</v>
      </c>
      <c r="J24" s="4">
        <f t="shared" si="14"/>
        <v>4924.375</v>
      </c>
      <c r="K24" s="4">
        <f t="shared" si="14"/>
        <v>4924.375</v>
      </c>
      <c r="L24" s="4">
        <f t="shared" si="14"/>
        <v>4924.375</v>
      </c>
      <c r="M24" s="4">
        <f t="shared" si="14"/>
        <v>4924.375</v>
      </c>
      <c r="N24" s="4">
        <f t="shared" si="14"/>
        <v>0</v>
      </c>
      <c r="O24" s="4">
        <f t="shared" si="14"/>
        <v>0</v>
      </c>
    </row>
    <row r="25" spans="1:15" s="129" customFormat="1" x14ac:dyDescent="0.25">
      <c r="A25" s="129" t="s">
        <v>126</v>
      </c>
      <c r="B25" s="130" t="s">
        <v>53</v>
      </c>
      <c r="C25" s="131">
        <f>SUM(C21,C23:C24)</f>
        <v>19209</v>
      </c>
      <c r="D25" s="131">
        <f t="shared" ref="D25:F25" si="15">SUM(D21,D23:D24)</f>
        <v>20290</v>
      </c>
      <c r="E25" s="131">
        <f t="shared" si="15"/>
        <v>25260</v>
      </c>
      <c r="F25" s="131">
        <f t="shared" si="15"/>
        <v>25235.285172050189</v>
      </c>
      <c r="G25" s="131">
        <f t="shared" ref="G25:O25" si="16">SUM(G21,G23:G24)</f>
        <v>32966.597687803231</v>
      </c>
      <c r="H25" s="131">
        <f t="shared" si="16"/>
        <v>41248.78125693796</v>
      </c>
      <c r="I25" s="131">
        <f t="shared" si="16"/>
        <v>51873.79842606395</v>
      </c>
      <c r="J25" s="131">
        <f t="shared" si="16"/>
        <v>65427.98262264012</v>
      </c>
      <c r="K25" s="131">
        <f t="shared" si="16"/>
        <v>82632.784754431006</v>
      </c>
      <c r="L25" s="131">
        <f t="shared" si="16"/>
        <v>104370.06205012879</v>
      </c>
      <c r="M25" s="131">
        <f t="shared" si="16"/>
        <v>131711.18951137376</v>
      </c>
      <c r="N25" s="131">
        <f t="shared" si="16"/>
        <v>161025.82657922557</v>
      </c>
      <c r="O25" s="131">
        <f t="shared" si="16"/>
        <v>203716.73685901953</v>
      </c>
    </row>
    <row r="26" spans="1:15" s="11" customFormat="1" x14ac:dyDescent="0.25">
      <c r="C26" s="13"/>
      <c r="D26" s="4"/>
      <c r="E26" s="36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s="11" customFormat="1" x14ac:dyDescent="0.25">
      <c r="B27" s="4" t="s">
        <v>56</v>
      </c>
      <c r="C27" s="96">
        <f>-5-57</f>
        <v>-62</v>
      </c>
      <c r="D27" s="96">
        <f>-244-4</f>
        <v>-248</v>
      </c>
      <c r="E27" s="97">
        <f>-254-1533</f>
        <v>-1787</v>
      </c>
      <c r="F27" s="4">
        <f>F9</f>
        <v>0</v>
      </c>
      <c r="G27" s="4">
        <f t="shared" ref="G27:O27" si="17">G9</f>
        <v>0</v>
      </c>
      <c r="H27" s="4">
        <f t="shared" si="17"/>
        <v>0</v>
      </c>
      <c r="I27" s="4">
        <f t="shared" si="17"/>
        <v>0</v>
      </c>
      <c r="J27" s="4">
        <f t="shared" si="17"/>
        <v>0</v>
      </c>
      <c r="K27" s="4">
        <f t="shared" si="17"/>
        <v>0</v>
      </c>
      <c r="L27" s="4">
        <f t="shared" si="17"/>
        <v>0</v>
      </c>
      <c r="M27" s="4">
        <f t="shared" si="17"/>
        <v>0</v>
      </c>
      <c r="N27" s="4">
        <f t="shared" si="17"/>
        <v>0</v>
      </c>
      <c r="O27" s="4">
        <f t="shared" si="17"/>
        <v>0</v>
      </c>
    </row>
    <row r="28" spans="1:15" s="11" customFormat="1" x14ac:dyDescent="0.25">
      <c r="B28" s="4" t="s">
        <v>57</v>
      </c>
      <c r="C28" s="96">
        <v>-54</v>
      </c>
      <c r="D28" s="96">
        <v>512</v>
      </c>
      <c r="E28" s="97">
        <v>406</v>
      </c>
      <c r="F28" s="4">
        <f t="shared" ref="F28:O28" si="18">F10</f>
        <v>0</v>
      </c>
      <c r="G28" s="4">
        <f t="shared" si="18"/>
        <v>0</v>
      </c>
      <c r="H28" s="4">
        <f t="shared" si="18"/>
        <v>0</v>
      </c>
      <c r="I28" s="4">
        <f t="shared" si="18"/>
        <v>0</v>
      </c>
      <c r="J28" s="4">
        <f t="shared" si="18"/>
        <v>0</v>
      </c>
      <c r="K28" s="4">
        <f t="shared" si="18"/>
        <v>0</v>
      </c>
      <c r="L28" s="4">
        <f t="shared" si="18"/>
        <v>0</v>
      </c>
      <c r="M28" s="4">
        <f t="shared" si="18"/>
        <v>0</v>
      </c>
      <c r="N28" s="4">
        <f t="shared" si="18"/>
        <v>0</v>
      </c>
      <c r="O28" s="4">
        <f t="shared" si="18"/>
        <v>0</v>
      </c>
    </row>
    <row r="29" spans="1:15" s="11" customFormat="1" x14ac:dyDescent="0.25">
      <c r="B29" s="4"/>
      <c r="C29" s="10"/>
      <c r="D29" s="10"/>
      <c r="E29" s="22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s="11" customFormat="1" x14ac:dyDescent="0.25">
      <c r="B30" s="4" t="s">
        <v>41</v>
      </c>
      <c r="C30" s="9"/>
      <c r="D30" s="9"/>
      <c r="E30" s="45"/>
      <c r="F30" s="9">
        <f>IF(circ=1,Debt!F33,0)</f>
        <v>0</v>
      </c>
      <c r="G30" s="9">
        <f>IF(circ=1,Debt!G33,0)</f>
        <v>0</v>
      </c>
      <c r="H30" s="9">
        <f>IF(circ=1,Debt!H33,0)</f>
        <v>0</v>
      </c>
      <c r="I30" s="9">
        <f>IF(circ=1,Debt!I33,0)</f>
        <v>0</v>
      </c>
      <c r="J30" s="9">
        <f>IF(circ=1,Debt!J33,0)</f>
        <v>0</v>
      </c>
      <c r="K30" s="9">
        <f>IF(circ=1,Debt!K33,0)</f>
        <v>0</v>
      </c>
      <c r="L30" s="9">
        <f>IF(circ=1,Debt!L33,0)</f>
        <v>0</v>
      </c>
      <c r="M30" s="9">
        <f>IF(circ=1,Debt!M33,0)</f>
        <v>0</v>
      </c>
      <c r="N30" s="9">
        <f>IF(circ=1,Debt!N33,0)</f>
        <v>0</v>
      </c>
      <c r="O30" s="9">
        <f>IF(circ=1,Debt!O33,0)</f>
        <v>0</v>
      </c>
    </row>
    <row r="31" spans="1:15" x14ac:dyDescent="0.25">
      <c r="B31" s="4" t="s">
        <v>33</v>
      </c>
      <c r="C31" s="9">
        <v>-1737</v>
      </c>
      <c r="D31" s="9">
        <v>-1622</v>
      </c>
      <c r="E31" s="45">
        <v>-3953</v>
      </c>
      <c r="F31" s="9">
        <f>IF(circ=1,Debt!F22,0)</f>
        <v>0</v>
      </c>
      <c r="G31" s="9">
        <f>IF(circ=1,Debt!G22,0)</f>
        <v>0</v>
      </c>
      <c r="H31" s="9">
        <f>IF(circ=1,Debt!H22,0)</f>
        <v>0</v>
      </c>
      <c r="I31" s="9">
        <f>IF(circ=1,Debt!I22,0)</f>
        <v>0</v>
      </c>
      <c r="J31" s="9">
        <f>IF(circ=1,Debt!J22,0)</f>
        <v>0</v>
      </c>
      <c r="K31" s="9">
        <f>IF(circ=1,Debt!K22,0)</f>
        <v>0</v>
      </c>
      <c r="L31" s="9">
        <f>IF(circ=1,Debt!L22,0)</f>
        <v>0</v>
      </c>
      <c r="M31" s="9">
        <f>IF(circ=1,Debt!M22,0)</f>
        <v>0</v>
      </c>
      <c r="N31" s="9">
        <f>IF(circ=1,Debt!N22,0)</f>
        <v>0</v>
      </c>
      <c r="O31" s="9">
        <f>IF(circ=1,Debt!O22,0)</f>
        <v>0</v>
      </c>
    </row>
    <row r="32" spans="1:15" x14ac:dyDescent="0.25">
      <c r="C32" s="10"/>
      <c r="D32" s="10"/>
      <c r="E32" s="22"/>
      <c r="H32" s="4"/>
    </row>
    <row r="33" spans="1:15" s="11" customFormat="1" x14ac:dyDescent="0.25">
      <c r="A33" s="11" t="s">
        <v>126</v>
      </c>
      <c r="B33" s="17" t="s">
        <v>86</v>
      </c>
      <c r="C33" s="18">
        <f t="shared" ref="C33:D33" si="19">C21+SUM(C28:C31)</f>
        <v>12434</v>
      </c>
      <c r="D33" s="18">
        <f t="shared" si="19"/>
        <v>15345</v>
      </c>
      <c r="E33" s="18">
        <f>E21+SUM(E27:E31)</f>
        <v>9916</v>
      </c>
      <c r="F33" s="18">
        <f>F21+SUM(F27:F31)</f>
        <v>19616.874424603579</v>
      </c>
      <c r="G33" s="18">
        <f t="shared" ref="G33:O33" si="20">G21+SUM(G27:G31)</f>
        <v>27345.190176199343</v>
      </c>
      <c r="H33" s="18">
        <f t="shared" si="20"/>
        <v>35548.747229059154</v>
      </c>
      <c r="I33" s="18">
        <f t="shared" si="20"/>
        <v>46035.627661631603</v>
      </c>
      <c r="J33" s="18">
        <f t="shared" si="20"/>
        <v>59385.959683504771</v>
      </c>
      <c r="K33" s="18">
        <f t="shared" si="20"/>
        <v>76310.958193303639</v>
      </c>
      <c r="L33" s="18">
        <f t="shared" si="20"/>
        <v>97678.026487428637</v>
      </c>
      <c r="M33" s="18">
        <f t="shared" si="20"/>
        <v>124539.48377147154</v>
      </c>
      <c r="N33" s="18">
        <f t="shared" si="20"/>
        <v>158165.14438976883</v>
      </c>
      <c r="O33" s="18">
        <f t="shared" si="20"/>
        <v>200078.90765305754</v>
      </c>
    </row>
    <row r="34" spans="1:15" x14ac:dyDescent="0.25">
      <c r="E34" s="37"/>
      <c r="H34" s="4"/>
    </row>
    <row r="35" spans="1:15" x14ac:dyDescent="0.25">
      <c r="B35" s="4" t="s">
        <v>58</v>
      </c>
      <c r="C35" s="133">
        <v>939</v>
      </c>
      <c r="D35" s="4">
        <v>1015</v>
      </c>
      <c r="E35" s="59">
        <v>3748</v>
      </c>
      <c r="F35" s="4">
        <f>F11*F33</f>
        <v>4119.5436291667511</v>
      </c>
      <c r="G35" s="4">
        <f t="shared" ref="G35:O35" si="21">G11*G33</f>
        <v>5742.489937001862</v>
      </c>
      <c r="H35" s="4">
        <f t="shared" si="21"/>
        <v>7465.2369181024224</v>
      </c>
      <c r="I35" s="4">
        <f t="shared" si="21"/>
        <v>9667.4818089426353</v>
      </c>
      <c r="J35" s="4">
        <f t="shared" si="21"/>
        <v>12471.051533536001</v>
      </c>
      <c r="K35" s="4">
        <f t="shared" si="21"/>
        <v>16025.301220593763</v>
      </c>
      <c r="L35" s="4">
        <f t="shared" si="21"/>
        <v>20512.385562360014</v>
      </c>
      <c r="M35" s="4">
        <f t="shared" si="21"/>
        <v>26153.291592009024</v>
      </c>
      <c r="N35" s="4">
        <f t="shared" si="21"/>
        <v>33214.680321851454</v>
      </c>
      <c r="O35" s="4">
        <f t="shared" si="21"/>
        <v>42016.570607142079</v>
      </c>
    </row>
    <row r="36" spans="1:15" s="11" customFormat="1" x14ac:dyDescent="0.25">
      <c r="A36" s="11" t="s">
        <v>126</v>
      </c>
      <c r="B36" s="17" t="s">
        <v>59</v>
      </c>
      <c r="C36" s="18">
        <f>C33-C35</f>
        <v>11495</v>
      </c>
      <c r="D36" s="34">
        <f t="shared" ref="D36:F36" si="22">D33-D35</f>
        <v>14330</v>
      </c>
      <c r="E36" s="18">
        <f t="shared" si="22"/>
        <v>6168</v>
      </c>
      <c r="F36" s="18">
        <f t="shared" si="22"/>
        <v>15497.330795436828</v>
      </c>
      <c r="G36" s="18">
        <f t="shared" ref="G36:O36" si="23">G33-G35</f>
        <v>21602.700239197482</v>
      </c>
      <c r="H36" s="18">
        <f t="shared" si="23"/>
        <v>28083.510310956732</v>
      </c>
      <c r="I36" s="18">
        <f t="shared" si="23"/>
        <v>36368.145852688969</v>
      </c>
      <c r="J36" s="18">
        <f t="shared" si="23"/>
        <v>46914.908149968767</v>
      </c>
      <c r="K36" s="18">
        <f t="shared" si="23"/>
        <v>60285.656972709876</v>
      </c>
      <c r="L36" s="18">
        <f t="shared" si="23"/>
        <v>77165.640925068627</v>
      </c>
      <c r="M36" s="18">
        <f t="shared" si="23"/>
        <v>98386.192179462523</v>
      </c>
      <c r="N36" s="18">
        <f t="shared" si="23"/>
        <v>124950.46406791738</v>
      </c>
      <c r="O36" s="18">
        <f t="shared" si="23"/>
        <v>158062.33704591545</v>
      </c>
    </row>
    <row r="37" spans="1:15" s="237" customFormat="1" x14ac:dyDescent="0.25">
      <c r="A37" s="239"/>
      <c r="B37" s="237" t="s">
        <v>180</v>
      </c>
      <c r="C37" s="242">
        <f t="shared" ref="C37:D37" si="24">C38/C40</f>
        <v>1.7197358767424797</v>
      </c>
      <c r="D37" s="245">
        <f t="shared" si="24"/>
        <v>1.8426126777536755</v>
      </c>
      <c r="E37" s="243">
        <f>E38/E40</f>
        <v>2.1224048442906573</v>
      </c>
      <c r="F37" s="237">
        <f>F12</f>
        <v>2.4021970108276394</v>
      </c>
      <c r="G37" s="237">
        <f t="shared" ref="G37:O37" si="25">G12</f>
        <v>2.6819891773646214</v>
      </c>
      <c r="H37" s="237">
        <f t="shared" si="25"/>
        <v>2.9617813439016034</v>
      </c>
      <c r="I37" s="237">
        <f t="shared" si="25"/>
        <v>3.2415735104385854</v>
      </c>
      <c r="J37" s="237">
        <f t="shared" si="25"/>
        <v>3.5213656769755675</v>
      </c>
      <c r="K37" s="237">
        <f t="shared" si="25"/>
        <v>3.8011578435125495</v>
      </c>
      <c r="L37" s="237">
        <f t="shared" si="25"/>
        <v>4.0809500100495315</v>
      </c>
      <c r="M37" s="237">
        <f t="shared" si="25"/>
        <v>4.3607421765865135</v>
      </c>
      <c r="N37" s="237">
        <f t="shared" si="25"/>
        <v>4.6405343431234956</v>
      </c>
      <c r="O37" s="237">
        <f t="shared" si="25"/>
        <v>4.9203265096604776</v>
      </c>
    </row>
    <row r="38" spans="1:15" x14ac:dyDescent="0.25">
      <c r="B38" s="4" t="s">
        <v>60</v>
      </c>
      <c r="C38" s="10">
        <v>7032</v>
      </c>
      <c r="D38" s="10">
        <v>7645</v>
      </c>
      <c r="E38" s="22">
        <v>9814</v>
      </c>
      <c r="F38" s="4">
        <f>F37*F40</f>
        <v>11107.758978067004</v>
      </c>
      <c r="G38" s="4">
        <f t="shared" ref="G38:O38" si="26">G37*G40</f>
        <v>12401.51795613401</v>
      </c>
      <c r="H38" s="4">
        <f t="shared" si="26"/>
        <v>13695.276934201014</v>
      </c>
      <c r="I38" s="4">
        <f t="shared" si="26"/>
        <v>14989.035912268018</v>
      </c>
      <c r="J38" s="4">
        <f t="shared" si="26"/>
        <v>16282.794890335024</v>
      </c>
      <c r="K38" s="4">
        <f t="shared" si="26"/>
        <v>17576.553868402028</v>
      </c>
      <c r="L38" s="4">
        <f t="shared" si="26"/>
        <v>18870.312846469034</v>
      </c>
      <c r="M38" s="4">
        <f t="shared" si="26"/>
        <v>20164.07182453604</v>
      </c>
      <c r="N38" s="4">
        <f t="shared" si="26"/>
        <v>21457.830802603043</v>
      </c>
      <c r="O38" s="4">
        <f t="shared" si="26"/>
        <v>22751.589780670049</v>
      </c>
    </row>
    <row r="39" spans="1:15" x14ac:dyDescent="0.25">
      <c r="A39" s="20" t="s">
        <v>61</v>
      </c>
      <c r="B39" s="19"/>
      <c r="C39" s="55">
        <v>44926</v>
      </c>
      <c r="D39" s="55">
        <v>45291</v>
      </c>
      <c r="E39" s="55">
        <v>45657</v>
      </c>
      <c r="F39" s="225">
        <v>2025</v>
      </c>
      <c r="G39" s="225">
        <v>2026</v>
      </c>
      <c r="H39" s="225">
        <v>2027</v>
      </c>
      <c r="I39" s="225">
        <v>2028</v>
      </c>
      <c r="J39" s="225">
        <v>2029</v>
      </c>
      <c r="K39" s="225">
        <v>2030</v>
      </c>
      <c r="L39" s="225">
        <v>2031</v>
      </c>
      <c r="M39" s="225">
        <v>2032</v>
      </c>
      <c r="N39" s="225">
        <v>2033</v>
      </c>
      <c r="O39" s="225">
        <v>2034</v>
      </c>
    </row>
    <row r="40" spans="1:15" x14ac:dyDescent="0.25">
      <c r="B40" s="4" t="s">
        <v>49</v>
      </c>
      <c r="C40" s="10">
        <v>4089</v>
      </c>
      <c r="D40" s="10">
        <v>4149</v>
      </c>
      <c r="E40" s="22">
        <v>4624</v>
      </c>
      <c r="F40" s="173">
        <f>F13</f>
        <v>4624</v>
      </c>
      <c r="G40" s="173">
        <f t="shared" ref="G40:O40" si="27">G13</f>
        <v>4624</v>
      </c>
      <c r="H40" s="173">
        <f t="shared" si="27"/>
        <v>4624</v>
      </c>
      <c r="I40" s="173">
        <f t="shared" si="27"/>
        <v>4624</v>
      </c>
      <c r="J40" s="173">
        <f t="shared" si="27"/>
        <v>4624</v>
      </c>
      <c r="K40" s="173">
        <f t="shared" si="27"/>
        <v>4624</v>
      </c>
      <c r="L40" s="173">
        <f t="shared" si="27"/>
        <v>4624</v>
      </c>
      <c r="M40" s="173">
        <f t="shared" si="27"/>
        <v>4624</v>
      </c>
      <c r="N40" s="173">
        <f t="shared" si="27"/>
        <v>4624</v>
      </c>
      <c r="O40" s="173">
        <f t="shared" si="27"/>
        <v>4624</v>
      </c>
    </row>
    <row r="41" spans="1:15" x14ac:dyDescent="0.25">
      <c r="B41" s="4" t="s">
        <v>50</v>
      </c>
      <c r="C41" s="10">
        <v>4232</v>
      </c>
      <c r="D41" s="10">
        <v>4272</v>
      </c>
      <c r="E41" s="22">
        <v>4778</v>
      </c>
      <c r="F41" s="173">
        <f>F14</f>
        <v>4778</v>
      </c>
      <c r="G41" s="173">
        <f t="shared" ref="G41:O41" si="28">G14</f>
        <v>4778</v>
      </c>
      <c r="H41" s="173">
        <f t="shared" si="28"/>
        <v>4778</v>
      </c>
      <c r="I41" s="173">
        <f t="shared" si="28"/>
        <v>4778</v>
      </c>
      <c r="J41" s="173">
        <f t="shared" si="28"/>
        <v>4778</v>
      </c>
      <c r="K41" s="173">
        <f t="shared" si="28"/>
        <v>4778</v>
      </c>
      <c r="L41" s="173">
        <f t="shared" si="28"/>
        <v>4778</v>
      </c>
      <c r="M41" s="173">
        <f t="shared" si="28"/>
        <v>4778</v>
      </c>
      <c r="N41" s="173">
        <f t="shared" si="28"/>
        <v>4778</v>
      </c>
      <c r="O41" s="173">
        <f t="shared" si="28"/>
        <v>4778</v>
      </c>
    </row>
    <row r="42" spans="1:15" x14ac:dyDescent="0.25">
      <c r="B42" s="4" t="s">
        <v>62</v>
      </c>
      <c r="C42" s="180">
        <f t="shared" ref="C42:D42" si="29">C36/C40</f>
        <v>2.8112007825874299</v>
      </c>
      <c r="D42" s="180">
        <f t="shared" si="29"/>
        <v>3.4538442998312848</v>
      </c>
      <c r="E42" s="181">
        <f>E36/E40</f>
        <v>1.333910034602076</v>
      </c>
      <c r="F42" s="180">
        <f>F36/F40</f>
        <v>3.3514988744456811</v>
      </c>
      <c r="G42" s="180">
        <f t="shared" ref="G42:O42" si="30">G36/G40</f>
        <v>4.6718642385807705</v>
      </c>
      <c r="H42" s="180">
        <f t="shared" si="30"/>
        <v>6.0734235101550027</v>
      </c>
      <c r="I42" s="180">
        <f t="shared" si="30"/>
        <v>7.865083445650729</v>
      </c>
      <c r="J42" s="180">
        <f t="shared" si="30"/>
        <v>10.145957644889439</v>
      </c>
      <c r="K42" s="180">
        <f t="shared" si="30"/>
        <v>13.037555573682932</v>
      </c>
      <c r="L42" s="180">
        <f t="shared" si="30"/>
        <v>16.68807113431415</v>
      </c>
      <c r="M42" s="180">
        <f t="shared" si="30"/>
        <v>21.277290696250546</v>
      </c>
      <c r="N42" s="180">
        <f t="shared" si="30"/>
        <v>27.022159184238188</v>
      </c>
      <c r="O42" s="180">
        <f t="shared" si="30"/>
        <v>34.1830313680613</v>
      </c>
    </row>
    <row r="43" spans="1:15" s="11" customFormat="1" x14ac:dyDescent="0.25">
      <c r="A43" s="11" t="s">
        <v>126</v>
      </c>
      <c r="B43" s="17" t="s">
        <v>63</v>
      </c>
      <c r="C43" s="179">
        <f t="shared" ref="C43:D43" si="31">C36/C41</f>
        <v>2.7162098298676747</v>
      </c>
      <c r="D43" s="179">
        <f t="shared" si="31"/>
        <v>3.3544007490636703</v>
      </c>
      <c r="E43" s="179">
        <f>E36/E41</f>
        <v>1.2909167015487653</v>
      </c>
      <c r="F43" s="179">
        <f>F36/F41</f>
        <v>3.2434765164162469</v>
      </c>
      <c r="G43" s="179">
        <f t="shared" ref="G43:O43" si="32">G36/G41</f>
        <v>4.52128510657126</v>
      </c>
      <c r="H43" s="179">
        <f t="shared" si="32"/>
        <v>5.8776706385426394</v>
      </c>
      <c r="I43" s="179">
        <f t="shared" si="32"/>
        <v>7.6115834769127186</v>
      </c>
      <c r="J43" s="179">
        <f t="shared" si="32"/>
        <v>9.8189426852174062</v>
      </c>
      <c r="K43" s="179">
        <f t="shared" si="32"/>
        <v>12.617341350504368</v>
      </c>
      <c r="L43" s="179">
        <f t="shared" si="32"/>
        <v>16.150196928645588</v>
      </c>
      <c r="M43" s="179">
        <f t="shared" si="32"/>
        <v>20.591501084023133</v>
      </c>
      <c r="N43" s="179">
        <f t="shared" si="32"/>
        <v>26.151206376709371</v>
      </c>
      <c r="O43" s="179">
        <f t="shared" si="32"/>
        <v>33.081276066537349</v>
      </c>
    </row>
    <row r="44" spans="1:15" x14ac:dyDescent="0.25">
      <c r="C44" s="14"/>
      <c r="D44" s="14"/>
      <c r="E44" s="38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5">
      <c r="D45" s="14"/>
      <c r="E45" s="14"/>
      <c r="F45" s="14"/>
    </row>
  </sheetData>
  <conditionalFormatting sqref="F4:O14">
    <cfRule type="expression" dxfId="1" priority="29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O54"/>
  <sheetViews>
    <sheetView showGridLines="0" topLeftCell="C1" zoomScaleNormal="100" workbookViewId="0">
      <selection activeCell="F41" sqref="F15:O41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5" width="11.7109375" style="6" customWidth="1"/>
    <col min="16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5" s="2" customFormat="1" ht="19.5" x14ac:dyDescent="0.3">
      <c r="A1" s="226" t="str">
        <f>CoName</f>
        <v>Broadcom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x14ac:dyDescent="0.25">
      <c r="A2" s="16" t="s">
        <v>10</v>
      </c>
      <c r="B2" s="64"/>
      <c r="C2" s="236">
        <v>2022</v>
      </c>
      <c r="D2" s="236">
        <f>C2+1</f>
        <v>2023</v>
      </c>
      <c r="E2" s="236">
        <f t="shared" ref="E2:J2" si="0">D2+1</f>
        <v>2024</v>
      </c>
      <c r="F2" s="236">
        <f t="shared" si="0"/>
        <v>2025</v>
      </c>
      <c r="G2" s="236">
        <f t="shared" si="0"/>
        <v>2026</v>
      </c>
      <c r="H2" s="236">
        <f t="shared" si="0"/>
        <v>2027</v>
      </c>
      <c r="I2" s="236">
        <f t="shared" si="0"/>
        <v>2028</v>
      </c>
      <c r="J2" s="236">
        <f t="shared" si="0"/>
        <v>2029</v>
      </c>
      <c r="K2" s="236">
        <f t="shared" ref="K2" si="1">J2+1</f>
        <v>2030</v>
      </c>
      <c r="L2" s="236">
        <f t="shared" ref="L2" si="2">K2+1</f>
        <v>2031</v>
      </c>
      <c r="M2" s="236">
        <f t="shared" ref="M2" si="3">L2+1</f>
        <v>2032</v>
      </c>
      <c r="N2" s="236">
        <f t="shared" ref="N2" si="4">M2+1</f>
        <v>2033</v>
      </c>
      <c r="O2" s="236">
        <f t="shared" ref="O2" si="5">N2+1</f>
        <v>2034</v>
      </c>
    </row>
    <row r="4" spans="1:15" x14ac:dyDescent="0.25">
      <c r="B4" s="4" t="s">
        <v>142</v>
      </c>
      <c r="C4" s="43"/>
      <c r="D4" s="43"/>
      <c r="E4" s="44"/>
      <c r="F4" s="103">
        <f>Assumptions!F45</f>
        <v>1.4999999999999999E-2</v>
      </c>
      <c r="G4" s="103">
        <f>F4</f>
        <v>1.4999999999999999E-2</v>
      </c>
      <c r="H4" s="103">
        <f t="shared" ref="H4:J4" si="6">G4</f>
        <v>1.4999999999999999E-2</v>
      </c>
      <c r="I4" s="103">
        <f t="shared" si="6"/>
        <v>1.4999999999999999E-2</v>
      </c>
      <c r="J4" s="103">
        <f t="shared" si="6"/>
        <v>1.4999999999999999E-2</v>
      </c>
      <c r="K4" s="103">
        <f t="shared" ref="K4" si="7">J4</f>
        <v>1.4999999999999999E-2</v>
      </c>
      <c r="L4" s="103">
        <f t="shared" ref="L4" si="8">K4</f>
        <v>1.4999999999999999E-2</v>
      </c>
      <c r="M4" s="103">
        <f t="shared" ref="M4" si="9">L4</f>
        <v>1.4999999999999999E-2</v>
      </c>
      <c r="N4" s="103">
        <f t="shared" ref="N4" si="10">M4</f>
        <v>1.4999999999999999E-2</v>
      </c>
      <c r="O4" s="103">
        <f t="shared" ref="O4" si="11">N4</f>
        <v>1.4999999999999999E-2</v>
      </c>
    </row>
    <row r="5" spans="1:15" x14ac:dyDescent="0.25">
      <c r="B5" s="4" t="s">
        <v>155</v>
      </c>
      <c r="C5" s="43"/>
      <c r="D5" s="43"/>
      <c r="E5" s="44"/>
      <c r="F5" s="103">
        <f>Assumptions!F46</f>
        <v>8.5624539496645599E-2</v>
      </c>
      <c r="G5" s="103">
        <f>Assumptions!G46</f>
        <v>8.5624539496645599E-2</v>
      </c>
      <c r="H5" s="103">
        <f>Assumptions!H46</f>
        <v>8.5624539496645599E-2</v>
      </c>
      <c r="I5" s="103">
        <f>Assumptions!I46</f>
        <v>8.5624539496645599E-2</v>
      </c>
      <c r="J5" s="103">
        <f>Assumptions!J46</f>
        <v>8.5624539496645599E-2</v>
      </c>
      <c r="K5" s="103">
        <f>Assumptions!K46</f>
        <v>8.5624539496645599E-2</v>
      </c>
      <c r="L5" s="103">
        <f>Assumptions!L46</f>
        <v>8.5624539496645599E-2</v>
      </c>
      <c r="M5" s="103">
        <f>Assumptions!M46</f>
        <v>8.5624539496645599E-2</v>
      </c>
      <c r="N5" s="103">
        <f>Assumptions!N46</f>
        <v>8.5624539496645599E-2</v>
      </c>
      <c r="O5" s="103">
        <f>Assumptions!O46</f>
        <v>8.5624539496645599E-2</v>
      </c>
    </row>
    <row r="6" spans="1:15" x14ac:dyDescent="0.25">
      <c r="B6" s="4" t="s">
        <v>65</v>
      </c>
      <c r="C6" s="43"/>
      <c r="D6" s="43"/>
      <c r="E6" s="44"/>
      <c r="F6" s="103">
        <f>Assumptions!F47</f>
        <v>9.3562277390888307E-2</v>
      </c>
      <c r="G6" s="103">
        <f>Assumptions!G47</f>
        <v>9.3562277390888307E-2</v>
      </c>
      <c r="H6" s="103">
        <f>Assumptions!H47</f>
        <v>9.3562277390888307E-2</v>
      </c>
      <c r="I6" s="103">
        <f>Assumptions!I47</f>
        <v>9.3562277390888307E-2</v>
      </c>
      <c r="J6" s="103">
        <f>Assumptions!J47</f>
        <v>9.3562277390888307E-2</v>
      </c>
      <c r="K6" s="103">
        <f>Assumptions!K47</f>
        <v>9.3562277390888307E-2</v>
      </c>
      <c r="L6" s="103">
        <f>Assumptions!L47</f>
        <v>9.3562277390888307E-2</v>
      </c>
      <c r="M6" s="103">
        <f>Assumptions!M47</f>
        <v>9.3562277390888307E-2</v>
      </c>
      <c r="N6" s="103">
        <f>Assumptions!N47</f>
        <v>9.3562277390888307E-2</v>
      </c>
      <c r="O6" s="103">
        <f>Assumptions!O47</f>
        <v>9.3562277390888307E-2</v>
      </c>
    </row>
    <row r="7" spans="1:15" x14ac:dyDescent="0.25">
      <c r="B7" s="4" t="s">
        <v>66</v>
      </c>
      <c r="C7" s="43"/>
      <c r="D7" s="43"/>
      <c r="E7" s="44"/>
      <c r="F7" s="103">
        <f>Assumptions!F48</f>
        <v>7.8935122348470166E-2</v>
      </c>
      <c r="G7" s="103">
        <f>Assumptions!G48</f>
        <v>7.8935122348470166E-2</v>
      </c>
      <c r="H7" s="103">
        <f>Assumptions!H48</f>
        <v>7.8935122348470166E-2</v>
      </c>
      <c r="I7" s="103">
        <f>Assumptions!I48</f>
        <v>7.8935122348470166E-2</v>
      </c>
      <c r="J7" s="103">
        <f>Assumptions!J48</f>
        <v>7.8935122348470166E-2</v>
      </c>
      <c r="K7" s="103">
        <f>Assumptions!K48</f>
        <v>7.8935122348470166E-2</v>
      </c>
      <c r="L7" s="103">
        <f>Assumptions!L48</f>
        <v>7.8935122348470166E-2</v>
      </c>
      <c r="M7" s="103">
        <f>Assumptions!M48</f>
        <v>7.8935122348470166E-2</v>
      </c>
      <c r="N7" s="103">
        <f>Assumptions!N48</f>
        <v>7.8935122348470166E-2</v>
      </c>
      <c r="O7" s="103">
        <f>Assumptions!O48</f>
        <v>7.8935122348470166E-2</v>
      </c>
    </row>
    <row r="8" spans="1:15" x14ac:dyDescent="0.25">
      <c r="B8" s="4" t="s">
        <v>67</v>
      </c>
      <c r="C8" s="43"/>
      <c r="D8" s="43"/>
      <c r="E8" s="44"/>
      <c r="F8" s="103">
        <f>Assumptions!F49</f>
        <v>9.8363516500562298E-2</v>
      </c>
      <c r="G8" s="103">
        <f>Assumptions!G49</f>
        <v>9.8363516500562298E-2</v>
      </c>
      <c r="H8" s="103">
        <f>Assumptions!H49</f>
        <v>9.8363516500562298E-2</v>
      </c>
      <c r="I8" s="103">
        <f>Assumptions!I49</f>
        <v>9.8363516500562298E-2</v>
      </c>
      <c r="J8" s="103">
        <f>Assumptions!J49</f>
        <v>9.8363516500562298E-2</v>
      </c>
      <c r="K8" s="103">
        <f>Assumptions!K49</f>
        <v>9.8363516500562298E-2</v>
      </c>
      <c r="L8" s="103">
        <f>Assumptions!L49</f>
        <v>9.8363516500562298E-2</v>
      </c>
      <c r="M8" s="103">
        <f>Assumptions!M49</f>
        <v>9.8363516500562298E-2</v>
      </c>
      <c r="N8" s="103">
        <f>Assumptions!N49</f>
        <v>9.8363516500562298E-2</v>
      </c>
      <c r="O8" s="103">
        <f>Assumptions!O49</f>
        <v>9.8363516500562298E-2</v>
      </c>
    </row>
    <row r="9" spans="1:15" x14ac:dyDescent="0.25">
      <c r="C9" s="30"/>
      <c r="D9" s="30"/>
      <c r="E9" s="30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B10" s="4" t="s">
        <v>154</v>
      </c>
      <c r="C10" s="43"/>
      <c r="D10" s="43"/>
      <c r="E10" s="44"/>
      <c r="F10" s="103">
        <f>Assumptions!F53</f>
        <v>8.8352559672532027E-2</v>
      </c>
      <c r="G10" s="103">
        <f>Assumptions!G53</f>
        <v>8.8352559672532027E-2</v>
      </c>
      <c r="H10" s="103">
        <f>Assumptions!H53</f>
        <v>8.8352559672532027E-2</v>
      </c>
      <c r="I10" s="103">
        <f>Assumptions!I53</f>
        <v>8.8352559672532027E-2</v>
      </c>
      <c r="J10" s="103">
        <f>Assumptions!J53</f>
        <v>8.8352559672532027E-2</v>
      </c>
      <c r="K10" s="103">
        <f>Assumptions!K53</f>
        <v>8.8352559672532027E-2</v>
      </c>
      <c r="L10" s="103">
        <f>Assumptions!L53</f>
        <v>8.8352559672532027E-2</v>
      </c>
      <c r="M10" s="103">
        <f>Assumptions!M53</f>
        <v>8.8352559672532027E-2</v>
      </c>
      <c r="N10" s="103">
        <f>Assumptions!N53</f>
        <v>8.8352559672532027E-2</v>
      </c>
      <c r="O10" s="103">
        <f>Assumptions!O53</f>
        <v>8.8352559672532027E-2</v>
      </c>
    </row>
    <row r="11" spans="1:15" x14ac:dyDescent="0.25">
      <c r="B11" s="4" t="s">
        <v>68</v>
      </c>
      <c r="C11" s="43"/>
      <c r="D11" s="43"/>
      <c r="E11" s="26"/>
      <c r="F11" s="103">
        <f>Assumptions!F54</f>
        <v>0.26687865978981656</v>
      </c>
      <c r="G11" s="103">
        <f>Assumptions!G54</f>
        <v>0.26687865978981656</v>
      </c>
      <c r="H11" s="103">
        <f>Assumptions!H54</f>
        <v>0.26687865978981656</v>
      </c>
      <c r="I11" s="103">
        <f>Assumptions!I54</f>
        <v>0.26687865978981656</v>
      </c>
      <c r="J11" s="103">
        <f>Assumptions!J54</f>
        <v>0.26687865978981656</v>
      </c>
      <c r="K11" s="103">
        <f>Assumptions!K54</f>
        <v>0.26687865978981656</v>
      </c>
      <c r="L11" s="103">
        <f>Assumptions!L54</f>
        <v>0.26687865978981656</v>
      </c>
      <c r="M11" s="103">
        <f>Assumptions!M54</f>
        <v>0.26687865978981656</v>
      </c>
      <c r="N11" s="103">
        <f>Assumptions!N54</f>
        <v>0.26687865978981656</v>
      </c>
      <c r="O11" s="103">
        <f>Assumptions!O54</f>
        <v>0.26687865978981656</v>
      </c>
    </row>
    <row r="12" spans="1:15" x14ac:dyDescent="0.25">
      <c r="B12" s="4" t="s">
        <v>69</v>
      </c>
      <c r="C12" s="43"/>
      <c r="D12" s="43"/>
      <c r="E12" s="44"/>
      <c r="F12" s="228">
        <f>Assumptions!F55</f>
        <v>0.29035948346065849</v>
      </c>
      <c r="G12" s="228">
        <f>Assumptions!G55</f>
        <v>0.29035948346065849</v>
      </c>
      <c r="H12" s="228">
        <f>Assumptions!H55</f>
        <v>0.29035948346065849</v>
      </c>
      <c r="I12" s="228">
        <f>Assumptions!I55</f>
        <v>0.29035948346065849</v>
      </c>
      <c r="J12" s="228">
        <f>Assumptions!J55</f>
        <v>0.29035948346065849</v>
      </c>
      <c r="K12" s="228">
        <f>Assumptions!K55</f>
        <v>0.29035948346065849</v>
      </c>
      <c r="L12" s="228">
        <f>Assumptions!L55</f>
        <v>0.29035948346065849</v>
      </c>
      <c r="M12" s="228">
        <f>Assumptions!M55</f>
        <v>0.29035948346065849</v>
      </c>
      <c r="N12" s="228">
        <f>Assumptions!N55</f>
        <v>0.29035948346065849</v>
      </c>
      <c r="O12" s="228">
        <f>Assumptions!O55</f>
        <v>0.29035948346065849</v>
      </c>
    </row>
    <row r="13" spans="1:15" x14ac:dyDescent="0.25">
      <c r="C13" s="43"/>
      <c r="D13" s="43"/>
      <c r="E13" s="43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ht="15" customHeight="1" x14ac:dyDescent="0.25">
      <c r="A14" s="177" t="s">
        <v>64</v>
      </c>
      <c r="B14" s="178"/>
      <c r="C14" s="225">
        <f t="shared" ref="C14:J14" si="12">C2</f>
        <v>2022</v>
      </c>
      <c r="D14" s="225">
        <f t="shared" si="12"/>
        <v>2023</v>
      </c>
      <c r="E14" s="225">
        <f t="shared" si="12"/>
        <v>2024</v>
      </c>
      <c r="F14" s="225">
        <f t="shared" si="12"/>
        <v>2025</v>
      </c>
      <c r="G14" s="225">
        <f t="shared" si="12"/>
        <v>2026</v>
      </c>
      <c r="H14" s="225">
        <f t="shared" si="12"/>
        <v>2027</v>
      </c>
      <c r="I14" s="225">
        <f t="shared" si="12"/>
        <v>2028</v>
      </c>
      <c r="J14" s="225">
        <f t="shared" si="12"/>
        <v>2029</v>
      </c>
      <c r="K14" s="225">
        <f t="shared" ref="K14:O14" si="13">K2</f>
        <v>2030</v>
      </c>
      <c r="L14" s="225">
        <f t="shared" si="13"/>
        <v>2031</v>
      </c>
      <c r="M14" s="225">
        <f t="shared" si="13"/>
        <v>2032</v>
      </c>
      <c r="N14" s="225">
        <f t="shared" si="13"/>
        <v>2033</v>
      </c>
      <c r="O14" s="225">
        <f t="shared" si="13"/>
        <v>2034</v>
      </c>
    </row>
    <row r="15" spans="1:15" x14ac:dyDescent="0.25">
      <c r="B15" s="4" t="s">
        <v>160</v>
      </c>
      <c r="C15" s="183">
        <f>1.5%*IncState!C17</f>
        <v>498.04499999999996</v>
      </c>
      <c r="D15" s="183">
        <f>1.5%*IncState!D17</f>
        <v>537.28499999999997</v>
      </c>
      <c r="E15" s="184">
        <f>1.5%*IncState!E17</f>
        <v>773.61</v>
      </c>
      <c r="F15" s="4">
        <f>F4*IncState!F17</f>
        <v>995.13509663066054</v>
      </c>
      <c r="G15" s="4">
        <f>G4*IncState!G17</f>
        <v>1387.1811522760379</v>
      </c>
      <c r="H15" s="4">
        <f>H4*IncState!H17</f>
        <v>1803.3354979588491</v>
      </c>
      <c r="I15" s="4">
        <f>I4*IncState!I17</f>
        <v>2335.3194698567095</v>
      </c>
      <c r="J15" s="4">
        <f>J4*IncState!J17</f>
        <v>3012.5621161151557</v>
      </c>
      <c r="K15" s="4">
        <f>K4*IncState!K17</f>
        <v>3871.1423192079747</v>
      </c>
      <c r="L15" s="4">
        <f>L4*IncState!L17</f>
        <v>4955.0621685862079</v>
      </c>
      <c r="M15" s="4">
        <f>M4*IncState!M17</f>
        <v>6317.7042649474142</v>
      </c>
      <c r="N15" s="4">
        <f>N4*IncState!N17</f>
        <v>8023.4844164832157</v>
      </c>
      <c r="O15" s="4">
        <f>O4*IncState!O17</f>
        <v>10149.707786851268</v>
      </c>
    </row>
    <row r="16" spans="1:15" x14ac:dyDescent="0.25">
      <c r="B16" s="4" t="s">
        <v>161</v>
      </c>
      <c r="C16" s="183">
        <f>12416-C15</f>
        <v>11917.955</v>
      </c>
      <c r="D16" s="183">
        <f>14189-D15</f>
        <v>13651.715</v>
      </c>
      <c r="E16" s="184">
        <f>9348-E15</f>
        <v>8574.39</v>
      </c>
      <c r="F16" s="263">
        <f>MAX(CashFlow!F23,0)</f>
        <v>20703.407206727665</v>
      </c>
      <c r="G16" s="263">
        <f>MAX(CashFlow!G23,0)</f>
        <v>41793.988036455128</v>
      </c>
      <c r="H16" s="263">
        <f>MAX(CashFlow!H23,0)</f>
        <v>68301.322763121861</v>
      </c>
      <c r="I16" s="263">
        <f>MAX(CashFlow!I23,0)</f>
        <v>103703.02079739212</v>
      </c>
      <c r="J16" s="263">
        <f>MAX(CashFlow!J23,0)</f>
        <v>150768.29804270988</v>
      </c>
      <c r="K16" s="263">
        <f>MAX(CashFlow!K23,0)</f>
        <v>212935.89323858317</v>
      </c>
      <c r="L16" s="263">
        <f>MAX(CashFlow!L23,0)</f>
        <v>294459.61233729735</v>
      </c>
      <c r="M16" s="263">
        <f>MAX(CashFlow!M23,0)</f>
        <v>400579.32093864249</v>
      </c>
      <c r="N16" s="263">
        <f>MAX(CashFlow!N23,0)</f>
        <v>532796.30467853008</v>
      </c>
      <c r="O16" s="263">
        <f>MAX(CashFlow!O23,0)</f>
        <v>703878.21334525687</v>
      </c>
    </row>
    <row r="17" spans="1:15" x14ac:dyDescent="0.25">
      <c r="B17" s="4" t="s">
        <v>70</v>
      </c>
      <c r="C17" s="185">
        <v>2958</v>
      </c>
      <c r="D17" s="185">
        <v>3154</v>
      </c>
      <c r="E17" s="186">
        <v>4416</v>
      </c>
      <c r="F17" s="4">
        <f>F5*IncState!F17</f>
        <v>5680.5322923966824</v>
      </c>
      <c r="G17" s="4">
        <f>G5*IncState!G17</f>
        <v>7918.449824137464</v>
      </c>
      <c r="H17" s="4">
        <f>H5*IncState!H17</f>
        <v>10293.984771378702</v>
      </c>
      <c r="I17" s="4">
        <f>I5*IncState!I17</f>
        <v>13330.710278935419</v>
      </c>
      <c r="J17" s="4">
        <f>J5*IncState!J17</f>
        <v>17196.616259826693</v>
      </c>
      <c r="K17" s="4">
        <f>K5*IncState!K17</f>
        <v>22097.651893877301</v>
      </c>
      <c r="L17" s="4">
        <f>L5*IncState!L17</f>
        <v>28284.994424162942</v>
      </c>
      <c r="M17" s="4">
        <f>M5*IncState!M17</f>
        <v>36063.367890807749</v>
      </c>
      <c r="N17" s="4">
        <f>N5*IncState!N17</f>
        <v>45800.47722132584</v>
      </c>
      <c r="O17" s="4">
        <f>O5*IncState!O17</f>
        <v>57937.603684977184</v>
      </c>
    </row>
    <row r="18" spans="1:15" x14ac:dyDescent="0.25">
      <c r="B18" s="4" t="s">
        <v>71</v>
      </c>
      <c r="C18" s="185">
        <v>1925</v>
      </c>
      <c r="D18" s="185">
        <v>1898</v>
      </c>
      <c r="E18" s="186">
        <v>1760</v>
      </c>
      <c r="F18" s="4">
        <f>F6*IncState!F18</f>
        <v>2263.9802614624455</v>
      </c>
      <c r="G18" s="4">
        <f>G6*IncState!G18</f>
        <v>3155.9039154171051</v>
      </c>
      <c r="H18" s="4">
        <f>H6*IncState!H18</f>
        <v>4102.6750900422367</v>
      </c>
      <c r="I18" s="4">
        <f>I6*IncState!I18</f>
        <v>5312.9642416046954</v>
      </c>
      <c r="J18" s="4">
        <f>J6*IncState!J18</f>
        <v>6853.7238716700585</v>
      </c>
      <c r="K18" s="4">
        <f>K6*IncState!K18</f>
        <v>8807.0351750960235</v>
      </c>
      <c r="L18" s="4">
        <f>L6*IncState!L18</f>
        <v>11273.005024122911</v>
      </c>
      <c r="M18" s="4">
        <f>M6*IncState!M18</f>
        <v>14373.08140575671</v>
      </c>
      <c r="N18" s="4">
        <f>N6*IncState!N18</f>
        <v>18253.813385311023</v>
      </c>
      <c r="O18" s="4">
        <f>O6*IncState!O18</f>
        <v>23091.07393241844</v>
      </c>
    </row>
    <row r="19" spans="1:15" x14ac:dyDescent="0.25">
      <c r="B19" s="4" t="s">
        <v>72</v>
      </c>
      <c r="C19" s="185">
        <v>1205</v>
      </c>
      <c r="D19" s="185">
        <v>1606</v>
      </c>
      <c r="E19" s="186">
        <v>4071</v>
      </c>
      <c r="F19" s="4">
        <f>F7*IncState!F17</f>
        <v>5236.7407070531917</v>
      </c>
      <c r="G19" s="4">
        <f>G7*IncState!G17</f>
        <v>7299.8209316267248</v>
      </c>
      <c r="H19" s="4">
        <f>H7*IncState!H17</f>
        <v>9489.7672111147422</v>
      </c>
      <c r="I19" s="4">
        <f>I7*IncState!I17</f>
        <v>12289.248538393591</v>
      </c>
      <c r="J19" s="4">
        <f>J7*IncState!J17</f>
        <v>15853.130614527734</v>
      </c>
      <c r="K19" s="4">
        <f>K7*IncState!K17</f>
        <v>20371.272839668138</v>
      </c>
      <c r="L19" s="4">
        <f>L7*IncState!L17</f>
        <v>26075.229234775215</v>
      </c>
      <c r="M19" s="4">
        <f>M7*IncState!M17</f>
        <v>33245.917274338397</v>
      </c>
      <c r="N19" s="4">
        <f>N7*IncState!N17</f>
        <v>42222.314938409763</v>
      </c>
      <c r="O19" s="4">
        <f>O7*IncState!O17</f>
        <v>53411.228397088344</v>
      </c>
    </row>
    <row r="20" spans="1:15" s="11" customFormat="1" x14ac:dyDescent="0.25">
      <c r="B20" s="11" t="s">
        <v>73</v>
      </c>
      <c r="C20" s="11">
        <f>SUM(C15:C19)</f>
        <v>18504</v>
      </c>
      <c r="D20" s="11">
        <f>SUM(D15:D19)</f>
        <v>20847</v>
      </c>
      <c r="E20" s="24">
        <f t="shared" ref="E20" si="14">SUM(E15:E19)</f>
        <v>19595</v>
      </c>
      <c r="F20" s="11">
        <f>SUM(F15:F19)</f>
        <v>34879.795564270644</v>
      </c>
      <c r="G20" s="11">
        <f t="shared" ref="G20:O20" si="15">SUM(G15:G19)</f>
        <v>61555.343859912457</v>
      </c>
      <c r="H20" s="11">
        <f t="shared" si="15"/>
        <v>93991.085333616385</v>
      </c>
      <c r="I20" s="11">
        <f t="shared" si="15"/>
        <v>136971.26332618255</v>
      </c>
      <c r="J20" s="11">
        <f t="shared" si="15"/>
        <v>193684.33090484951</v>
      </c>
      <c r="K20" s="11">
        <f t="shared" si="15"/>
        <v>268082.99546643259</v>
      </c>
      <c r="L20" s="11">
        <f t="shared" si="15"/>
        <v>365047.90318894462</v>
      </c>
      <c r="M20" s="11">
        <f t="shared" si="15"/>
        <v>490579.39177449269</v>
      </c>
      <c r="N20" s="11">
        <f t="shared" si="15"/>
        <v>647096.39464005991</v>
      </c>
      <c r="O20" s="11">
        <f t="shared" si="15"/>
        <v>848467.82714659208</v>
      </c>
    </row>
    <row r="21" spans="1:15" x14ac:dyDescent="0.25">
      <c r="A21" s="7"/>
      <c r="E21" s="27"/>
      <c r="I21" s="4"/>
      <c r="J21" s="4"/>
      <c r="K21" s="4"/>
      <c r="L21" s="4"/>
      <c r="M21" s="4"/>
      <c r="N21" s="4"/>
      <c r="O21" s="4"/>
    </row>
    <row r="22" spans="1:15" x14ac:dyDescent="0.25">
      <c r="B22" s="4" t="s">
        <v>74</v>
      </c>
      <c r="C22" s="185">
        <v>2223</v>
      </c>
      <c r="D22" s="185">
        <v>2154</v>
      </c>
      <c r="E22" s="186">
        <v>2521</v>
      </c>
      <c r="F22" s="4">
        <f>Calcs!F9</f>
        <v>2531.8853794178326</v>
      </c>
      <c r="G22" s="4">
        <f>Calcs!G9</f>
        <v>2817.4865869324526</v>
      </c>
      <c r="H22" s="4">
        <f>Calcs!H9</f>
        <v>3319.251393907708</v>
      </c>
      <c r="I22" s="4">
        <f>Calcs!I9</f>
        <v>4059.7194956113708</v>
      </c>
      <c r="J22" s="4">
        <f>Calcs!J9</f>
        <v>5076.0719437914713</v>
      </c>
      <c r="K22" s="4">
        <f>Calcs!K9</f>
        <v>6420.8108803644609</v>
      </c>
      <c r="L22" s="4">
        <f>Calcs!L9</f>
        <v>8163.1541547207626</v>
      </c>
      <c r="M22" s="4">
        <f>Calcs!M9</f>
        <v>10391.078307065505</v>
      </c>
      <c r="N22" s="4">
        <f>Calcs!N9</f>
        <v>13213.969830762411</v>
      </c>
      <c r="O22" s="4">
        <f>Calcs!O9</f>
        <v>16765.861371939809</v>
      </c>
    </row>
    <row r="23" spans="1:15" x14ac:dyDescent="0.25">
      <c r="B23" s="4" t="s">
        <v>162</v>
      </c>
      <c r="C23" s="185">
        <f>43614+7111</f>
        <v>50725</v>
      </c>
      <c r="D23" s="185">
        <f>43653+3867</f>
        <v>47520</v>
      </c>
      <c r="E23" s="186">
        <f>97873+40583</f>
        <v>138456</v>
      </c>
      <c r="F23" s="132">
        <f>E23-IncState!F24</f>
        <v>133531.625</v>
      </c>
      <c r="G23" s="132">
        <f>F23-IncState!G24</f>
        <v>128607.25</v>
      </c>
      <c r="H23" s="132">
        <f>G23-IncState!H24</f>
        <v>123682.875</v>
      </c>
      <c r="I23" s="132">
        <f>H23-IncState!I24</f>
        <v>118758.5</v>
      </c>
      <c r="J23" s="132">
        <f>I23-IncState!J24</f>
        <v>113834.125</v>
      </c>
      <c r="K23" s="132">
        <f>J23-IncState!K24</f>
        <v>108909.75</v>
      </c>
      <c r="L23" s="132">
        <f>K23-IncState!L24</f>
        <v>103985.375</v>
      </c>
      <c r="M23" s="132">
        <f>L23-IncState!M24</f>
        <v>99061</v>
      </c>
      <c r="N23" s="132">
        <f>M23-IncState!N24</f>
        <v>99061</v>
      </c>
      <c r="O23" s="132">
        <f>N23-IncState!O24</f>
        <v>99061</v>
      </c>
    </row>
    <row r="24" spans="1:15" x14ac:dyDescent="0.25">
      <c r="B24" s="4" t="s">
        <v>163</v>
      </c>
      <c r="C24" s="185">
        <v>1797</v>
      </c>
      <c r="D24" s="185">
        <v>2340</v>
      </c>
      <c r="E24" s="186">
        <v>5073</v>
      </c>
      <c r="F24" s="4">
        <f>F8*IncState!F17</f>
        <v>6525.6658331812432</v>
      </c>
      <c r="G24" s="4">
        <f>G8*IncState!G17</f>
        <v>9096.5344107448709</v>
      </c>
      <c r="H24" s="4">
        <f>H8*IncState!H17</f>
        <v>11825.494733968333</v>
      </c>
      <c r="I24" s="4">
        <f>I8*IncState!I17</f>
        <v>15314.01568048899</v>
      </c>
      <c r="J24" s="4">
        <f>J8*IncState!J17</f>
        <v>19755.0802278308</v>
      </c>
      <c r="K24" s="4">
        <f>K8*IncState!K17</f>
        <v>25385.278092762575</v>
      </c>
      <c r="L24" s="4">
        <f>L8*IncState!L17</f>
        <v>32493.155958736097</v>
      </c>
      <c r="M24" s="4">
        <f>M8*IncState!M17</f>
        <v>41428.773847388518</v>
      </c>
      <c r="N24" s="4">
        <f>N8*IncState!N17</f>
        <v>52614.542786183418</v>
      </c>
      <c r="O24" s="4">
        <f>O8*IncState!O17</f>
        <v>66557.396624522022</v>
      </c>
    </row>
    <row r="25" spans="1:15" s="11" customFormat="1" x14ac:dyDescent="0.25">
      <c r="B25" s="11" t="s">
        <v>75</v>
      </c>
      <c r="C25" s="11">
        <f t="shared" ref="C25:J25" si="16">SUM(C22:C24)</f>
        <v>54745</v>
      </c>
      <c r="D25" s="11">
        <f t="shared" si="16"/>
        <v>52014</v>
      </c>
      <c r="E25" s="24">
        <f t="shared" si="16"/>
        <v>146050</v>
      </c>
      <c r="F25" s="11">
        <f t="shared" si="16"/>
        <v>142589.17621259906</v>
      </c>
      <c r="G25" s="11">
        <f t="shared" ref="G25" si="17">SUM(G22:G24)</f>
        <v>140521.27099767732</v>
      </c>
      <c r="H25" s="11">
        <f t="shared" ref="H25" si="18">SUM(H22:H24)</f>
        <v>138827.62112787605</v>
      </c>
      <c r="I25" s="11">
        <f t="shared" ref="I25" si="19">SUM(I22:I24)</f>
        <v>138132.23517610037</v>
      </c>
      <c r="J25" s="11">
        <f t="shared" ref="J25" si="20">SUM(J22:J24)</f>
        <v>138665.27717162226</v>
      </c>
      <c r="K25" s="11">
        <f t="shared" ref="K25" si="21">SUM(K22:K24)</f>
        <v>140715.83897312704</v>
      </c>
      <c r="L25" s="11">
        <f t="shared" ref="L25" si="22">SUM(L22:L24)</f>
        <v>144641.68511345686</v>
      </c>
      <c r="M25" s="11">
        <f t="shared" ref="M25" si="23">SUM(M22:M24)</f>
        <v>150880.85215445401</v>
      </c>
      <c r="N25" s="11">
        <f t="shared" ref="N25" si="24">SUM(N22:N24)</f>
        <v>164889.51261694584</v>
      </c>
      <c r="O25" s="11">
        <f t="shared" ref="O25" si="25">SUM(O22:O24)</f>
        <v>182384.25799646182</v>
      </c>
    </row>
    <row r="26" spans="1:15" x14ac:dyDescent="0.25">
      <c r="E26" s="27"/>
      <c r="I26" s="4"/>
      <c r="J26" s="4"/>
      <c r="K26" s="4"/>
      <c r="L26" s="4"/>
      <c r="M26" s="4"/>
      <c r="N26" s="4"/>
      <c r="O26" s="4"/>
    </row>
    <row r="27" spans="1:15" s="11" customFormat="1" x14ac:dyDescent="0.25">
      <c r="A27" s="11" t="s">
        <v>126</v>
      </c>
      <c r="B27" s="17" t="s">
        <v>76</v>
      </c>
      <c r="C27" s="18">
        <f t="shared" ref="C27:J27" si="26">SUM(C25,C20)</f>
        <v>73249</v>
      </c>
      <c r="D27" s="18">
        <f t="shared" si="26"/>
        <v>72861</v>
      </c>
      <c r="E27" s="18">
        <f t="shared" si="26"/>
        <v>165645</v>
      </c>
      <c r="F27" s="18">
        <f t="shared" si="26"/>
        <v>177468.9717768697</v>
      </c>
      <c r="G27" s="18">
        <f t="shared" ref="G27:O27" si="27">SUM(G25,G20)</f>
        <v>202076.61485758977</v>
      </c>
      <c r="H27" s="18">
        <f t="shared" si="27"/>
        <v>232818.70646149243</v>
      </c>
      <c r="I27" s="18">
        <f t="shared" si="27"/>
        <v>275103.49850228289</v>
      </c>
      <c r="J27" s="18">
        <f t="shared" si="27"/>
        <v>332349.60807647178</v>
      </c>
      <c r="K27" s="18">
        <f t="shared" si="27"/>
        <v>408798.83443955961</v>
      </c>
      <c r="L27" s="18">
        <f t="shared" si="27"/>
        <v>509689.58830240148</v>
      </c>
      <c r="M27" s="18">
        <f t="shared" si="27"/>
        <v>641460.24392894667</v>
      </c>
      <c r="N27" s="18">
        <f t="shared" si="27"/>
        <v>811985.90725700581</v>
      </c>
      <c r="O27" s="18">
        <f t="shared" si="27"/>
        <v>1030852.0851430539</v>
      </c>
    </row>
    <row r="28" spans="1:15" x14ac:dyDescent="0.25">
      <c r="A28" s="11"/>
      <c r="E28" s="27"/>
      <c r="I28" s="4"/>
      <c r="J28" s="4"/>
      <c r="K28" s="4"/>
      <c r="L28" s="4"/>
      <c r="M28" s="4"/>
      <c r="N28" s="4"/>
      <c r="O28" s="4"/>
    </row>
    <row r="29" spans="1:15" x14ac:dyDescent="0.25">
      <c r="B29" s="4" t="s">
        <v>77</v>
      </c>
      <c r="C29" s="9">
        <v>440</v>
      </c>
      <c r="D29" s="9">
        <v>1608</v>
      </c>
      <c r="E29" s="45">
        <v>0</v>
      </c>
      <c r="F29" s="263">
        <f>MIN(CashFlow!F23,0)</f>
        <v>0</v>
      </c>
      <c r="G29" s="263">
        <f>MIN(CashFlow!G23,0)</f>
        <v>0</v>
      </c>
      <c r="H29" s="263">
        <f>MIN(CashFlow!H23,0)</f>
        <v>0</v>
      </c>
      <c r="I29" s="263">
        <f>MIN(CashFlow!I23,0)</f>
        <v>0</v>
      </c>
      <c r="J29" s="263">
        <f>MIN(CashFlow!J23,0)</f>
        <v>0</v>
      </c>
      <c r="K29" s="263">
        <f>MIN(CashFlow!K23,0)</f>
        <v>0</v>
      </c>
      <c r="L29" s="263">
        <f>MIN(CashFlow!L23,0)</f>
        <v>0</v>
      </c>
      <c r="M29" s="263">
        <f>MIN(CashFlow!M23,0)</f>
        <v>0</v>
      </c>
      <c r="N29" s="263">
        <f>MIN(CashFlow!N23,0)</f>
        <v>0</v>
      </c>
      <c r="O29" s="263">
        <f>MIN(CashFlow!O23,0)</f>
        <v>0</v>
      </c>
    </row>
    <row r="30" spans="1:15" x14ac:dyDescent="0.25">
      <c r="B30" s="4" t="s">
        <v>153</v>
      </c>
      <c r="C30" s="185">
        <v>998</v>
      </c>
      <c r="D30" s="9">
        <v>1210</v>
      </c>
      <c r="E30" s="45">
        <v>1662</v>
      </c>
      <c r="F30" s="4">
        <f>F10*IncState!F18</f>
        <v>2137.9177241764687</v>
      </c>
      <c r="G30" s="4">
        <f>G10*IncState!G18</f>
        <v>2980.1774473995615</v>
      </c>
      <c r="H30" s="4">
        <f>H10*IncState!H18</f>
        <v>3874.23068161943</v>
      </c>
      <c r="I30" s="4">
        <f>I10*IncState!I18</f>
        <v>5017.1287326971615</v>
      </c>
      <c r="J30" s="4">
        <f>J10*IncState!J18</f>
        <v>6472.0960651793393</v>
      </c>
      <c r="K30" s="4">
        <f>K10*IncState!K18</f>
        <v>8316.6434437554508</v>
      </c>
      <c r="L30" s="4">
        <f>L10*IncState!L18</f>
        <v>10645.303608006976</v>
      </c>
      <c r="M30" s="4">
        <f>M10*IncState!M18</f>
        <v>13572.762100208894</v>
      </c>
      <c r="N30" s="4">
        <f>N10*IncState!N18</f>
        <v>17237.407867265294</v>
      </c>
      <c r="O30" s="4">
        <f>O10*IncState!O18</f>
        <v>21805.320952090595</v>
      </c>
    </row>
    <row r="31" spans="1:15" x14ac:dyDescent="0.25">
      <c r="B31" s="4" t="s">
        <v>78</v>
      </c>
      <c r="C31" s="185">
        <f>1202+4412</f>
        <v>5614</v>
      </c>
      <c r="D31" s="9">
        <f>3652+935</f>
        <v>4587</v>
      </c>
      <c r="E31" s="45">
        <f>1971+11793</f>
        <v>13764</v>
      </c>
      <c r="F31" s="4">
        <f>F11*IncState!F17</f>
        <v>17705.354726573354</v>
      </c>
      <c r="G31" s="4">
        <f>G11*IncState!G17</f>
        <v>24680.603120341497</v>
      </c>
      <c r="H31" s="4">
        <f>H11*IncState!H17</f>
        <v>32084.784056443943</v>
      </c>
      <c r="I31" s="4">
        <f>I11*IncState!I17</f>
        <v>41549.795353094909</v>
      </c>
      <c r="J31" s="4">
        <f>J11*IncState!J17</f>
        <v>53599.236005492436</v>
      </c>
      <c r="K31" s="4">
        <f>K11*IncState!K17</f>
        <v>68875.018267057778</v>
      </c>
      <c r="L31" s="4">
        <f>L11*IncState!L17</f>
        <v>88160.023381833947</v>
      </c>
      <c r="M31" s="4">
        <f>M11*IncState!M17</f>
        <v>112404.02981183828</v>
      </c>
      <c r="N31" s="4">
        <f>N11*IncState!N17</f>
        <v>142753.11786103461</v>
      </c>
      <c r="O31" s="4">
        <f>O11*IncState!O17</f>
        <v>180582.69409420877</v>
      </c>
    </row>
    <row r="32" spans="1:15" s="11" customFormat="1" x14ac:dyDescent="0.25">
      <c r="B32" s="11" t="s">
        <v>79</v>
      </c>
      <c r="C32" s="11">
        <f t="shared" ref="C32:E32" si="28">SUM(C29:C31)</f>
        <v>7052</v>
      </c>
      <c r="D32" s="11">
        <f t="shared" si="28"/>
        <v>7405</v>
      </c>
      <c r="E32" s="24">
        <f t="shared" si="28"/>
        <v>15426</v>
      </c>
      <c r="F32" s="11">
        <f>SUM(F29:F31)</f>
        <v>19843.272450749824</v>
      </c>
      <c r="G32" s="11">
        <f t="shared" ref="G32:O32" si="29">SUM(G29:G31)</f>
        <v>27660.780567741058</v>
      </c>
      <c r="H32" s="11">
        <f t="shared" si="29"/>
        <v>35959.014738063372</v>
      </c>
      <c r="I32" s="11">
        <f t="shared" si="29"/>
        <v>46566.924085792067</v>
      </c>
      <c r="J32" s="11">
        <f t="shared" si="29"/>
        <v>60071.332070671779</v>
      </c>
      <c r="K32" s="11">
        <f t="shared" si="29"/>
        <v>77191.661710813234</v>
      </c>
      <c r="L32" s="11">
        <f t="shared" si="29"/>
        <v>98805.32698984092</v>
      </c>
      <c r="M32" s="11">
        <f t="shared" si="29"/>
        <v>125976.79191204718</v>
      </c>
      <c r="N32" s="11">
        <f t="shared" si="29"/>
        <v>159990.52572829989</v>
      </c>
      <c r="O32" s="11">
        <f t="shared" si="29"/>
        <v>202388.01504629938</v>
      </c>
    </row>
    <row r="33" spans="1:15" x14ac:dyDescent="0.25">
      <c r="B33" s="11"/>
      <c r="E33" s="27"/>
      <c r="I33" s="4"/>
      <c r="J33" s="4"/>
      <c r="K33" s="4"/>
      <c r="L33" s="4"/>
      <c r="M33" s="4"/>
      <c r="N33" s="4"/>
      <c r="O33" s="4"/>
    </row>
    <row r="34" spans="1:15" x14ac:dyDescent="0.25">
      <c r="B34" s="4" t="s">
        <v>80</v>
      </c>
      <c r="C34" s="185">
        <v>39075</v>
      </c>
      <c r="D34" s="9">
        <v>37621</v>
      </c>
      <c r="E34" s="45">
        <f>66295+1271</f>
        <v>67566</v>
      </c>
      <c r="F34" s="4">
        <f>Debt!F20</f>
        <v>66295</v>
      </c>
      <c r="G34" s="4">
        <f>Debt!G20</f>
        <v>66295</v>
      </c>
      <c r="H34" s="4">
        <f>Debt!H20</f>
        <v>66295</v>
      </c>
      <c r="I34" s="4">
        <f>Debt!I20</f>
        <v>66295</v>
      </c>
      <c r="J34" s="4">
        <f>Debt!J20</f>
        <v>66295</v>
      </c>
      <c r="K34" s="4">
        <f>Debt!K20</f>
        <v>66295</v>
      </c>
      <c r="L34" s="4">
        <f>Debt!L20</f>
        <v>66295</v>
      </c>
      <c r="M34" s="4">
        <f>Debt!M20</f>
        <v>66295</v>
      </c>
      <c r="N34" s="4">
        <f>Debt!N20</f>
        <v>66295</v>
      </c>
      <c r="O34" s="4">
        <f>Debt!O20</f>
        <v>66295</v>
      </c>
    </row>
    <row r="35" spans="1:15" x14ac:dyDescent="0.25">
      <c r="B35" s="4" t="s">
        <v>81</v>
      </c>
      <c r="C35" s="185">
        <v>4413</v>
      </c>
      <c r="D35" s="9">
        <v>3847</v>
      </c>
      <c r="E35" s="45">
        <v>14975</v>
      </c>
      <c r="F35" s="4">
        <f>F12*IncState!F17</f>
        <v>19263.127508750073</v>
      </c>
      <c r="G35" s="4">
        <f>G12*IncState!G17</f>
        <v>26852.080189415428</v>
      </c>
      <c r="H35" s="4">
        <f>H12*IncState!H17</f>
        <v>34907.704246240057</v>
      </c>
      <c r="I35" s="4">
        <f>I12*IncState!I17</f>
        <v>45205.476998880869</v>
      </c>
      <c r="J35" s="4">
        <f>J12*IncState!J17</f>
        <v>58315.065328556324</v>
      </c>
      <c r="K35" s="4">
        <f>K12*IncState!K17</f>
        <v>74934.858947194865</v>
      </c>
      <c r="L35" s="4">
        <f>L12*IncState!L17</f>
        <v>95916.619452409432</v>
      </c>
      <c r="M35" s="4">
        <f>M12*IncState!M17</f>
        <v>122293.68980182202</v>
      </c>
      <c r="N35" s="4">
        <f>N12*IncState!N17</f>
        <v>155312.98604831396</v>
      </c>
      <c r="O35" s="4">
        <f>O12*IncState!O17</f>
        <v>196470.92735111716</v>
      </c>
    </row>
    <row r="36" spans="1:15" x14ac:dyDescent="0.25">
      <c r="B36" s="11" t="s">
        <v>82</v>
      </c>
      <c r="C36" s="11">
        <f t="shared" ref="C36:E36" si="30">SUM(C34:C35)</f>
        <v>43488</v>
      </c>
      <c r="D36" s="11">
        <f t="shared" si="30"/>
        <v>41468</v>
      </c>
      <c r="E36" s="24">
        <f t="shared" si="30"/>
        <v>82541</v>
      </c>
      <c r="F36" s="11">
        <f>SUM(F34:F35)</f>
        <v>85558.127508750069</v>
      </c>
      <c r="G36" s="11">
        <f t="shared" ref="G36:O36" si="31">SUM(G34:G35)</f>
        <v>93147.080189415428</v>
      </c>
      <c r="H36" s="11">
        <f t="shared" si="31"/>
        <v>101202.70424624006</v>
      </c>
      <c r="I36" s="11">
        <f t="shared" si="31"/>
        <v>111500.47699888087</v>
      </c>
      <c r="J36" s="11">
        <f t="shared" si="31"/>
        <v>124610.06532855632</v>
      </c>
      <c r="K36" s="11">
        <f t="shared" si="31"/>
        <v>141229.85894719488</v>
      </c>
      <c r="L36" s="11">
        <f t="shared" si="31"/>
        <v>162211.61945240945</v>
      </c>
      <c r="M36" s="11">
        <f t="shared" si="31"/>
        <v>188588.68980182201</v>
      </c>
      <c r="N36" s="11">
        <f t="shared" si="31"/>
        <v>221607.98604831396</v>
      </c>
      <c r="O36" s="11">
        <f t="shared" si="31"/>
        <v>262765.92735111713</v>
      </c>
    </row>
    <row r="37" spans="1:15" x14ac:dyDescent="0.25">
      <c r="E37" s="27"/>
      <c r="I37" s="4"/>
      <c r="J37" s="4"/>
      <c r="K37" s="4"/>
      <c r="L37" s="4"/>
      <c r="M37" s="4"/>
      <c r="N37" s="4"/>
      <c r="O37" s="4"/>
    </row>
    <row r="38" spans="1:15" x14ac:dyDescent="0.25">
      <c r="B38" s="4" t="s">
        <v>17</v>
      </c>
      <c r="C38" s="187">
        <v>22709</v>
      </c>
      <c r="D38" s="187">
        <v>23988</v>
      </c>
      <c r="E38" s="198">
        <v>67678</v>
      </c>
      <c r="F38" s="4">
        <f>Calcs!F17</f>
        <v>72067.571817369826</v>
      </c>
      <c r="G38" s="4">
        <f>Calcs!G17</f>
        <v>81268.754100433303</v>
      </c>
      <c r="H38" s="4">
        <f>Calcs!H17</f>
        <v>95656.987477189017</v>
      </c>
      <c r="I38" s="4">
        <f>Calcs!I17</f>
        <v>117036.09741760996</v>
      </c>
      <c r="J38" s="4">
        <f>Calcs!J17</f>
        <v>147668.21067724368</v>
      </c>
      <c r="K38" s="4">
        <f>Calcs!K17</f>
        <v>190377.31378155152</v>
      </c>
      <c r="L38" s="4">
        <f>Calcs!L17</f>
        <v>248672.64186015111</v>
      </c>
      <c r="M38" s="4">
        <f>Calcs!M17</f>
        <v>326894.76221507759</v>
      </c>
      <c r="N38" s="4">
        <f>Calcs!N17</f>
        <v>430387.39548039192</v>
      </c>
      <c r="O38" s="4">
        <f>Calcs!O17</f>
        <v>565698.14274563733</v>
      </c>
    </row>
    <row r="39" spans="1:15" s="11" customFormat="1" x14ac:dyDescent="0.25">
      <c r="A39" s="11" t="s">
        <v>126</v>
      </c>
      <c r="B39" s="17" t="s">
        <v>83</v>
      </c>
      <c r="C39" s="18">
        <f>SUM(C38,C36,C32)</f>
        <v>73249</v>
      </c>
      <c r="D39" s="18">
        <f>SUM(D38,D36,D32)</f>
        <v>72861</v>
      </c>
      <c r="E39" s="18">
        <f t="shared" ref="E39:F39" si="32">SUM(E38,E36,E32)</f>
        <v>165645</v>
      </c>
      <c r="F39" s="18">
        <f t="shared" si="32"/>
        <v>177468.97177686973</v>
      </c>
      <c r="G39" s="18">
        <f t="shared" ref="G39:O39" si="33">SUM(G38,G36,G32)</f>
        <v>202076.6148575898</v>
      </c>
      <c r="H39" s="18">
        <f t="shared" si="33"/>
        <v>232818.70646149246</v>
      </c>
      <c r="I39" s="18">
        <f t="shared" si="33"/>
        <v>275103.49850228289</v>
      </c>
      <c r="J39" s="18">
        <f t="shared" si="33"/>
        <v>332349.60807647178</v>
      </c>
      <c r="K39" s="18">
        <f t="shared" si="33"/>
        <v>408798.83443955967</v>
      </c>
      <c r="L39" s="18">
        <f t="shared" si="33"/>
        <v>509689.58830240148</v>
      </c>
      <c r="M39" s="18">
        <f t="shared" si="33"/>
        <v>641460.24392894679</v>
      </c>
      <c r="N39" s="18">
        <f t="shared" si="33"/>
        <v>811985.90725700569</v>
      </c>
      <c r="O39" s="18">
        <f t="shared" si="33"/>
        <v>1030852.0851430539</v>
      </c>
    </row>
    <row r="40" spans="1:15" x14ac:dyDescent="0.25">
      <c r="E40" s="27"/>
      <c r="I40" s="4"/>
      <c r="J40" s="4"/>
      <c r="K40" s="4"/>
      <c r="L40" s="4"/>
      <c r="M40" s="4"/>
      <c r="N40" s="4"/>
      <c r="O40" s="4"/>
    </row>
    <row r="41" spans="1:15" x14ac:dyDescent="0.25">
      <c r="A41" s="4" t="s">
        <v>126</v>
      </c>
      <c r="B41" s="11" t="s">
        <v>84</v>
      </c>
      <c r="C41" s="46">
        <f>C39-C27</f>
        <v>0</v>
      </c>
      <c r="D41" s="46">
        <f t="shared" ref="D41:J41" si="34">D39-D27</f>
        <v>0</v>
      </c>
      <c r="E41" s="151">
        <f t="shared" si="34"/>
        <v>0</v>
      </c>
      <c r="F41" s="46">
        <f t="shared" si="34"/>
        <v>0</v>
      </c>
      <c r="G41" s="46">
        <f t="shared" ref="G41:O41" si="35">G39-G27</f>
        <v>0</v>
      </c>
      <c r="H41" s="46">
        <f t="shared" si="35"/>
        <v>0</v>
      </c>
      <c r="I41" s="46">
        <f t="shared" si="35"/>
        <v>0</v>
      </c>
      <c r="J41" s="46">
        <f t="shared" si="35"/>
        <v>0</v>
      </c>
      <c r="K41" s="46">
        <f t="shared" si="35"/>
        <v>0</v>
      </c>
      <c r="L41" s="46">
        <f t="shared" si="35"/>
        <v>0</v>
      </c>
      <c r="M41" s="46">
        <f t="shared" si="35"/>
        <v>0</v>
      </c>
      <c r="N41" s="46">
        <f t="shared" si="35"/>
        <v>0</v>
      </c>
      <c r="O41" s="46">
        <f t="shared" si="35"/>
        <v>0</v>
      </c>
    </row>
    <row r="42" spans="1:15" x14ac:dyDescent="0.25">
      <c r="I42" s="4"/>
      <c r="J42" s="4"/>
      <c r="K42" s="4"/>
      <c r="L42" s="4"/>
      <c r="M42" s="4"/>
      <c r="N42" s="4"/>
      <c r="O42" s="4"/>
    </row>
    <row r="43" spans="1:15" x14ac:dyDescent="0.25">
      <c r="H43" s="6"/>
    </row>
    <row r="44" spans="1:15" x14ac:dyDescent="0.25">
      <c r="H44" s="6"/>
    </row>
    <row r="45" spans="1:15" x14ac:dyDescent="0.25">
      <c r="H45" s="6"/>
    </row>
    <row r="46" spans="1:15" x14ac:dyDescent="0.25">
      <c r="H46" s="6"/>
    </row>
    <row r="47" spans="1:15" x14ac:dyDescent="0.25">
      <c r="H47" s="6"/>
    </row>
    <row r="48" spans="1:15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</sheetData>
  <conditionalFormatting sqref="F4:O13">
    <cfRule type="expression" dxfId="0" priority="35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O23"/>
  <sheetViews>
    <sheetView showGridLines="0" topLeftCell="C2" zoomScaleNormal="100" workbookViewId="0">
      <selection activeCell="F23" sqref="F4:O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5" width="11.7109375" style="6" customWidth="1"/>
    <col min="16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5" s="2" customFormat="1" ht="19.5" x14ac:dyDescent="0.3">
      <c r="A1" s="226" t="str">
        <f>CoName</f>
        <v>Broadcom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s="2" customFormat="1" x14ac:dyDescent="0.25">
      <c r="A2" s="177" t="s">
        <v>85</v>
      </c>
      <c r="B2" s="178"/>
      <c r="C2" s="182">
        <v>2022</v>
      </c>
      <c r="D2" s="182">
        <f>C2+1</f>
        <v>2023</v>
      </c>
      <c r="E2" s="182">
        <f t="shared" ref="E2:J2" si="0">D2+1</f>
        <v>2024</v>
      </c>
      <c r="F2" s="182">
        <f t="shared" si="0"/>
        <v>2025</v>
      </c>
      <c r="G2" s="182">
        <f t="shared" si="0"/>
        <v>2026</v>
      </c>
      <c r="H2" s="182">
        <f t="shared" si="0"/>
        <v>2027</v>
      </c>
      <c r="I2" s="182">
        <f t="shared" si="0"/>
        <v>2028</v>
      </c>
      <c r="J2" s="182">
        <f t="shared" si="0"/>
        <v>2029</v>
      </c>
      <c r="K2" s="182">
        <f t="shared" ref="K2" si="1">J2+1</f>
        <v>2030</v>
      </c>
      <c r="L2" s="182">
        <f t="shared" ref="L2" si="2">K2+1</f>
        <v>2031</v>
      </c>
      <c r="M2" s="182">
        <f t="shared" ref="M2" si="3">L2+1</f>
        <v>2032</v>
      </c>
      <c r="N2" s="182">
        <f t="shared" ref="N2" si="4">M2+1</f>
        <v>2033</v>
      </c>
      <c r="O2" s="182">
        <f t="shared" ref="O2" si="5">N2+1</f>
        <v>2034</v>
      </c>
    </row>
    <row r="3" spans="1:15" x14ac:dyDescent="0.25">
      <c r="B3" s="4" t="s">
        <v>158</v>
      </c>
      <c r="F3" s="4">
        <f>IncState!F36</f>
        <v>15497.330795436828</v>
      </c>
      <c r="G3" s="4">
        <f>IncState!G36</f>
        <v>21602.700239197482</v>
      </c>
      <c r="H3" s="4">
        <f>IncState!H36</f>
        <v>28083.510310956732</v>
      </c>
      <c r="I3" s="4">
        <f>IncState!I36</f>
        <v>36368.145852688969</v>
      </c>
      <c r="J3" s="4">
        <f>IncState!J36</f>
        <v>46914.908149968767</v>
      </c>
      <c r="K3" s="4">
        <f>IncState!K36</f>
        <v>60285.656972709876</v>
      </c>
      <c r="L3" s="4">
        <f>IncState!L36</f>
        <v>77165.640925068627</v>
      </c>
      <c r="M3" s="4">
        <f>IncState!M36</f>
        <v>98386.192179462523</v>
      </c>
      <c r="N3" s="4">
        <f>IncState!N36</f>
        <v>124950.46406791738</v>
      </c>
      <c r="O3" s="4">
        <f>IncState!O36</f>
        <v>158062.33704591545</v>
      </c>
    </row>
    <row r="4" spans="1:15" x14ac:dyDescent="0.25">
      <c r="B4" s="4" t="s">
        <v>15</v>
      </c>
      <c r="F4" s="4">
        <f>IncState!F23</f>
        <v>694.03574744661091</v>
      </c>
      <c r="G4" s="4">
        <f>IncState!G23</f>
        <v>697.032511603888</v>
      </c>
      <c r="H4" s="4">
        <f>IncState!H23</f>
        <v>775.65902787880418</v>
      </c>
      <c r="I4" s="4">
        <f>IncState!I23</f>
        <v>913.79576443234487</v>
      </c>
      <c r="J4" s="4">
        <f>IncState!J23</f>
        <v>1117.6479391353496</v>
      </c>
      <c r="K4" s="4">
        <f>IncState!K23</f>
        <v>1397.4515611273641</v>
      </c>
      <c r="L4" s="4">
        <f>IncState!L23</f>
        <v>1767.6605627001509</v>
      </c>
      <c r="M4" s="4">
        <f>IncState!M23</f>
        <v>2247.3307399022342</v>
      </c>
      <c r="N4" s="4">
        <f>IncState!N23</f>
        <v>2860.6821894567524</v>
      </c>
      <c r="O4" s="4">
        <f>IncState!O23</f>
        <v>3637.8292059619821</v>
      </c>
    </row>
    <row r="5" spans="1:15" x14ac:dyDescent="0.25">
      <c r="B5" s="4" t="s">
        <v>54</v>
      </c>
      <c r="F5" s="4">
        <f>IncState!F24</f>
        <v>4924.375</v>
      </c>
      <c r="G5" s="4">
        <f>IncState!G24</f>
        <v>4924.375</v>
      </c>
      <c r="H5" s="4">
        <f>IncState!H24</f>
        <v>4924.375</v>
      </c>
      <c r="I5" s="4">
        <f>IncState!I24</f>
        <v>4924.375</v>
      </c>
      <c r="J5" s="4">
        <f>IncState!J24</f>
        <v>4924.375</v>
      </c>
      <c r="K5" s="4">
        <f>IncState!K24</f>
        <v>4924.375</v>
      </c>
      <c r="L5" s="4">
        <f>IncState!L24</f>
        <v>4924.375</v>
      </c>
      <c r="M5" s="4">
        <f>IncState!M24</f>
        <v>4924.375</v>
      </c>
      <c r="N5" s="4">
        <f>IncState!N24</f>
        <v>0</v>
      </c>
      <c r="O5" s="4">
        <f>IncState!O24</f>
        <v>0</v>
      </c>
    </row>
    <row r="6" spans="1:15" x14ac:dyDescent="0.25">
      <c r="B6" s="4" t="s">
        <v>215</v>
      </c>
      <c r="F6" s="4">
        <f>Calcs!F26</f>
        <v>1261.4940932068457</v>
      </c>
      <c r="G6" s="4">
        <f>Calcs!G26</f>
        <v>2232.5406510768807</v>
      </c>
      <c r="H6" s="4">
        <f>Calcs!H26</f>
        <v>2369.8274232851145</v>
      </c>
      <c r="I6" s="4">
        <f>Calcs!I26</f>
        <v>3029.4293894328075</v>
      </c>
      <c r="J6" s="4">
        <f>Calcs!J26</f>
        <v>3856.6176515304905</v>
      </c>
      <c r="K6" s="4">
        <f>Calcs!K26</f>
        <v>4889.2602744316609</v>
      </c>
      <c r="L6" s="4">
        <f>Calcs!L26</f>
        <v>6172.4766552298533</v>
      </c>
      <c r="M6" s="4">
        <f>Calcs!M26</f>
        <v>7759.6849380032509</v>
      </c>
      <c r="N6" s="4">
        <f>Calcs!N26</f>
        <v>9713.7146905731497</v>
      </c>
      <c r="O6" s="4">
        <f>Calcs!O26</f>
        <v>12107.965478194106</v>
      </c>
    </row>
    <row r="7" spans="1:15" x14ac:dyDescent="0.25">
      <c r="B7" s="4" t="s">
        <v>216</v>
      </c>
      <c r="F7" s="4">
        <f>BalSheet!E24-BalSheet!F24</f>
        <v>-1452.6658331812432</v>
      </c>
      <c r="G7" s="4">
        <f>BalSheet!F24-BalSheet!G24</f>
        <v>-2570.8685775636277</v>
      </c>
      <c r="H7" s="4">
        <f>BalSheet!G24-BalSheet!H24</f>
        <v>-2728.9603232234622</v>
      </c>
      <c r="I7" s="4">
        <f>BalSheet!H24-BalSheet!I24</f>
        <v>-3488.5209465206572</v>
      </c>
      <c r="J7" s="4">
        <f>BalSheet!I24-BalSheet!J24</f>
        <v>-4441.0645473418099</v>
      </c>
      <c r="K7" s="4">
        <f>BalSheet!J24-BalSheet!K24</f>
        <v>-5630.1978649317753</v>
      </c>
      <c r="L7" s="4">
        <f>BalSheet!K24-BalSheet!L24</f>
        <v>-7107.8778659735217</v>
      </c>
      <c r="M7" s="4">
        <f>BalSheet!L24-BalSheet!M24</f>
        <v>-8935.6178886524212</v>
      </c>
      <c r="N7" s="4">
        <f>BalSheet!M24-BalSheet!N24</f>
        <v>-11185.768938794899</v>
      </c>
      <c r="O7" s="4">
        <f>BalSheet!N24-BalSheet!O24</f>
        <v>-13942.853838338604</v>
      </c>
    </row>
    <row r="8" spans="1:15" x14ac:dyDescent="0.25">
      <c r="B8" s="4" t="s">
        <v>217</v>
      </c>
      <c r="F8" s="4">
        <f>BalSheet!F35-BalSheet!E35</f>
        <v>4288.1275087500726</v>
      </c>
      <c r="G8" s="4">
        <f>BalSheet!G35-BalSheet!F35</f>
        <v>7588.9526806653557</v>
      </c>
      <c r="H8" s="4">
        <f>BalSheet!H35-BalSheet!G35</f>
        <v>8055.6240568246285</v>
      </c>
      <c r="I8" s="4">
        <f>BalSheet!I35-BalSheet!H35</f>
        <v>10297.772752640813</v>
      </c>
      <c r="J8" s="4">
        <f>BalSheet!J35-BalSheet!I35</f>
        <v>13109.588329675455</v>
      </c>
      <c r="K8" s="4">
        <f>BalSheet!K35-BalSheet!J35</f>
        <v>16619.793618638541</v>
      </c>
      <c r="L8" s="4">
        <f>BalSheet!L35-BalSheet!K35</f>
        <v>20981.760505214566</v>
      </c>
      <c r="M8" s="4">
        <f>BalSheet!M35-BalSheet!L35</f>
        <v>26377.070349412592</v>
      </c>
      <c r="N8" s="4">
        <f>BalSheet!N35-BalSheet!M35</f>
        <v>33019.29624649194</v>
      </c>
      <c r="O8" s="4">
        <f>BalSheet!O35-BalSheet!N35</f>
        <v>41157.9413028032</v>
      </c>
    </row>
    <row r="9" spans="1:15" s="11" customFormat="1" x14ac:dyDescent="0.25">
      <c r="B9" s="11" t="s">
        <v>218</v>
      </c>
      <c r="F9" s="11">
        <f>SUM(F3:F8)</f>
        <v>25212.697311659114</v>
      </c>
      <c r="G9" s="11">
        <f t="shared" ref="G9:O9" si="6">SUM(G3:G8)</f>
        <v>34474.732504979984</v>
      </c>
      <c r="H9" s="11">
        <f t="shared" si="6"/>
        <v>41480.035495721808</v>
      </c>
      <c r="I9" s="11">
        <f t="shared" si="6"/>
        <v>52044.997812674279</v>
      </c>
      <c r="J9" s="11">
        <f t="shared" si="6"/>
        <v>65482.07252296825</v>
      </c>
      <c r="K9" s="11">
        <f t="shared" si="6"/>
        <v>82486.339561975677</v>
      </c>
      <c r="L9" s="11">
        <f t="shared" si="6"/>
        <v>103904.03578223968</v>
      </c>
      <c r="M9" s="11">
        <f t="shared" si="6"/>
        <v>130759.03531812818</v>
      </c>
      <c r="N9" s="11">
        <f t="shared" si="6"/>
        <v>159358.3882556443</v>
      </c>
      <c r="O9" s="11">
        <f t="shared" si="6"/>
        <v>201023.21919453616</v>
      </c>
    </row>
    <row r="10" spans="1:15" x14ac:dyDescent="0.25">
      <c r="I10" s="4"/>
      <c r="J10" s="4"/>
      <c r="K10" s="4"/>
      <c r="L10" s="4"/>
      <c r="M10" s="4"/>
      <c r="N10" s="4"/>
      <c r="O10" s="4"/>
    </row>
    <row r="11" spans="1:15" x14ac:dyDescent="0.25">
      <c r="B11" s="4" t="s">
        <v>14</v>
      </c>
      <c r="F11" s="4">
        <f>Calcs!F7</f>
        <v>704.92112686444341</v>
      </c>
      <c r="G11" s="4">
        <f>Calcs!G7</f>
        <v>982.63371911850777</v>
      </c>
      <c r="H11" s="4">
        <f>Calcs!H7</f>
        <v>1277.42383485406</v>
      </c>
      <c r="I11" s="4">
        <f>Calcs!I7</f>
        <v>1654.2638661360077</v>
      </c>
      <c r="J11" s="4">
        <f>Calcs!J7</f>
        <v>2134.0003873154501</v>
      </c>
      <c r="K11" s="4">
        <f>Calcs!K7</f>
        <v>2742.1904977003533</v>
      </c>
      <c r="L11" s="4">
        <f>Calcs!L7</f>
        <v>3510.0038370564525</v>
      </c>
      <c r="M11" s="4">
        <f>Calcs!M7</f>
        <v>4475.2548922469769</v>
      </c>
      <c r="N11" s="4">
        <f>Calcs!N7</f>
        <v>5683.5737131536598</v>
      </c>
      <c r="O11" s="4">
        <f>Calcs!O7</f>
        <v>7189.7207471393795</v>
      </c>
    </row>
    <row r="12" spans="1:15" s="11" customFormat="1" x14ac:dyDescent="0.25">
      <c r="B12" s="11" t="s">
        <v>219</v>
      </c>
      <c r="F12" s="11">
        <f>-F11</f>
        <v>-704.92112686444341</v>
      </c>
      <c r="G12" s="11">
        <f t="shared" ref="G12:O12" si="7">-G11</f>
        <v>-982.63371911850777</v>
      </c>
      <c r="H12" s="11">
        <f t="shared" si="7"/>
        <v>-1277.42383485406</v>
      </c>
      <c r="I12" s="11">
        <f t="shared" si="7"/>
        <v>-1654.2638661360077</v>
      </c>
      <c r="J12" s="11">
        <f t="shared" si="7"/>
        <v>-2134.0003873154501</v>
      </c>
      <c r="K12" s="11">
        <f t="shared" si="7"/>
        <v>-2742.1904977003533</v>
      </c>
      <c r="L12" s="11">
        <f t="shared" si="7"/>
        <v>-3510.0038370564525</v>
      </c>
      <c r="M12" s="11">
        <f t="shared" si="7"/>
        <v>-4475.2548922469769</v>
      </c>
      <c r="N12" s="11">
        <f t="shared" si="7"/>
        <v>-5683.5737131536598</v>
      </c>
      <c r="O12" s="11">
        <f t="shared" si="7"/>
        <v>-7189.7207471393795</v>
      </c>
    </row>
    <row r="13" spans="1:15" x14ac:dyDescent="0.25">
      <c r="I13" s="4"/>
      <c r="J13" s="4"/>
      <c r="K13" s="4"/>
      <c r="L13" s="4"/>
      <c r="M13" s="4"/>
      <c r="N13" s="4"/>
      <c r="O13" s="4"/>
    </row>
    <row r="14" spans="1:15" x14ac:dyDescent="0.25">
      <c r="B14" s="4" t="s">
        <v>220</v>
      </c>
      <c r="F14" s="4">
        <f>Calcs!F15</f>
        <v>-11107.758978067004</v>
      </c>
      <c r="G14" s="4">
        <f>Calcs!G15</f>
        <v>-12401.51795613401</v>
      </c>
      <c r="H14" s="4">
        <f>Calcs!H15</f>
        <v>-13695.276934201014</v>
      </c>
      <c r="I14" s="4">
        <f>Calcs!I15</f>
        <v>-14989.035912268018</v>
      </c>
      <c r="J14" s="4">
        <f>Calcs!J15</f>
        <v>-16282.794890335024</v>
      </c>
      <c r="K14" s="4">
        <f>Calcs!K15</f>
        <v>-17576.553868402028</v>
      </c>
      <c r="L14" s="4">
        <f>Calcs!L15</f>
        <v>-18870.312846469034</v>
      </c>
      <c r="M14" s="4">
        <f>Calcs!M15</f>
        <v>-20164.07182453604</v>
      </c>
      <c r="N14" s="4">
        <f>Calcs!N15</f>
        <v>-21457.830802603043</v>
      </c>
      <c r="O14" s="4">
        <f>Calcs!O15</f>
        <v>-22751.589780670049</v>
      </c>
    </row>
    <row r="15" spans="1:15" x14ac:dyDescent="0.25">
      <c r="B15" s="4" t="s">
        <v>22</v>
      </c>
      <c r="F15" s="4">
        <f>SUM(Calcs!F11)</f>
        <v>0</v>
      </c>
      <c r="G15" s="4">
        <f>SUM(Calcs!G11)</f>
        <v>0</v>
      </c>
      <c r="H15" s="4">
        <f>SUM(Calcs!H11)</f>
        <v>0</v>
      </c>
      <c r="I15" s="4">
        <f>SUM(Calcs!I11)</f>
        <v>0</v>
      </c>
      <c r="J15" s="4">
        <f>SUM(Calcs!J11)</f>
        <v>0</v>
      </c>
      <c r="K15" s="4">
        <f>SUM(Calcs!K11)</f>
        <v>0</v>
      </c>
      <c r="L15" s="4">
        <f>SUM(Calcs!L11)</f>
        <v>0</v>
      </c>
      <c r="M15" s="4">
        <f>SUM(Calcs!M11)</f>
        <v>0</v>
      </c>
      <c r="N15" s="4">
        <f>SUM(Calcs!N11)</f>
        <v>0</v>
      </c>
      <c r="O15" s="4">
        <f>SUM(Calcs!O11)</f>
        <v>0</v>
      </c>
    </row>
    <row r="16" spans="1:15" x14ac:dyDescent="0.25">
      <c r="B16" s="4" t="s">
        <v>221</v>
      </c>
      <c r="F16" s="4">
        <f>SUM(Debt!F8:F9)</f>
        <v>-1271</v>
      </c>
      <c r="G16" s="4">
        <f>SUM(Debt!G8:G9)</f>
        <v>0</v>
      </c>
      <c r="H16" s="4">
        <f>SUM(Debt!H8:H9)</f>
        <v>0</v>
      </c>
      <c r="I16" s="4">
        <f>SUM(Debt!I8:I9)</f>
        <v>0</v>
      </c>
      <c r="J16" s="4">
        <f>SUM(Debt!J8:J9)</f>
        <v>0</v>
      </c>
      <c r="K16" s="4">
        <f>SUM(Debt!K8:K9)</f>
        <v>0</v>
      </c>
      <c r="L16" s="4">
        <f>SUM(Debt!L8:L9)</f>
        <v>0</v>
      </c>
      <c r="M16" s="4">
        <f>SUM(Debt!M8:M9)</f>
        <v>0</v>
      </c>
      <c r="N16" s="4">
        <f>SUM(Debt!N8:N9)</f>
        <v>0</v>
      </c>
      <c r="O16" s="4">
        <f>SUM(Debt!O8:O9)</f>
        <v>0</v>
      </c>
    </row>
    <row r="17" spans="2:15" s="11" customFormat="1" x14ac:dyDescent="0.25">
      <c r="B17" s="11" t="s">
        <v>222</v>
      </c>
      <c r="F17" s="11">
        <f>SUM(F14:F16)</f>
        <v>-12378.758978067004</v>
      </c>
      <c r="G17" s="11">
        <f t="shared" ref="G17:O17" si="8">SUM(G14:G16)</f>
        <v>-12401.51795613401</v>
      </c>
      <c r="H17" s="11">
        <f t="shared" si="8"/>
        <v>-13695.276934201014</v>
      </c>
      <c r="I17" s="11">
        <f t="shared" si="8"/>
        <v>-14989.035912268018</v>
      </c>
      <c r="J17" s="11">
        <f t="shared" si="8"/>
        <v>-16282.794890335024</v>
      </c>
      <c r="K17" s="11">
        <f t="shared" si="8"/>
        <v>-17576.553868402028</v>
      </c>
      <c r="L17" s="11">
        <f t="shared" si="8"/>
        <v>-18870.312846469034</v>
      </c>
      <c r="M17" s="11">
        <f t="shared" si="8"/>
        <v>-20164.07182453604</v>
      </c>
      <c r="N17" s="11">
        <f t="shared" si="8"/>
        <v>-21457.830802603043</v>
      </c>
      <c r="O17" s="11">
        <f t="shared" si="8"/>
        <v>-22751.589780670049</v>
      </c>
    </row>
    <row r="18" spans="2:15" x14ac:dyDescent="0.25">
      <c r="I18" s="4"/>
      <c r="J18" s="4"/>
      <c r="K18" s="4"/>
      <c r="L18" s="4"/>
      <c r="M18" s="4"/>
      <c r="N18" s="4"/>
      <c r="O18" s="4"/>
    </row>
    <row r="19" spans="2:15" x14ac:dyDescent="0.25">
      <c r="B19" s="4" t="s">
        <v>223</v>
      </c>
      <c r="F19" s="4">
        <f>SUM(F17,F12,F9)</f>
        <v>12129.017206727667</v>
      </c>
      <c r="G19" s="4">
        <f t="shared" ref="G19:O19" si="9">SUM(G17,G12,G9)</f>
        <v>21090.580829727463</v>
      </c>
      <c r="H19" s="4">
        <f t="shared" si="9"/>
        <v>26507.334726666733</v>
      </c>
      <c r="I19" s="4">
        <f t="shared" si="9"/>
        <v>35401.698034270252</v>
      </c>
      <c r="J19" s="4">
        <f t="shared" si="9"/>
        <v>47065.277245317775</v>
      </c>
      <c r="K19" s="4">
        <f t="shared" si="9"/>
        <v>62167.595195873291</v>
      </c>
      <c r="L19" s="4">
        <f t="shared" si="9"/>
        <v>81523.71909871418</v>
      </c>
      <c r="M19" s="4">
        <f t="shared" si="9"/>
        <v>106119.70860134516</v>
      </c>
      <c r="N19" s="4">
        <f t="shared" si="9"/>
        <v>132216.9837398876</v>
      </c>
      <c r="O19" s="4">
        <f t="shared" si="9"/>
        <v>171081.90866672673</v>
      </c>
    </row>
    <row r="20" spans="2:15" x14ac:dyDescent="0.25">
      <c r="I20" s="4"/>
      <c r="J20" s="4"/>
      <c r="K20" s="4"/>
      <c r="L20" s="4"/>
      <c r="M20" s="4"/>
      <c r="N20" s="4"/>
      <c r="O20" s="4"/>
    </row>
    <row r="21" spans="2:15" x14ac:dyDescent="0.25">
      <c r="B21" s="4" t="s">
        <v>224</v>
      </c>
      <c r="F21" s="4">
        <f>BalSheet!E16</f>
        <v>8574.39</v>
      </c>
      <c r="G21" s="4">
        <f>BalSheet!F16</f>
        <v>20703.407206727665</v>
      </c>
      <c r="H21" s="4">
        <f>BalSheet!G16</f>
        <v>41793.988036455128</v>
      </c>
      <c r="I21" s="4">
        <f>BalSheet!H16</f>
        <v>68301.322763121861</v>
      </c>
      <c r="J21" s="4">
        <f>BalSheet!I16</f>
        <v>103703.02079739212</v>
      </c>
      <c r="K21" s="4">
        <f>BalSheet!J16</f>
        <v>150768.29804270988</v>
      </c>
      <c r="L21" s="4">
        <f>BalSheet!K16</f>
        <v>212935.89323858317</v>
      </c>
      <c r="M21" s="4">
        <f>BalSheet!L16</f>
        <v>294459.61233729735</v>
      </c>
      <c r="N21" s="4">
        <f>BalSheet!M16</f>
        <v>400579.32093864249</v>
      </c>
      <c r="O21" s="4">
        <f>BalSheet!N16</f>
        <v>532796.30467853008</v>
      </c>
    </row>
    <row r="22" spans="2:15" x14ac:dyDescent="0.25">
      <c r="B22" s="4" t="str">
        <f>B19</f>
        <v>Net Changes in Cash</v>
      </c>
      <c r="F22" s="4">
        <f>F19</f>
        <v>12129.017206727667</v>
      </c>
      <c r="G22" s="4">
        <f t="shared" ref="G22:O22" si="10">G19</f>
        <v>21090.580829727463</v>
      </c>
      <c r="H22" s="4">
        <f t="shared" si="10"/>
        <v>26507.334726666733</v>
      </c>
      <c r="I22" s="4">
        <f t="shared" si="10"/>
        <v>35401.698034270252</v>
      </c>
      <c r="J22" s="4">
        <f t="shared" si="10"/>
        <v>47065.277245317775</v>
      </c>
      <c r="K22" s="4">
        <f t="shared" si="10"/>
        <v>62167.595195873291</v>
      </c>
      <c r="L22" s="4">
        <f t="shared" si="10"/>
        <v>81523.71909871418</v>
      </c>
      <c r="M22" s="4">
        <f t="shared" si="10"/>
        <v>106119.70860134516</v>
      </c>
      <c r="N22" s="4">
        <f t="shared" si="10"/>
        <v>132216.9837398876</v>
      </c>
      <c r="O22" s="4">
        <f t="shared" si="10"/>
        <v>171081.90866672673</v>
      </c>
    </row>
    <row r="23" spans="2:15" x14ac:dyDescent="0.25">
      <c r="B23" s="4" t="s">
        <v>225</v>
      </c>
      <c r="F23" s="4">
        <f>SUM(F21:F22)</f>
        <v>20703.407206727665</v>
      </c>
      <c r="G23" s="4">
        <f t="shared" ref="G23:O23" si="11">SUM(G21:G22)</f>
        <v>41793.988036455128</v>
      </c>
      <c r="H23" s="4">
        <f t="shared" si="11"/>
        <v>68301.322763121861</v>
      </c>
      <c r="I23" s="4">
        <f t="shared" si="11"/>
        <v>103703.02079739212</v>
      </c>
      <c r="J23" s="4">
        <f t="shared" si="11"/>
        <v>150768.29804270988</v>
      </c>
      <c r="K23" s="4">
        <f t="shared" si="11"/>
        <v>212935.89323858317</v>
      </c>
      <c r="L23" s="4">
        <f t="shared" si="11"/>
        <v>294459.61233729735</v>
      </c>
      <c r="M23" s="4">
        <f t="shared" si="11"/>
        <v>400579.32093864249</v>
      </c>
      <c r="N23" s="4">
        <f t="shared" si="11"/>
        <v>532796.30467853008</v>
      </c>
      <c r="O23" s="4">
        <f t="shared" si="11"/>
        <v>703878.21334525687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O30"/>
  <sheetViews>
    <sheetView showGridLines="0" topLeftCell="C1" zoomScaleNormal="100" workbookViewId="0">
      <selection activeCell="F15" sqref="F3:O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5" width="11.7109375" style="6" customWidth="1"/>
    <col min="16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5" s="2" customFormat="1" ht="19.5" x14ac:dyDescent="0.3">
      <c r="A1" s="226" t="str">
        <f>CoName</f>
        <v>Broadcom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  <c r="N1" s="41" t="s">
        <v>1</v>
      </c>
      <c r="O1" s="41" t="s">
        <v>1</v>
      </c>
    </row>
    <row r="2" spans="1:15" s="2" customFormat="1" ht="16.350000000000001" customHeight="1" x14ac:dyDescent="0.25">
      <c r="A2" s="177" t="s">
        <v>88</v>
      </c>
      <c r="B2" s="178"/>
      <c r="C2" s="182">
        <v>2022</v>
      </c>
      <c r="D2" s="182">
        <f>C2+1</f>
        <v>2023</v>
      </c>
      <c r="E2" s="182">
        <f t="shared" ref="E2:J2" si="0">D2+1</f>
        <v>2024</v>
      </c>
      <c r="F2" s="182">
        <f t="shared" si="0"/>
        <v>2025</v>
      </c>
      <c r="G2" s="182">
        <f t="shared" si="0"/>
        <v>2026</v>
      </c>
      <c r="H2" s="182">
        <f t="shared" si="0"/>
        <v>2027</v>
      </c>
      <c r="I2" s="182">
        <f t="shared" si="0"/>
        <v>2028</v>
      </c>
      <c r="J2" s="182">
        <f t="shared" si="0"/>
        <v>2029</v>
      </c>
      <c r="K2" s="182">
        <f t="shared" ref="K2" si="1">J2+1</f>
        <v>2030</v>
      </c>
      <c r="L2" s="182">
        <f t="shared" ref="L2" si="2">K2+1</f>
        <v>2031</v>
      </c>
      <c r="M2" s="182">
        <f t="shared" ref="M2" si="3">L2+1</f>
        <v>2032</v>
      </c>
      <c r="N2" s="182">
        <f t="shared" ref="N2" si="4">M2+1</f>
        <v>2033</v>
      </c>
      <c r="O2" s="182">
        <f t="shared" ref="O2" si="5">N2+1</f>
        <v>2034</v>
      </c>
    </row>
    <row r="3" spans="1:15" x14ac:dyDescent="0.25">
      <c r="A3" s="11" t="s">
        <v>126</v>
      </c>
      <c r="B3" s="4" t="s">
        <v>89</v>
      </c>
      <c r="D3" s="212"/>
      <c r="E3" s="23"/>
      <c r="F3" s="213">
        <f>IncState!F17</f>
        <v>66342.339775377375</v>
      </c>
      <c r="G3" s="213">
        <f>IncState!G17</f>
        <v>92478.743485069193</v>
      </c>
      <c r="H3" s="213">
        <f>IncState!H17</f>
        <v>120222.36653058995</v>
      </c>
      <c r="I3" s="213">
        <f>IncState!I17</f>
        <v>155687.96465711397</v>
      </c>
      <c r="J3" s="213">
        <f>IncState!J17</f>
        <v>200837.47440767704</v>
      </c>
      <c r="K3" s="213">
        <f>IncState!K17</f>
        <v>258076.15461386499</v>
      </c>
      <c r="L3" s="213">
        <f>IncState!L17</f>
        <v>330337.47790574719</v>
      </c>
      <c r="M3" s="213">
        <f>IncState!M17</f>
        <v>421180.28432982764</v>
      </c>
      <c r="N3" s="213">
        <f>IncState!N17</f>
        <v>534898.96109888109</v>
      </c>
      <c r="O3" s="213">
        <f>IncState!O17</f>
        <v>676647.18579008454</v>
      </c>
    </row>
    <row r="4" spans="1:15" x14ac:dyDescent="0.25">
      <c r="B4" s="4" t="s">
        <v>55</v>
      </c>
      <c r="E4" s="27"/>
      <c r="F4" s="4">
        <f>IncState!F21</f>
        <v>19616.874424603579</v>
      </c>
      <c r="G4" s="4">
        <f>IncState!G21</f>
        <v>27345.190176199343</v>
      </c>
      <c r="H4" s="4">
        <f>IncState!H21</f>
        <v>35548.747229059154</v>
      </c>
      <c r="I4" s="4">
        <f>IncState!I21</f>
        <v>46035.627661631603</v>
      </c>
      <c r="J4" s="4">
        <f>IncState!J21</f>
        <v>59385.959683504771</v>
      </c>
      <c r="K4" s="4">
        <f>IncState!K21</f>
        <v>76310.958193303639</v>
      </c>
      <c r="L4" s="4">
        <f>IncState!L21</f>
        <v>97678.026487428637</v>
      </c>
      <c r="M4" s="4">
        <f>IncState!M21</f>
        <v>124539.48377147154</v>
      </c>
      <c r="N4" s="4">
        <f>IncState!N21</f>
        <v>158165.14438976883</v>
      </c>
      <c r="O4" s="4">
        <f>IncState!O21</f>
        <v>200078.90765305754</v>
      </c>
    </row>
    <row r="5" spans="1:15" x14ac:dyDescent="0.25">
      <c r="B5" s="30" t="s">
        <v>94</v>
      </c>
      <c r="C5" s="30"/>
      <c r="D5" s="30"/>
      <c r="E5" s="39"/>
      <c r="F5" s="43">
        <f>Assumptions!F17</f>
        <v>0.21</v>
      </c>
      <c r="G5" s="43">
        <f>Assumptions!G17</f>
        <v>0.21</v>
      </c>
      <c r="H5" s="43">
        <f>Assumptions!H17</f>
        <v>0.21</v>
      </c>
      <c r="I5" s="43">
        <f>Assumptions!I17</f>
        <v>0.21</v>
      </c>
      <c r="J5" s="43">
        <f>Assumptions!J17</f>
        <v>0.21</v>
      </c>
      <c r="K5" s="43">
        <f>Assumptions!K17</f>
        <v>0.21</v>
      </c>
      <c r="L5" s="43">
        <f>Assumptions!L17</f>
        <v>0.21</v>
      </c>
      <c r="M5" s="43">
        <f>Assumptions!M17</f>
        <v>0.21</v>
      </c>
      <c r="N5" s="43">
        <f>Assumptions!N17</f>
        <v>0.21</v>
      </c>
      <c r="O5" s="43">
        <f>Assumptions!O17</f>
        <v>0.21</v>
      </c>
    </row>
    <row r="6" spans="1:15" x14ac:dyDescent="0.25">
      <c r="C6" s="5"/>
      <c r="D6" s="5"/>
      <c r="E6" s="2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5">
      <c r="A7" s="24" t="s">
        <v>126</v>
      </c>
      <c r="B7" s="21" t="s">
        <v>90</v>
      </c>
      <c r="C7" s="119"/>
      <c r="D7" s="119"/>
      <c r="E7" s="119"/>
      <c r="F7" s="134">
        <f t="shared" ref="F7:J7" si="6">F4*(1-F5)</f>
        <v>15497.330795436828</v>
      </c>
      <c r="G7" s="134">
        <f t="shared" ref="G7:O7" si="7">G4*(1-G5)</f>
        <v>21602.700239197482</v>
      </c>
      <c r="H7" s="134">
        <f t="shared" si="7"/>
        <v>28083.510310956732</v>
      </c>
      <c r="I7" s="134">
        <f t="shared" si="7"/>
        <v>36368.145852688969</v>
      </c>
      <c r="J7" s="134">
        <f t="shared" si="7"/>
        <v>46914.908149968767</v>
      </c>
      <c r="K7" s="134">
        <f t="shared" si="7"/>
        <v>60285.656972709876</v>
      </c>
      <c r="L7" s="134">
        <f t="shared" si="7"/>
        <v>77165.640925068627</v>
      </c>
      <c r="M7" s="134">
        <f t="shared" si="7"/>
        <v>98386.192179462523</v>
      </c>
      <c r="N7" s="134">
        <f t="shared" si="7"/>
        <v>124950.46406791738</v>
      </c>
      <c r="O7" s="134">
        <f t="shared" si="7"/>
        <v>158062.33704591545</v>
      </c>
    </row>
    <row r="8" spans="1:15" x14ac:dyDescent="0.25">
      <c r="B8" s="4" t="s">
        <v>15</v>
      </c>
      <c r="C8" s="119"/>
      <c r="D8" s="119"/>
      <c r="E8" s="120"/>
      <c r="F8" s="135">
        <f>CashFlow!F4</f>
        <v>694.03574744661091</v>
      </c>
      <c r="G8" s="135">
        <f>CashFlow!G4</f>
        <v>697.032511603888</v>
      </c>
      <c r="H8" s="135">
        <f>CashFlow!H4</f>
        <v>775.65902787880418</v>
      </c>
      <c r="I8" s="135">
        <f>CashFlow!I4</f>
        <v>913.79576443234487</v>
      </c>
      <c r="J8" s="135">
        <f>CashFlow!J4</f>
        <v>1117.6479391353496</v>
      </c>
      <c r="K8" s="135">
        <f>CashFlow!K4</f>
        <v>1397.4515611273641</v>
      </c>
      <c r="L8" s="135">
        <f>CashFlow!L4</f>
        <v>1767.6605627001509</v>
      </c>
      <c r="M8" s="135">
        <f>CashFlow!M4</f>
        <v>2247.3307399022342</v>
      </c>
      <c r="N8" s="135">
        <f>CashFlow!N4</f>
        <v>2860.6821894567524</v>
      </c>
      <c r="O8" s="135">
        <f>CashFlow!O4</f>
        <v>3637.8292059619821</v>
      </c>
    </row>
    <row r="9" spans="1:15" x14ac:dyDescent="0.25">
      <c r="B9" s="4" t="s">
        <v>54</v>
      </c>
      <c r="C9" s="5"/>
      <c r="D9" s="5"/>
      <c r="E9" s="23"/>
      <c r="F9" s="264">
        <f>CashFlow!F5</f>
        <v>4924.375</v>
      </c>
      <c r="G9" s="264">
        <f>CashFlow!G5</f>
        <v>4924.375</v>
      </c>
      <c r="H9" s="264">
        <f>CashFlow!H5</f>
        <v>4924.375</v>
      </c>
      <c r="I9" s="264">
        <f>CashFlow!I5</f>
        <v>4924.375</v>
      </c>
      <c r="J9" s="264">
        <f>CashFlow!J5</f>
        <v>4924.375</v>
      </c>
      <c r="K9" s="264">
        <f>CashFlow!K5</f>
        <v>4924.375</v>
      </c>
      <c r="L9" s="264">
        <f>CashFlow!L5</f>
        <v>4924.375</v>
      </c>
      <c r="M9" s="264">
        <f>CashFlow!M5</f>
        <v>4924.375</v>
      </c>
      <c r="N9" s="264">
        <f>CashFlow!N5</f>
        <v>0</v>
      </c>
      <c r="O9" s="264">
        <f>CashFlow!O5</f>
        <v>0</v>
      </c>
    </row>
    <row r="10" spans="1:15" x14ac:dyDescent="0.25">
      <c r="B10" s="4" t="s">
        <v>91</v>
      </c>
      <c r="C10" s="5"/>
      <c r="D10" s="5"/>
      <c r="E10" s="23"/>
      <c r="F10" s="264">
        <f>CashFlow!F6</f>
        <v>1261.4940932068457</v>
      </c>
      <c r="G10" s="264">
        <f>CashFlow!G6</f>
        <v>2232.5406510768807</v>
      </c>
      <c r="H10" s="264">
        <f>CashFlow!H6</f>
        <v>2369.8274232851145</v>
      </c>
      <c r="I10" s="264">
        <f>CashFlow!I6</f>
        <v>3029.4293894328075</v>
      </c>
      <c r="J10" s="264">
        <f>CashFlow!J6</f>
        <v>3856.6176515304905</v>
      </c>
      <c r="K10" s="264">
        <f>CashFlow!K6</f>
        <v>4889.2602744316609</v>
      </c>
      <c r="L10" s="264">
        <f>CashFlow!L6</f>
        <v>6172.4766552298533</v>
      </c>
      <c r="M10" s="264">
        <f>CashFlow!M6</f>
        <v>7759.6849380032509</v>
      </c>
      <c r="N10" s="264">
        <f>CashFlow!N6</f>
        <v>9713.7146905731497</v>
      </c>
      <c r="O10" s="264">
        <f>CashFlow!O6</f>
        <v>12107.965478194106</v>
      </c>
    </row>
    <row r="11" spans="1:15" x14ac:dyDescent="0.25">
      <c r="B11" s="4" t="s">
        <v>165</v>
      </c>
      <c r="C11" s="5"/>
      <c r="D11" s="5"/>
      <c r="E11" s="23"/>
      <c r="F11" s="264">
        <f>CashFlow!F7</f>
        <v>-1452.6658331812432</v>
      </c>
      <c r="G11" s="264">
        <f>CashFlow!G7</f>
        <v>-2570.8685775636277</v>
      </c>
      <c r="H11" s="264">
        <f>CashFlow!H7</f>
        <v>-2728.9603232234622</v>
      </c>
      <c r="I11" s="264">
        <f>CashFlow!I7</f>
        <v>-3488.5209465206572</v>
      </c>
      <c r="J11" s="264">
        <f>CashFlow!J7</f>
        <v>-4441.0645473418099</v>
      </c>
      <c r="K11" s="264">
        <f>CashFlow!K7</f>
        <v>-5630.1978649317753</v>
      </c>
      <c r="L11" s="264">
        <f>CashFlow!L7</f>
        <v>-7107.8778659735217</v>
      </c>
      <c r="M11" s="264">
        <f>CashFlow!M7</f>
        <v>-8935.6178886524212</v>
      </c>
      <c r="N11" s="264">
        <f>CashFlow!N7</f>
        <v>-11185.768938794899</v>
      </c>
      <c r="O11" s="264">
        <f>CashFlow!O7</f>
        <v>-13942.853838338604</v>
      </c>
    </row>
    <row r="12" spans="1:15" x14ac:dyDescent="0.25">
      <c r="B12" s="4" t="s">
        <v>166</v>
      </c>
      <c r="E12" s="27"/>
      <c r="F12" s="264">
        <f>CashFlow!F8</f>
        <v>4288.1275087500726</v>
      </c>
      <c r="G12" s="264">
        <f>CashFlow!G8</f>
        <v>7588.9526806653557</v>
      </c>
      <c r="H12" s="264">
        <f>CashFlow!H8</f>
        <v>8055.6240568246285</v>
      </c>
      <c r="I12" s="264">
        <f>CashFlow!I8</f>
        <v>10297.772752640813</v>
      </c>
      <c r="J12" s="264">
        <f>CashFlow!J8</f>
        <v>13109.588329675455</v>
      </c>
      <c r="K12" s="264">
        <f>CashFlow!K8</f>
        <v>16619.793618638541</v>
      </c>
      <c r="L12" s="264">
        <f>CashFlow!L8</f>
        <v>20981.760505214566</v>
      </c>
      <c r="M12" s="264">
        <f>CashFlow!M8</f>
        <v>26377.070349412592</v>
      </c>
      <c r="N12" s="264">
        <f>CashFlow!N8</f>
        <v>33019.29624649194</v>
      </c>
      <c r="O12" s="264">
        <f>CashFlow!O8</f>
        <v>41157.9413028032</v>
      </c>
    </row>
    <row r="13" spans="1:15" x14ac:dyDescent="0.25">
      <c r="B13" s="4" t="s">
        <v>92</v>
      </c>
      <c r="E13" s="27"/>
      <c r="F13" s="132">
        <f>CashFlow!F12</f>
        <v>-704.92112686444341</v>
      </c>
      <c r="G13" s="132">
        <f>CashFlow!G12</f>
        <v>-982.63371911850777</v>
      </c>
      <c r="H13" s="132">
        <f>CashFlow!H12</f>
        <v>-1277.42383485406</v>
      </c>
      <c r="I13" s="132">
        <f>CashFlow!I12</f>
        <v>-1654.2638661360077</v>
      </c>
      <c r="J13" s="132">
        <f>CashFlow!J12</f>
        <v>-2134.0003873154501</v>
      </c>
      <c r="K13" s="132">
        <f>CashFlow!K12</f>
        <v>-2742.1904977003533</v>
      </c>
      <c r="L13" s="132">
        <f>CashFlow!L12</f>
        <v>-3510.0038370564525</v>
      </c>
      <c r="M13" s="132">
        <f>CashFlow!M12</f>
        <v>-4475.2548922469769</v>
      </c>
      <c r="N13" s="132">
        <f>CashFlow!N12</f>
        <v>-5683.5737131536598</v>
      </c>
      <c r="O13" s="132">
        <f>CashFlow!O12</f>
        <v>-7189.7207471393795</v>
      </c>
    </row>
    <row r="14" spans="1:15" x14ac:dyDescent="0.25">
      <c r="E14" s="63"/>
      <c r="F14" s="136"/>
      <c r="G14" s="136"/>
      <c r="H14" s="136"/>
      <c r="I14" s="136"/>
      <c r="J14" s="136"/>
      <c r="K14" s="136"/>
      <c r="L14" s="136"/>
      <c r="M14" s="136"/>
      <c r="N14" s="136"/>
      <c r="O14" s="136"/>
    </row>
    <row r="15" spans="1:15" s="11" customFormat="1" x14ac:dyDescent="0.25">
      <c r="A15" s="24" t="s">
        <v>126</v>
      </c>
      <c r="B15" s="34" t="s">
        <v>93</v>
      </c>
      <c r="C15" s="34"/>
      <c r="D15" s="34"/>
      <c r="E15" s="34"/>
      <c r="F15" s="34">
        <f>SUM(F7:F13)</f>
        <v>24507.776184794671</v>
      </c>
      <c r="G15" s="34">
        <f t="shared" ref="G15:O15" si="8">SUM(G7:G13)</f>
        <v>33492.098785861475</v>
      </c>
      <c r="H15" s="34">
        <f t="shared" si="8"/>
        <v>40202.611660867748</v>
      </c>
      <c r="I15" s="34">
        <f t="shared" si="8"/>
        <v>50390.733946538268</v>
      </c>
      <c r="J15" s="34">
        <f t="shared" si="8"/>
        <v>63348.072135652801</v>
      </c>
      <c r="K15" s="34">
        <f t="shared" si="8"/>
        <v>79744.14906427532</v>
      </c>
      <c r="L15" s="34">
        <f t="shared" si="8"/>
        <v>100394.03194518322</v>
      </c>
      <c r="M15" s="34">
        <f t="shared" si="8"/>
        <v>126283.78042588121</v>
      </c>
      <c r="N15" s="34">
        <f t="shared" si="8"/>
        <v>153674.81454249064</v>
      </c>
      <c r="O15" s="34">
        <f t="shared" si="8"/>
        <v>193833.49844739676</v>
      </c>
    </row>
    <row r="16" spans="1:15" x14ac:dyDescent="0.25">
      <c r="B16" s="66"/>
      <c r="C16" s="66"/>
      <c r="D16" s="66"/>
      <c r="E16" s="66"/>
      <c r="F16" s="66"/>
      <c r="G16" s="66"/>
      <c r="H16" s="66"/>
      <c r="I16" s="84"/>
      <c r="J16" s="84"/>
      <c r="K16" s="84"/>
      <c r="L16" s="84"/>
      <c r="M16" s="84"/>
      <c r="N16" s="84"/>
      <c r="O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topLeftCell="A13" zoomScaleNormal="100" workbookViewId="0">
      <selection activeCell="B13" sqref="B13:E14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26" t="str">
        <f>CoName</f>
        <v>Broadcom Inc.</v>
      </c>
    </row>
    <row r="2" spans="1:13" x14ac:dyDescent="0.25">
      <c r="G2" s="146"/>
    </row>
    <row r="3" spans="1:13" x14ac:dyDescent="0.25">
      <c r="A3" s="27" t="s">
        <v>126</v>
      </c>
      <c r="B3" s="161" t="s">
        <v>102</v>
      </c>
      <c r="C3" s="162"/>
      <c r="D3" s="162"/>
      <c r="E3" s="163"/>
      <c r="F3" s="11"/>
      <c r="G3" s="77" t="s">
        <v>110</v>
      </c>
      <c r="H3" s="77" t="s">
        <v>105</v>
      </c>
      <c r="I3" s="77" t="s">
        <v>106</v>
      </c>
      <c r="J3" s="77" t="s">
        <v>107</v>
      </c>
      <c r="K3" s="77" t="s">
        <v>108</v>
      </c>
      <c r="L3" s="77" t="s">
        <v>113</v>
      </c>
      <c r="M3" s="77" t="s">
        <v>109</v>
      </c>
    </row>
    <row r="4" spans="1:13" x14ac:dyDescent="0.25">
      <c r="A4" s="27"/>
      <c r="B4" s="229" t="s">
        <v>167</v>
      </c>
      <c r="C4" s="67"/>
      <c r="D4" s="72"/>
      <c r="E4" s="230">
        <f>Assumptions!F17</f>
        <v>0.21</v>
      </c>
      <c r="G4" s="138" t="s">
        <v>226</v>
      </c>
      <c r="H4" s="139"/>
      <c r="I4" s="80"/>
      <c r="J4" s="81"/>
      <c r="K4" s="141"/>
      <c r="L4" s="152">
        <f>E4</f>
        <v>0.21</v>
      </c>
      <c r="M4" s="142">
        <f>H4/((1+K4*(1-L4)))</f>
        <v>0</v>
      </c>
    </row>
    <row r="5" spans="1:13" x14ac:dyDescent="0.25">
      <c r="A5" s="27"/>
      <c r="B5" s="67" t="s">
        <v>95</v>
      </c>
      <c r="C5" s="67"/>
      <c r="D5" s="72"/>
      <c r="E5" s="137">
        <v>0.04</v>
      </c>
      <c r="G5" s="138" t="s">
        <v>227</v>
      </c>
      <c r="H5" s="139"/>
      <c r="I5" s="80"/>
      <c r="J5" s="81"/>
      <c r="K5" s="141"/>
      <c r="L5" s="152">
        <f>L4</f>
        <v>0.21</v>
      </c>
      <c r="M5" s="142">
        <f t="shared" ref="M5:M7" si="0">H5/((1+K5*(1-L5)))</f>
        <v>0</v>
      </c>
    </row>
    <row r="6" spans="1:13" x14ac:dyDescent="0.25">
      <c r="A6" s="27"/>
      <c r="B6" s="67" t="s">
        <v>96</v>
      </c>
      <c r="C6" s="67"/>
      <c r="D6" s="72"/>
      <c r="E6" s="137">
        <v>0.05</v>
      </c>
      <c r="G6" s="138" t="s">
        <v>228</v>
      </c>
      <c r="H6" s="140"/>
      <c r="I6" s="82"/>
      <c r="J6" s="81"/>
      <c r="K6" s="141"/>
      <c r="L6" s="152">
        <f t="shared" ref="L6:L7" si="1">L5</f>
        <v>0.21</v>
      </c>
      <c r="M6" s="142">
        <f t="shared" si="0"/>
        <v>0</v>
      </c>
    </row>
    <row r="7" spans="1:13" x14ac:dyDescent="0.25">
      <c r="A7" s="27"/>
      <c r="B7" s="67" t="s">
        <v>97</v>
      </c>
      <c r="C7" s="67"/>
      <c r="D7" s="72"/>
      <c r="E7" s="200">
        <f>1.21*0.66</f>
        <v>0.79859999999999998</v>
      </c>
      <c r="G7" s="138" t="s">
        <v>229</v>
      </c>
      <c r="H7" s="140"/>
      <c r="I7" s="82"/>
      <c r="J7" s="83"/>
      <c r="K7" s="141"/>
      <c r="L7" s="152">
        <f t="shared" si="1"/>
        <v>0.21</v>
      </c>
      <c r="M7" s="142">
        <f t="shared" si="0"/>
        <v>0</v>
      </c>
    </row>
    <row r="8" spans="1:13" x14ac:dyDescent="0.25">
      <c r="A8" s="27"/>
      <c r="B8" s="67" t="s">
        <v>98</v>
      </c>
      <c r="C8" s="67"/>
      <c r="D8" s="72"/>
      <c r="E8" s="137">
        <f>E5+E6*E7</f>
        <v>7.9930000000000001E-2</v>
      </c>
      <c r="L8" s="66"/>
    </row>
    <row r="9" spans="1:13" x14ac:dyDescent="0.25">
      <c r="A9" s="27"/>
      <c r="B9" s="68" t="s">
        <v>99</v>
      </c>
      <c r="C9" s="68"/>
      <c r="D9" s="73"/>
      <c r="E9" s="143">
        <f>1-E10</f>
        <v>0.94964231049375458</v>
      </c>
      <c r="G9" s="4" t="s">
        <v>111</v>
      </c>
      <c r="L9" s="27"/>
      <c r="M9" s="199">
        <f>AVERAGE(M4:M7)</f>
        <v>0</v>
      </c>
    </row>
    <row r="10" spans="1:13" x14ac:dyDescent="0.25">
      <c r="A10" s="27"/>
      <c r="B10" s="69" t="s">
        <v>100</v>
      </c>
      <c r="C10" s="69"/>
      <c r="D10" s="74"/>
      <c r="E10" s="144">
        <f>MAIN!F8/MAIN!F6</f>
        <v>5.0357689506245397E-2</v>
      </c>
      <c r="M10" s="66"/>
    </row>
    <row r="11" spans="1:13" x14ac:dyDescent="0.25">
      <c r="A11" s="27"/>
      <c r="B11" s="160" t="s">
        <v>181</v>
      </c>
      <c r="C11" s="70"/>
      <c r="D11" s="75"/>
      <c r="E11" s="145">
        <f>Assumptions!F25</f>
        <v>4.4740000000000002E-2</v>
      </c>
      <c r="G11" s="4" t="s">
        <v>112</v>
      </c>
      <c r="L11" s="27"/>
      <c r="M11" s="199">
        <f>M9*(1+E10*(1-E4))</f>
        <v>0</v>
      </c>
    </row>
    <row r="12" spans="1:13" x14ac:dyDescent="0.25">
      <c r="A12" s="27"/>
      <c r="B12" s="71" t="s">
        <v>101</v>
      </c>
      <c r="C12" s="71"/>
      <c r="D12" s="76"/>
      <c r="E12" s="145">
        <f>E11*(1-E4)</f>
        <v>3.5344600000000004E-2</v>
      </c>
      <c r="M12" s="66"/>
    </row>
    <row r="13" spans="1:13" s="11" customFormat="1" x14ac:dyDescent="0.25">
      <c r="A13" s="24" t="s">
        <v>126</v>
      </c>
      <c r="B13" s="161" t="s">
        <v>102</v>
      </c>
      <c r="C13" s="162"/>
      <c r="D13" s="163"/>
      <c r="E13" s="157">
        <f>WACC!E8*WACC!E9+WACC!E12*WACC!E10</f>
        <v>7.7684782270288258E-2</v>
      </c>
      <c r="F13" s="4"/>
    </row>
    <row r="14" spans="1:13" s="11" customFormat="1" x14ac:dyDescent="0.25">
      <c r="A14" s="24"/>
      <c r="B14" s="77" t="s">
        <v>103</v>
      </c>
      <c r="C14" s="77"/>
      <c r="D14" s="114"/>
      <c r="E14" s="147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L32" sqref="L32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13" width="11.7109375" style="4" customWidth="1"/>
    <col min="14" max="16384" width="9" style="4"/>
  </cols>
  <sheetData>
    <row r="1" spans="1:14" ht="19.5" x14ac:dyDescent="0.3">
      <c r="A1" s="226" t="str">
        <f>CoName</f>
        <v>Broadcom Inc.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  <c r="M1" s="41" t="s">
        <v>1</v>
      </c>
    </row>
    <row r="2" spans="1:14" x14ac:dyDescent="0.25">
      <c r="A2" s="77" t="s">
        <v>114</v>
      </c>
      <c r="B2" s="19"/>
      <c r="C2" s="42"/>
      <c r="D2" s="77">
        <v>0.5</v>
      </c>
      <c r="E2" s="77">
        <f>D2+1</f>
        <v>1.5</v>
      </c>
      <c r="F2" s="77">
        <f t="shared" ref="F2:H2" si="0">E2+1</f>
        <v>2.5</v>
      </c>
      <c r="G2" s="77">
        <f t="shared" si="0"/>
        <v>3.5</v>
      </c>
      <c r="H2" s="77">
        <f t="shared" si="0"/>
        <v>4.5</v>
      </c>
      <c r="I2" s="77">
        <f t="shared" ref="I2" si="1">H2+1</f>
        <v>5.5</v>
      </c>
      <c r="J2" s="77">
        <f t="shared" ref="J2" si="2">I2+1</f>
        <v>6.5</v>
      </c>
      <c r="K2" s="77">
        <f t="shared" ref="K2" si="3">J2+1</f>
        <v>7.5</v>
      </c>
      <c r="L2" s="77">
        <f t="shared" ref="L2" si="4">K2+1</f>
        <v>8.5</v>
      </c>
      <c r="M2" s="77">
        <f t="shared" ref="M2" si="5">L2+1</f>
        <v>9.5</v>
      </c>
      <c r="N2" s="158"/>
    </row>
    <row r="3" spans="1:14" x14ac:dyDescent="0.25">
      <c r="B3" s="4" t="s">
        <v>186</v>
      </c>
      <c r="D3" s="8">
        <f>1/(1+$K$8)^D2</f>
        <v>0.96328350771220883</v>
      </c>
      <c r="E3" s="8">
        <f>1/(1+$K$8)^E2</f>
        <v>0.89384532802154115</v>
      </c>
      <c r="F3" s="8">
        <f>1/(1+$K$8)^F2</f>
        <v>0.82941259144305213</v>
      </c>
      <c r="G3" s="8">
        <f>1/(1+$K$8)^G2</f>
        <v>0.76962448119178473</v>
      </c>
      <c r="H3" s="8">
        <f>1/(1+$K$8)^H2</f>
        <v>0.71414618991878787</v>
      </c>
      <c r="I3" s="8">
        <f>1/(1+$K$8)^I2</f>
        <v>0.66266704482394434</v>
      </c>
      <c r="J3" s="8">
        <f>1/(1+$K$8)^J2</f>
        <v>0.61489876791982445</v>
      </c>
      <c r="K3" s="8">
        <f>1/(1+$K$8)^K2</f>
        <v>0.57057386170421498</v>
      </c>
      <c r="L3" s="8">
        <f>1/(1+$K$8)^L2</f>
        <v>0.52944411120125889</v>
      </c>
      <c r="M3" s="8">
        <f>1/(1+$K$8)^M2</f>
        <v>0.49127919398278364</v>
      </c>
    </row>
    <row r="4" spans="1:14" x14ac:dyDescent="0.25">
      <c r="B4" s="4" t="s">
        <v>187</v>
      </c>
      <c r="D4" s="4">
        <f>D3*'Free Cash Flow'!F15</f>
        <v>23607.936609514745</v>
      </c>
      <c r="E4" s="4">
        <f>E3*'Free Cash Flow'!G15</f>
        <v>29936.75602537821</v>
      </c>
      <c r="F4" s="4">
        <f>F3*'Free Cash Flow'!H15</f>
        <v>33344.552320418981</v>
      </c>
      <c r="G4" s="4">
        <f>G3*'Free Cash Flow'!I15</f>
        <v>38781.94247047777</v>
      </c>
      <c r="H4" s="4">
        <f>H3*'Free Cash Flow'!J15</f>
        <v>45239.784354376978</v>
      </c>
      <c r="I4" s="4">
        <f>I3*'Free Cash Flow'!K15</f>
        <v>52843.819602423435</v>
      </c>
      <c r="J4" s="4">
        <f>J3*'Free Cash Flow'!L15</f>
        <v>61732.166549596659</v>
      </c>
      <c r="K4" s="4">
        <f>K3*'Free Cash Flow'!M15</f>
        <v>72054.22426820219</v>
      </c>
      <c r="L4" s="4">
        <f>L3*'Free Cash Flow'!N15</f>
        <v>81362.225599467245</v>
      </c>
      <c r="M4" s="4">
        <f>M3*'Free Cash Flow'!O15</f>
        <v>95226.364884100229</v>
      </c>
    </row>
    <row r="5" spans="1:14" x14ac:dyDescent="0.25">
      <c r="G5" s="146"/>
      <c r="M5" s="4">
        <f>((M4*(1+K9)))/(K8-K9)</f>
        <v>1852660.6697442594</v>
      </c>
    </row>
    <row r="6" spans="1:14" x14ac:dyDescent="0.25">
      <c r="A6" s="77" t="s">
        <v>115</v>
      </c>
      <c r="B6" s="19"/>
      <c r="C6" s="42"/>
      <c r="D6" s="86"/>
      <c r="E6" s="77" t="s">
        <v>172</v>
      </c>
      <c r="F6" s="19"/>
      <c r="G6" s="42"/>
      <c r="H6" s="86" t="s">
        <v>168</v>
      </c>
    </row>
    <row r="7" spans="1:14" x14ac:dyDescent="0.25">
      <c r="B7" s="4" t="s">
        <v>116</v>
      </c>
      <c r="C7" s="4">
        <f>SUM(D4:M4)</f>
        <v>534129.77268395643</v>
      </c>
      <c r="E7" s="4" t="s">
        <v>116</v>
      </c>
      <c r="G7" s="4">
        <f>C7</f>
        <v>534129.77268395643</v>
      </c>
    </row>
    <row r="8" spans="1:14" x14ac:dyDescent="0.25">
      <c r="B8" s="4" t="s">
        <v>117</v>
      </c>
      <c r="C8" s="4">
        <f>M5*M3</f>
        <v>910173.64055556385</v>
      </c>
      <c r="E8" s="4" t="s">
        <v>173</v>
      </c>
      <c r="G8" s="4">
        <f>M3*G10*IncState!O25</f>
        <v>1000817.9428490194</v>
      </c>
      <c r="H8" s="27"/>
      <c r="I8" s="161" t="s">
        <v>102</v>
      </c>
      <c r="J8" s="162"/>
      <c r="K8" s="157">
        <f>WACC!E13</f>
        <v>7.7684782270288258E-2</v>
      </c>
    </row>
    <row r="9" spans="1:14" x14ac:dyDescent="0.25">
      <c r="B9" s="4" t="s">
        <v>118</v>
      </c>
      <c r="C9" s="4">
        <f>SUM(C7:C8)</f>
        <v>1444303.4132395203</v>
      </c>
      <c r="E9" s="4" t="s">
        <v>118</v>
      </c>
      <c r="G9" s="4">
        <f>SUM(G7:G8)</f>
        <v>1534947.7155329757</v>
      </c>
      <c r="H9" s="27"/>
      <c r="I9" s="77" t="s">
        <v>103</v>
      </c>
      <c r="J9" s="77"/>
      <c r="K9" s="147">
        <v>2.5000000000000001E-2</v>
      </c>
    </row>
    <row r="10" spans="1:14" x14ac:dyDescent="0.25">
      <c r="C10" s="85"/>
      <c r="E10" s="4" t="s">
        <v>119</v>
      </c>
      <c r="G10" s="85">
        <v>10</v>
      </c>
      <c r="I10" s="66"/>
      <c r="J10" s="66"/>
    </row>
    <row r="11" spans="1:14" x14ac:dyDescent="0.25">
      <c r="I11" s="158"/>
    </row>
    <row r="12" spans="1:14" x14ac:dyDescent="0.25">
      <c r="B12" s="27" t="s">
        <v>120</v>
      </c>
      <c r="C12" s="37">
        <f>MAIN!F7</f>
        <v>10718</v>
      </c>
      <c r="E12" s="27" t="s">
        <v>120</v>
      </c>
      <c r="F12" s="155"/>
      <c r="G12" s="37">
        <f>C12</f>
        <v>10718</v>
      </c>
      <c r="I12" s="158"/>
    </row>
    <row r="13" spans="1:14" x14ac:dyDescent="0.25">
      <c r="B13" s="27" t="s">
        <v>121</v>
      </c>
      <c r="C13" s="37">
        <f>MAIN!F8</f>
        <v>84229</v>
      </c>
      <c r="E13" s="27" t="s">
        <v>121</v>
      </c>
      <c r="F13" s="155"/>
      <c r="G13" s="37">
        <f t="shared" ref="G13:G14" si="6">C13</f>
        <v>84229</v>
      </c>
    </row>
    <row r="14" spans="1:14" x14ac:dyDescent="0.25">
      <c r="B14" s="27" t="s">
        <v>122</v>
      </c>
      <c r="C14" s="79">
        <v>0</v>
      </c>
      <c r="E14" s="4" t="s">
        <v>122</v>
      </c>
      <c r="F14" s="27"/>
      <c r="G14" s="37">
        <f t="shared" si="6"/>
        <v>0</v>
      </c>
    </row>
    <row r="15" spans="1:14" x14ac:dyDescent="0.25">
      <c r="B15" s="4" t="s">
        <v>123</v>
      </c>
      <c r="C15" s="66">
        <f>C9+C12-C13-C14</f>
        <v>1370792.4132395203</v>
      </c>
      <c r="E15" s="4" t="s">
        <v>123</v>
      </c>
      <c r="G15" s="66">
        <f>G9+G12-G13-G14</f>
        <v>1461436.7155329757</v>
      </c>
    </row>
    <row r="17" spans="1:17" x14ac:dyDescent="0.25">
      <c r="B17" s="4" t="s">
        <v>124</v>
      </c>
      <c r="C17" s="4">
        <f>IncState!E41</f>
        <v>4778</v>
      </c>
      <c r="E17" s="4" t="s">
        <v>124</v>
      </c>
      <c r="G17" s="4">
        <f>C17</f>
        <v>4778</v>
      </c>
    </row>
    <row r="18" spans="1:17" x14ac:dyDescent="0.25">
      <c r="A18" s="4" t="s">
        <v>126</v>
      </c>
      <c r="B18" s="148" t="s">
        <v>125</v>
      </c>
      <c r="C18" s="156">
        <f>C15/C17</f>
        <v>286.89669594799506</v>
      </c>
      <c r="E18" s="148" t="s">
        <v>125</v>
      </c>
      <c r="F18" s="155"/>
      <c r="G18" s="156">
        <f>G15/G17</f>
        <v>305.86787683821177</v>
      </c>
    </row>
    <row r="19" spans="1:17" x14ac:dyDescent="0.25">
      <c r="C19" s="21"/>
    </row>
    <row r="20" spans="1:17" x14ac:dyDescent="0.25">
      <c r="A20" s="115" t="s">
        <v>148</v>
      </c>
      <c r="B20" s="19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96"/>
    </row>
    <row r="21" spans="1:17" x14ac:dyDescent="0.25">
      <c r="B21" s="116"/>
      <c r="C21" s="116"/>
      <c r="D21" s="116"/>
      <c r="E21" s="116"/>
      <c r="F21" s="116"/>
      <c r="G21" s="116"/>
      <c r="H21" s="116"/>
      <c r="I21" s="116"/>
    </row>
    <row r="22" spans="1:17" x14ac:dyDescent="0.25">
      <c r="B22" s="116"/>
      <c r="C22" s="116" t="s">
        <v>149</v>
      </c>
      <c r="D22" s="116"/>
      <c r="E22" s="117">
        <v>5.0000000000000001E-3</v>
      </c>
      <c r="F22" s="116"/>
      <c r="G22" s="116"/>
      <c r="J22" s="116" t="s">
        <v>149</v>
      </c>
      <c r="K22" s="116"/>
      <c r="L22" s="117">
        <v>5.0000000000000001E-3</v>
      </c>
    </row>
    <row r="23" spans="1:17" x14ac:dyDescent="0.25">
      <c r="B23" s="116"/>
      <c r="C23" s="116" t="s">
        <v>150</v>
      </c>
      <c r="D23" s="116"/>
      <c r="E23" s="149">
        <v>2.5000000000000001E-3</v>
      </c>
      <c r="F23" s="116"/>
      <c r="G23" s="116"/>
      <c r="J23" s="116" t="s">
        <v>171</v>
      </c>
      <c r="K23" s="116"/>
      <c r="L23" s="154">
        <v>1</v>
      </c>
    </row>
    <row r="24" spans="1:17" x14ac:dyDescent="0.25">
      <c r="B24" s="116"/>
      <c r="C24" s="116"/>
      <c r="D24" s="116"/>
      <c r="E24" s="166"/>
      <c r="F24" s="116"/>
      <c r="G24" s="116"/>
      <c r="J24" s="116"/>
      <c r="K24" s="116"/>
      <c r="L24" s="165"/>
    </row>
    <row r="25" spans="1:17" x14ac:dyDescent="0.25">
      <c r="B25" s="116"/>
      <c r="C25" s="116"/>
      <c r="D25" s="116"/>
      <c r="E25" s="116"/>
      <c r="F25" s="116"/>
      <c r="H25" s="116"/>
      <c r="I25" s="168"/>
      <c r="P25" s="168"/>
    </row>
    <row r="26" spans="1:17" x14ac:dyDescent="0.25">
      <c r="B26" s="158"/>
      <c r="C26" s="164"/>
      <c r="D26" s="214"/>
      <c r="E26" s="214"/>
      <c r="F26" s="214" t="s">
        <v>230</v>
      </c>
      <c r="G26" s="214"/>
      <c r="I26" s="214"/>
      <c r="J26" s="214"/>
      <c r="K26" s="168" t="s">
        <v>232</v>
      </c>
      <c r="L26" s="168"/>
    </row>
    <row r="27" spans="1:17" x14ac:dyDescent="0.25">
      <c r="B27" s="158"/>
      <c r="C27" s="215"/>
      <c r="D27" s="168">
        <f>C18</f>
        <v>286.89669594799506</v>
      </c>
      <c r="E27" s="216">
        <f>F27-E23</f>
        <v>2.2500000000000003E-2</v>
      </c>
      <c r="F27" s="216">
        <v>2.5000000000000001E-2</v>
      </c>
      <c r="G27" s="216">
        <f>F27+E23</f>
        <v>2.75E-2</v>
      </c>
      <c r="H27" s="216"/>
      <c r="I27" s="168">
        <f>G18</f>
        <v>305.86787683821177</v>
      </c>
      <c r="J27" s="204">
        <f>K27-L23</f>
        <v>9</v>
      </c>
      <c r="K27" s="204">
        <f>G10</f>
        <v>10</v>
      </c>
      <c r="L27" s="204">
        <f>K27+L23</f>
        <v>11</v>
      </c>
      <c r="N27" s="217"/>
      <c r="P27" s="168"/>
    </row>
    <row r="28" spans="1:17" x14ac:dyDescent="0.25">
      <c r="B28" s="158"/>
      <c r="C28" s="215"/>
      <c r="D28" s="207">
        <f>D29+$E$22</f>
        <v>8.7684782270288267E-2</v>
      </c>
      <c r="E28" s="267">
        <f t="dataTable" ref="E28:G32" dt2D="1" dtr="1" r1="K9" r2="K8"/>
        <v>219.08920393392285</v>
      </c>
      <c r="F28" s="266">
        <v>224.55633409415375</v>
      </c>
      <c r="G28" s="265">
        <v>230.47765964680787</v>
      </c>
      <c r="H28" s="205"/>
      <c r="I28" s="207">
        <f t="shared" ref="I28:I29" si="7">D28</f>
        <v>8.7684782270288267E-2</v>
      </c>
      <c r="J28" s="265">
        <f t="dataTable" ref="J28:L32" dt2D="1" dtr="1" r1="G10" r2="K8" ca="1"/>
        <v>262.90299247236311</v>
      </c>
      <c r="K28" s="266">
        <v>262.90299247236311</v>
      </c>
      <c r="L28" s="265">
        <v>282.08974914805628</v>
      </c>
      <c r="N28" s="218"/>
      <c r="O28" s="47"/>
      <c r="P28" s="47"/>
      <c r="Q28" s="47"/>
    </row>
    <row r="29" spans="1:17" x14ac:dyDescent="0.25">
      <c r="D29" s="207">
        <f>D30+$E$22</f>
        <v>8.2684782270288262E-2</v>
      </c>
      <c r="E29" s="268">
        <v>245.59585707940013</v>
      </c>
      <c r="F29" s="266">
        <v>252.58683869012751</v>
      </c>
      <c r="G29" s="265">
        <v>260.21123601104898</v>
      </c>
      <c r="H29" s="219"/>
      <c r="I29" s="207">
        <f t="shared" si="7"/>
        <v>8.2684782270288262E-2</v>
      </c>
      <c r="J29" s="265">
        <v>273.6606504866088</v>
      </c>
      <c r="K29" s="266">
        <v>273.6606504866088</v>
      </c>
      <c r="L29" s="265">
        <v>293.70589029077217</v>
      </c>
      <c r="N29" s="220"/>
      <c r="O29" s="164"/>
      <c r="P29" s="164"/>
      <c r="Q29" s="164"/>
    </row>
    <row r="30" spans="1:17" x14ac:dyDescent="0.25">
      <c r="D30" s="207">
        <v>7.7684782270288258E-2</v>
      </c>
      <c r="E30" s="266">
        <v>277.82336674190822</v>
      </c>
      <c r="F30" s="266">
        <v>286.89669594799506</v>
      </c>
      <c r="G30" s="266">
        <v>296.87401724048965</v>
      </c>
      <c r="H30" s="206"/>
      <c r="I30" s="207">
        <f>D30</f>
        <v>7.7684782270288258E-2</v>
      </c>
      <c r="J30" s="266">
        <v>284.92149879616454</v>
      </c>
      <c r="K30" s="273">
        <v>284.92149879616454</v>
      </c>
      <c r="L30" s="266">
        <v>305.86787683821177</v>
      </c>
      <c r="M30" s="47"/>
      <c r="N30" s="164"/>
      <c r="O30" s="85"/>
      <c r="P30" s="85"/>
      <c r="Q30" s="85"/>
    </row>
    <row r="31" spans="1:17" x14ac:dyDescent="0.25">
      <c r="D31" s="207">
        <f>D30-$E$22</f>
        <v>7.2684782270288253E-2</v>
      </c>
      <c r="E31" s="265">
        <v>317.60288941988074</v>
      </c>
      <c r="F31" s="266">
        <v>329.58884594402844</v>
      </c>
      <c r="G31" s="265">
        <v>342.90112915626867</v>
      </c>
      <c r="H31" s="206"/>
      <c r="I31" s="207">
        <f t="shared" ref="I31:I32" si="8">D31</f>
        <v>7.2684782270288253E-2</v>
      </c>
      <c r="J31" s="265">
        <v>296.71211009331381</v>
      </c>
      <c r="K31" s="273">
        <v>296.71211009331381</v>
      </c>
      <c r="L31" s="265">
        <v>318.60461371562673</v>
      </c>
      <c r="M31" s="47"/>
      <c r="N31" s="164"/>
      <c r="O31" s="85"/>
      <c r="P31" s="85"/>
      <c r="Q31" s="85"/>
    </row>
    <row r="32" spans="1:17" x14ac:dyDescent="0.25">
      <c r="D32" s="207">
        <f>D31-$E$22</f>
        <v>6.7684782270288249E-2</v>
      </c>
      <c r="E32" s="265">
        <v>367.59198688051981</v>
      </c>
      <c r="F32" s="266">
        <v>383.76840945703401</v>
      </c>
      <c r="G32" s="265">
        <v>401.95758682063524</v>
      </c>
      <c r="H32" s="206"/>
      <c r="I32" s="207">
        <f t="shared" si="8"/>
        <v>6.7684782270288249E-2</v>
      </c>
      <c r="J32" s="265">
        <v>309.06060798063214</v>
      </c>
      <c r="K32" s="273">
        <v>309.06060798063214</v>
      </c>
      <c r="L32" s="265">
        <v>331.94669602540148</v>
      </c>
      <c r="M32" s="47"/>
      <c r="N32" s="164"/>
      <c r="O32" s="85"/>
      <c r="P32" s="85"/>
      <c r="Q32" s="85"/>
    </row>
    <row r="33" spans="2:17" x14ac:dyDescent="0.25">
      <c r="D33" s="205"/>
      <c r="E33" s="269"/>
      <c r="F33" s="205"/>
      <c r="G33" s="219"/>
      <c r="H33" s="206"/>
      <c r="I33" s="206"/>
      <c r="J33" s="206"/>
      <c r="K33" s="216"/>
      <c r="L33" s="168"/>
      <c r="M33" s="47"/>
      <c r="N33" s="164"/>
      <c r="O33" s="85"/>
      <c r="P33" s="85"/>
      <c r="Q33" s="85"/>
    </row>
    <row r="34" spans="2:17" x14ac:dyDescent="0.25">
      <c r="D34" s="205"/>
      <c r="E34" s="269"/>
      <c r="F34" s="205" t="s">
        <v>231</v>
      </c>
      <c r="G34" s="219"/>
      <c r="H34" s="206"/>
      <c r="I34" s="206"/>
      <c r="J34" s="206"/>
      <c r="K34" s="205" t="s">
        <v>231</v>
      </c>
      <c r="L34" s="168"/>
      <c r="M34" s="47"/>
      <c r="N34" s="164"/>
      <c r="O34" s="85"/>
      <c r="P34" s="85"/>
      <c r="Q34" s="85"/>
    </row>
    <row r="35" spans="2:17" x14ac:dyDescent="0.25">
      <c r="B35" s="221"/>
      <c r="C35" s="221"/>
      <c r="D35" s="270"/>
      <c r="E35" s="271"/>
      <c r="F35" s="272">
        <f>AVERAGE(E28:G32)</f>
        <v>295.83480380428142</v>
      </c>
      <c r="G35" s="271"/>
      <c r="I35" s="168"/>
      <c r="J35" s="168"/>
      <c r="K35" s="272">
        <f>AVERAGE(J28:L32)</f>
        <v>292.4487030450822</v>
      </c>
      <c r="L35" s="168"/>
    </row>
    <row r="36" spans="2:17" x14ac:dyDescent="0.25">
      <c r="B36" s="116"/>
      <c r="C36" s="116"/>
      <c r="D36" s="116"/>
      <c r="E36" s="116"/>
      <c r="F36" s="214"/>
      <c r="G36" s="214"/>
      <c r="H36" s="214"/>
      <c r="I36" s="168"/>
      <c r="J36" s="168"/>
      <c r="P36" s="168"/>
    </row>
    <row r="37" spans="2:17" x14ac:dyDescent="0.25">
      <c r="F37" s="207"/>
      <c r="G37" s="207"/>
      <c r="H37" s="205"/>
      <c r="I37" s="205"/>
      <c r="J37" s="205"/>
      <c r="M37" s="168"/>
      <c r="O37" s="85"/>
      <c r="P37" s="85"/>
      <c r="Q37" s="85"/>
    </row>
    <row r="38" spans="2:17" x14ac:dyDescent="0.25">
      <c r="E38" s="47"/>
      <c r="F38" s="204"/>
      <c r="G38" s="222"/>
      <c r="H38" s="219"/>
      <c r="I38" s="219"/>
      <c r="J38" s="219"/>
      <c r="L38" s="85"/>
      <c r="M38" s="85"/>
      <c r="N38" s="223"/>
      <c r="O38" s="167"/>
      <c r="P38" s="167"/>
      <c r="Q38" s="167"/>
    </row>
    <row r="39" spans="2:17" x14ac:dyDescent="0.25">
      <c r="E39" s="47"/>
      <c r="F39" s="205"/>
      <c r="G39" s="219"/>
      <c r="H39" s="204"/>
      <c r="I39" s="204"/>
      <c r="J39" s="204"/>
      <c r="K39" s="47"/>
      <c r="M39" s="47"/>
      <c r="N39" s="164"/>
      <c r="O39" s="224"/>
      <c r="P39" s="224"/>
      <c r="Q39" s="224"/>
    </row>
    <row r="40" spans="2:17" x14ac:dyDescent="0.25">
      <c r="D40" s="8"/>
      <c r="E40" s="47"/>
      <c r="F40" s="205"/>
      <c r="G40" s="219"/>
      <c r="H40" s="204"/>
      <c r="I40" s="204"/>
      <c r="J40" s="204"/>
      <c r="K40" s="8"/>
      <c r="L40" s="47"/>
      <c r="M40" s="47"/>
      <c r="N40" s="164"/>
      <c r="O40" s="224"/>
      <c r="P40" s="224"/>
      <c r="Q40" s="224"/>
    </row>
    <row r="41" spans="2:17" x14ac:dyDescent="0.25">
      <c r="D41" s="8"/>
      <c r="E41" s="146"/>
      <c r="F41" s="205"/>
      <c r="G41" s="219"/>
      <c r="H41" s="204"/>
      <c r="I41" s="204"/>
      <c r="J41" s="204"/>
      <c r="K41" s="8"/>
      <c r="L41" s="146"/>
      <c r="M41" s="47"/>
      <c r="N41" s="164"/>
      <c r="O41" s="224"/>
      <c r="P41" s="224"/>
      <c r="Q41" s="224"/>
    </row>
    <row r="42" spans="2:17" x14ac:dyDescent="0.25">
      <c r="D42" s="8"/>
      <c r="E42" s="47"/>
      <c r="F42" s="205"/>
      <c r="G42" s="219"/>
      <c r="H42" s="204"/>
      <c r="I42" s="204"/>
      <c r="J42" s="204"/>
      <c r="K42" s="8"/>
      <c r="L42" s="47"/>
      <c r="M42" s="47"/>
      <c r="N42" s="164"/>
      <c r="O42" s="224"/>
      <c r="P42" s="224"/>
      <c r="Q42" s="224"/>
    </row>
    <row r="43" spans="2:17" x14ac:dyDescent="0.25">
      <c r="D43" s="8"/>
      <c r="E43" s="8"/>
      <c r="F43" s="205"/>
      <c r="G43" s="219"/>
      <c r="H43" s="204"/>
      <c r="I43" s="204"/>
      <c r="J43" s="204"/>
      <c r="K43" s="8"/>
      <c r="L43" s="47"/>
      <c r="M43" s="47"/>
      <c r="N43" s="164"/>
      <c r="O43" s="224"/>
      <c r="P43" s="224"/>
      <c r="Q43" s="224"/>
    </row>
    <row r="44" spans="2:17" x14ac:dyDescent="0.25">
      <c r="D44" s="8"/>
      <c r="E44" s="8"/>
      <c r="F44" s="85"/>
      <c r="G44" s="85"/>
      <c r="H44" s="85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B163E-8FD9-4F0C-B1E1-F38F6A6548CE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88a26cf8-717e-46a4-ac0d-03f11284dc6b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2025-11-13T19:33:15Z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