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968" documentId="8_{4A26B3C6-9B42-4C52-9536-4659B2536A20}" xr6:coauthVersionLast="47" xr6:coauthVersionMax="47" xr10:uidLastSave="{D51A7124-0459-4048-9246-CA3B5C6A9F33}"/>
  <bookViews>
    <workbookView xWindow="-105" yWindow="0" windowWidth="19410" windowHeight="21705" tabRatio="808" xr2:uid="{00000000-000D-0000-FFFF-FFFF00000000}"/>
  </bookViews>
  <sheets>
    <sheet name="MAIN" sheetId="3" r:id="rId1"/>
    <sheet name="Assumptions" sheetId="13" r:id="rId2"/>
    <sheet name="Calcs" sheetId="5" r:id="rId3"/>
    <sheet name="Debt" sheetId="6" r:id="rId4"/>
    <sheet name="IncState" sheetId="7" r:id="rId5"/>
    <sheet name="BalSheet" sheetId="8" r:id="rId6"/>
    <sheet name="CashFlow" sheetId="9" r:id="rId7"/>
    <sheet name="Free Cash Flow" sheetId="10" r:id="rId8"/>
    <sheet name="WACC" sheetId="11" r:id="rId9"/>
    <sheet name="DCF Model" sheetId="12" r:id="rId10"/>
    <sheet name="COMPS" sheetId="23" r:id="rId11"/>
    <sheet name="Presentation" sheetId="22" r:id="rId12"/>
  </sheets>
  <externalReferences>
    <externalReference r:id="rId13"/>
    <externalReference r:id="rId14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Presentation!$R$17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D18" i="3"/>
  <c r="C19" i="3"/>
  <c r="D19" i="3"/>
  <c r="D17" i="3"/>
  <c r="C17" i="3"/>
  <c r="F9" i="3" l="1"/>
  <c r="F7" i="3"/>
  <c r="F6" i="3" s="1"/>
  <c r="F5" i="3"/>
  <c r="F19" i="3"/>
  <c r="B19" i="3"/>
  <c r="F18" i="3"/>
  <c r="B18" i="3"/>
  <c r="F17" i="3"/>
  <c r="B17" i="3"/>
  <c r="G8" i="13"/>
  <c r="H8" i="13"/>
  <c r="I8" i="13"/>
  <c r="J8" i="13"/>
  <c r="F8" i="13"/>
  <c r="G7" i="13"/>
  <c r="H7" i="13"/>
  <c r="I7" i="13"/>
  <c r="J7" i="13"/>
  <c r="F7" i="13"/>
  <c r="Q16" i="12"/>
  <c r="J13" i="12"/>
  <c r="J14" i="12" s="1"/>
  <c r="J10" i="12"/>
  <c r="J11" i="12"/>
  <c r="E32" i="7"/>
  <c r="L16" i="12"/>
  <c r="K9" i="12"/>
  <c r="C12" i="12"/>
  <c r="G12" i="12" s="1"/>
  <c r="G34" i="8"/>
  <c r="H34" i="8" s="1"/>
  <c r="I34" i="8" s="1"/>
  <c r="J34" i="8" s="1"/>
  <c r="F34" i="8"/>
  <c r="E35" i="8"/>
  <c r="J7" i="11"/>
  <c r="G13" i="12"/>
  <c r="G14" i="12"/>
  <c r="K7" i="11"/>
  <c r="K6" i="11"/>
  <c r="I6" i="11"/>
  <c r="K5" i="11"/>
  <c r="I5" i="11"/>
  <c r="K4" i="11"/>
  <c r="I4" i="11"/>
  <c r="G5" i="10"/>
  <c r="H5" i="10"/>
  <c r="I5" i="10"/>
  <c r="J5" i="10"/>
  <c r="G9" i="10"/>
  <c r="H9" i="10"/>
  <c r="I9" i="10"/>
  <c r="J9" i="10"/>
  <c r="F9" i="10"/>
  <c r="F8" i="10"/>
  <c r="F5" i="10"/>
  <c r="G5" i="9"/>
  <c r="H5" i="9"/>
  <c r="I5" i="9"/>
  <c r="J5" i="9"/>
  <c r="G15" i="9"/>
  <c r="G17" i="9" s="1"/>
  <c r="H15" i="9"/>
  <c r="H17" i="9" s="1"/>
  <c r="I15" i="9"/>
  <c r="I17" i="9" s="1"/>
  <c r="J15" i="9"/>
  <c r="J17" i="9" s="1"/>
  <c r="G23" i="8"/>
  <c r="H23" i="8"/>
  <c r="I23" i="8"/>
  <c r="J23" i="8"/>
  <c r="G21" i="7"/>
  <c r="H21" i="7"/>
  <c r="I21" i="7"/>
  <c r="J21" i="7"/>
  <c r="G25" i="7"/>
  <c r="H25" i="7"/>
  <c r="I25" i="7"/>
  <c r="J25" i="7"/>
  <c r="G15" i="5"/>
  <c r="H15" i="5"/>
  <c r="I15" i="5"/>
  <c r="J15" i="5"/>
  <c r="F15" i="5"/>
  <c r="F17" i="9"/>
  <c r="E22" i="5"/>
  <c r="E21" i="5"/>
  <c r="E20" i="5"/>
  <c r="E19" i="5"/>
  <c r="E18" i="5"/>
  <c r="F7" i="7"/>
  <c r="F5" i="9"/>
  <c r="F15" i="9"/>
  <c r="F8" i="7"/>
  <c r="F24" i="7" s="1"/>
  <c r="F6" i="7"/>
  <c r="F5" i="7"/>
  <c r="F11" i="5"/>
  <c r="F4" i="5"/>
  <c r="F3" i="5"/>
  <c r="F11" i="8"/>
  <c r="F10" i="8"/>
  <c r="F8" i="8"/>
  <c r="F7" i="8"/>
  <c r="F6" i="8"/>
  <c r="F4" i="8"/>
  <c r="F21" i="9"/>
  <c r="F13" i="5"/>
  <c r="E16" i="5"/>
  <c r="F23" i="8"/>
  <c r="F8" i="5"/>
  <c r="F4" i="9" s="1"/>
  <c r="F6" i="5"/>
  <c r="E9" i="5"/>
  <c r="E31" i="8"/>
  <c r="F25" i="7"/>
  <c r="F21" i="7"/>
  <c r="C10" i="13"/>
  <c r="D10" i="13"/>
  <c r="E10" i="13"/>
  <c r="D52" i="13"/>
  <c r="C52" i="13"/>
  <c r="E51" i="13"/>
  <c r="D51" i="13"/>
  <c r="C51" i="13"/>
  <c r="E50" i="13"/>
  <c r="D50" i="13"/>
  <c r="C50" i="13"/>
  <c r="E46" i="13"/>
  <c r="F46" i="13" s="1"/>
  <c r="G46" i="13" s="1"/>
  <c r="H46" i="13" s="1"/>
  <c r="I46" i="13" s="1"/>
  <c r="J46" i="13" s="1"/>
  <c r="D46" i="13"/>
  <c r="C46" i="13"/>
  <c r="E45" i="13"/>
  <c r="D45" i="13"/>
  <c r="C45" i="13"/>
  <c r="E44" i="13"/>
  <c r="D44" i="13"/>
  <c r="C44" i="13"/>
  <c r="E43" i="13"/>
  <c r="D43" i="13"/>
  <c r="F43" i="13" s="1"/>
  <c r="G43" i="13" s="1"/>
  <c r="H43" i="13" s="1"/>
  <c r="I43" i="13" s="1"/>
  <c r="J43" i="13" s="1"/>
  <c r="E42" i="13"/>
  <c r="D42" i="13"/>
  <c r="C42" i="13"/>
  <c r="D31" i="13"/>
  <c r="E31" i="13"/>
  <c r="F31" i="13" s="1"/>
  <c r="E32" i="13"/>
  <c r="F32" i="13" s="1"/>
  <c r="G32" i="13" s="1"/>
  <c r="H32" i="13" s="1"/>
  <c r="I32" i="13" s="1"/>
  <c r="J32" i="13" s="1"/>
  <c r="D32" i="13"/>
  <c r="E18" i="13"/>
  <c r="D18" i="13"/>
  <c r="C18" i="13"/>
  <c r="E17" i="13"/>
  <c r="D17" i="13"/>
  <c r="C17" i="13"/>
  <c r="E16" i="13"/>
  <c r="D16" i="13"/>
  <c r="C16" i="13"/>
  <c r="E30" i="7"/>
  <c r="D30" i="7"/>
  <c r="C30" i="7"/>
  <c r="E15" i="13"/>
  <c r="D15" i="13"/>
  <c r="C15" i="13"/>
  <c r="E14" i="13"/>
  <c r="D14" i="13"/>
  <c r="C14" i="13"/>
  <c r="E12" i="13"/>
  <c r="D12" i="13"/>
  <c r="F12" i="13"/>
  <c r="C12" i="13"/>
  <c r="E11" i="13"/>
  <c r="D11" i="13"/>
  <c r="C11" i="13"/>
  <c r="C4" i="7"/>
  <c r="D4" i="7"/>
  <c r="E4" i="7"/>
  <c r="C35" i="8"/>
  <c r="C36" i="8" s="1"/>
  <c r="C30" i="8"/>
  <c r="C31" i="8"/>
  <c r="C24" i="8"/>
  <c r="C23" i="8"/>
  <c r="C25" i="8" s="1"/>
  <c r="C22" i="8"/>
  <c r="C18" i="8"/>
  <c r="C17" i="8"/>
  <c r="C16" i="8"/>
  <c r="C15" i="8"/>
  <c r="D35" i="8"/>
  <c r="D36" i="8" s="1"/>
  <c r="D31" i="8"/>
  <c r="D30" i="8"/>
  <c r="E30" i="8"/>
  <c r="E32" i="8" s="1"/>
  <c r="D24" i="8"/>
  <c r="E24" i="8"/>
  <c r="D17" i="8"/>
  <c r="E17" i="8"/>
  <c r="D23" i="8"/>
  <c r="E23" i="8"/>
  <c r="E22" i="8"/>
  <c r="E25" i="8" s="1"/>
  <c r="D22" i="8"/>
  <c r="E18" i="8"/>
  <c r="D18" i="8"/>
  <c r="E15" i="8"/>
  <c r="E16" i="8" s="1"/>
  <c r="E20" i="8" s="1"/>
  <c r="D15" i="8"/>
  <c r="D16" i="8" s="1"/>
  <c r="D32" i="7"/>
  <c r="C32" i="7"/>
  <c r="D16" i="7"/>
  <c r="D18" i="7" s="1"/>
  <c r="E16" i="7"/>
  <c r="E15" i="7"/>
  <c r="C16" i="7"/>
  <c r="C15" i="7"/>
  <c r="A1" i="10"/>
  <c r="D32" i="8"/>
  <c r="C10" i="5"/>
  <c r="C17" i="5" s="1"/>
  <c r="D2" i="5"/>
  <c r="E2" i="5" s="1"/>
  <c r="F13" i="13"/>
  <c r="F16" i="13"/>
  <c r="G16" i="13" s="1"/>
  <c r="A1" i="22"/>
  <c r="A1" i="23"/>
  <c r="J11" i="6"/>
  <c r="J30" i="6" s="1"/>
  <c r="I11" i="6"/>
  <c r="I30" i="6" s="1"/>
  <c r="H11" i="6"/>
  <c r="H16" i="6" s="1"/>
  <c r="H24" i="6" s="1"/>
  <c r="G11" i="6"/>
  <c r="G16" i="6" s="1"/>
  <c r="G24" i="6" s="1"/>
  <c r="F11" i="6"/>
  <c r="F30" i="6" s="1"/>
  <c r="E11" i="6"/>
  <c r="E16" i="6" s="1"/>
  <c r="E24" i="6" s="1"/>
  <c r="D11" i="6"/>
  <c r="D16" i="6" s="1"/>
  <c r="D24" i="6" s="1"/>
  <c r="C11" i="6"/>
  <c r="C30" i="6" s="1"/>
  <c r="F23" i="13"/>
  <c r="G23" i="13" s="1"/>
  <c r="F22" i="13"/>
  <c r="F4" i="6" s="1"/>
  <c r="F24" i="13"/>
  <c r="F6" i="6" s="1"/>
  <c r="F45" i="13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J14" i="8"/>
  <c r="I14" i="8"/>
  <c r="H14" i="8"/>
  <c r="G14" i="8"/>
  <c r="F14" i="8"/>
  <c r="E14" i="8"/>
  <c r="D14" i="8"/>
  <c r="C14" i="8"/>
  <c r="J14" i="7"/>
  <c r="I14" i="7"/>
  <c r="H14" i="7"/>
  <c r="G14" i="7"/>
  <c r="F14" i="7"/>
  <c r="E14" i="7"/>
  <c r="D14" i="7"/>
  <c r="C14" i="7"/>
  <c r="F50" i="13"/>
  <c r="A1" i="3"/>
  <c r="A1" i="13"/>
  <c r="A1" i="5"/>
  <c r="A1" i="6"/>
  <c r="A1" i="7"/>
  <c r="A1" i="8"/>
  <c r="A1" i="9"/>
  <c r="A1" i="11"/>
  <c r="A1" i="12"/>
  <c r="F8" i="6"/>
  <c r="B20" i="5"/>
  <c r="B19" i="5"/>
  <c r="F9" i="6"/>
  <c r="G9" i="6"/>
  <c r="H9" i="6"/>
  <c r="I9" i="6"/>
  <c r="J9" i="6"/>
  <c r="J8" i="6"/>
  <c r="I8" i="6"/>
  <c r="H8" i="6"/>
  <c r="G8" i="6"/>
  <c r="J11" i="5"/>
  <c r="I11" i="5"/>
  <c r="H11" i="5"/>
  <c r="E2" i="12"/>
  <c r="F2" i="12"/>
  <c r="G2" i="12" s="1"/>
  <c r="H2" i="12" s="1"/>
  <c r="G11" i="5"/>
  <c r="F5" i="8" l="1"/>
  <c r="F17" i="8" s="1"/>
  <c r="E23" i="5"/>
  <c r="F20" i="7"/>
  <c r="E36" i="8"/>
  <c r="E52" i="13"/>
  <c r="F52" i="13" s="1"/>
  <c r="F12" i="8" s="1"/>
  <c r="F15" i="13"/>
  <c r="F9" i="7" s="1"/>
  <c r="D33" i="7"/>
  <c r="D38" i="7" s="1"/>
  <c r="C32" i="8"/>
  <c r="C20" i="8"/>
  <c r="D25" i="8"/>
  <c r="D39" i="8"/>
  <c r="D20" i="8"/>
  <c r="D27" i="8" s="1"/>
  <c r="C39" i="8"/>
  <c r="D22" i="7"/>
  <c r="C18" i="7"/>
  <c r="G45" i="13"/>
  <c r="G30" i="6"/>
  <c r="E30" i="6"/>
  <c r="F5" i="6"/>
  <c r="G10" i="7"/>
  <c r="H16" i="13"/>
  <c r="G5" i="6"/>
  <c r="H23" i="13"/>
  <c r="G24" i="13"/>
  <c r="G6" i="6" s="1"/>
  <c r="G50" i="13"/>
  <c r="G13" i="13"/>
  <c r="G22" i="13"/>
  <c r="G4" i="6" s="1"/>
  <c r="D10" i="5"/>
  <c r="D17" i="5" s="1"/>
  <c r="E10" i="5"/>
  <c r="E17" i="5" s="1"/>
  <c r="F2" i="5"/>
  <c r="F16" i="6"/>
  <c r="F24" i="6" s="1"/>
  <c r="D30" i="6"/>
  <c r="J16" i="6"/>
  <c r="J24" i="6" s="1"/>
  <c r="C16" i="6"/>
  <c r="C24" i="6" s="1"/>
  <c r="I16" i="6"/>
  <c r="I24" i="6" s="1"/>
  <c r="H30" i="6"/>
  <c r="E27" i="8"/>
  <c r="C27" i="8"/>
  <c r="G31" i="13"/>
  <c r="G4" i="5"/>
  <c r="H4" i="5" s="1"/>
  <c r="I4" i="5" s="1"/>
  <c r="J4" i="5" s="1"/>
  <c r="C22" i="7"/>
  <c r="F42" i="13"/>
  <c r="F51" i="13"/>
  <c r="F44" i="13"/>
  <c r="E18" i="7"/>
  <c r="F12" i="9" l="1"/>
  <c r="G14" i="13"/>
  <c r="G15" i="13"/>
  <c r="G9" i="7"/>
  <c r="H15" i="13"/>
  <c r="D39" i="7"/>
  <c r="D41" i="8"/>
  <c r="C41" i="8"/>
  <c r="C33" i="7"/>
  <c r="H45" i="13"/>
  <c r="I45" i="13" s="1"/>
  <c r="G7" i="8"/>
  <c r="H24" i="13"/>
  <c r="I24" i="13" s="1"/>
  <c r="H10" i="7"/>
  <c r="I16" i="13"/>
  <c r="H5" i="6"/>
  <c r="I23" i="13"/>
  <c r="H22" i="13"/>
  <c r="H4" i="6" s="1"/>
  <c r="H13" i="13"/>
  <c r="G7" i="7"/>
  <c r="G10" i="8"/>
  <c r="H50" i="13"/>
  <c r="G2" i="5"/>
  <c r="F10" i="5"/>
  <c r="F17" i="5" s="1"/>
  <c r="H31" i="13"/>
  <c r="G3" i="5"/>
  <c r="G44" i="13"/>
  <c r="G42" i="13"/>
  <c r="H42" i="13" s="1"/>
  <c r="I42" i="13" s="1"/>
  <c r="J42" i="13" s="1"/>
  <c r="G52" i="13"/>
  <c r="F11" i="13"/>
  <c r="E33" i="7"/>
  <c r="E22" i="7"/>
  <c r="G51" i="13"/>
  <c r="H14" i="13" l="1"/>
  <c r="G8" i="7"/>
  <c r="H9" i="7"/>
  <c r="I15" i="13"/>
  <c r="E38" i="7"/>
  <c r="E39" i="7"/>
  <c r="C39" i="7"/>
  <c r="C38" i="7"/>
  <c r="G12" i="13"/>
  <c r="H12" i="13" s="1"/>
  <c r="H7" i="8"/>
  <c r="I7" i="8"/>
  <c r="G11" i="13"/>
  <c r="I22" i="13"/>
  <c r="I4" i="6" s="1"/>
  <c r="J45" i="13"/>
  <c r="H6" i="6"/>
  <c r="I10" i="7"/>
  <c r="J16" i="13"/>
  <c r="J23" i="13"/>
  <c r="I5" i="6"/>
  <c r="H10" i="8"/>
  <c r="I50" i="13"/>
  <c r="I13" i="13"/>
  <c r="H7" i="7"/>
  <c r="H2" i="5"/>
  <c r="G10" i="5"/>
  <c r="G17" i="5" s="1"/>
  <c r="I31" i="13"/>
  <c r="H3" i="5"/>
  <c r="J24" i="13"/>
  <c r="I6" i="6"/>
  <c r="H51" i="13"/>
  <c r="G11" i="8"/>
  <c r="G8" i="8"/>
  <c r="H52" i="13"/>
  <c r="G12" i="8"/>
  <c r="G4" i="8"/>
  <c r="H44" i="13"/>
  <c r="G6" i="8"/>
  <c r="G5" i="8" l="1"/>
  <c r="G17" i="8" s="1"/>
  <c r="G24" i="7"/>
  <c r="I14" i="13"/>
  <c r="H8" i="7"/>
  <c r="J15" i="13"/>
  <c r="J9" i="7" s="1"/>
  <c r="I9" i="7"/>
  <c r="G5" i="7"/>
  <c r="H11" i="13"/>
  <c r="I11" i="13" s="1"/>
  <c r="J7" i="8"/>
  <c r="G6" i="7"/>
  <c r="J22" i="13"/>
  <c r="J4" i="6" s="1"/>
  <c r="J10" i="7"/>
  <c r="J5" i="6"/>
  <c r="I12" i="13"/>
  <c r="H6" i="7"/>
  <c r="J13" i="13"/>
  <c r="I7" i="7"/>
  <c r="J50" i="13"/>
  <c r="I10" i="8"/>
  <c r="I2" i="5"/>
  <c r="H10" i="5"/>
  <c r="H17" i="5" s="1"/>
  <c r="I3" i="5"/>
  <c r="J31" i="13"/>
  <c r="J6" i="6"/>
  <c r="F17" i="13"/>
  <c r="H12" i="8"/>
  <c r="I52" i="13"/>
  <c r="H8" i="8"/>
  <c r="I44" i="13"/>
  <c r="H6" i="8"/>
  <c r="H4" i="8"/>
  <c r="E4" i="11"/>
  <c r="L4" i="11" s="1"/>
  <c r="L5" i="11" s="1"/>
  <c r="L6" i="11" s="1"/>
  <c r="L7" i="11" s="1"/>
  <c r="I51" i="13"/>
  <c r="H11" i="8"/>
  <c r="H5" i="8" l="1"/>
  <c r="H24" i="7"/>
  <c r="H17" i="8"/>
  <c r="G12" i="9"/>
  <c r="J14" i="13"/>
  <c r="J8" i="7" s="1"/>
  <c r="I8" i="7"/>
  <c r="H5" i="7"/>
  <c r="G17" i="13"/>
  <c r="H17" i="13" s="1"/>
  <c r="J10" i="8"/>
  <c r="J11" i="13"/>
  <c r="I5" i="7"/>
  <c r="J7" i="7"/>
  <c r="I6" i="7"/>
  <c r="J12" i="13"/>
  <c r="J2" i="5"/>
  <c r="I10" i="5"/>
  <c r="I17" i="5" s="1"/>
  <c r="J3" i="5"/>
  <c r="I4" i="8"/>
  <c r="F18" i="13"/>
  <c r="I6" i="8"/>
  <c r="J44" i="13"/>
  <c r="I8" i="8"/>
  <c r="I12" i="8"/>
  <c r="J52" i="13"/>
  <c r="J51" i="13"/>
  <c r="I11" i="8"/>
  <c r="F10" i="7"/>
  <c r="E12" i="11"/>
  <c r="F37" i="13"/>
  <c r="F11" i="7"/>
  <c r="J5" i="8" l="1"/>
  <c r="J24" i="7"/>
  <c r="H12" i="9"/>
  <c r="I5" i="8"/>
  <c r="I17" i="8" s="1"/>
  <c r="I24" i="7"/>
  <c r="G11" i="7"/>
  <c r="G18" i="13"/>
  <c r="G12" i="7" s="1"/>
  <c r="J6" i="7"/>
  <c r="J5" i="7"/>
  <c r="I17" i="13"/>
  <c r="H11" i="7"/>
  <c r="J10" i="5"/>
  <c r="J17" i="5" s="1"/>
  <c r="J8" i="8"/>
  <c r="G37" i="13"/>
  <c r="M4" i="11"/>
  <c r="J12" i="8"/>
  <c r="J11" i="8"/>
  <c r="J6" i="8"/>
  <c r="F38" i="13"/>
  <c r="F12" i="7"/>
  <c r="J4" i="8"/>
  <c r="I12" i="9" l="1"/>
  <c r="J17" i="8"/>
  <c r="J12" i="9" s="1"/>
  <c r="H18" i="13"/>
  <c r="H12" i="7" s="1"/>
  <c r="J17" i="13"/>
  <c r="I11" i="7"/>
  <c r="M5" i="11"/>
  <c r="H37" i="13"/>
  <c r="G38" i="13"/>
  <c r="I18" i="13" l="1"/>
  <c r="J18" i="13" s="1"/>
  <c r="J11" i="7"/>
  <c r="H38" i="13"/>
  <c r="M6" i="11"/>
  <c r="M7" i="11"/>
  <c r="I37" i="13"/>
  <c r="I12" i="7" l="1"/>
  <c r="J12" i="7"/>
  <c r="M9" i="11"/>
  <c r="M11" i="11" s="1"/>
  <c r="I38" i="13"/>
  <c r="J37" i="13"/>
  <c r="E7" i="11" l="1"/>
  <c r="E8" i="11" s="1"/>
  <c r="E13" i="11" s="1"/>
  <c r="M3" i="12" s="1"/>
  <c r="J38" i="13"/>
  <c r="G3" i="12" l="1"/>
  <c r="H3" i="12"/>
  <c r="E3" i="12"/>
  <c r="F3" i="12"/>
  <c r="D3" i="12"/>
  <c r="E39" i="8" l="1"/>
  <c r="E41" i="8" s="1"/>
  <c r="G10" i="13" l="1"/>
  <c r="G4" i="7" s="1"/>
  <c r="H10" i="13"/>
  <c r="H4" i="7" s="1"/>
  <c r="J10" i="13"/>
  <c r="J4" i="7" s="1"/>
  <c r="I10" i="13"/>
  <c r="I4" i="7" s="1"/>
  <c r="F10" i="13"/>
  <c r="F4" i="7" l="1"/>
  <c r="F15" i="7" s="1"/>
  <c r="F17" i="7" s="1"/>
  <c r="F3" i="10"/>
  <c r="F31" i="8"/>
  <c r="F22" i="5" s="1"/>
  <c r="F15" i="8"/>
  <c r="F7" i="5"/>
  <c r="F18" i="8"/>
  <c r="F20" i="5" s="1"/>
  <c r="F16" i="7" l="1"/>
  <c r="F35" i="8"/>
  <c r="G15" i="7"/>
  <c r="F24" i="8"/>
  <c r="F7" i="9" s="1"/>
  <c r="F11" i="10" s="1"/>
  <c r="F11" i="9"/>
  <c r="F9" i="5"/>
  <c r="F18" i="5"/>
  <c r="F18" i="7"/>
  <c r="F19" i="8"/>
  <c r="F19" i="5" s="1"/>
  <c r="F30" i="8"/>
  <c r="F21" i="5" s="1"/>
  <c r="G16" i="7" l="1"/>
  <c r="G15" i="8"/>
  <c r="G18" i="5" s="1"/>
  <c r="H15" i="7"/>
  <c r="G24" i="8"/>
  <c r="G7" i="5"/>
  <c r="G11" i="9" s="1"/>
  <c r="G17" i="7"/>
  <c r="G35" i="8"/>
  <c r="G31" i="8"/>
  <c r="G22" i="5" s="1"/>
  <c r="G3" i="10"/>
  <c r="G18" i="8"/>
  <c r="G20" i="5" s="1"/>
  <c r="F36" i="8"/>
  <c r="F8" i="9"/>
  <c r="F12" i="10" s="1"/>
  <c r="F22" i="8"/>
  <c r="F25" i="8" s="1"/>
  <c r="G6" i="5"/>
  <c r="F23" i="5"/>
  <c r="F22" i="7"/>
  <c r="F4" i="10"/>
  <c r="F7" i="10" s="1"/>
  <c r="F30" i="7"/>
  <c r="F13" i="9"/>
  <c r="F13" i="10"/>
  <c r="G18" i="7" l="1"/>
  <c r="G8" i="9"/>
  <c r="G12" i="10" s="1"/>
  <c r="G36" i="8"/>
  <c r="G7" i="9"/>
  <c r="G11" i="10" s="1"/>
  <c r="G4" i="10"/>
  <c r="G7" i="10" s="1"/>
  <c r="G30" i="7"/>
  <c r="G32" i="7" s="1"/>
  <c r="G33" i="7" s="1"/>
  <c r="G3" i="9" s="1"/>
  <c r="H24" i="8"/>
  <c r="H7" i="9" s="1"/>
  <c r="H11" i="10" s="1"/>
  <c r="H18" i="8"/>
  <c r="H20" i="5" s="1"/>
  <c r="H15" i="8"/>
  <c r="H18" i="5" s="1"/>
  <c r="H35" i="8"/>
  <c r="H31" i="8"/>
  <c r="H22" i="5" s="1"/>
  <c r="H17" i="7"/>
  <c r="H16" i="7"/>
  <c r="I15" i="7"/>
  <c r="H7" i="5"/>
  <c r="H11" i="9" s="1"/>
  <c r="H3" i="10"/>
  <c r="G13" i="9"/>
  <c r="G13" i="10"/>
  <c r="G19" i="8"/>
  <c r="G19" i="5" s="1"/>
  <c r="G30" i="8"/>
  <c r="G21" i="5" s="1"/>
  <c r="F32" i="7"/>
  <c r="F33" i="7" s="1"/>
  <c r="G8" i="5"/>
  <c r="G9" i="5" s="1"/>
  <c r="F6" i="9"/>
  <c r="F10" i="10" s="1"/>
  <c r="F15" i="10" s="1"/>
  <c r="D4" i="12" s="1"/>
  <c r="F24" i="5"/>
  <c r="G14" i="5" l="1"/>
  <c r="G39" i="7"/>
  <c r="G38" i="7"/>
  <c r="H18" i="7"/>
  <c r="G23" i="5"/>
  <c r="H4" i="10"/>
  <c r="H7" i="10" s="1"/>
  <c r="H30" i="7"/>
  <c r="G24" i="5"/>
  <c r="G6" i="9"/>
  <c r="G10" i="10" s="1"/>
  <c r="H13" i="9"/>
  <c r="H13" i="10"/>
  <c r="H19" i="8"/>
  <c r="H19" i="5" s="1"/>
  <c r="H30" i="8"/>
  <c r="H21" i="5" s="1"/>
  <c r="H36" i="8"/>
  <c r="H8" i="9"/>
  <c r="H12" i="10" s="1"/>
  <c r="I3" i="10"/>
  <c r="I18" i="8"/>
  <c r="I20" i="5" s="1"/>
  <c r="I16" i="7"/>
  <c r="I7" i="5"/>
  <c r="I11" i="9" s="1"/>
  <c r="J15" i="7"/>
  <c r="I15" i="8"/>
  <c r="I18" i="5" s="1"/>
  <c r="I17" i="7"/>
  <c r="I31" i="8"/>
  <c r="I22" i="5" s="1"/>
  <c r="I24" i="8"/>
  <c r="I7" i="9" s="1"/>
  <c r="I11" i="10" s="1"/>
  <c r="I35" i="8"/>
  <c r="F14" i="5"/>
  <c r="F38" i="7"/>
  <c r="F39" i="7"/>
  <c r="H6" i="5"/>
  <c r="G22" i="8"/>
  <c r="G25" i="8" s="1"/>
  <c r="G4" i="9"/>
  <c r="G8" i="10" s="1"/>
  <c r="G15" i="10" s="1"/>
  <c r="E4" i="12" s="1"/>
  <c r="G20" i="7"/>
  <c r="G22" i="7" s="1"/>
  <c r="H23" i="5" l="1"/>
  <c r="I36" i="8"/>
  <c r="I8" i="9"/>
  <c r="I12" i="10" s="1"/>
  <c r="J31" i="8"/>
  <c r="J22" i="5" s="1"/>
  <c r="J35" i="8"/>
  <c r="J7" i="5"/>
  <c r="J11" i="9" s="1"/>
  <c r="J3" i="10"/>
  <c r="J24" i="8"/>
  <c r="J7" i="9" s="1"/>
  <c r="J11" i="10" s="1"/>
  <c r="J18" i="8"/>
  <c r="J20" i="5" s="1"/>
  <c r="J17" i="7"/>
  <c r="J16" i="7"/>
  <c r="J15" i="8"/>
  <c r="J18" i="5" s="1"/>
  <c r="I18" i="7"/>
  <c r="I30" i="8"/>
  <c r="I21" i="5" s="1"/>
  <c r="I19" i="8"/>
  <c r="I19" i="5" s="1"/>
  <c r="H6" i="9"/>
  <c r="H10" i="10" s="1"/>
  <c r="H24" i="5"/>
  <c r="I13" i="10"/>
  <c r="I13" i="9"/>
  <c r="H32" i="7"/>
  <c r="H33" i="7" s="1"/>
  <c r="G9" i="9"/>
  <c r="G19" i="9" s="1"/>
  <c r="G22" i="9" s="1"/>
  <c r="F3" i="9"/>
  <c r="F9" i="9" s="1"/>
  <c r="F19" i="9" s="1"/>
  <c r="F22" i="9" s="1"/>
  <c r="F23" i="9" s="1"/>
  <c r="F16" i="5"/>
  <c r="H8" i="5"/>
  <c r="H9" i="5" s="1"/>
  <c r="J18" i="7" l="1"/>
  <c r="I23" i="5"/>
  <c r="I6" i="9" s="1"/>
  <c r="I10" i="10" s="1"/>
  <c r="I30" i="7"/>
  <c r="I4" i="10"/>
  <c r="I7" i="10" s="1"/>
  <c r="J8" i="9"/>
  <c r="J12" i="10" s="1"/>
  <c r="J36" i="8"/>
  <c r="J30" i="8"/>
  <c r="J21" i="5" s="1"/>
  <c r="J19" i="8"/>
  <c r="J19" i="5" s="1"/>
  <c r="J13" i="10"/>
  <c r="J13" i="9"/>
  <c r="H14" i="5"/>
  <c r="H3" i="9"/>
  <c r="H39" i="7"/>
  <c r="H38" i="7"/>
  <c r="J30" i="7"/>
  <c r="J4" i="10"/>
  <c r="J7" i="10" s="1"/>
  <c r="G13" i="5"/>
  <c r="G16" i="5" s="1"/>
  <c r="F38" i="8"/>
  <c r="I6" i="5"/>
  <c r="H22" i="8"/>
  <c r="H25" i="8" s="1"/>
  <c r="H20" i="7"/>
  <c r="H22" i="7" s="1"/>
  <c r="H4" i="9"/>
  <c r="F29" i="8"/>
  <c r="F32" i="8" s="1"/>
  <c r="F16" i="8"/>
  <c r="I24" i="5" l="1"/>
  <c r="J23" i="5"/>
  <c r="J24" i="5" s="1"/>
  <c r="J32" i="7"/>
  <c r="J33" i="7" s="1"/>
  <c r="I32" i="7"/>
  <c r="I33" i="7" s="1"/>
  <c r="G21" i="9"/>
  <c r="G23" i="9" s="1"/>
  <c r="F20" i="8"/>
  <c r="F27" i="8" s="1"/>
  <c r="I8" i="5"/>
  <c r="H8" i="10"/>
  <c r="H15" i="10" s="1"/>
  <c r="F4" i="12" s="1"/>
  <c r="H9" i="9"/>
  <c r="H19" i="9" s="1"/>
  <c r="H22" i="9" s="1"/>
  <c r="F39" i="8"/>
  <c r="F41" i="8" s="1"/>
  <c r="G38" i="8"/>
  <c r="H13" i="5"/>
  <c r="H16" i="5" s="1"/>
  <c r="J6" i="9" l="1"/>
  <c r="J10" i="10" s="1"/>
  <c r="J39" i="7"/>
  <c r="J38" i="7"/>
  <c r="J14" i="5"/>
  <c r="J3" i="9"/>
  <c r="I14" i="5"/>
  <c r="I3" i="9"/>
  <c r="I39" i="7"/>
  <c r="I38" i="7"/>
  <c r="I20" i="7"/>
  <c r="I22" i="7" s="1"/>
  <c r="I4" i="9"/>
  <c r="H38" i="8"/>
  <c r="I13" i="5"/>
  <c r="I16" i="5" s="1"/>
  <c r="I9" i="5"/>
  <c r="G16" i="8"/>
  <c r="G29" i="8"/>
  <c r="G32" i="8" s="1"/>
  <c r="G39" i="8" s="1"/>
  <c r="J13" i="5" l="1"/>
  <c r="J16" i="5" s="1"/>
  <c r="J38" i="8" s="1"/>
  <c r="I38" i="8"/>
  <c r="H21" i="9"/>
  <c r="H23" i="9" s="1"/>
  <c r="G20" i="8"/>
  <c r="G27" i="8" s="1"/>
  <c r="G41" i="8" s="1"/>
  <c r="I22" i="8"/>
  <c r="I25" i="8" s="1"/>
  <c r="J6" i="5"/>
  <c r="I8" i="10"/>
  <c r="I15" i="10" s="1"/>
  <c r="G4" i="12" s="1"/>
  <c r="I9" i="9"/>
  <c r="I19" i="9" s="1"/>
  <c r="I22" i="9" s="1"/>
  <c r="J8" i="5" l="1"/>
  <c r="H29" i="8"/>
  <c r="H32" i="8" s="1"/>
  <c r="H39" i="8" s="1"/>
  <c r="H16" i="8"/>
  <c r="J20" i="7" l="1"/>
  <c r="J22" i="7" s="1"/>
  <c r="G8" i="12" s="1"/>
  <c r="J4" i="9"/>
  <c r="I21" i="9"/>
  <c r="I23" i="9" s="1"/>
  <c r="H20" i="8"/>
  <c r="H27" i="8" s="1"/>
  <c r="H41" i="8" s="1"/>
  <c r="J9" i="5"/>
  <c r="J22" i="8" s="1"/>
  <c r="J25" i="8" s="1"/>
  <c r="J8" i="10" l="1"/>
  <c r="J15" i="10" s="1"/>
  <c r="H4" i="12" s="1"/>
  <c r="J9" i="9"/>
  <c r="J19" i="9" s="1"/>
  <c r="J22" i="9" s="1"/>
  <c r="I29" i="8"/>
  <c r="I32" i="8" s="1"/>
  <c r="I39" i="8" s="1"/>
  <c r="I16" i="8"/>
  <c r="J21" i="9" l="1"/>
  <c r="J23" i="9" s="1"/>
  <c r="I20" i="8"/>
  <c r="I27" i="8" s="1"/>
  <c r="I41" i="8" s="1"/>
  <c r="H5" i="12"/>
  <c r="C8" i="12" s="1"/>
  <c r="C7" i="12"/>
  <c r="G7" i="12" l="1"/>
  <c r="G9" i="12" s="1"/>
  <c r="G15" i="12" s="1"/>
  <c r="O9" i="12" s="1"/>
  <c r="C9" i="12"/>
  <c r="C15" i="12" s="1"/>
  <c r="J9" i="12" s="1"/>
  <c r="J16" i="8"/>
  <c r="J20" i="8" s="1"/>
  <c r="J27" i="8" s="1"/>
  <c r="J29" i="8"/>
  <c r="J32" i="8" s="1"/>
  <c r="J39" i="8" s="1"/>
  <c r="J41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<sst xmlns="http://schemas.openxmlformats.org/spreadsheetml/2006/main" count="395" uniqueCount="236">
  <si>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</si>
  <si>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</si>
  <si>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</si>
  <si>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</si>
  <si>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</si>
  <si>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</si>
  <si>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</si>
  <si>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</si>
  <si>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</si>
  <si>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</si>
  <si>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</si>
  <si>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</si>
  <si>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</si>
  <si>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</si>
  <si>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</si>
  <si>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</si>
  <si>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</si>
  <si>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</si>
  <si>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</si>
  <si>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</si>
  <si>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</si>
  <si>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</si>
  <si>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</si>
  <si>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</si>
  <si>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</si>
  <si>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</si>
  <si>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</si>
  <si>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</si>
  <si>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</si>
  <si>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</si>
  <si>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</si>
  <si>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</si>
  <si>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</si>
  <si>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</si>
  <si>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</si>
  <si>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</si>
  <si>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</si>
  <si>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</si>
  <si>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</si>
  <si>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</si>
  <si>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</si>
  <si>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</si>
  <si>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</si>
  <si>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</si>
  <si>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</si>
  <si>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</si>
  <si>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</si>
  <si>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</si>
  <si>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</si>
  <si>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</si>
  <si>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</si>
  <si>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</si>
  <si>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</si>
  <si>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</si>
  <si>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</si>
  <si>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</si>
  <si>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</si>
  <si>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</si>
  <si>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</si>
  <si>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</si>
  <si>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Balance sheet</t>
  </si>
  <si>
    <t>Inventories % of COGS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</si>
  <si>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</si>
  <si>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</si>
  <si>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</si>
  <si>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</si>
  <si>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</si>
  <si>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</si>
  <si>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</si>
  <si>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</si>
  <si>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</si>
  <si>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</si>
  <si>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</si>
  <si>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</si>
  <si>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</si>
  <si>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</si>
  <si>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</si>
  <si>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</si>
  <si>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</si>
  <si>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</si>
  <si>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</si>
  <si>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</si>
  <si>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</si>
  <si>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</si>
  <si>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</si>
  <si>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</si>
  <si>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</si>
  <si>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</si>
  <si>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</si>
  <si>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</si>
  <si>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</si>
  <si>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</si>
  <si>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</si>
  <si>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</si>
  <si>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</si>
  <si>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</si>
  <si>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</si>
  <si>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</si>
  <si>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</si>
  <si>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</si>
  <si>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</si>
  <si>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</si>
  <si>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</si>
  <si>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</si>
  <si>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</si>
  <si>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</si>
  <si>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</si>
  <si>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</si>
  <si>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</si>
  <si>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</si>
  <si>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</si>
  <si>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</si>
  <si>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</si>
  <si>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</si>
  <si>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</si>
  <si>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</si>
  <si>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</si>
  <si>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</si>
  <si>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</si>
  <si>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</si>
  <si>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</si>
  <si>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</si>
  <si>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</si>
  <si>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</si>
  <si>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</si>
  <si>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</si>
  <si>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</si>
  <si>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</si>
  <si>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</si>
  <si>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</si>
  <si>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</si>
  <si>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</si>
  <si>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</si>
  <si>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</si>
  <si>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</si>
  <si>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</si>
  <si>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</si>
  <si>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</si>
  <si>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</si>
  <si>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</si>
  <si>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</si>
  <si>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</si>
  <si>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</si>
  <si>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</si>
  <si>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</si>
  <si>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</si>
  <si>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</si>
  <si>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</si>
  <si>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</si>
  <si>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</si>
  <si>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</si>
  <si>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</si>
  <si>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</si>
  <si>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</si>
  <si>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</si>
  <si>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</si>
  <si>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</si>
  <si>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</si>
  <si>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</si>
  <si>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</si>
  <si>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</si>
  <si>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Excess Cash</t>
  </si>
  <si>
    <t>TV multiple variance</t>
  </si>
  <si>
    <t>Multiples Calculation</t>
  </si>
  <si>
    <t>Multiple TV</t>
  </si>
  <si>
    <t>DCF tables</t>
  </si>
  <si>
    <t>Cost of debt</t>
  </si>
  <si>
    <t>Price 10/14/25</t>
  </si>
  <si>
    <t>LTM EV/EBITDA</t>
  </si>
  <si>
    <t>Average</t>
  </si>
  <si>
    <t>Delta -&gt; Average</t>
  </si>
  <si>
    <t>EV/EBITDA 2026E</t>
  </si>
  <si>
    <t>EV/EBIT 2026E</t>
  </si>
  <si>
    <t>Company Symbol</t>
  </si>
  <si>
    <t>Enterprise Value</t>
  </si>
  <si>
    <t>LTM P/E Ratio</t>
  </si>
  <si>
    <t>P/E Ratio 2026E</t>
  </si>
  <si>
    <t xml:space="preserve">LTM EV/EBIT </t>
  </si>
  <si>
    <t>LTM EV/Sales</t>
  </si>
  <si>
    <t>EV/Sales 2026E</t>
  </si>
  <si>
    <t>Delta % Average</t>
  </si>
  <si>
    <t>Presentation slide</t>
  </si>
  <si>
    <t>Football field + SOTP Comps analysis</t>
  </si>
  <si>
    <t>DCF Analysis (Sensitivity tables)</t>
  </si>
  <si>
    <t>Projection ranges</t>
  </si>
  <si>
    <t>Model Details</t>
  </si>
  <si>
    <t>Current price</t>
  </si>
  <si>
    <t xml:space="preserve">Berkshire Hathaway Insurance </t>
  </si>
  <si>
    <t>Class B WASO</t>
  </si>
  <si>
    <t>Class A WASO</t>
  </si>
  <si>
    <t>Class A EPS</t>
  </si>
  <si>
    <t>Class B EPS</t>
  </si>
  <si>
    <t>Case 1</t>
  </si>
  <si>
    <t>Case 2</t>
  </si>
  <si>
    <t>Case 3</t>
  </si>
  <si>
    <t>Scenario</t>
  </si>
  <si>
    <t>Short term investments</t>
  </si>
  <si>
    <t>Additions to short term investments</t>
  </si>
  <si>
    <t>NO DEBT</t>
  </si>
  <si>
    <t xml:space="preserve">Depreciation </t>
  </si>
  <si>
    <t>(inc) / dec in LT assets</t>
  </si>
  <si>
    <t>inc / (dec) in LT liabilities</t>
  </si>
  <si>
    <t>Cash Flow From Investing</t>
  </si>
  <si>
    <t>Cash Flow From Operations</t>
  </si>
  <si>
    <t>(inc) / dec in Investments</t>
  </si>
  <si>
    <t>Cash Flow From Financing</t>
  </si>
  <si>
    <t>Share issuance / (repayment)</t>
  </si>
  <si>
    <t>Debt issuance / (repayment)</t>
  </si>
  <si>
    <t>Net changes in Cash</t>
  </si>
  <si>
    <t>Beginning Cash</t>
  </si>
  <si>
    <t>Changes</t>
  </si>
  <si>
    <t>Ending Cash</t>
  </si>
  <si>
    <t>UNH</t>
  </si>
  <si>
    <t>CVS</t>
  </si>
  <si>
    <t>CI</t>
  </si>
  <si>
    <t>PV FCF</t>
  </si>
  <si>
    <t>Discount factor</t>
  </si>
  <si>
    <t>BRK.A</t>
  </si>
  <si>
    <t>LTGR</t>
  </si>
  <si>
    <t xml:space="preserve">Average </t>
  </si>
  <si>
    <t>Multiple</t>
  </si>
  <si>
    <t>Perpetuity</t>
  </si>
  <si>
    <t>Terminal Multiple</t>
  </si>
  <si>
    <t>SHARE PRICE CLASS A</t>
  </si>
  <si>
    <t>SHARE PRICE CLASS B</t>
  </si>
  <si>
    <t>COMBINED EV</t>
  </si>
  <si>
    <t>DIFFERENCE</t>
  </si>
  <si>
    <t>Weighted Average</t>
  </si>
  <si>
    <t>Total Cash &amp; Equivalents</t>
  </si>
  <si>
    <t>Total Debt</t>
  </si>
  <si>
    <t>Total Mkt Cap</t>
  </si>
  <si>
    <t>Class A outstanding</t>
  </si>
  <si>
    <t>Class A price</t>
  </si>
  <si>
    <t>Class B outstanding</t>
  </si>
  <si>
    <t>Class B Price</t>
  </si>
  <si>
    <t>PLEASE REFER TO MY OTHER BERKSHIRE MODEL TO COMBINE THE POTENTIAL EV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</si>
</sst>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#,##0.0_)"/>
    <numFmt numFmtId="182" formatCode="&quot;$&quot;#,##0.0"/>
    <numFmt numFmtId="183" formatCode="&quot;$&quot;#,##0.00"/>
    <numFmt numFmtId="184" formatCode="0.0"/>
  </numFmts>
  <fonts count="7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2" tint="0.3999755851924192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1"/>
      <color rgb="FF34A853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6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7" fontId="29" fillId="33" borderId="1" applyNumberFormat="0" applyAlignment="0" applyProtection="0"/>
    <xf numFmtId="169" fontId="6" fillId="0" borderId="0" applyFont="0" applyFill="0" applyBorder="0" applyAlignment="0" applyProtection="0"/>
    <xf numFmtId="167" fontId="29" fillId="0" borderId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5" applyNumberFormat="0" applyAlignment="0" applyProtection="0"/>
    <xf numFmtId="0" fontId="18" fillId="5" borderId="6" applyNumberFormat="0" applyAlignment="0" applyProtection="0"/>
    <xf numFmtId="0" fontId="19" fillId="0" borderId="7" applyNumberFormat="0" applyFill="0" applyAlignment="0" applyProtection="0"/>
    <xf numFmtId="0" fontId="20" fillId="6" borderId="8" applyNumberFormat="0" applyAlignment="0" applyProtection="0"/>
    <xf numFmtId="0" fontId="21" fillId="0" borderId="0" applyNumberFormat="0" applyFill="0" applyBorder="0" applyAlignment="0" applyProtection="0"/>
    <xf numFmtId="0" fontId="6" fillId="7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4" fillId="31" borderId="0" applyNumberFormat="0" applyBorder="0" applyAlignment="0" applyProtection="0"/>
    <xf numFmtId="166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7" fontId="30" fillId="0" borderId="11" applyNumberFormat="0" applyFill="0" applyAlignment="0" applyProtection="0"/>
    <xf numFmtId="167" fontId="27" fillId="32" borderId="0" applyNumberFormat="0" applyBorder="0" applyProtection="0">
      <alignment horizontal="left" vertical="center"/>
    </xf>
    <xf numFmtId="167" fontId="28" fillId="0" borderId="0" applyNumberFormat="0" applyFill="0" applyBorder="0" applyAlignment="0" applyProtection="0"/>
    <xf numFmtId="171" fontId="7" fillId="0" borderId="0" applyFont="0" applyFill="0" applyBorder="0" applyAlignment="0" applyProtection="0"/>
    <xf numFmtId="169" fontId="29" fillId="33" borderId="1" applyAlignment="0" applyProtection="0"/>
    <xf numFmtId="166" fontId="7" fillId="0" borderId="0" applyNumberFormat="0" applyFill="0" applyBorder="0" applyAlignment="0" applyProtection="0"/>
    <xf numFmtId="166" fontId="7" fillId="0" borderId="0" applyNumberFormat="0" applyFill="0" applyBorder="0" applyAlignment="0" applyProtection="0"/>
    <xf numFmtId="166" fontId="6" fillId="0" borderId="0">
      <protection locked="0"/>
    </xf>
    <xf numFmtId="166" fontId="32" fillId="0" borderId="0" applyNumberFormat="0" applyFill="0" applyBorder="0" applyProtection="0">
      <alignment vertical="center"/>
      <protection hidden="1"/>
    </xf>
    <xf numFmtId="0" fontId="33" fillId="0" borderId="0"/>
    <xf numFmtId="9" fontId="3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5" fillId="0" borderId="0"/>
    <xf numFmtId="167" fontId="43" fillId="32" borderId="0" applyNumberFormat="0" applyBorder="0" applyAlignment="0" applyProtection="0">
      <alignment horizontal="left" vertical="center"/>
    </xf>
    <xf numFmtId="0" fontId="64" fillId="41" borderId="0"/>
    <xf numFmtId="0" fontId="65" fillId="41" borderId="22">
      <alignment horizontal="right"/>
    </xf>
  </cellStyleXfs>
  <cellXfs count="346">
    <xf numFmtId="167" fontId="0" fillId="0" borderId="0" xfId="0"/>
    <xf numFmtId="166" fontId="44" fillId="0" borderId="0" xfId="52" applyNumberFormat="1" applyFont="1" applyFill="1" applyBorder="1" applyAlignment="1">
      <alignment horizontal="center"/>
    </xf>
    <xf numFmtId="167" fontId="44" fillId="0" borderId="0" xfId="0" applyFont="1"/>
    <xf numFmtId="166" fontId="44" fillId="0" borderId="0" xfId="52" applyNumberFormat="1" applyFont="1" applyFill="1" applyBorder="1"/>
    <xf numFmtId="167" fontId="40" fillId="0" borderId="0" xfId="0" applyFont="1"/>
    <xf numFmtId="169" fontId="40" fillId="0" borderId="0" xfId="4" applyFont="1"/>
    <xf numFmtId="167" fontId="45" fillId="0" borderId="0" xfId="0" applyFont="1"/>
    <xf numFmtId="167" fontId="42" fillId="0" borderId="0" xfId="0" applyFont="1"/>
    <xf numFmtId="173" fontId="40" fillId="0" borderId="0" xfId="0" applyNumberFormat="1" applyFont="1"/>
    <xf numFmtId="166" fontId="39" fillId="0" borderId="0" xfId="57" applyFont="1" applyFill="1"/>
    <xf numFmtId="166" fontId="39" fillId="0" borderId="0" xfId="57" applyFont="1"/>
    <xf numFmtId="167" fontId="46" fillId="0" borderId="0" xfId="0" applyFont="1"/>
    <xf numFmtId="173" fontId="46" fillId="0" borderId="0" xfId="0" applyNumberFormat="1" applyFont="1"/>
    <xf numFmtId="167" fontId="39" fillId="0" borderId="0" xfId="0" applyFont="1"/>
    <xf numFmtId="172" fontId="40" fillId="0" borderId="0" xfId="0" applyNumberFormat="1" applyFont="1"/>
    <xf numFmtId="174" fontId="40" fillId="0" borderId="0" xfId="0" applyNumberFormat="1" applyFont="1"/>
    <xf numFmtId="167" fontId="40" fillId="35" borderId="0" xfId="0" applyFont="1" applyFill="1"/>
    <xf numFmtId="166" fontId="34" fillId="35" borderId="0" xfId="54" applyNumberFormat="1" applyFont="1" applyFill="1"/>
    <xf numFmtId="167" fontId="46" fillId="0" borderId="12" xfId="0" applyFont="1" applyBorder="1"/>
    <xf numFmtId="167" fontId="46" fillId="0" borderId="13" xfId="0" applyFont="1" applyBorder="1"/>
    <xf numFmtId="167" fontId="46" fillId="0" borderId="14" xfId="0" applyFont="1" applyBorder="1"/>
    <xf numFmtId="167" fontId="40" fillId="34" borderId="0" xfId="0" applyFont="1" applyFill="1"/>
    <xf numFmtId="166" fontId="34" fillId="34" borderId="0" xfId="54" applyNumberFormat="1" applyFont="1" applyFill="1"/>
    <xf numFmtId="167" fontId="40" fillId="0" borderId="13" xfId="0" applyFont="1" applyBorder="1"/>
    <xf numFmtId="166" fontId="39" fillId="0" borderId="18" xfId="57" applyFont="1" applyBorder="1"/>
    <xf numFmtId="169" fontId="40" fillId="0" borderId="18" xfId="4" applyFont="1" applyBorder="1"/>
    <xf numFmtId="167" fontId="46" fillId="0" borderId="18" xfId="0" applyFont="1" applyBorder="1"/>
    <xf numFmtId="166" fontId="39" fillId="0" borderId="18" xfId="58" applyFont="1" applyBorder="1"/>
    <xf numFmtId="173" fontId="40" fillId="0" borderId="18" xfId="0" applyNumberFormat="1" applyFont="1" applyBorder="1"/>
    <xf numFmtId="167" fontId="40" fillId="0" borderId="18" xfId="0" applyFont="1" applyBorder="1"/>
    <xf numFmtId="169" fontId="40" fillId="0" borderId="18" xfId="4" applyFont="1" applyFill="1" applyBorder="1"/>
    <xf numFmtId="173" fontId="31" fillId="0" borderId="0" xfId="0" applyNumberFormat="1" applyFont="1"/>
    <xf numFmtId="167" fontId="41" fillId="0" borderId="0" xfId="0" applyFont="1"/>
    <xf numFmtId="167" fontId="48" fillId="0" borderId="0" xfId="0" applyFont="1"/>
    <xf numFmtId="167" fontId="46" fillId="0" borderId="15" xfId="0" applyFont="1" applyBorder="1"/>
    <xf numFmtId="167" fontId="46" fillId="0" borderId="16" xfId="0" applyFont="1" applyBorder="1"/>
    <xf numFmtId="173" fontId="40" fillId="0" borderId="16" xfId="0" applyNumberFormat="1" applyFont="1" applyBorder="1"/>
    <xf numFmtId="167" fontId="40" fillId="0" borderId="16" xfId="0" applyFont="1" applyBorder="1"/>
    <xf numFmtId="174" fontId="40" fillId="0" borderId="15" xfId="0" applyNumberFormat="1" applyFont="1" applyBorder="1"/>
    <xf numFmtId="167" fontId="41" fillId="0" borderId="18" xfId="0" applyFont="1" applyBorder="1"/>
    <xf numFmtId="173" fontId="31" fillId="0" borderId="18" xfId="0" applyNumberFormat="1" applyFont="1" applyBorder="1"/>
    <xf numFmtId="166" fontId="35" fillId="0" borderId="0" xfId="52" applyNumberFormat="1" applyFont="1" applyFill="1" applyBorder="1" applyAlignment="1">
      <alignment horizontal="right"/>
    </xf>
    <xf numFmtId="167" fontId="36" fillId="34" borderId="0" xfId="0" applyFont="1" applyFill="1"/>
    <xf numFmtId="173" fontId="41" fillId="0" borderId="0" xfId="0" applyNumberFormat="1" applyFont="1"/>
    <xf numFmtId="173" fontId="41" fillId="0" borderId="18" xfId="0" applyNumberFormat="1" applyFont="1" applyBorder="1"/>
    <xf numFmtId="166" fontId="39" fillId="0" borderId="18" xfId="57" applyFont="1" applyFill="1" applyBorder="1"/>
    <xf numFmtId="167" fontId="46" fillId="0" borderId="0" xfId="0" applyFont="1" applyAlignment="1">
      <alignment horizontal="right"/>
    </xf>
    <xf numFmtId="10" fontId="40" fillId="0" borderId="0" xfId="0" applyNumberFormat="1" applyFont="1"/>
    <xf numFmtId="172" fontId="40" fillId="0" borderId="0" xfId="4" applyNumberFormat="1" applyFont="1"/>
    <xf numFmtId="167" fontId="49" fillId="0" borderId="0" xfId="0" applyFont="1"/>
    <xf numFmtId="37" fontId="44" fillId="0" borderId="0" xfId="0" applyNumberFormat="1" applyFont="1" applyAlignment="1">
      <alignment horizontal="center"/>
    </xf>
    <xf numFmtId="167" fontId="38" fillId="33" borderId="1" xfId="3" applyFont="1" applyAlignment="1">
      <alignment horizontal="center"/>
    </xf>
    <xf numFmtId="168" fontId="38" fillId="33" borderId="1" xfId="3" applyNumberFormat="1" applyFont="1" applyAlignment="1">
      <alignment horizontal="center"/>
    </xf>
    <xf numFmtId="166" fontId="35" fillId="0" borderId="0" xfId="52" applyNumberFormat="1" applyFont="1" applyFill="1" applyBorder="1" applyAlignment="1">
      <alignment horizontal="center"/>
    </xf>
    <xf numFmtId="167" fontId="50" fillId="34" borderId="0" xfId="0" applyFont="1" applyFill="1"/>
    <xf numFmtId="175" fontId="34" fillId="34" borderId="0" xfId="0" applyNumberFormat="1" applyFont="1" applyFill="1"/>
    <xf numFmtId="169" fontId="47" fillId="0" borderId="0" xfId="57" applyNumberFormat="1" applyFont="1" applyFill="1" applyBorder="1"/>
    <xf numFmtId="169" fontId="41" fillId="0" borderId="0" xfId="57" applyNumberFormat="1" applyFont="1" applyFill="1" applyBorder="1"/>
    <xf numFmtId="166" fontId="41" fillId="0" borderId="0" xfId="0" applyNumberFormat="1" applyFont="1"/>
    <xf numFmtId="167" fontId="40" fillId="0" borderId="17" xfId="0" applyFont="1" applyBorder="1"/>
    <xf numFmtId="169" fontId="47" fillId="0" borderId="18" xfId="57" applyNumberFormat="1" applyFont="1" applyFill="1" applyBorder="1"/>
    <xf numFmtId="169" fontId="41" fillId="0" borderId="18" xfId="57" applyNumberFormat="1" applyFont="1" applyFill="1" applyBorder="1"/>
    <xf numFmtId="166" fontId="41" fillId="0" borderId="18" xfId="0" applyNumberFormat="1" applyFont="1" applyBorder="1"/>
    <xf numFmtId="167" fontId="40" fillId="0" borderId="18" xfId="0" applyFont="1" applyBorder="1" applyAlignment="1">
      <alignment horizontal="right"/>
    </xf>
    <xf numFmtId="167" fontId="36" fillId="35" borderId="0" xfId="0" applyFont="1" applyFill="1"/>
    <xf numFmtId="167" fontId="34" fillId="35" borderId="0" xfId="53" applyFont="1" applyFill="1">
      <alignment horizontal="left" vertical="center"/>
    </xf>
    <xf numFmtId="167" fontId="40" fillId="0" borderId="15" xfId="0" applyFont="1" applyBorder="1"/>
    <xf numFmtId="167" fontId="40" fillId="36" borderId="0" xfId="0" applyFont="1" applyFill="1"/>
    <xf numFmtId="167" fontId="40" fillId="37" borderId="15" xfId="0" applyFont="1" applyFill="1" applyBorder="1"/>
    <xf numFmtId="167" fontId="40" fillId="37" borderId="0" xfId="0" applyFont="1" applyFill="1"/>
    <xf numFmtId="167" fontId="40" fillId="38" borderId="15" xfId="0" applyFont="1" applyFill="1" applyBorder="1"/>
    <xf numFmtId="167" fontId="40" fillId="38" borderId="0" xfId="0" applyFont="1" applyFill="1"/>
    <xf numFmtId="167" fontId="40" fillId="36" borderId="18" xfId="0" applyFont="1" applyFill="1" applyBorder="1"/>
    <xf numFmtId="167" fontId="40" fillId="37" borderId="16" xfId="0" applyFont="1" applyFill="1" applyBorder="1"/>
    <xf numFmtId="167" fontId="40" fillId="37" borderId="18" xfId="0" applyFont="1" applyFill="1" applyBorder="1"/>
    <xf numFmtId="167" fontId="40" fillId="38" borderId="16" xfId="0" applyFont="1" applyFill="1" applyBorder="1"/>
    <xf numFmtId="167" fontId="40" fillId="38" borderId="18" xfId="0" applyFont="1" applyFill="1" applyBorder="1"/>
    <xf numFmtId="167" fontId="34" fillId="34" borderId="0" xfId="0" applyFont="1" applyFill="1"/>
    <xf numFmtId="167" fontId="40" fillId="0" borderId="20" xfId="0" applyFont="1" applyBorder="1"/>
    <xf numFmtId="167" fontId="40" fillId="0" borderId="1" xfId="0" applyFont="1" applyBorder="1"/>
    <xf numFmtId="167" fontId="40" fillId="39" borderId="19" xfId="0" applyFont="1" applyFill="1" applyBorder="1"/>
    <xf numFmtId="167" fontId="40" fillId="39" borderId="16" xfId="0" applyFont="1" applyFill="1" applyBorder="1"/>
    <xf numFmtId="167" fontId="40" fillId="39" borderId="1" xfId="0" applyFont="1" applyFill="1" applyBorder="1"/>
    <xf numFmtId="167" fontId="40" fillId="39" borderId="14" xfId="0" applyFont="1" applyFill="1" applyBorder="1"/>
    <xf numFmtId="167" fontId="45" fillId="0" borderId="15" xfId="0" applyFont="1" applyBorder="1"/>
    <xf numFmtId="176" fontId="40" fillId="0" borderId="0" xfId="0" applyNumberFormat="1" applyFont="1"/>
    <xf numFmtId="167" fontId="36" fillId="0" borderId="0" xfId="0" applyFont="1"/>
    <xf numFmtId="166" fontId="34" fillId="0" borderId="0" xfId="54" applyNumberFormat="1" applyFont="1" applyFill="1"/>
    <xf numFmtId="166" fontId="52" fillId="0" borderId="0" xfId="54" applyNumberFormat="1" applyFont="1" applyProtection="1"/>
    <xf numFmtId="173" fontId="6" fillId="0" borderId="0" xfId="0" applyNumberFormat="1" applyFont="1"/>
    <xf numFmtId="167" fontId="53" fillId="0" borderId="0" xfId="0" applyFont="1"/>
    <xf numFmtId="167" fontId="6" fillId="0" borderId="0" xfId="0" applyFont="1"/>
    <xf numFmtId="167" fontId="6" fillId="0" borderId="0" xfId="0" applyFont="1" applyProtection="1">
      <protection locked="0"/>
    </xf>
    <xf numFmtId="169" fontId="6" fillId="0" borderId="0" xfId="4" applyFont="1"/>
    <xf numFmtId="166" fontId="55" fillId="0" borderId="0" xfId="54" applyNumberFormat="1" applyFont="1" applyProtection="1"/>
    <xf numFmtId="169" fontId="29" fillId="0" borderId="0" xfId="3" applyNumberFormat="1" applyFill="1" applyBorder="1"/>
    <xf numFmtId="167" fontId="56" fillId="0" borderId="0" xfId="0" applyFont="1"/>
    <xf numFmtId="167" fontId="56" fillId="0" borderId="18" xfId="0" applyFont="1" applyBorder="1"/>
    <xf numFmtId="167" fontId="38" fillId="0" borderId="0" xfId="0" applyFont="1"/>
    <xf numFmtId="167" fontId="38" fillId="0" borderId="18" xfId="0" applyFont="1" applyBorder="1"/>
    <xf numFmtId="169" fontId="40" fillId="0" borderId="0" xfId="4" applyFont="1" applyFill="1"/>
    <xf numFmtId="169" fontId="57" fillId="33" borderId="1" xfId="3" applyNumberFormat="1" applyFont="1"/>
    <xf numFmtId="167" fontId="57" fillId="33" borderId="1" xfId="3" applyNumberFormat="1" applyFont="1"/>
    <xf numFmtId="169" fontId="57" fillId="33" borderId="14" xfId="3" applyNumberFormat="1" applyFont="1" applyBorder="1"/>
    <xf numFmtId="169" fontId="57" fillId="0" borderId="15" xfId="3" applyNumberFormat="1" applyFont="1" applyFill="1" applyBorder="1"/>
    <xf numFmtId="173" fontId="31" fillId="36" borderId="14" xfId="0" applyNumberFormat="1" applyFont="1" applyFill="1" applyBorder="1"/>
    <xf numFmtId="177" fontId="57" fillId="33" borderId="1" xfId="3" applyNumberFormat="1" applyFont="1"/>
    <xf numFmtId="167" fontId="34" fillId="35" borderId="0" xfId="0" applyFont="1" applyFill="1"/>
    <xf numFmtId="175" fontId="34" fillId="35" borderId="0" xfId="0" applyNumberFormat="1" applyFont="1" applyFill="1"/>
    <xf numFmtId="166" fontId="35" fillId="0" borderId="15" xfId="52" applyNumberFormat="1" applyFont="1" applyFill="1" applyBorder="1" applyAlignment="1">
      <alignment horizontal="center"/>
    </xf>
    <xf numFmtId="167" fontId="41" fillId="0" borderId="13" xfId="0" applyFont="1" applyBorder="1"/>
    <xf numFmtId="167" fontId="51" fillId="0" borderId="13" xfId="0" applyFont="1" applyBorder="1"/>
    <xf numFmtId="173" fontId="31" fillId="40" borderId="1" xfId="0" applyNumberFormat="1" applyFont="1" applyFill="1" applyBorder="1"/>
    <xf numFmtId="167" fontId="31" fillId="40" borderId="19" xfId="0" applyFont="1" applyFill="1" applyBorder="1"/>
    <xf numFmtId="167" fontId="54" fillId="0" borderId="0" xfId="0" applyFont="1" applyAlignment="1">
      <alignment horizontal="right"/>
    </xf>
    <xf numFmtId="175" fontId="34" fillId="35" borderId="0" xfId="0" applyNumberFormat="1" applyFont="1" applyFill="1" applyAlignment="1">
      <alignment horizontal="right"/>
    </xf>
    <xf numFmtId="167" fontId="34" fillId="34" borderId="17" xfId="0" applyFont="1" applyFill="1" applyBorder="1"/>
    <xf numFmtId="175" fontId="59" fillId="35" borderId="0" xfId="0" applyNumberFormat="1" applyFont="1" applyFill="1"/>
    <xf numFmtId="175" fontId="60" fillId="35" borderId="0" xfId="3" applyNumberFormat="1" applyFont="1" applyFill="1" applyBorder="1"/>
    <xf numFmtId="166" fontId="34" fillId="34" borderId="15" xfId="54" applyNumberFormat="1" applyFont="1" applyFill="1" applyBorder="1" applyProtection="1"/>
    <xf numFmtId="166" fontId="40" fillId="0" borderId="0" xfId="59" applyFont="1" applyProtection="1"/>
    <xf numFmtId="172" fontId="38" fillId="33" borderId="1" xfId="3" applyNumberFormat="1" applyFont="1" applyProtection="1"/>
    <xf numFmtId="166" fontId="4" fillId="0" borderId="0" xfId="54" applyNumberFormat="1" applyFont="1" applyProtection="1"/>
    <xf numFmtId="169" fontId="40" fillId="0" borderId="15" xfId="4" applyFont="1" applyBorder="1"/>
    <xf numFmtId="169" fontId="40" fillId="0" borderId="16" xfId="4" applyFont="1" applyBorder="1"/>
    <xf numFmtId="166" fontId="61" fillId="34" borderId="15" xfId="59" applyFont="1" applyFill="1" applyBorder="1" applyProtection="1"/>
    <xf numFmtId="10" fontId="41" fillId="0" borderId="0" xfId="0" applyNumberFormat="1" applyFont="1"/>
    <xf numFmtId="10" fontId="29" fillId="0" borderId="0" xfId="3" applyNumberFormat="1" applyFill="1" applyBorder="1"/>
    <xf numFmtId="166" fontId="39" fillId="0" borderId="0" xfId="57" applyFont="1" applyBorder="1"/>
    <xf numFmtId="166" fontId="39" fillId="0" borderId="0" xfId="58" applyFont="1" applyBorder="1"/>
    <xf numFmtId="167" fontId="38" fillId="0" borderId="17" xfId="0" applyFont="1" applyBorder="1"/>
    <xf numFmtId="169" fontId="57" fillId="33" borderId="19" xfId="3" applyNumberFormat="1" applyFont="1" applyBorder="1"/>
    <xf numFmtId="167" fontId="3" fillId="0" borderId="18" xfId="0" applyFont="1" applyBorder="1"/>
    <xf numFmtId="179" fontId="46" fillId="0" borderId="0" xfId="0" applyNumberFormat="1" applyFont="1"/>
    <xf numFmtId="179" fontId="46" fillId="0" borderId="12" xfId="0" applyNumberFormat="1" applyFont="1" applyBorder="1"/>
    <xf numFmtId="179" fontId="46" fillId="0" borderId="13" xfId="0" applyNumberFormat="1" applyFont="1" applyBorder="1"/>
    <xf numFmtId="179" fontId="40" fillId="0" borderId="0" xfId="0" applyNumberFormat="1" applyFont="1"/>
    <xf numFmtId="167" fontId="40" fillId="0" borderId="24" xfId="0" applyFont="1" applyBorder="1"/>
    <xf numFmtId="167" fontId="40" fillId="0" borderId="15" xfId="4" applyNumberFormat="1" applyFont="1" applyBorder="1"/>
    <xf numFmtId="179" fontId="40" fillId="0" borderId="15" xfId="4" applyNumberFormat="1" applyFont="1" applyBorder="1"/>
    <xf numFmtId="179" fontId="40" fillId="0" borderId="0" xfId="0" applyNumberFormat="1" applyFont="1" applyAlignment="1">
      <alignment horizontal="right"/>
    </xf>
    <xf numFmtId="173" fontId="40" fillId="36" borderId="19" xfId="0" applyNumberFormat="1" applyFont="1" applyFill="1" applyBorder="1"/>
    <xf numFmtId="37" fontId="34" fillId="34" borderId="18" xfId="0" applyNumberFormat="1" applyFont="1" applyFill="1" applyBorder="1" applyAlignment="1">
      <alignment horizontal="right"/>
    </xf>
    <xf numFmtId="39" fontId="40" fillId="39" borderId="19" xfId="0" applyNumberFormat="1" applyFont="1" applyFill="1" applyBorder="1"/>
    <xf numFmtId="39" fontId="40" fillId="39" borderId="1" xfId="0" applyNumberFormat="1" applyFont="1" applyFill="1" applyBorder="1"/>
    <xf numFmtId="10" fontId="40" fillId="0" borderId="21" xfId="0" applyNumberFormat="1" applyFont="1" applyBorder="1"/>
    <xf numFmtId="39" fontId="40" fillId="0" borderId="0" xfId="0" applyNumberFormat="1" applyFont="1"/>
    <xf numFmtId="173" fontId="40" fillId="37" borderId="16" xfId="0" applyNumberFormat="1" applyFont="1" applyFill="1" applyBorder="1"/>
    <xf numFmtId="173" fontId="40" fillId="37" borderId="1" xfId="0" applyNumberFormat="1" applyFont="1" applyFill="1" applyBorder="1"/>
    <xf numFmtId="173" fontId="40" fillId="38" borderId="19" xfId="0" applyNumberFormat="1" applyFont="1" applyFill="1" applyBorder="1"/>
    <xf numFmtId="167" fontId="40" fillId="0" borderId="0" xfId="0" applyFont="1" applyAlignment="1">
      <alignment horizontal="right"/>
    </xf>
    <xf numFmtId="10" fontId="36" fillId="34" borderId="1" xfId="0" applyNumberFormat="1" applyFont="1" applyFill="1" applyBorder="1"/>
    <xf numFmtId="7" fontId="46" fillId="0" borderId="18" xfId="0" applyNumberFormat="1" applyFont="1" applyBorder="1"/>
    <xf numFmtId="172" fontId="38" fillId="33" borderId="19" xfId="3" applyNumberFormat="1" applyFont="1" applyBorder="1" applyProtection="1"/>
    <xf numFmtId="166" fontId="40" fillId="35" borderId="0" xfId="59" applyFont="1" applyFill="1" applyProtection="1"/>
    <xf numFmtId="172" fontId="38" fillId="35" borderId="0" xfId="3" applyNumberFormat="1" applyFont="1" applyFill="1" applyBorder="1" applyProtection="1"/>
    <xf numFmtId="166" fontId="34" fillId="35" borderId="0" xfId="59" applyFont="1" applyFill="1" applyProtection="1"/>
    <xf numFmtId="175" fontId="34" fillId="34" borderId="0" xfId="52" applyNumberFormat="1" applyFont="1" applyFill="1" applyBorder="1" applyAlignment="1">
      <alignment horizontal="right" vertical="center"/>
    </xf>
    <xf numFmtId="167" fontId="46" fillId="0" borderId="18" xfId="0" applyFont="1" applyBorder="1" applyAlignment="1">
      <alignment horizontal="right"/>
    </xf>
    <xf numFmtId="173" fontId="40" fillId="39" borderId="19" xfId="0" applyNumberFormat="1" applyFont="1" applyFill="1" applyBorder="1"/>
    <xf numFmtId="167" fontId="67" fillId="0" borderId="0" xfId="0" applyFont="1"/>
    <xf numFmtId="173" fontId="36" fillId="0" borderId="0" xfId="0" applyNumberFormat="1" applyFont="1"/>
    <xf numFmtId="167" fontId="38" fillId="33" borderId="19" xfId="3" applyNumberFormat="1" applyFont="1" applyBorder="1" applyProtection="1"/>
    <xf numFmtId="167" fontId="40" fillId="0" borderId="21" xfId="0" applyFont="1" applyBorder="1"/>
    <xf numFmtId="167" fontId="40" fillId="35" borderId="15" xfId="0" applyFont="1" applyFill="1" applyBorder="1"/>
    <xf numFmtId="180" fontId="46" fillId="0" borderId="14" xfId="0" applyNumberFormat="1" applyFont="1" applyBorder="1"/>
    <xf numFmtId="173" fontId="36" fillId="34" borderId="1" xfId="0" applyNumberFormat="1" applyFont="1" applyFill="1" applyBorder="1"/>
    <xf numFmtId="167" fontId="34" fillId="0" borderId="0" xfId="0" applyFont="1"/>
    <xf numFmtId="167" fontId="40" fillId="38" borderId="20" xfId="0" applyFont="1" applyFill="1" applyBorder="1"/>
    <xf numFmtId="167" fontId="34" fillId="34" borderId="20" xfId="0" applyFont="1" applyFill="1" applyBorder="1"/>
    <xf numFmtId="167" fontId="34" fillId="34" borderId="15" xfId="0" applyFont="1" applyFill="1" applyBorder="1"/>
    <xf numFmtId="167" fontId="34" fillId="34" borderId="16" xfId="0" applyFont="1" applyFill="1" applyBorder="1"/>
    <xf numFmtId="167" fontId="40" fillId="0" borderId="14" xfId="4" applyNumberFormat="1" applyFont="1" applyBorder="1"/>
    <xf numFmtId="10" fontId="36" fillId="0" borderId="0" xfId="0" applyNumberFormat="1" applyFont="1"/>
    <xf numFmtId="176" fontId="38" fillId="0" borderId="15" xfId="3" applyNumberFormat="1" applyFont="1" applyFill="1" applyBorder="1" applyProtection="1"/>
    <xf numFmtId="172" fontId="38" fillId="0" borderId="15" xfId="3" applyNumberFormat="1" applyFont="1" applyFill="1" applyBorder="1" applyProtection="1"/>
    <xf numFmtId="176" fontId="36" fillId="0" borderId="0" xfId="0" applyNumberFormat="1" applyFont="1"/>
    <xf numFmtId="167" fontId="40" fillId="0" borderId="0" xfId="0" applyFont="1" applyAlignment="1">
      <alignment horizontal="center"/>
    </xf>
    <xf numFmtId="167" fontId="35" fillId="0" borderId="0" xfId="0" applyFont="1"/>
    <xf numFmtId="173" fontId="40" fillId="0" borderId="0" xfId="0" applyNumberFormat="1" applyFont="1" applyAlignment="1">
      <alignment horizontal="right"/>
    </xf>
    <xf numFmtId="178" fontId="36" fillId="0" borderId="0" xfId="0" applyNumberFormat="1" applyFont="1"/>
    <xf numFmtId="167" fontId="46" fillId="0" borderId="0" xfId="0" applyFont="1" applyAlignment="1">
      <alignment horizontal="center"/>
    </xf>
    <xf numFmtId="4" fontId="35" fillId="0" borderId="0" xfId="0" applyNumberFormat="1" applyFont="1"/>
    <xf numFmtId="176" fontId="46" fillId="0" borderId="0" xfId="0" applyNumberFormat="1" applyFont="1"/>
    <xf numFmtId="167" fontId="69" fillId="0" borderId="0" xfId="0" applyFont="1"/>
    <xf numFmtId="39" fontId="46" fillId="0" borderId="0" xfId="0" applyNumberFormat="1" applyFont="1"/>
    <xf numFmtId="10" fontId="46" fillId="0" borderId="0" xfId="0" applyNumberFormat="1" applyFont="1"/>
    <xf numFmtId="169" fontId="57" fillId="0" borderId="0" xfId="3" applyNumberFormat="1" applyFont="1" applyFill="1" applyBorder="1"/>
    <xf numFmtId="169" fontId="40" fillId="0" borderId="0" xfId="4" applyFont="1" applyFill="1" applyBorder="1"/>
    <xf numFmtId="167" fontId="2" fillId="0" borderId="0" xfId="0" applyFont="1"/>
    <xf numFmtId="166" fontId="2" fillId="0" borderId="0" xfId="57" applyFont="1" applyBorder="1"/>
    <xf numFmtId="169" fontId="70" fillId="33" borderId="1" xfId="3" applyNumberFormat="1" applyFont="1"/>
    <xf numFmtId="177" fontId="70" fillId="33" borderId="1" xfId="3" applyNumberFormat="1" applyFont="1"/>
    <xf numFmtId="167" fontId="70" fillId="33" borderId="1" xfId="3" applyNumberFormat="1" applyFont="1"/>
    <xf numFmtId="37" fontId="34" fillId="34" borderId="0" xfId="52" applyNumberFormat="1" applyFont="1" applyFill="1" applyBorder="1"/>
    <xf numFmtId="166" fontId="34" fillId="34" borderId="0" xfId="52" applyNumberFormat="1" applyFont="1" applyFill="1" applyBorder="1"/>
    <xf numFmtId="174" fontId="46" fillId="0" borderId="13" xfId="0" applyNumberFormat="1" applyFont="1" applyBorder="1"/>
    <xf numFmtId="39" fontId="39" fillId="0" borderId="0" xfId="57" applyNumberFormat="1" applyFont="1" applyBorder="1"/>
    <xf numFmtId="166" fontId="39" fillId="0" borderId="0" xfId="57" applyFont="1" applyFill="1" applyBorder="1"/>
    <xf numFmtId="0" fontId="34" fillId="34" borderId="0" xfId="52" applyNumberFormat="1" applyFont="1" applyFill="1" applyBorder="1" applyAlignment="1">
      <alignment horizontal="right" vertical="center"/>
    </xf>
    <xf numFmtId="179" fontId="40" fillId="0" borderId="0" xfId="4" applyNumberFormat="1" applyFont="1" applyBorder="1"/>
    <xf numFmtId="166" fontId="38" fillId="0" borderId="0" xfId="0" applyNumberFormat="1" applyFont="1"/>
    <xf numFmtId="166" fontId="38" fillId="0" borderId="18" xfId="0" applyNumberFormat="1" applyFont="1" applyBorder="1"/>
    <xf numFmtId="166" fontId="38" fillId="0" borderId="0" xfId="57" applyFont="1" applyFill="1"/>
    <xf numFmtId="166" fontId="38" fillId="0" borderId="18" xfId="57" applyFont="1" applyFill="1" applyBorder="1"/>
    <xf numFmtId="166" fontId="2" fillId="0" borderId="0" xfId="57" applyFont="1" applyFill="1"/>
    <xf numFmtId="9" fontId="40" fillId="0" borderId="0" xfId="0" applyNumberFormat="1" applyFont="1"/>
    <xf numFmtId="9" fontId="31" fillId="0" borderId="18" xfId="0" applyNumberFormat="1" applyFont="1" applyBorder="1"/>
    <xf numFmtId="3" fontId="40" fillId="0" borderId="0" xfId="0" applyNumberFormat="1" applyFont="1"/>
    <xf numFmtId="3" fontId="40" fillId="0" borderId="15" xfId="0" applyNumberFormat="1" applyFont="1" applyBorder="1"/>
    <xf numFmtId="178" fontId="34" fillId="34" borderId="0" xfId="0" applyNumberFormat="1" applyFont="1" applyFill="1"/>
    <xf numFmtId="175" fontId="34" fillId="0" borderId="0" xfId="52" applyNumberFormat="1" applyFont="1" applyFill="1" applyBorder="1" applyAlignment="1">
      <alignment horizontal="right" vertical="center"/>
    </xf>
    <xf numFmtId="167" fontId="46" fillId="35" borderId="0" xfId="0" applyFont="1" applyFill="1"/>
    <xf numFmtId="175" fontId="34" fillId="0" borderId="0" xfId="0" applyNumberFormat="1" applyFont="1"/>
    <xf numFmtId="167" fontId="57" fillId="0" borderId="0" xfId="3" applyNumberFormat="1" applyFont="1" applyFill="1" applyBorder="1"/>
    <xf numFmtId="175" fontId="60" fillId="0" borderId="0" xfId="3" applyNumberFormat="1" applyFont="1" applyFill="1" applyBorder="1"/>
    <xf numFmtId="0" fontId="60" fillId="0" borderId="0" xfId="3" applyNumberFormat="1" applyFont="1" applyFill="1" applyBorder="1"/>
    <xf numFmtId="177" fontId="57" fillId="0" borderId="0" xfId="3" applyNumberFormat="1" applyFont="1" applyFill="1" applyBorder="1"/>
    <xf numFmtId="173" fontId="57" fillId="0" borderId="0" xfId="0" applyNumberFormat="1" applyFont="1"/>
    <xf numFmtId="167" fontId="58" fillId="0" borderId="0" xfId="0" applyFont="1"/>
    <xf numFmtId="173" fontId="57" fillId="40" borderId="1" xfId="0" applyNumberFormat="1" applyFont="1" applyFill="1" applyBorder="1"/>
    <xf numFmtId="0" fontId="34" fillId="0" borderId="0" xfId="0" applyNumberFormat="1" applyFont="1"/>
    <xf numFmtId="167" fontId="51" fillId="0" borderId="0" xfId="0" applyFont="1"/>
    <xf numFmtId="167" fontId="31" fillId="0" borderId="0" xfId="0" applyFont="1"/>
    <xf numFmtId="0" fontId="34" fillId="0" borderId="0" xfId="52" applyNumberFormat="1" applyFont="1" applyFill="1" applyBorder="1" applyAlignment="1">
      <alignment horizontal="right" vertical="center"/>
    </xf>
    <xf numFmtId="166" fontId="2" fillId="0" borderId="0" xfId="57" applyFont="1" applyFill="1" applyBorder="1"/>
    <xf numFmtId="169" fontId="70" fillId="0" borderId="0" xfId="3" applyNumberFormat="1" applyFont="1" applyFill="1" applyBorder="1"/>
    <xf numFmtId="177" fontId="70" fillId="0" borderId="0" xfId="3" applyNumberFormat="1" applyFont="1" applyFill="1" applyBorder="1"/>
    <xf numFmtId="167" fontId="70" fillId="0" borderId="0" xfId="3" applyNumberFormat="1" applyFont="1" applyFill="1" applyBorder="1"/>
    <xf numFmtId="174" fontId="46" fillId="0" borderId="0" xfId="0" applyNumberFormat="1" applyFont="1"/>
    <xf numFmtId="0" fontId="34" fillId="0" borderId="0" xfId="0" applyNumberFormat="1" applyFont="1" applyAlignment="1">
      <alignment horizontal="right"/>
    </xf>
    <xf numFmtId="179" fontId="40" fillId="0" borderId="0" xfId="4" applyNumberFormat="1" applyFont="1" applyFill="1" applyBorder="1"/>
    <xf numFmtId="167" fontId="40" fillId="0" borderId="0" xfId="4" applyNumberFormat="1" applyFont="1" applyFill="1" applyBorder="1"/>
    <xf numFmtId="166" fontId="61" fillId="0" borderId="0" xfId="59" applyFont="1" applyProtection="1"/>
    <xf numFmtId="179" fontId="38" fillId="0" borderId="18" xfId="0" applyNumberFormat="1" applyFont="1" applyBorder="1"/>
    <xf numFmtId="166" fontId="2" fillId="0" borderId="17" xfId="57" applyFont="1" applyFill="1" applyBorder="1"/>
    <xf numFmtId="39" fontId="40" fillId="0" borderId="1" xfId="0" applyNumberFormat="1" applyFont="1" applyBorder="1"/>
    <xf numFmtId="2" fontId="40" fillId="36" borderId="19" xfId="0" applyNumberFormat="1" applyFont="1" applyFill="1" applyBorder="1"/>
    <xf numFmtId="176" fontId="40" fillId="0" borderId="15" xfId="0" applyNumberFormat="1" applyFont="1" applyBorder="1"/>
    <xf numFmtId="167" fontId="40" fillId="42" borderId="15" xfId="0" applyFont="1" applyFill="1" applyBorder="1"/>
    <xf numFmtId="167" fontId="40" fillId="0" borderId="15" xfId="0" applyFont="1" applyBorder="1" applyAlignment="1">
      <alignment horizontal="right"/>
    </xf>
    <xf numFmtId="181" fontId="40" fillId="0" borderId="15" xfId="0" applyNumberFormat="1" applyFont="1" applyBorder="1"/>
    <xf numFmtId="0" fontId="34" fillId="35" borderId="0" xfId="66" applyFont="1" applyFill="1" applyAlignment="1">
      <alignment horizontal="center" wrapText="1"/>
    </xf>
    <xf numFmtId="0" fontId="34" fillId="35" borderId="0" xfId="66" applyFont="1" applyFill="1" applyAlignment="1">
      <alignment horizontal="center"/>
    </xf>
    <xf numFmtId="167" fontId="34" fillId="35" borderId="0" xfId="0" applyFont="1" applyFill="1" applyAlignment="1">
      <alignment horizontal="center" wrapText="1"/>
    </xf>
    <xf numFmtId="182" fontId="40" fillId="0" borderId="0" xfId="0" applyNumberFormat="1" applyFont="1"/>
    <xf numFmtId="182" fontId="40" fillId="42" borderId="15" xfId="0" applyNumberFormat="1" applyFont="1" applyFill="1" applyBorder="1"/>
    <xf numFmtId="182" fontId="40" fillId="0" borderId="15" xfId="0" applyNumberFormat="1" applyFont="1" applyBorder="1"/>
    <xf numFmtId="3" fontId="40" fillId="42" borderId="15" xfId="0" applyNumberFormat="1" applyFont="1" applyFill="1" applyBorder="1"/>
    <xf numFmtId="173" fontId="40" fillId="42" borderId="15" xfId="0" applyNumberFormat="1" applyFont="1" applyFill="1" applyBorder="1"/>
    <xf numFmtId="173" fontId="40" fillId="42" borderId="14" xfId="0" applyNumberFormat="1" applyFont="1" applyFill="1" applyBorder="1"/>
    <xf numFmtId="176" fontId="40" fillId="0" borderId="18" xfId="0" applyNumberFormat="1" applyFont="1" applyBorder="1"/>
    <xf numFmtId="176" fontId="40" fillId="0" borderId="17" xfId="0" applyNumberFormat="1" applyFont="1" applyBorder="1"/>
    <xf numFmtId="169" fontId="57" fillId="36" borderId="1" xfId="3" applyNumberFormat="1" applyFont="1" applyFill="1"/>
    <xf numFmtId="167" fontId="40" fillId="0" borderId="15" xfId="0" applyFont="1" applyBorder="1" applyAlignment="1">
      <alignment horizontal="center"/>
    </xf>
    <xf numFmtId="176" fontId="40" fillId="0" borderId="24" xfId="0" applyNumberFormat="1" applyFont="1" applyBorder="1"/>
    <xf numFmtId="173" fontId="40" fillId="42" borderId="13" xfId="0" applyNumberFormat="1" applyFont="1" applyFill="1" applyBorder="1"/>
    <xf numFmtId="176" fontId="46" fillId="42" borderId="15" xfId="0" applyNumberFormat="1" applyFont="1" applyFill="1" applyBorder="1"/>
    <xf numFmtId="176" fontId="46" fillId="42" borderId="13" xfId="0" applyNumberFormat="1" applyFont="1" applyFill="1" applyBorder="1"/>
    <xf numFmtId="176" fontId="46" fillId="42" borderId="14" xfId="0" applyNumberFormat="1" applyFont="1" applyFill="1" applyBorder="1"/>
    <xf numFmtId="173" fontId="40" fillId="0" borderId="15" xfId="0" applyNumberFormat="1" applyFont="1" applyBorder="1"/>
    <xf numFmtId="173" fontId="46" fillId="43" borderId="1" xfId="0" applyNumberFormat="1" applyFont="1" applyFill="1" applyBorder="1"/>
    <xf numFmtId="10" fontId="40" fillId="0" borderId="0" xfId="4" applyNumberFormat="1" applyFont="1" applyFill="1" applyBorder="1" applyAlignment="1" applyProtection="1">
      <alignment horizontal="right"/>
    </xf>
    <xf numFmtId="180" fontId="46" fillId="0" borderId="0" xfId="0" applyNumberFormat="1" applyFont="1"/>
    <xf numFmtId="4" fontId="1" fillId="0" borderId="0" xfId="0" applyNumberFormat="1" applyFont="1"/>
    <xf numFmtId="180" fontId="46" fillId="0" borderId="0" xfId="0" applyNumberFormat="1" applyFont="1" applyAlignment="1">
      <alignment horizontal="center"/>
    </xf>
    <xf numFmtId="167" fontId="40" fillId="35" borderId="0" xfId="0" applyFont="1" applyFill="1" applyAlignment="1">
      <alignment horizontal="center"/>
    </xf>
    <xf numFmtId="167" fontId="34" fillId="0" borderId="0" xfId="53" applyFont="1" applyFill="1">
      <alignment horizontal="left" vertical="center"/>
    </xf>
    <xf numFmtId="176" fontId="40" fillId="0" borderId="0" xfId="0" applyNumberFormat="1" applyFont="1" applyAlignment="1">
      <alignment horizontal="center"/>
    </xf>
    <xf numFmtId="167" fontId="34" fillId="0" borderId="0" xfId="0" applyFont="1" applyAlignment="1">
      <alignment wrapText="1"/>
    </xf>
    <xf numFmtId="167" fontId="34" fillId="0" borderId="0" xfId="0" applyFont="1" applyAlignment="1">
      <alignment horizontal="center" wrapText="1"/>
    </xf>
    <xf numFmtId="176" fontId="66" fillId="0" borderId="0" xfId="0" applyNumberFormat="1" applyFont="1" applyAlignment="1">
      <alignment horizontal="center"/>
    </xf>
    <xf numFmtId="7" fontId="46" fillId="0" borderId="0" xfId="0" applyNumberFormat="1" applyFont="1" applyAlignment="1">
      <alignment horizontal="center"/>
    </xf>
    <xf numFmtId="166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center"/>
    </xf>
    <xf numFmtId="179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right"/>
    </xf>
    <xf numFmtId="5" fontId="40" fillId="0" borderId="0" xfId="0" applyNumberFormat="1" applyFont="1" applyAlignment="1">
      <alignment horizontal="center"/>
    </xf>
    <xf numFmtId="40" fontId="40" fillId="0" borderId="0" xfId="0" applyNumberFormat="1" applyFont="1" applyAlignment="1">
      <alignment horizontal="center"/>
    </xf>
    <xf numFmtId="40" fontId="40" fillId="0" borderId="0" xfId="0" applyNumberFormat="1" applyFont="1" applyAlignment="1">
      <alignment horizontal="right"/>
    </xf>
    <xf numFmtId="166" fontId="40" fillId="0" borderId="0" xfId="0" applyNumberFormat="1" applyFont="1" applyAlignment="1">
      <alignment horizontal="right"/>
    </xf>
    <xf numFmtId="173" fontId="40" fillId="0" borderId="0" xfId="0" applyNumberFormat="1" applyFont="1" applyAlignment="1">
      <alignment horizontal="center"/>
    </xf>
    <xf numFmtId="167" fontId="68" fillId="0" borderId="0" xfId="0" applyFont="1" applyAlignment="1">
      <alignment horizontal="center"/>
    </xf>
    <xf numFmtId="1" fontId="29" fillId="0" borderId="0" xfId="0" applyNumberFormat="1" applyFont="1"/>
    <xf numFmtId="166" fontId="6" fillId="0" borderId="0" xfId="0" applyNumberFormat="1" applyFont="1" applyAlignment="1">
      <alignment horizontal="right"/>
    </xf>
    <xf numFmtId="173" fontId="29" fillId="0" borderId="0" xfId="0" applyNumberFormat="1" applyFont="1"/>
    <xf numFmtId="175" fontId="6" fillId="0" borderId="0" xfId="0" applyNumberFormat="1" applyFont="1"/>
    <xf numFmtId="169" fontId="38" fillId="0" borderId="0" xfId="0" applyNumberFormat="1" applyFont="1"/>
    <xf numFmtId="1" fontId="34" fillId="34" borderId="0" xfId="0" applyNumberFormat="1" applyFont="1" applyFill="1"/>
    <xf numFmtId="169" fontId="40" fillId="0" borderId="0" xfId="4" applyFont="1" applyBorder="1"/>
    <xf numFmtId="167" fontId="40" fillId="0" borderId="0" xfId="4" applyNumberFormat="1" applyFont="1" applyBorder="1"/>
    <xf numFmtId="166" fontId="40" fillId="0" borderId="0" xfId="59" applyFont="1" applyAlignment="1" applyProtection="1">
      <alignment horizontal="centerContinuous"/>
    </xf>
    <xf numFmtId="166" fontId="40" fillId="0" borderId="0" xfId="59" applyFont="1" applyAlignment="1" applyProtection="1">
      <alignment horizontal="center"/>
    </xf>
    <xf numFmtId="10" fontId="34" fillId="0" borderId="0" xfId="0" applyNumberFormat="1" applyFont="1"/>
    <xf numFmtId="10" fontId="40" fillId="0" borderId="0" xfId="59" applyNumberFormat="1" applyFont="1" applyAlignment="1" applyProtection="1">
      <alignment horizontal="center"/>
    </xf>
    <xf numFmtId="10" fontId="40" fillId="0" borderId="0" xfId="59" applyNumberFormat="1" applyFont="1" applyProtection="1"/>
    <xf numFmtId="179" fontId="40" fillId="0" borderId="0" xfId="59" applyNumberFormat="1" applyFont="1" applyAlignment="1" applyProtection="1">
      <alignment horizontal="right"/>
    </xf>
    <xf numFmtId="176" fontId="40" fillId="0" borderId="0" xfId="59" applyNumberFormat="1" applyFont="1" applyAlignment="1" applyProtection="1">
      <alignment horizontal="right"/>
    </xf>
    <xf numFmtId="167" fontId="36" fillId="0" borderId="0" xfId="0" applyFont="1" applyAlignment="1">
      <alignment horizontal="center"/>
    </xf>
    <xf numFmtId="10" fontId="36" fillId="0" borderId="0" xfId="0" applyNumberFormat="1" applyFont="1" applyAlignment="1">
      <alignment horizontal="center"/>
    </xf>
    <xf numFmtId="176" fontId="36" fillId="0" borderId="0" xfId="59" applyNumberFormat="1" applyFont="1" applyAlignment="1" applyProtection="1">
      <alignment horizontal="right"/>
    </xf>
    <xf numFmtId="10" fontId="40" fillId="0" borderId="0" xfId="59" applyNumberFormat="1" applyFont="1" applyAlignment="1" applyProtection="1">
      <alignment horizontal="right"/>
    </xf>
    <xf numFmtId="172" fontId="40" fillId="0" borderId="0" xfId="59" applyNumberFormat="1" applyFont="1" applyProtection="1"/>
    <xf numFmtId="40" fontId="40" fillId="0" borderId="0" xfId="59" applyNumberFormat="1" applyFont="1" applyProtection="1"/>
    <xf numFmtId="40" fontId="46" fillId="0" borderId="0" xfId="59" applyNumberFormat="1" applyFont="1" applyProtection="1"/>
    <xf numFmtId="176" fontId="36" fillId="0" borderId="0" xfId="0" applyNumberFormat="1" applyFont="1" applyAlignment="1">
      <alignment horizontal="center"/>
    </xf>
    <xf numFmtId="180" fontId="36" fillId="0" borderId="0" xfId="0" applyNumberFormat="1" applyFont="1"/>
    <xf numFmtId="5" fontId="40" fillId="0" borderId="0" xfId="0" applyNumberFormat="1" applyFont="1"/>
    <xf numFmtId="181" fontId="40" fillId="0" borderId="0" xfId="0" applyNumberFormat="1" applyFont="1"/>
    <xf numFmtId="182" fontId="46" fillId="0" borderId="0" xfId="0" applyNumberFormat="1" applyFont="1"/>
    <xf numFmtId="3" fontId="46" fillId="0" borderId="0" xfId="0" applyNumberFormat="1" applyFont="1"/>
    <xf numFmtId="176" fontId="46" fillId="0" borderId="0" xfId="0" applyNumberFormat="1" applyFont="1" applyAlignment="1">
      <alignment horizontal="right"/>
    </xf>
    <xf numFmtId="37" fontId="40" fillId="0" borderId="0" xfId="0" applyNumberFormat="1" applyFont="1"/>
    <xf numFmtId="180" fontId="40" fillId="0" borderId="0" xfId="0" applyNumberFormat="1" applyFont="1"/>
    <xf numFmtId="1" fontId="34" fillId="34" borderId="0" xfId="52" applyNumberFormat="1" applyFont="1" applyFill="1" applyBorder="1" applyAlignment="1">
      <alignment horizontal="right" vertical="center"/>
    </xf>
    <xf numFmtId="175" fontId="34" fillId="35" borderId="0" xfId="4" applyNumberFormat="1" applyFont="1" applyFill="1"/>
    <xf numFmtId="167" fontId="72" fillId="0" borderId="0" xfId="0" applyFont="1"/>
    <xf numFmtId="167" fontId="58" fillId="40" borderId="1" xfId="0" applyFont="1" applyFill="1" applyBorder="1"/>
    <xf numFmtId="169" fontId="57" fillId="33" borderId="16" xfId="3" applyNumberFormat="1" applyFont="1" applyBorder="1"/>
    <xf numFmtId="167" fontId="40" fillId="36" borderId="23" xfId="0" applyFont="1" applyFill="1" applyBorder="1"/>
    <xf numFmtId="173" fontId="40" fillId="36" borderId="1" xfId="0" applyNumberFormat="1" applyFont="1" applyFill="1" applyBorder="1"/>
    <xf numFmtId="178" fontId="29" fillId="33" borderId="1" xfId="3" applyNumberFormat="1"/>
    <xf numFmtId="175" fontId="59" fillId="0" borderId="0" xfId="0" applyNumberFormat="1" applyFont="1"/>
    <xf numFmtId="166" fontId="34" fillId="34" borderId="0" xfId="54" applyNumberFormat="1" applyFont="1" applyFill="1" applyBorder="1"/>
    <xf numFmtId="184" fontId="40" fillId="0" borderId="0" xfId="0" applyNumberFormat="1" applyFont="1"/>
    <xf numFmtId="39" fontId="39" fillId="0" borderId="17" xfId="57" applyNumberFormat="1" applyFont="1" applyBorder="1"/>
    <xf numFmtId="183" fontId="66" fillId="0" borderId="0" xfId="3" applyNumberFormat="1" applyFont="1" applyFill="1" applyBorder="1" applyAlignment="1">
      <alignment horizontal="center"/>
    </xf>
    <xf numFmtId="10" fontId="71" fillId="0" borderId="0" xfId="3" applyNumberFormat="1" applyFont="1" applyFill="1" applyBorder="1" applyAlignment="1">
      <alignment horizontal="center"/>
    </xf>
    <xf numFmtId="167" fontId="57" fillId="33" borderId="1" xfId="3" applyFont="1"/>
    <xf numFmtId="166" fontId="38" fillId="0" borderId="0" xfId="57" applyFont="1" applyFill="1" applyBorder="1"/>
    <xf numFmtId="9" fontId="31" fillId="0" borderId="0" xfId="0" applyNumberFormat="1" applyFont="1"/>
    <xf numFmtId="169" fontId="73" fillId="0" borderId="0" xfId="4" applyFont="1"/>
    <xf numFmtId="169" fontId="73" fillId="0" borderId="0" xfId="4" applyFont="1" applyBorder="1"/>
    <xf numFmtId="169" fontId="73" fillId="0" borderId="18" xfId="4" applyFont="1" applyBorder="1"/>
    <xf numFmtId="167" fontId="73" fillId="0" borderId="0" xfId="0" applyFont="1"/>
    <xf numFmtId="166" fontId="39" fillId="44" borderId="0" xfId="57" applyFont="1" applyFill="1"/>
    <xf numFmtId="39" fontId="46" fillId="0" borderId="15" xfId="57" applyNumberFormat="1" applyFont="1" applyBorder="1"/>
    <xf numFmtId="39" fontId="46" fillId="0" borderId="13" xfId="57" applyNumberFormat="1" applyFont="1" applyBorder="1"/>
    <xf numFmtId="4" fontId="38" fillId="33" borderId="1" xfId="3" applyNumberFormat="1" applyFont="1" applyAlignment="1">
      <alignment horizontal="center"/>
    </xf>
    <xf numFmtId="10" fontId="42" fillId="0" borderId="0" xfId="3" applyNumberFormat="1" applyFont="1" applyFill="1" applyBorder="1" applyAlignment="1">
      <alignment horizontal="center"/>
    </xf>
    <xf numFmtId="183" fontId="66" fillId="33" borderId="1" xfId="3" applyNumberFormat="1" applyFont="1" applyAlignment="1">
      <alignment horizontal="center"/>
    </xf>
    <xf numFmtId="183" fontId="46" fillId="0" borderId="0" xfId="3" applyNumberFormat="1" applyFont="1" applyFill="1" applyBorder="1" applyAlignment="1">
      <alignment horizontal="center"/>
    </xf>
    <xf numFmtId="10" fontId="74" fillId="33" borderId="1" xfId="3" applyNumberFormat="1" applyFont="1" applyAlignment="1">
      <alignment horizontal="center"/>
    </xf>
    <xf numFmtId="10" fontId="40" fillId="0" borderId="0" xfId="3" applyNumberFormat="1" applyFont="1" applyFill="1" applyBorder="1" applyAlignment="1">
      <alignment horizontal="center"/>
    </xf>
    <xf numFmtId="4" fontId="36" fillId="0" borderId="0" xfId="0" applyNumberFormat="1" applyFont="1"/>
    <xf numFmtId="10" fontId="75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4546A"/>
      <color rgb="FFEA4335"/>
      <color rgb="FF5F6368"/>
      <color rgb="FF34A853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evens0-my.sharepoint.com/personal/tchen46_stevens_edu/Documents/Berkshire%20Railroad,%20Utilities,%20Energy.xlsx" TargetMode="External"/><Relationship Id="rId1" Type="http://schemas.openxmlformats.org/officeDocument/2006/relationships/externalLinkPath" Target="Berkshire%20Railroad,%20Utilities,%20Energ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ssumptions"/>
      <sheetName val="Revenue"/>
      <sheetName val="Calcs"/>
      <sheetName val="Debt"/>
      <sheetName val="IncState"/>
      <sheetName val="BalSheet"/>
      <sheetName val="CashFlow"/>
      <sheetName val="Free Cash Flow"/>
      <sheetName val="WACC"/>
      <sheetName val="DCF Model"/>
      <sheetName val="COMPS"/>
      <sheetName val="Presenta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36">
          <cell r="E36">
            <v>1.4377200000000001</v>
          </cell>
        </row>
        <row r="37">
          <cell r="E37">
            <v>2156.5802960000001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9"/>
  <sheetViews>
    <sheetView showGridLines="0" tabSelected="1" topLeftCell="E1" zoomScaleNormal="100" workbookViewId="0">
      <selection activeCell="N21" sqref="N21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28.5703125" style="4" bestFit="1" customWidth="1"/>
    <col min="4" max="4" width="23.5703125" style="4" customWidth="1"/>
    <col min="5" max="5" width="18.7109375" style="4" customWidth="1"/>
    <col min="6" max="6" width="16.42578125" style="4" customWidth="1"/>
    <col min="7" max="7" width="17" style="4" bestFit="1" customWidth="1"/>
    <col min="8" max="8" width="17.42578125" style="4" bestFit="1" customWidth="1"/>
    <col min="9" max="9" width="13.42578125" style="4" customWidth="1"/>
    <col min="10" max="10" width="16.28515625" style="4" customWidth="1"/>
    <col min="11" max="12" width="20.7109375" style="4" customWidth="1"/>
    <col min="13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316" t="str">
        <f>CoName</f>
        <v xml:space="preserve">Berkshire Hathaway Insurance </v>
      </c>
      <c r="B1" s="2"/>
      <c r="C1" s="2"/>
      <c r="D1" s="16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6" customFormat="1" x14ac:dyDescent="0.25">
      <c r="A2" s="65" t="s">
        <v>185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5" x14ac:dyDescent="0.25">
      <c r="B3" s="11" t="s">
        <v>235</v>
      </c>
    </row>
    <row r="4" spans="1:15" x14ac:dyDescent="0.25">
      <c r="B4" s="4" t="s">
        <v>3</v>
      </c>
      <c r="C4" s="51" t="s">
        <v>187</v>
      </c>
      <c r="E4" s="343" t="s">
        <v>228</v>
      </c>
      <c r="F4" s="338">
        <v>100486</v>
      </c>
      <c r="H4" s="11"/>
      <c r="I4" s="177"/>
      <c r="J4" s="177"/>
      <c r="K4" s="177"/>
      <c r="L4" s="177"/>
    </row>
    <row r="5" spans="1:15" x14ac:dyDescent="0.25">
      <c r="B5" s="4" t="s">
        <v>4</v>
      </c>
      <c r="C5" s="52">
        <v>247.43</v>
      </c>
      <c r="E5" s="177" t="s">
        <v>229</v>
      </c>
      <c r="F5" s="338">
        <f>127020</f>
        <v>127020</v>
      </c>
      <c r="I5" s="326"/>
      <c r="J5" s="326"/>
      <c r="K5" s="326"/>
      <c r="L5" s="326"/>
    </row>
    <row r="6" spans="1:15" x14ac:dyDescent="0.25">
      <c r="B6" s="4" t="s">
        <v>5</v>
      </c>
      <c r="C6" s="51" t="s">
        <v>9</v>
      </c>
      <c r="E6" s="4" t="s">
        <v>230</v>
      </c>
      <c r="F6" s="338">
        <f>726000*F7</f>
        <v>1043784.7200000001</v>
      </c>
      <c r="I6" s="327"/>
      <c r="J6" s="327"/>
      <c r="K6" s="327"/>
      <c r="L6" s="327"/>
    </row>
    <row r="7" spans="1:15" x14ac:dyDescent="0.25">
      <c r="B7" s="4" t="s">
        <v>6</v>
      </c>
      <c r="C7" s="51" t="s">
        <v>8</v>
      </c>
      <c r="E7" s="4" t="s">
        <v>231</v>
      </c>
      <c r="F7" s="11">
        <f>[2]IncState!E36</f>
        <v>1.4377200000000001</v>
      </c>
      <c r="I7" s="177"/>
      <c r="J7" s="177"/>
      <c r="K7" s="177"/>
      <c r="L7" s="177"/>
    </row>
    <row r="8" spans="1:15" x14ac:dyDescent="0.25">
      <c r="B8" s="4" t="s">
        <v>2</v>
      </c>
      <c r="C8" s="51" t="s">
        <v>81</v>
      </c>
      <c r="E8" s="4" t="s">
        <v>232</v>
      </c>
      <c r="F8" s="313">
        <v>726000</v>
      </c>
      <c r="H8" s="11"/>
      <c r="I8" s="177"/>
      <c r="J8" s="177"/>
      <c r="K8" s="177"/>
      <c r="L8" s="177"/>
    </row>
    <row r="9" spans="1:15" x14ac:dyDescent="0.25">
      <c r="B9" s="4" t="s">
        <v>7</v>
      </c>
      <c r="C9" s="51">
        <v>0</v>
      </c>
      <c r="E9" s="4" t="s">
        <v>233</v>
      </c>
      <c r="F9" s="11">
        <f>[2]IncState!E37</f>
        <v>2156.5802960000001</v>
      </c>
      <c r="I9" s="326"/>
      <c r="J9" s="326"/>
      <c r="K9" s="326"/>
      <c r="L9" s="326"/>
    </row>
    <row r="10" spans="1:15" x14ac:dyDescent="0.25">
      <c r="E10" s="4" t="s">
        <v>234</v>
      </c>
      <c r="F10" s="4">
        <v>478.73</v>
      </c>
      <c r="I10" s="327"/>
      <c r="J10" s="327"/>
      <c r="K10" s="327"/>
      <c r="L10" s="327"/>
    </row>
    <row r="11" spans="1:15" x14ac:dyDescent="0.25">
      <c r="B11" s="4" t="s">
        <v>195</v>
      </c>
      <c r="C11" s="181" t="s">
        <v>221</v>
      </c>
      <c r="D11" s="181" t="s">
        <v>222</v>
      </c>
      <c r="E11" s="177"/>
    </row>
    <row r="12" spans="1:15" x14ac:dyDescent="0.25">
      <c r="B12" s="4" t="s">
        <v>192</v>
      </c>
      <c r="C12" s="338">
        <v>1103259.9158841243</v>
      </c>
      <c r="D12" s="338">
        <v>812390.87911531178</v>
      </c>
      <c r="E12" s="326"/>
      <c r="F12" s="4" t="s">
        <v>223</v>
      </c>
      <c r="G12" s="339"/>
      <c r="H12" s="339"/>
      <c r="J12" s="4" t="s">
        <v>224</v>
      </c>
    </row>
    <row r="13" spans="1:15" x14ac:dyDescent="0.25">
      <c r="A13" s="267"/>
      <c r="B13" s="4" t="s">
        <v>193</v>
      </c>
      <c r="C13" s="338">
        <v>1298405.2419237366</v>
      </c>
      <c r="D13" s="338">
        <v>911869.14894896396</v>
      </c>
      <c r="E13" s="327"/>
      <c r="F13" s="4" t="s">
        <v>192</v>
      </c>
      <c r="G13" s="340">
        <v>821785.65737086977</v>
      </c>
      <c r="H13" s="340">
        <v>718155.90165312332</v>
      </c>
      <c r="J13" s="4" t="s">
        <v>192</v>
      </c>
      <c r="K13" s="340">
        <v>547.85710491391319</v>
      </c>
      <c r="L13" s="340">
        <v>478.7706011020822</v>
      </c>
      <c r="M13" s="267"/>
      <c r="N13" s="267"/>
      <c r="O13" s="267"/>
    </row>
    <row r="14" spans="1:15" x14ac:dyDescent="0.25">
      <c r="A14" s="86"/>
      <c r="B14" s="4" t="s">
        <v>194</v>
      </c>
      <c r="C14" s="338">
        <v>930268.36954034539</v>
      </c>
      <c r="D14" s="338">
        <v>721450.23946259543</v>
      </c>
      <c r="E14" s="177"/>
      <c r="F14" s="4" t="s">
        <v>193</v>
      </c>
      <c r="G14" s="340">
        <v>985567.86963636486</v>
      </c>
      <c r="H14" s="340">
        <v>807924.40970146749</v>
      </c>
      <c r="I14" s="267"/>
      <c r="J14" s="4" t="s">
        <v>193</v>
      </c>
      <c r="K14" s="340">
        <v>657.04524642424326</v>
      </c>
      <c r="L14" s="340">
        <v>538.61627313431165</v>
      </c>
    </row>
    <row r="15" spans="1:15" x14ac:dyDescent="0.25">
      <c r="B15" s="11"/>
      <c r="C15" s="177"/>
      <c r="D15" s="177"/>
      <c r="E15" s="177"/>
      <c r="F15" s="4" t="s">
        <v>194</v>
      </c>
      <c r="G15" s="340">
        <v>678018.25944719429</v>
      </c>
      <c r="H15" s="340">
        <v>636117.50846347504</v>
      </c>
      <c r="J15" s="4" t="s">
        <v>194</v>
      </c>
      <c r="K15" s="340">
        <v>452.01217296479621</v>
      </c>
      <c r="L15" s="340">
        <v>424.07833897565001</v>
      </c>
    </row>
    <row r="16" spans="1:15" x14ac:dyDescent="0.25">
      <c r="B16" s="4" t="s">
        <v>225</v>
      </c>
      <c r="C16" s="341" t="s">
        <v>221</v>
      </c>
      <c r="D16" s="341" t="s">
        <v>222</v>
      </c>
      <c r="E16" s="326"/>
      <c r="F16" s="4" t="s">
        <v>226</v>
      </c>
      <c r="J16" s="4" t="s">
        <v>226</v>
      </c>
    </row>
    <row r="17" spans="2:12" x14ac:dyDescent="0.25">
      <c r="B17" s="4" t="str">
        <f>B12</f>
        <v>Case 1</v>
      </c>
      <c r="C17" s="338">
        <f>C12+C27</f>
        <v>1208031.6753152469</v>
      </c>
      <c r="D17" s="338">
        <f>D12+D27</f>
        <v>1059041.1029247285</v>
      </c>
      <c r="F17" s="4" t="str">
        <f>F13</f>
        <v>Case 1</v>
      </c>
      <c r="G17" s="342">
        <v>0.13193616717750656</v>
      </c>
      <c r="H17" s="345">
        <v>-1.0804543177516113E-2</v>
      </c>
      <c r="J17" s="4" t="s">
        <v>192</v>
      </c>
      <c r="K17" s="342">
        <v>0.14439685190799234</v>
      </c>
      <c r="L17" s="342">
        <v>8.4810022522363582E-5</v>
      </c>
    </row>
    <row r="18" spans="2:12" x14ac:dyDescent="0.25">
      <c r="B18" s="4" t="str">
        <f t="shared" ref="B18:B19" si="0">B13</f>
        <v>Case 2</v>
      </c>
      <c r="C18" s="338">
        <f t="shared" ref="C18:D18" si="1">C13+C28</f>
        <v>1443504.6375335946</v>
      </c>
      <c r="D18" s="338">
        <f t="shared" si="1"/>
        <v>1188103.082315994</v>
      </c>
      <c r="F18" s="4" t="str">
        <f t="shared" ref="F18:F19" si="2">F14</f>
        <v>Case 2</v>
      </c>
      <c r="G18" s="342">
        <v>0.35753150087653562</v>
      </c>
      <c r="H18" s="342">
        <v>0.11284353953370174</v>
      </c>
      <c r="J18" s="4" t="s">
        <v>193</v>
      </c>
      <c r="K18" s="342">
        <v>0.37247560508897126</v>
      </c>
      <c r="L18" s="342">
        <v>0.12509404702924742</v>
      </c>
    </row>
    <row r="19" spans="2:12" x14ac:dyDescent="0.25">
      <c r="B19" s="4" t="str">
        <f t="shared" si="0"/>
        <v>Case 3</v>
      </c>
      <c r="C19" s="338">
        <f t="shared" ref="C19:D19" si="3">C14+C29</f>
        <v>1001334.4119724203</v>
      </c>
      <c r="D19" s="338">
        <f t="shared" si="3"/>
        <v>941092.86426810746</v>
      </c>
      <c r="E19" s="177"/>
      <c r="F19" s="4" t="str">
        <f t="shared" si="2"/>
        <v>Case 3</v>
      </c>
      <c r="G19" s="345">
        <v>-6.6090551725627722E-2</v>
      </c>
      <c r="H19" s="345">
        <v>-0.12380508476105367</v>
      </c>
      <c r="J19" s="4" t="s">
        <v>194</v>
      </c>
      <c r="K19" s="345">
        <v>-5.5809803094027499E-2</v>
      </c>
      <c r="L19" s="345">
        <v>-0.11415967460645882</v>
      </c>
    </row>
    <row r="20" spans="2:12" x14ac:dyDescent="0.25">
      <c r="C20" s="326"/>
      <c r="D20" s="326"/>
      <c r="E20" s="326"/>
      <c r="F20" s="326"/>
    </row>
    <row r="21" spans="2:12" x14ac:dyDescent="0.25">
      <c r="E21" s="327"/>
      <c r="F21" s="327"/>
      <c r="G21" s="177" t="s">
        <v>227</v>
      </c>
      <c r="K21" s="177" t="s">
        <v>227</v>
      </c>
    </row>
    <row r="22" spans="2:12" x14ac:dyDescent="0.25">
      <c r="G22" s="340">
        <v>774594.93437874911</v>
      </c>
      <c r="K22" s="340">
        <v>516.39662291916613</v>
      </c>
    </row>
    <row r="23" spans="2:12" x14ac:dyDescent="0.25">
      <c r="G23" s="342">
        <v>6.6935171320591014E-2</v>
      </c>
      <c r="K23" s="342">
        <v>7.8680306058041216E-2</v>
      </c>
    </row>
    <row r="26" spans="2:12" x14ac:dyDescent="0.25">
      <c r="B26" s="86" t="s">
        <v>195</v>
      </c>
      <c r="C26" s="86" t="s">
        <v>221</v>
      </c>
      <c r="D26" s="86" t="s">
        <v>222</v>
      </c>
    </row>
    <row r="27" spans="2:12" x14ac:dyDescent="0.25">
      <c r="B27" s="86" t="s">
        <v>192</v>
      </c>
      <c r="C27" s="344">
        <v>104771.75943112261</v>
      </c>
      <c r="D27" s="344">
        <v>246650.22380941684</v>
      </c>
    </row>
    <row r="28" spans="2:12" x14ac:dyDescent="0.25">
      <c r="B28" s="86" t="s">
        <v>193</v>
      </c>
      <c r="C28" s="344">
        <v>145099.39560985789</v>
      </c>
      <c r="D28" s="344">
        <v>276233.93336702988</v>
      </c>
    </row>
    <row r="29" spans="2:12" x14ac:dyDescent="0.25">
      <c r="B29" s="86" t="s">
        <v>194</v>
      </c>
      <c r="C29" s="344">
        <v>71066.042432074872</v>
      </c>
      <c r="D29" s="344">
        <v>219642.62480551205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5"/>
  <sheetViews>
    <sheetView showGridLines="0" zoomScaleNormal="100" workbookViewId="0">
      <selection activeCell="D5" sqref="D5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316" t="str">
        <f>CoName</f>
        <v xml:space="preserve">Berkshire Hathaway Insurance 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4" t="s">
        <v>119</v>
      </c>
      <c r="B2" s="107" t="s">
        <v>120</v>
      </c>
      <c r="C2" s="108">
        <v>44926</v>
      </c>
      <c r="D2" s="108">
        <v>45291</v>
      </c>
      <c r="E2" s="108">
        <v>45657</v>
      </c>
      <c r="F2" s="108">
        <v>46022</v>
      </c>
      <c r="G2" s="108">
        <v>46387</v>
      </c>
      <c r="H2" s="108">
        <v>46752</v>
      </c>
      <c r="I2" s="108">
        <v>47118</v>
      </c>
      <c r="J2" s="108">
        <v>47483</v>
      </c>
      <c r="K2" s="213"/>
      <c r="L2" s="213"/>
    </row>
    <row r="3" spans="1:20" x14ac:dyDescent="0.25">
      <c r="A3" s="86"/>
      <c r="B3" s="167"/>
      <c r="C3" s="213"/>
      <c r="D3" s="213"/>
      <c r="E3" s="213"/>
      <c r="F3" s="213"/>
      <c r="G3" s="213"/>
      <c r="H3" s="213"/>
      <c r="I3" s="213"/>
      <c r="J3" s="213"/>
      <c r="K3" s="213"/>
      <c r="L3" s="213"/>
    </row>
    <row r="4" spans="1:20" x14ac:dyDescent="0.25">
      <c r="B4" s="94" t="s">
        <v>126</v>
      </c>
      <c r="C4"/>
      <c r="D4" s="321">
        <v>1</v>
      </c>
      <c r="E4"/>
      <c r="F4"/>
      <c r="G4" s="89"/>
      <c r="H4" s="89"/>
      <c r="I4" s="89"/>
      <c r="J4" s="89"/>
      <c r="K4" s="89"/>
      <c r="M4" s="283"/>
      <c r="N4" s="284"/>
      <c r="O4" s="284"/>
    </row>
    <row r="5" spans="1:20" x14ac:dyDescent="0.25">
      <c r="B5" s="88"/>
      <c r="C5" s="90"/>
      <c r="D5" s="114" t="s">
        <v>121</v>
      </c>
      <c r="E5" s="91"/>
      <c r="K5" s="89"/>
      <c r="M5" s="285"/>
      <c r="N5" s="286"/>
      <c r="O5" s="286"/>
    </row>
    <row r="6" spans="1:20" x14ac:dyDescent="0.25">
      <c r="B6" s="92" t="s">
        <v>127</v>
      </c>
      <c r="D6" s="101">
        <v>0</v>
      </c>
      <c r="E6" s="93"/>
      <c r="F6" s="101">
        <v>0.05</v>
      </c>
      <c r="G6" s="101">
        <v>0.05</v>
      </c>
      <c r="H6" s="101">
        <v>0.05</v>
      </c>
      <c r="I6" s="101">
        <v>0.05</v>
      </c>
      <c r="J6" s="101">
        <v>0.05</v>
      </c>
      <c r="K6" s="187"/>
      <c r="M6" s="187"/>
      <c r="N6" s="287"/>
      <c r="O6" s="287"/>
      <c r="P6" s="287"/>
      <c r="Q6" s="287"/>
      <c r="R6" s="287"/>
      <c r="S6" s="287"/>
      <c r="T6" s="287"/>
    </row>
    <row r="7" spans="1:20" x14ac:dyDescent="0.25">
      <c r="B7" s="4" t="s">
        <v>123</v>
      </c>
      <c r="D7" s="101">
        <v>2.5000000000000001E-2</v>
      </c>
      <c r="E7" s="93"/>
      <c r="F7" s="101">
        <f>F6+$D$7</f>
        <v>7.5000000000000011E-2</v>
      </c>
      <c r="G7" s="101">
        <f t="shared" ref="G7:J7" si="0">G6+$D$7</f>
        <v>7.5000000000000011E-2</v>
      </c>
      <c r="H7" s="101">
        <f t="shared" si="0"/>
        <v>7.5000000000000011E-2</v>
      </c>
      <c r="I7" s="101">
        <f t="shared" si="0"/>
        <v>7.5000000000000011E-2</v>
      </c>
      <c r="J7" s="101">
        <f t="shared" si="0"/>
        <v>7.5000000000000011E-2</v>
      </c>
      <c r="K7" s="187"/>
      <c r="M7" s="187"/>
      <c r="N7" s="187"/>
      <c r="O7" s="187"/>
      <c r="P7" s="187"/>
      <c r="Q7" s="187"/>
      <c r="R7" s="187"/>
      <c r="S7" s="187"/>
      <c r="T7" s="187"/>
    </row>
    <row r="8" spans="1:20" x14ac:dyDescent="0.25">
      <c r="B8" s="4" t="s">
        <v>122</v>
      </c>
      <c r="D8" s="101">
        <v>-2.5000000000000001E-2</v>
      </c>
      <c r="E8" s="93"/>
      <c r="F8" s="101">
        <f>F6+$D$8</f>
        <v>2.5000000000000001E-2</v>
      </c>
      <c r="G8" s="101">
        <f t="shared" ref="G8:J8" si="1">G6+$D$8</f>
        <v>2.5000000000000001E-2</v>
      </c>
      <c r="H8" s="101">
        <f t="shared" si="1"/>
        <v>2.5000000000000001E-2</v>
      </c>
      <c r="I8" s="101">
        <f t="shared" si="1"/>
        <v>2.5000000000000001E-2</v>
      </c>
      <c r="J8" s="101">
        <f t="shared" si="1"/>
        <v>2.5000000000000001E-2</v>
      </c>
      <c r="K8" s="187"/>
    </row>
    <row r="9" spans="1:20" x14ac:dyDescent="0.25">
      <c r="K9" s="32"/>
      <c r="L9" s="32"/>
      <c r="M9" s="187"/>
      <c r="N9" s="187"/>
    </row>
    <row r="10" spans="1:20" x14ac:dyDescent="0.25">
      <c r="B10" s="122" t="s">
        <v>143</v>
      </c>
      <c r="C10" s="206">
        <f>IncState!C4</f>
        <v>9.6136973801961734E-2</v>
      </c>
      <c r="D10" s="330">
        <f>IncState!D15/IncState!C15-1</f>
        <v>0.25957394015311896</v>
      </c>
      <c r="E10" s="207">
        <f>IncState!E15/IncState!D15-1</f>
        <v>2.1961611662022484E-2</v>
      </c>
      <c r="F10" s="105">
        <f t="shared" ref="F10" si="2">CHOOSE(ScenarioREV,F6,F7,F8)</f>
        <v>0.05</v>
      </c>
      <c r="G10" s="105">
        <f t="shared" ref="G10:J10" si="3">CHOOSE(ScenarioREV,G6,G7,G8)</f>
        <v>0.05</v>
      </c>
      <c r="H10" s="105">
        <f t="shared" si="3"/>
        <v>0.05</v>
      </c>
      <c r="I10" s="105">
        <f t="shared" si="3"/>
        <v>0.05</v>
      </c>
      <c r="J10" s="105">
        <f t="shared" si="3"/>
        <v>0.05</v>
      </c>
      <c r="K10" s="31"/>
      <c r="L10" s="31"/>
      <c r="M10" s="187"/>
      <c r="N10" s="187"/>
    </row>
    <row r="11" spans="1:20" x14ac:dyDescent="0.25">
      <c r="B11" s="4" t="s">
        <v>128</v>
      </c>
      <c r="C11" s="8">
        <f>IncState!C16/IncState!C15</f>
        <v>0.8182782315674888</v>
      </c>
      <c r="D11" s="8">
        <f>IncState!D16/IncState!D15</f>
        <v>0.80006100447683892</v>
      </c>
      <c r="E11" s="8">
        <f>IncState!E16/IncState!E15</f>
        <v>0.76968253622805405</v>
      </c>
      <c r="F11" s="101">
        <f>E11</f>
        <v>0.76968253622805405</v>
      </c>
      <c r="G11" s="101">
        <f t="shared" ref="G11:J11" si="4">F11</f>
        <v>0.76968253622805405</v>
      </c>
      <c r="H11" s="101">
        <f t="shared" si="4"/>
        <v>0.76968253622805405</v>
      </c>
      <c r="I11" s="101">
        <f t="shared" si="4"/>
        <v>0.76968253622805405</v>
      </c>
      <c r="J11" s="101">
        <f t="shared" si="4"/>
        <v>0.76968253622805405</v>
      </c>
      <c r="K11" s="187"/>
      <c r="L11" s="187"/>
      <c r="M11" s="187"/>
      <c r="N11" s="187"/>
    </row>
    <row r="12" spans="1:20" x14ac:dyDescent="0.25">
      <c r="B12" s="4" t="s">
        <v>44</v>
      </c>
      <c r="C12" s="8">
        <f>IncState!C17/IncState!C15</f>
        <v>7.8064281169083247E-2</v>
      </c>
      <c r="D12" s="8">
        <f>IncState!D17/IncState!D15</f>
        <v>8.0888123508647061E-2</v>
      </c>
      <c r="E12" s="8">
        <f>IncState!E17/IncState!E15</f>
        <v>7.9721927727325018E-2</v>
      </c>
      <c r="F12" s="101">
        <f>E12</f>
        <v>7.9721927727325018E-2</v>
      </c>
      <c r="G12" s="101">
        <f t="shared" ref="G12:J12" si="5">F12</f>
        <v>7.9721927727325018E-2</v>
      </c>
      <c r="H12" s="101">
        <f t="shared" si="5"/>
        <v>7.9721927727325018E-2</v>
      </c>
      <c r="I12" s="101">
        <f t="shared" si="5"/>
        <v>7.9721927727325018E-2</v>
      </c>
      <c r="J12" s="101">
        <f t="shared" si="5"/>
        <v>7.9721927727325018E-2</v>
      </c>
      <c r="K12" s="187"/>
      <c r="L12" s="187"/>
    </row>
    <row r="13" spans="1:20" x14ac:dyDescent="0.25">
      <c r="B13" s="4" t="s">
        <v>130</v>
      </c>
      <c r="C13" s="4">
        <v>0</v>
      </c>
      <c r="D13" s="4">
        <v>0</v>
      </c>
      <c r="E13" s="4">
        <v>0</v>
      </c>
      <c r="F13" s="102">
        <f>E13</f>
        <v>0</v>
      </c>
      <c r="G13" s="102">
        <f t="shared" ref="G13:J14" si="6">F13</f>
        <v>0</v>
      </c>
      <c r="H13" s="102">
        <f t="shared" si="6"/>
        <v>0</v>
      </c>
      <c r="I13" s="102">
        <f t="shared" si="6"/>
        <v>0</v>
      </c>
      <c r="J13" s="102">
        <f t="shared" si="6"/>
        <v>0</v>
      </c>
      <c r="K13" s="214"/>
      <c r="L13" s="214"/>
    </row>
    <row r="14" spans="1:20" x14ac:dyDescent="0.25">
      <c r="B14" s="4" t="s">
        <v>131</v>
      </c>
      <c r="C14" s="4">
        <f>IncState!C24</f>
        <v>-67899</v>
      </c>
      <c r="D14" s="4">
        <f>IncState!D24</f>
        <v>74855</v>
      </c>
      <c r="E14" s="4">
        <f>IncState!E24</f>
        <v>52799</v>
      </c>
      <c r="F14" s="102">
        <v>0</v>
      </c>
      <c r="G14" s="102">
        <f>F14</f>
        <v>0</v>
      </c>
      <c r="H14" s="102">
        <f t="shared" si="6"/>
        <v>0</v>
      </c>
      <c r="I14" s="102">
        <f t="shared" si="6"/>
        <v>0</v>
      </c>
      <c r="J14" s="102">
        <f t="shared" si="6"/>
        <v>0</v>
      </c>
      <c r="K14" s="214"/>
      <c r="L14" s="214"/>
    </row>
    <row r="15" spans="1:20" x14ac:dyDescent="0.25">
      <c r="B15" s="4" t="s">
        <v>133</v>
      </c>
      <c r="C15" s="4">
        <f>IncState!C25</f>
        <v>1863</v>
      </c>
      <c r="D15" s="4">
        <f>IncState!D25</f>
        <v>1973</v>
      </c>
      <c r="E15" s="4">
        <f>IncState!E25</f>
        <v>1863</v>
      </c>
      <c r="F15" s="102">
        <f>AVERAGE(C15:E15)</f>
        <v>1899.6666666666667</v>
      </c>
      <c r="G15" s="102">
        <f>F15</f>
        <v>1899.6666666666667</v>
      </c>
      <c r="H15" s="102">
        <f t="shared" ref="H15:J15" si="7">G15</f>
        <v>1899.6666666666667</v>
      </c>
      <c r="I15" s="102">
        <f t="shared" si="7"/>
        <v>1899.6666666666667</v>
      </c>
      <c r="J15" s="102">
        <f t="shared" si="7"/>
        <v>1899.6666666666667</v>
      </c>
      <c r="K15" s="214"/>
      <c r="L15" s="214"/>
    </row>
    <row r="16" spans="1:20" x14ac:dyDescent="0.25">
      <c r="B16" s="4" t="s">
        <v>47</v>
      </c>
      <c r="C16" s="8">
        <f>IncState!C32/IncState!C30</f>
        <v>0.2716213816373646</v>
      </c>
      <c r="D16" s="8">
        <f>IncState!D32/IncState!D30</f>
        <v>0.18040117776959883</v>
      </c>
      <c r="E16" s="8">
        <f>IncState!E32/IncState!E30</f>
        <v>0.1780220904070362</v>
      </c>
      <c r="F16" s="101">
        <f>E16</f>
        <v>0.1780220904070362</v>
      </c>
      <c r="G16" s="101">
        <f t="shared" ref="G16:J16" si="8">F16</f>
        <v>0.1780220904070362</v>
      </c>
      <c r="H16" s="101">
        <f t="shared" si="8"/>
        <v>0.1780220904070362</v>
      </c>
      <c r="I16" s="101">
        <f t="shared" si="8"/>
        <v>0.1780220904070362</v>
      </c>
      <c r="J16" s="101">
        <f t="shared" si="8"/>
        <v>0.1780220904070362</v>
      </c>
      <c r="K16" s="187"/>
      <c r="L16" s="187"/>
    </row>
    <row r="17" spans="1:12" x14ac:dyDescent="0.25">
      <c r="B17" s="4" t="s">
        <v>189</v>
      </c>
      <c r="C17" s="4">
        <f>IncState!C36</f>
        <v>1.4377200000000001</v>
      </c>
      <c r="D17" s="4">
        <f>IncState!D36</f>
        <v>1.4488799999999999</v>
      </c>
      <c r="E17" s="4">
        <f>IncState!E36</f>
        <v>1.4377200000000001</v>
      </c>
      <c r="F17" s="102">
        <f>E17</f>
        <v>1.4377200000000001</v>
      </c>
      <c r="G17" s="102">
        <f t="shared" ref="G17:J17" si="9">F17</f>
        <v>1.4377200000000001</v>
      </c>
      <c r="H17" s="102">
        <f t="shared" si="9"/>
        <v>1.4377200000000001</v>
      </c>
      <c r="I17" s="102">
        <f t="shared" si="9"/>
        <v>1.4377200000000001</v>
      </c>
      <c r="J17" s="102">
        <f t="shared" si="9"/>
        <v>1.4377200000000001</v>
      </c>
      <c r="K17" s="214"/>
      <c r="L17" s="214"/>
    </row>
    <row r="18" spans="1:12" x14ac:dyDescent="0.25">
      <c r="B18" s="4" t="s">
        <v>188</v>
      </c>
      <c r="C18" s="4">
        <f>IncState!C37</f>
        <v>2156.5802960000001</v>
      </c>
      <c r="D18" s="4">
        <f>IncState!D37</f>
        <v>2173.3197089999999</v>
      </c>
      <c r="E18" s="4">
        <f>IncState!E37</f>
        <v>2156.5802960000001</v>
      </c>
      <c r="F18" s="102">
        <f>E18</f>
        <v>2156.5802960000001</v>
      </c>
      <c r="G18" s="102">
        <f t="shared" ref="G18:J18" si="10">F18</f>
        <v>2156.5802960000001</v>
      </c>
      <c r="H18" s="102">
        <f t="shared" si="10"/>
        <v>2156.5802960000001</v>
      </c>
      <c r="I18" s="102">
        <f t="shared" si="10"/>
        <v>2156.5802960000001</v>
      </c>
      <c r="J18" s="102">
        <f t="shared" si="10"/>
        <v>2156.5802960000001</v>
      </c>
      <c r="K18" s="214"/>
      <c r="L18" s="214"/>
    </row>
    <row r="19" spans="1:12" x14ac:dyDescent="0.25">
      <c r="F19" s="104"/>
      <c r="G19" s="104"/>
      <c r="H19" s="104"/>
      <c r="I19" s="104"/>
      <c r="J19" s="104"/>
      <c r="K19" s="187"/>
      <c r="L19" s="187"/>
    </row>
    <row r="20" spans="1:12" x14ac:dyDescent="0.25">
      <c r="A20" s="64" t="s">
        <v>119</v>
      </c>
      <c r="B20" s="107" t="s">
        <v>138</v>
      </c>
      <c r="C20" s="108">
        <v>44926</v>
      </c>
      <c r="D20" s="108">
        <v>45291</v>
      </c>
      <c r="E20" s="108">
        <v>45657</v>
      </c>
      <c r="F20" s="118">
        <v>46022</v>
      </c>
      <c r="G20" s="118">
        <v>46387</v>
      </c>
      <c r="H20" s="118">
        <v>46752</v>
      </c>
      <c r="I20" s="118">
        <v>47118</v>
      </c>
      <c r="J20" s="118">
        <v>47483</v>
      </c>
      <c r="K20" s="215"/>
      <c r="L20" s="215"/>
    </row>
    <row r="21" spans="1:12" x14ac:dyDescent="0.25">
      <c r="A21" s="86"/>
      <c r="B21" s="167"/>
      <c r="C21" s="213"/>
      <c r="D21" s="213"/>
      <c r="E21" s="213"/>
      <c r="F21" s="215"/>
      <c r="G21" s="215"/>
      <c r="H21" s="215"/>
      <c r="I21" s="215"/>
      <c r="J21" s="215"/>
      <c r="K21" s="215"/>
      <c r="L21" s="215"/>
    </row>
    <row r="22" spans="1:12" x14ac:dyDescent="0.25">
      <c r="B22" s="4" t="s">
        <v>132</v>
      </c>
      <c r="E22" s="8"/>
      <c r="F22" s="101">
        <f>E22</f>
        <v>0</v>
      </c>
      <c r="G22" s="101">
        <f t="shared" ref="G22:J22" si="11">F22</f>
        <v>0</v>
      </c>
      <c r="H22" s="101">
        <f t="shared" si="11"/>
        <v>0</v>
      </c>
      <c r="I22" s="101">
        <f t="shared" si="11"/>
        <v>0</v>
      </c>
      <c r="J22" s="101">
        <f t="shared" si="11"/>
        <v>0</v>
      </c>
      <c r="K22" s="187"/>
      <c r="L22" s="187"/>
    </row>
    <row r="23" spans="1:12" x14ac:dyDescent="0.25">
      <c r="B23" s="4" t="s">
        <v>25</v>
      </c>
      <c r="E23" s="8"/>
      <c r="F23" s="101">
        <f>E23</f>
        <v>0</v>
      </c>
      <c r="G23" s="101">
        <f t="shared" ref="G23:J23" si="12">F23</f>
        <v>0</v>
      </c>
      <c r="H23" s="101">
        <f t="shared" si="12"/>
        <v>0</v>
      </c>
      <c r="I23" s="101">
        <f t="shared" si="12"/>
        <v>0</v>
      </c>
      <c r="J23" s="101">
        <f t="shared" si="12"/>
        <v>0</v>
      </c>
      <c r="K23" s="187"/>
      <c r="L23" s="187"/>
    </row>
    <row r="24" spans="1:12" x14ac:dyDescent="0.25">
      <c r="B24" s="4" t="s">
        <v>26</v>
      </c>
      <c r="C24" s="8"/>
      <c r="D24" s="8"/>
      <c r="E24" s="8"/>
      <c r="F24" s="131">
        <f>E24</f>
        <v>0</v>
      </c>
      <c r="G24" s="131">
        <f t="shared" ref="G24:J24" si="13">F24</f>
        <v>0</v>
      </c>
      <c r="H24" s="131">
        <f t="shared" si="13"/>
        <v>0</v>
      </c>
      <c r="I24" s="131">
        <f t="shared" si="13"/>
        <v>0</v>
      </c>
      <c r="J24" s="131">
        <f t="shared" si="13"/>
        <v>0</v>
      </c>
      <c r="K24" s="187"/>
      <c r="L24" s="187"/>
    </row>
    <row r="25" spans="1:12" x14ac:dyDescent="0.25">
      <c r="F25" s="104"/>
      <c r="G25" s="104"/>
      <c r="H25" s="104"/>
      <c r="I25" s="104"/>
      <c r="J25" s="104"/>
      <c r="K25" s="187"/>
      <c r="L25" s="187"/>
    </row>
    <row r="26" spans="1:12" x14ac:dyDescent="0.25">
      <c r="B26" s="4" t="s">
        <v>27</v>
      </c>
      <c r="F26" s="102">
        <v>0</v>
      </c>
      <c r="G26" s="102">
        <v>0</v>
      </c>
      <c r="H26" s="102">
        <v>0</v>
      </c>
      <c r="I26" s="102">
        <v>0</v>
      </c>
      <c r="J26" s="102">
        <v>0</v>
      </c>
      <c r="K26" s="214"/>
      <c r="L26" s="214"/>
    </row>
    <row r="27" spans="1:12" x14ac:dyDescent="0.25">
      <c r="B27" s="4" t="s">
        <v>28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214"/>
      <c r="L27" s="214"/>
    </row>
    <row r="28" spans="1:12" x14ac:dyDescent="0.25">
      <c r="F28" s="104"/>
      <c r="G28" s="104"/>
      <c r="H28" s="104"/>
      <c r="I28" s="104"/>
      <c r="J28" s="104"/>
      <c r="K28" s="187"/>
      <c r="L28" s="187"/>
    </row>
    <row r="29" spans="1:12" x14ac:dyDescent="0.25">
      <c r="A29" s="64" t="s">
        <v>119</v>
      </c>
      <c r="B29" s="107" t="s">
        <v>135</v>
      </c>
      <c r="C29" s="108">
        <v>44926</v>
      </c>
      <c r="D29" s="108">
        <v>45291</v>
      </c>
      <c r="E29" s="108">
        <v>45657</v>
      </c>
      <c r="F29" s="118">
        <v>46022</v>
      </c>
      <c r="G29" s="118">
        <v>46387</v>
      </c>
      <c r="H29" s="118">
        <v>46752</v>
      </c>
      <c r="I29" s="118">
        <v>47118</v>
      </c>
      <c r="J29" s="118">
        <v>47483</v>
      </c>
      <c r="K29" s="216"/>
      <c r="L29" s="216"/>
    </row>
    <row r="30" spans="1:12" x14ac:dyDescent="0.25">
      <c r="A30" s="86"/>
      <c r="B30" s="167"/>
      <c r="C30" s="213"/>
      <c r="D30" s="213"/>
      <c r="E30" s="213"/>
      <c r="F30" s="215"/>
      <c r="G30" s="215"/>
      <c r="H30" s="215"/>
      <c r="I30" s="215"/>
      <c r="J30" s="215"/>
      <c r="K30" s="216"/>
      <c r="L30" s="216"/>
    </row>
    <row r="31" spans="1:12" x14ac:dyDescent="0.25">
      <c r="B31" s="4" t="s">
        <v>136</v>
      </c>
      <c r="D31" s="8">
        <f>68/IncState!D15</f>
        <v>2.1605752213795272E-4</v>
      </c>
      <c r="E31" s="8">
        <f>82/IncState!E15</f>
        <v>2.5494103711257512E-4</v>
      </c>
      <c r="F31" s="253">
        <f>E31</f>
        <v>2.5494103711257512E-4</v>
      </c>
      <c r="G31" s="253">
        <f t="shared" ref="G31:J31" si="14">F31</f>
        <v>2.5494103711257512E-4</v>
      </c>
      <c r="H31" s="253">
        <f t="shared" si="14"/>
        <v>2.5494103711257512E-4</v>
      </c>
      <c r="I31" s="253">
        <f t="shared" si="14"/>
        <v>2.5494103711257512E-4</v>
      </c>
      <c r="J31" s="253">
        <f t="shared" si="14"/>
        <v>2.5494103711257512E-4</v>
      </c>
      <c r="K31" s="187"/>
      <c r="L31" s="187"/>
    </row>
    <row r="32" spans="1:12" x14ac:dyDescent="0.25">
      <c r="B32" s="4" t="s">
        <v>149</v>
      </c>
      <c r="D32" s="8">
        <f>IncState!D20/BalSheet!C22</f>
        <v>1.0927323759435377E-2</v>
      </c>
      <c r="E32" s="8">
        <f>IncState!E20/BalSheet!D22</f>
        <v>8.7176006448054979E-3</v>
      </c>
      <c r="F32" s="101">
        <f>E32</f>
        <v>8.7176006448054979E-3</v>
      </c>
      <c r="G32" s="101">
        <f t="shared" ref="G32:J32" si="15">F32</f>
        <v>8.7176006448054979E-3</v>
      </c>
      <c r="H32" s="101">
        <f t="shared" si="15"/>
        <v>8.7176006448054979E-3</v>
      </c>
      <c r="I32" s="101">
        <f t="shared" si="15"/>
        <v>8.7176006448054979E-3</v>
      </c>
      <c r="J32" s="101">
        <f t="shared" si="15"/>
        <v>8.7176006448054979E-3</v>
      </c>
      <c r="K32" s="187"/>
      <c r="L32" s="187"/>
    </row>
    <row r="33" spans="1:12" x14ac:dyDescent="0.25">
      <c r="B33" s="4" t="s">
        <v>137</v>
      </c>
      <c r="F33" s="106">
        <v>0</v>
      </c>
      <c r="G33" s="106">
        <v>0</v>
      </c>
      <c r="H33" s="106">
        <v>0</v>
      </c>
      <c r="I33" s="106">
        <v>0</v>
      </c>
      <c r="J33" s="106">
        <v>0</v>
      </c>
      <c r="K33" s="217"/>
      <c r="L33" s="217"/>
    </row>
    <row r="34" spans="1:12" x14ac:dyDescent="0.25">
      <c r="F34" s="32"/>
      <c r="G34" s="32"/>
      <c r="H34" s="32"/>
      <c r="I34" s="32"/>
      <c r="J34" s="32"/>
      <c r="K34" s="32"/>
      <c r="L34" s="32"/>
    </row>
    <row r="35" spans="1:12" x14ac:dyDescent="0.25">
      <c r="A35" s="64" t="s">
        <v>119</v>
      </c>
      <c r="B35" s="107" t="s">
        <v>59</v>
      </c>
      <c r="C35" s="108">
        <v>44926</v>
      </c>
      <c r="D35" s="108">
        <v>45291</v>
      </c>
      <c r="E35" s="108">
        <v>45657</v>
      </c>
      <c r="F35" s="117">
        <v>46022</v>
      </c>
      <c r="G35" s="117">
        <v>46387</v>
      </c>
      <c r="H35" s="117">
        <v>46752</v>
      </c>
      <c r="I35" s="117">
        <v>47118</v>
      </c>
      <c r="J35" s="117">
        <v>47483</v>
      </c>
      <c r="K35" s="216"/>
      <c r="L35" s="216"/>
    </row>
    <row r="36" spans="1:12" x14ac:dyDescent="0.25">
      <c r="A36" s="86"/>
      <c r="B36" s="167"/>
      <c r="C36" s="213"/>
      <c r="D36" s="213"/>
      <c r="E36" s="213"/>
      <c r="F36" s="322"/>
      <c r="G36" s="322"/>
      <c r="H36" s="322"/>
      <c r="I36" s="322"/>
      <c r="J36" s="322"/>
      <c r="K36" s="216"/>
      <c r="L36" s="216"/>
    </row>
    <row r="37" spans="1:12" x14ac:dyDescent="0.25">
      <c r="B37" s="4" t="s">
        <v>48</v>
      </c>
      <c r="F37" s="102">
        <f t="shared" ref="F37:J38" si="16">F17</f>
        <v>1.4377200000000001</v>
      </c>
      <c r="G37" s="102">
        <f t="shared" si="16"/>
        <v>1.4377200000000001</v>
      </c>
      <c r="H37" s="102">
        <f t="shared" si="16"/>
        <v>1.4377200000000001</v>
      </c>
      <c r="I37" s="102">
        <f t="shared" si="16"/>
        <v>1.4377200000000001</v>
      </c>
      <c r="J37" s="102">
        <f t="shared" si="16"/>
        <v>1.4377200000000001</v>
      </c>
      <c r="K37" s="214"/>
      <c r="L37" s="214"/>
    </row>
    <row r="38" spans="1:12" x14ac:dyDescent="0.25">
      <c r="B38" s="4" t="s">
        <v>49</v>
      </c>
      <c r="F38" s="102">
        <f t="shared" si="16"/>
        <v>2156.5802960000001</v>
      </c>
      <c r="G38" s="102">
        <f t="shared" si="16"/>
        <v>2156.5802960000001</v>
      </c>
      <c r="H38" s="102">
        <f t="shared" si="16"/>
        <v>2156.5802960000001</v>
      </c>
      <c r="I38" s="102">
        <f t="shared" si="16"/>
        <v>2156.5802960000001</v>
      </c>
      <c r="J38" s="102">
        <f t="shared" si="16"/>
        <v>2156.5802960000001</v>
      </c>
      <c r="K38" s="214"/>
      <c r="L38" s="214"/>
    </row>
    <row r="39" spans="1:12" x14ac:dyDescent="0.25">
      <c r="F39" s="32"/>
      <c r="G39" s="32"/>
      <c r="H39" s="32"/>
      <c r="I39" s="32"/>
      <c r="J39" s="32"/>
      <c r="K39" s="32"/>
      <c r="L39" s="32"/>
    </row>
    <row r="40" spans="1:12" x14ac:dyDescent="0.25">
      <c r="A40" s="64" t="s">
        <v>119</v>
      </c>
      <c r="B40" s="107" t="s">
        <v>124</v>
      </c>
      <c r="C40" s="108">
        <v>44926</v>
      </c>
      <c r="D40" s="108">
        <v>45291</v>
      </c>
      <c r="E40" s="108">
        <v>45657</v>
      </c>
      <c r="F40" s="117">
        <v>46022</v>
      </c>
      <c r="G40" s="117">
        <v>46387</v>
      </c>
      <c r="H40" s="117">
        <v>46752</v>
      </c>
      <c r="I40" s="117">
        <v>47118</v>
      </c>
      <c r="J40" s="117">
        <v>47483</v>
      </c>
      <c r="K40" s="216"/>
      <c r="L40" s="216"/>
    </row>
    <row r="41" spans="1:12" x14ac:dyDescent="0.25">
      <c r="A41" s="86"/>
      <c r="B41" s="167"/>
      <c r="C41" s="213"/>
      <c r="D41" s="213"/>
      <c r="E41" s="213"/>
      <c r="F41" s="322"/>
      <c r="G41" s="322"/>
      <c r="H41" s="322"/>
      <c r="I41" s="322"/>
      <c r="J41" s="322"/>
      <c r="K41" s="216"/>
      <c r="L41" s="216"/>
    </row>
    <row r="42" spans="1:12" x14ac:dyDescent="0.25">
      <c r="B42" s="4" t="s">
        <v>134</v>
      </c>
      <c r="C42" s="8">
        <f>BalSheet!C15/IncState!C15</f>
        <v>1.4999999999999999E-2</v>
      </c>
      <c r="D42" s="8">
        <f>BalSheet!D15/IncState!D15</f>
        <v>1.5000000000000001E-2</v>
      </c>
      <c r="E42" s="8">
        <f>BalSheet!E15/IncState!E15</f>
        <v>1.4999999999999998E-2</v>
      </c>
      <c r="F42" s="101">
        <f>E42</f>
        <v>1.4999999999999998E-2</v>
      </c>
      <c r="G42" s="101">
        <f t="shared" ref="G42:J43" si="17">F42</f>
        <v>1.4999999999999998E-2</v>
      </c>
      <c r="H42" s="101">
        <f t="shared" si="17"/>
        <v>1.4999999999999998E-2</v>
      </c>
      <c r="I42" s="101">
        <f t="shared" si="17"/>
        <v>1.4999999999999998E-2</v>
      </c>
      <c r="J42" s="101">
        <f t="shared" si="17"/>
        <v>1.4999999999999998E-2</v>
      </c>
      <c r="K42" s="187"/>
      <c r="L42" s="187"/>
    </row>
    <row r="43" spans="1:12" x14ac:dyDescent="0.25">
      <c r="B43" s="4" t="s">
        <v>197</v>
      </c>
      <c r="C43" s="8"/>
      <c r="D43" s="324">
        <f>BalSheet!D17-BalSheet!C17</f>
        <v>81540</v>
      </c>
      <c r="E43" s="324">
        <f>BalSheet!E17-BalSheet!D17</f>
        <v>68273</v>
      </c>
      <c r="F43" s="106">
        <f>AVERAGE(D43:E43)</f>
        <v>74906.5</v>
      </c>
      <c r="G43" s="106">
        <f>F43</f>
        <v>74906.5</v>
      </c>
      <c r="H43" s="106">
        <f t="shared" si="17"/>
        <v>74906.5</v>
      </c>
      <c r="I43" s="106">
        <f t="shared" si="17"/>
        <v>74906.5</v>
      </c>
      <c r="J43" s="106">
        <f t="shared" si="17"/>
        <v>74906.5</v>
      </c>
      <c r="K43" s="187"/>
      <c r="L43" s="187"/>
    </row>
    <row r="44" spans="1:12" x14ac:dyDescent="0.25">
      <c r="B44" s="4" t="s">
        <v>147</v>
      </c>
      <c r="C44" s="8">
        <f>BalSheet!C18/IncState!C15</f>
        <v>0.2669297357436437</v>
      </c>
      <c r="D44" s="8">
        <f>BalSheet!D18/IncState!D15</f>
        <v>0.22540518728692122</v>
      </c>
      <c r="E44" s="8">
        <f>BalSheet!E18/IncState!E15</f>
        <v>0.22287132006603594</v>
      </c>
      <c r="F44" s="101">
        <f>E44</f>
        <v>0.22287132006603594</v>
      </c>
      <c r="G44" s="101">
        <f t="shared" ref="G44:J44" si="18">F44</f>
        <v>0.22287132006603594</v>
      </c>
      <c r="H44" s="101">
        <f t="shared" si="18"/>
        <v>0.22287132006603594</v>
      </c>
      <c r="I44" s="101">
        <f t="shared" si="18"/>
        <v>0.22287132006603594</v>
      </c>
      <c r="J44" s="101">
        <f t="shared" si="18"/>
        <v>0.22287132006603594</v>
      </c>
      <c r="K44" s="187"/>
      <c r="L44" s="187"/>
    </row>
    <row r="45" spans="1:12" x14ac:dyDescent="0.25">
      <c r="B45" s="4" t="s">
        <v>61</v>
      </c>
      <c r="C45" s="8">
        <f>BalSheet!C19/IncState!C16</f>
        <v>0.12406095938649346</v>
      </c>
      <c r="D45" s="8">
        <f>BalSheet!D19/IncState!D16</f>
        <v>0.10268303918921065</v>
      </c>
      <c r="E45" s="8">
        <f>BalSheet!E19/IncState!E16</f>
        <v>9.6977335062186185E-2</v>
      </c>
      <c r="F45" s="101">
        <f t="shared" ref="F45:J45" si="19">E45</f>
        <v>9.6977335062186185E-2</v>
      </c>
      <c r="G45" s="101">
        <f t="shared" si="19"/>
        <v>9.6977335062186185E-2</v>
      </c>
      <c r="H45" s="101">
        <f t="shared" si="19"/>
        <v>9.6977335062186185E-2</v>
      </c>
      <c r="I45" s="101">
        <f t="shared" si="19"/>
        <v>9.6977335062186185E-2</v>
      </c>
      <c r="J45" s="101">
        <f t="shared" si="19"/>
        <v>9.6977335062186185E-2</v>
      </c>
      <c r="K45" s="187"/>
      <c r="L45" s="187"/>
    </row>
    <row r="46" spans="1:12" x14ac:dyDescent="0.25">
      <c r="B46" s="4" t="s">
        <v>62</v>
      </c>
      <c r="C46" s="8">
        <f>BalSheet!C24/IncState!C15</f>
        <v>0.11816897519119866</v>
      </c>
      <c r="D46" s="8">
        <f>BalSheet!D24/IncState!D15</f>
        <v>9.9643822820122574E-2</v>
      </c>
      <c r="E46" s="8">
        <f>BalSheet!E24/IncState!E15</f>
        <v>0.10505747054964666</v>
      </c>
      <c r="F46" s="101">
        <f>E46</f>
        <v>0.10505747054964666</v>
      </c>
      <c r="G46" s="101">
        <f t="shared" ref="G46:J46" si="20">F46</f>
        <v>0.10505747054964666</v>
      </c>
      <c r="H46" s="101">
        <f t="shared" si="20"/>
        <v>0.10505747054964666</v>
      </c>
      <c r="I46" s="101">
        <f t="shared" si="20"/>
        <v>0.10505747054964666</v>
      </c>
      <c r="J46" s="101">
        <f t="shared" si="20"/>
        <v>0.10505747054964666</v>
      </c>
      <c r="K46" s="187"/>
      <c r="L46" s="187"/>
    </row>
    <row r="47" spans="1:12" x14ac:dyDescent="0.25">
      <c r="F47" s="32"/>
      <c r="G47" s="32"/>
      <c r="H47" s="32"/>
      <c r="I47" s="32"/>
      <c r="J47" s="32"/>
      <c r="K47" s="32"/>
      <c r="L47" s="32"/>
    </row>
    <row r="48" spans="1:12" x14ac:dyDescent="0.25">
      <c r="A48" s="64" t="s">
        <v>119</v>
      </c>
      <c r="B48" s="107" t="s">
        <v>125</v>
      </c>
      <c r="C48" s="108">
        <v>44926</v>
      </c>
      <c r="D48" s="108">
        <v>45291</v>
      </c>
      <c r="E48" s="108">
        <v>45657</v>
      </c>
      <c r="F48" s="117">
        <v>46022</v>
      </c>
      <c r="G48" s="117">
        <v>46387</v>
      </c>
      <c r="H48" s="117">
        <v>46752</v>
      </c>
      <c r="I48" s="117">
        <v>47118</v>
      </c>
      <c r="J48" s="117">
        <v>47483</v>
      </c>
      <c r="K48" s="216"/>
      <c r="L48" s="216"/>
    </row>
    <row r="49" spans="1:12" x14ac:dyDescent="0.25">
      <c r="A49" s="86"/>
      <c r="B49" s="167"/>
      <c r="C49" s="213"/>
      <c r="D49" s="213"/>
      <c r="E49" s="213"/>
      <c r="F49" s="322"/>
      <c r="G49" s="322"/>
      <c r="H49" s="322"/>
      <c r="I49" s="322"/>
      <c r="J49" s="322"/>
      <c r="K49" s="216"/>
      <c r="L49" s="216"/>
    </row>
    <row r="50" spans="1:12" x14ac:dyDescent="0.25">
      <c r="B50" s="4" t="s">
        <v>148</v>
      </c>
      <c r="C50" s="8">
        <f>BalSheet!C30/IncState!C16</f>
        <v>0.38999041396040379</v>
      </c>
      <c r="D50" s="8">
        <f>BalSheet!D30/IncState!D16</f>
        <v>0.3376713634414068</v>
      </c>
      <c r="E50" s="8">
        <f>BalSheet!E30/IncState!E16</f>
        <v>0.38431833513085556</v>
      </c>
      <c r="F50" s="101">
        <f t="shared" ref="F50:J50" si="21">E50</f>
        <v>0.38431833513085556</v>
      </c>
      <c r="G50" s="101">
        <f t="shared" si="21"/>
        <v>0.38431833513085556</v>
      </c>
      <c r="H50" s="101">
        <f t="shared" si="21"/>
        <v>0.38431833513085556</v>
      </c>
      <c r="I50" s="101">
        <f t="shared" si="21"/>
        <v>0.38431833513085556</v>
      </c>
      <c r="J50" s="101">
        <f t="shared" si="21"/>
        <v>0.38431833513085556</v>
      </c>
      <c r="K50" s="187"/>
      <c r="L50" s="187"/>
    </row>
    <row r="51" spans="1:12" x14ac:dyDescent="0.25">
      <c r="B51" s="4" t="s">
        <v>63</v>
      </c>
      <c r="C51" s="8">
        <f>BalSheet!C31/IncState!C15</f>
        <v>0.11468717858414942</v>
      </c>
      <c r="D51" s="8">
        <f>BalSheet!D31/IncState!D15</f>
        <v>9.6930394527390051E-2</v>
      </c>
      <c r="E51" s="8">
        <f>BalSheet!E31/IncState!E15</f>
        <v>0.12905923648268422</v>
      </c>
      <c r="F51" s="101">
        <f t="shared" ref="F51:J51" si="22">E51</f>
        <v>0.12905923648268422</v>
      </c>
      <c r="G51" s="101">
        <f t="shared" si="22"/>
        <v>0.12905923648268422</v>
      </c>
      <c r="H51" s="101">
        <f t="shared" si="22"/>
        <v>0.12905923648268422</v>
      </c>
      <c r="I51" s="101">
        <f t="shared" si="22"/>
        <v>0.12905923648268422</v>
      </c>
      <c r="J51" s="101">
        <f t="shared" si="22"/>
        <v>0.12905923648268422</v>
      </c>
      <c r="K51" s="187"/>
      <c r="L51" s="187"/>
    </row>
    <row r="52" spans="1:12" x14ac:dyDescent="0.25">
      <c r="B52" s="4" t="s">
        <v>64</v>
      </c>
      <c r="C52" s="8">
        <f>BalSheet!C35/IncState!C15</f>
        <v>0.72369342580771678</v>
      </c>
      <c r="D52" s="8">
        <f>BalSheet!D35/IncState!D15</f>
        <v>0.5901547670868138</v>
      </c>
      <c r="E52" s="8">
        <f>BalSheet!E35/IncState!E15</f>
        <v>0.40282549286009645</v>
      </c>
      <c r="F52" s="101">
        <f t="shared" ref="F52:J52" si="23">E52</f>
        <v>0.40282549286009645</v>
      </c>
      <c r="G52" s="101">
        <f t="shared" si="23"/>
        <v>0.40282549286009645</v>
      </c>
      <c r="H52" s="101">
        <f t="shared" si="23"/>
        <v>0.40282549286009645</v>
      </c>
      <c r="I52" s="101">
        <f t="shared" si="23"/>
        <v>0.40282549286009645</v>
      </c>
      <c r="J52" s="101">
        <f t="shared" si="23"/>
        <v>0.40282549286009645</v>
      </c>
      <c r="K52" s="187"/>
      <c r="L52" s="187"/>
    </row>
    <row r="53" spans="1:12" x14ac:dyDescent="0.25">
      <c r="F53" s="126"/>
      <c r="G53" s="32"/>
      <c r="H53" s="32"/>
      <c r="I53" s="32"/>
      <c r="J53" s="32"/>
    </row>
    <row r="54" spans="1:12" x14ac:dyDescent="0.25">
      <c r="F54" s="127"/>
      <c r="G54" s="95"/>
      <c r="H54" s="95"/>
      <c r="I54" s="95"/>
      <c r="J54" s="95"/>
    </row>
    <row r="55" spans="1:12" x14ac:dyDescent="0.25">
      <c r="F55" s="95"/>
      <c r="G55" s="95"/>
      <c r="H55" s="95"/>
      <c r="I55" s="95"/>
      <c r="J55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F6:K8 N7:T7 D7:D8 M9:N11 F11:L33 K35:L38 F37:J38 K40:L46 F42:J46 E45 K48:L52 F50:J52 F54:J55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8"/>
  <sheetViews>
    <sheetView showGridLines="0" zoomScaleNormal="100" workbookViewId="0">
      <selection activeCell="F18" sqref="F18:J24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316" t="str">
        <f>CoName</f>
        <v xml:space="preserve">Berkshire Hathaway Insurance 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2" t="s">
        <v>11</v>
      </c>
      <c r="B2" s="21"/>
      <c r="C2" s="210">
        <v>2022</v>
      </c>
      <c r="D2" s="314">
        <f>C2+1</f>
        <v>2023</v>
      </c>
      <c r="E2" s="314">
        <f t="shared" ref="E2:J2" si="0">D2+1</f>
        <v>2024</v>
      </c>
      <c r="F2" s="314">
        <f t="shared" si="0"/>
        <v>2025</v>
      </c>
      <c r="G2" s="314">
        <f t="shared" si="0"/>
        <v>2026</v>
      </c>
      <c r="H2" s="314">
        <f t="shared" si="0"/>
        <v>2027</v>
      </c>
      <c r="I2" s="314">
        <f t="shared" si="0"/>
        <v>2028</v>
      </c>
      <c r="J2" s="314">
        <f t="shared" si="0"/>
        <v>2029</v>
      </c>
      <c r="K2" s="211"/>
      <c r="L2" s="211"/>
      <c r="M2" s="211"/>
    </row>
    <row r="3" spans="1:13" x14ac:dyDescent="0.25">
      <c r="B3" s="4" t="s">
        <v>12</v>
      </c>
      <c r="C3" s="31"/>
      <c r="D3" s="31"/>
      <c r="E3" s="40"/>
      <c r="F3" s="220">
        <f>Assumptions!F31</f>
        <v>2.5494103711257512E-4</v>
      </c>
      <c r="G3" s="220">
        <f>Assumptions!G31</f>
        <v>2.5494103711257512E-4</v>
      </c>
      <c r="H3" s="220">
        <f>Assumptions!H31</f>
        <v>2.5494103711257512E-4</v>
      </c>
      <c r="I3" s="220">
        <f>Assumptions!I31</f>
        <v>2.5494103711257512E-4</v>
      </c>
      <c r="J3" s="220">
        <f>Assumptions!J31</f>
        <v>2.5494103711257512E-4</v>
      </c>
      <c r="K3" s="218"/>
      <c r="L3" s="218"/>
    </row>
    <row r="4" spans="1:13" x14ac:dyDescent="0.25">
      <c r="B4" s="4" t="s">
        <v>129</v>
      </c>
      <c r="C4" s="31"/>
      <c r="D4" s="31"/>
      <c r="E4" s="40"/>
      <c r="F4" s="220">
        <f>Assumptions!F32</f>
        <v>8.7176006448054979E-3</v>
      </c>
      <c r="G4" s="220">
        <f>F4</f>
        <v>8.7176006448054979E-3</v>
      </c>
      <c r="H4" s="220">
        <f t="shared" ref="H4:J4" si="1">G4</f>
        <v>8.7176006448054979E-3</v>
      </c>
      <c r="I4" s="220">
        <f t="shared" si="1"/>
        <v>8.7176006448054979E-3</v>
      </c>
      <c r="J4" s="220">
        <f t="shared" si="1"/>
        <v>8.7176006448054979E-3</v>
      </c>
      <c r="K4" s="218"/>
      <c r="L4" s="218"/>
    </row>
    <row r="5" spans="1:13" x14ac:dyDescent="0.25">
      <c r="E5" s="29"/>
      <c r="F5" s="78"/>
      <c r="G5" s="66"/>
      <c r="H5" s="84"/>
      <c r="I5" s="66"/>
      <c r="J5" s="66"/>
    </row>
    <row r="6" spans="1:13" x14ac:dyDescent="0.25">
      <c r="B6" s="4" t="s">
        <v>13</v>
      </c>
      <c r="E6" s="29"/>
      <c r="F6" s="4">
        <f>E9</f>
        <v>47146</v>
      </c>
      <c r="G6" s="4">
        <f t="shared" ref="G6:J6" si="2">F9</f>
        <v>46821.1</v>
      </c>
      <c r="H6" s="4">
        <f t="shared" si="2"/>
        <v>46503.337348449495</v>
      </c>
      <c r="I6" s="4">
        <f t="shared" si="2"/>
        <v>46192.865074795045</v>
      </c>
      <c r="J6" s="4">
        <f t="shared" si="2"/>
        <v>45889.845636933598</v>
      </c>
    </row>
    <row r="7" spans="1:13" x14ac:dyDescent="0.25">
      <c r="B7" s="4" t="s">
        <v>14</v>
      </c>
      <c r="C7" s="13"/>
      <c r="D7" s="13"/>
      <c r="E7" s="132"/>
      <c r="F7" s="4">
        <f>F3*IncState!F15</f>
        <v>86.100000000000009</v>
      </c>
      <c r="G7" s="4">
        <f>G3*IncState!G15</f>
        <v>90.405000000000001</v>
      </c>
      <c r="H7" s="4">
        <f>H3*IncState!H15</f>
        <v>94.925250000000005</v>
      </c>
      <c r="I7" s="4">
        <f>I3*IncState!I15</f>
        <v>99.671512500000006</v>
      </c>
      <c r="J7" s="4">
        <f>J3*IncState!J15</f>
        <v>104.65508812500001</v>
      </c>
    </row>
    <row r="8" spans="1:13" x14ac:dyDescent="0.25">
      <c r="B8" s="4" t="s">
        <v>15</v>
      </c>
      <c r="E8" s="29"/>
      <c r="F8" s="4">
        <f>F4*F6</f>
        <v>411</v>
      </c>
      <c r="G8" s="4">
        <f t="shared" ref="G8:J8" si="3">G4*G6</f>
        <v>408.16765155050268</v>
      </c>
      <c r="H8" s="4">
        <f t="shared" si="3"/>
        <v>405.39752365445094</v>
      </c>
      <c r="I8" s="4">
        <f t="shared" si="3"/>
        <v>402.69095036144665</v>
      </c>
      <c r="J8" s="4">
        <f t="shared" si="3"/>
        <v>400.04934791455707</v>
      </c>
    </row>
    <row r="9" spans="1:13" x14ac:dyDescent="0.25">
      <c r="B9" s="4" t="s">
        <v>16</v>
      </c>
      <c r="E9" s="29">
        <f>BalSheet!D22</f>
        <v>47146</v>
      </c>
      <c r="F9" s="4">
        <f>F6+F7-F8</f>
        <v>46821.1</v>
      </c>
      <c r="G9" s="4">
        <f t="shared" ref="G9:J9" si="4">G6+G7-G8</f>
        <v>46503.337348449495</v>
      </c>
      <c r="H9" s="4">
        <f t="shared" si="4"/>
        <v>46192.865074795045</v>
      </c>
      <c r="I9" s="4">
        <f t="shared" si="4"/>
        <v>45889.845636933598</v>
      </c>
      <c r="J9" s="4">
        <f t="shared" si="4"/>
        <v>45594.45137714404</v>
      </c>
    </row>
    <row r="10" spans="1:13" x14ac:dyDescent="0.25">
      <c r="A10" s="22" t="s">
        <v>17</v>
      </c>
      <c r="B10" s="42"/>
      <c r="C10" s="288">
        <f t="shared" ref="C10:J10" si="5">C2</f>
        <v>2022</v>
      </c>
      <c r="D10" s="288">
        <f t="shared" si="5"/>
        <v>2023</v>
      </c>
      <c r="E10" s="288">
        <f t="shared" si="5"/>
        <v>2024</v>
      </c>
      <c r="F10" s="288">
        <f t="shared" si="5"/>
        <v>2025</v>
      </c>
      <c r="G10" s="288">
        <f t="shared" si="5"/>
        <v>2026</v>
      </c>
      <c r="H10" s="288">
        <f t="shared" si="5"/>
        <v>2027</v>
      </c>
      <c r="I10" s="288">
        <f t="shared" si="5"/>
        <v>2028</v>
      </c>
      <c r="J10" s="288">
        <f t="shared" si="5"/>
        <v>2029</v>
      </c>
      <c r="K10" s="213"/>
      <c r="L10" s="213"/>
    </row>
    <row r="11" spans="1:13" x14ac:dyDescent="0.25">
      <c r="B11" s="4" t="s">
        <v>18</v>
      </c>
      <c r="E11" s="29"/>
      <c r="F11" s="317">
        <f>Assumptions!F33</f>
        <v>0</v>
      </c>
      <c r="G11" s="317">
        <f>Assumptions!G33</f>
        <v>0</v>
      </c>
      <c r="H11" s="317">
        <f>Assumptions!H33</f>
        <v>0</v>
      </c>
      <c r="I11" s="317">
        <f>Assumptions!I33</f>
        <v>0</v>
      </c>
      <c r="J11" s="317">
        <f>Assumptions!J33</f>
        <v>0</v>
      </c>
      <c r="K11" s="219"/>
      <c r="L11" s="219"/>
    </row>
    <row r="12" spans="1:13" x14ac:dyDescent="0.25">
      <c r="E12" s="29"/>
      <c r="F12" s="78"/>
      <c r="G12" s="66"/>
      <c r="H12" s="84"/>
      <c r="I12" s="66"/>
      <c r="J12" s="66"/>
    </row>
    <row r="13" spans="1:13" x14ac:dyDescent="0.25">
      <c r="B13" s="4" t="s">
        <v>19</v>
      </c>
      <c r="E13" s="29"/>
      <c r="F13" s="4">
        <f>E16</f>
        <v>606552</v>
      </c>
      <c r="G13" s="4">
        <f t="shared" ref="G13:J13" si="6">F16</f>
        <v>646796.23024851712</v>
      </c>
      <c r="H13" s="4">
        <f t="shared" si="6"/>
        <v>689130.7462112396</v>
      </c>
      <c r="I13" s="4">
        <f t="shared" si="6"/>
        <v>733660.06217387773</v>
      </c>
      <c r="J13" s="4">
        <f t="shared" si="6"/>
        <v>780493.91813642718</v>
      </c>
    </row>
    <row r="14" spans="1:13" x14ac:dyDescent="0.25">
      <c r="B14" s="4" t="s">
        <v>20</v>
      </c>
      <c r="E14" s="29"/>
      <c r="F14" s="4">
        <f>IncState!F33</f>
        <v>40244.230248517102</v>
      </c>
      <c r="G14" s="4">
        <f>IncState!G33</f>
        <v>42334.515962722457</v>
      </c>
      <c r="H14" s="4">
        <f>IncState!H33</f>
        <v>44529.315962638109</v>
      </c>
      <c r="I14" s="4">
        <f>IncState!I33</f>
        <v>46833.855962549489</v>
      </c>
      <c r="J14" s="4">
        <f>IncState!J33</f>
        <v>49253.622962456458</v>
      </c>
    </row>
    <row r="15" spans="1:13" x14ac:dyDescent="0.25">
      <c r="B15" s="4" t="s">
        <v>21</v>
      </c>
      <c r="E15" s="29"/>
      <c r="F15" s="4">
        <f>F11</f>
        <v>0</v>
      </c>
      <c r="G15" s="4">
        <f t="shared" ref="G15:J15" si="7">G11</f>
        <v>0</v>
      </c>
      <c r="H15" s="4">
        <f t="shared" si="7"/>
        <v>0</v>
      </c>
      <c r="I15" s="4">
        <f t="shared" si="7"/>
        <v>0</v>
      </c>
      <c r="J15" s="4">
        <f t="shared" si="7"/>
        <v>0</v>
      </c>
    </row>
    <row r="16" spans="1:13" x14ac:dyDescent="0.25">
      <c r="B16" s="4" t="s">
        <v>22</v>
      </c>
      <c r="E16" s="29">
        <f>BalSheet!E38</f>
        <v>606552</v>
      </c>
      <c r="F16" s="4">
        <f>SUM(F13:F15)</f>
        <v>646796.23024851712</v>
      </c>
      <c r="G16" s="4">
        <f t="shared" ref="G16:J16" si="8">SUM(G13:G15)</f>
        <v>689130.7462112396</v>
      </c>
      <c r="H16" s="4">
        <f t="shared" si="8"/>
        <v>733660.06217387773</v>
      </c>
      <c r="I16" s="4">
        <f t="shared" si="8"/>
        <v>780493.91813642718</v>
      </c>
      <c r="J16" s="4">
        <f t="shared" si="8"/>
        <v>829747.54109888361</v>
      </c>
    </row>
    <row r="17" spans="1:12" x14ac:dyDescent="0.25">
      <c r="A17" s="22" t="s">
        <v>23</v>
      </c>
      <c r="B17" s="42"/>
      <c r="C17" s="288">
        <f>C10</f>
        <v>2022</v>
      </c>
      <c r="D17" s="288">
        <f t="shared" ref="D17:J17" si="9">D10</f>
        <v>2023</v>
      </c>
      <c r="E17" s="288">
        <f t="shared" si="9"/>
        <v>2024</v>
      </c>
      <c r="F17" s="288">
        <f t="shared" si="9"/>
        <v>2025</v>
      </c>
      <c r="G17" s="288">
        <f t="shared" si="9"/>
        <v>2026</v>
      </c>
      <c r="H17" s="288">
        <f t="shared" si="9"/>
        <v>2027</v>
      </c>
      <c r="I17" s="288">
        <f t="shared" si="9"/>
        <v>2028</v>
      </c>
      <c r="J17" s="288">
        <f t="shared" si="9"/>
        <v>2029</v>
      </c>
      <c r="K17" s="213"/>
      <c r="L17" s="213"/>
    </row>
    <row r="18" spans="1:12" x14ac:dyDescent="0.25">
      <c r="A18" s="87"/>
      <c r="B18" s="189" t="s">
        <v>152</v>
      </c>
      <c r="C18" s="213"/>
      <c r="D18" s="213"/>
      <c r="E18" s="234">
        <f>BalSheet!E15</f>
        <v>4824.6449999999995</v>
      </c>
      <c r="F18" s="136">
        <f>BalSheet!F15</f>
        <v>5065.8772499999995</v>
      </c>
      <c r="G18" s="136">
        <f>BalSheet!G15</f>
        <v>5319.1711124999993</v>
      </c>
      <c r="H18" s="136">
        <f>BalSheet!H15</f>
        <v>5585.1296681249996</v>
      </c>
      <c r="I18" s="136">
        <f>BalSheet!I15</f>
        <v>5864.3861515312492</v>
      </c>
      <c r="J18" s="136">
        <f>BalSheet!J15</f>
        <v>6157.6054591078118</v>
      </c>
      <c r="K18" s="213"/>
      <c r="L18" s="213"/>
    </row>
    <row r="19" spans="1:12" x14ac:dyDescent="0.25">
      <c r="B19" s="4" t="str">
        <f>BalSheet!B19</f>
        <v>Inventories</v>
      </c>
      <c r="D19" s="98"/>
      <c r="E19" s="99">
        <f>BalSheet!E19</f>
        <v>24008</v>
      </c>
      <c r="F19" s="4">
        <f>BalSheet!F19</f>
        <v>25208.399999999998</v>
      </c>
      <c r="G19" s="4">
        <f>BalSheet!G19</f>
        <v>26468.82</v>
      </c>
      <c r="H19" s="4">
        <f>BalSheet!H19</f>
        <v>27792.260999999999</v>
      </c>
      <c r="I19" s="4">
        <f>BalSheet!I19</f>
        <v>29181.874049999999</v>
      </c>
      <c r="J19" s="4">
        <f>BalSheet!J19</f>
        <v>30640.967752500001</v>
      </c>
      <c r="K19" s="98"/>
      <c r="L19" s="98"/>
    </row>
    <row r="20" spans="1:12" x14ac:dyDescent="0.25">
      <c r="B20" s="4" t="str">
        <f>BalSheet!B18</f>
        <v>Accounts receivable</v>
      </c>
      <c r="C20" s="98"/>
      <c r="D20" s="98"/>
      <c r="E20" s="99">
        <f>BalSheet!E18</f>
        <v>71685</v>
      </c>
      <c r="F20" s="4">
        <f>BalSheet!F18</f>
        <v>75269.25</v>
      </c>
      <c r="G20" s="4">
        <f>BalSheet!G18</f>
        <v>79032.712500000009</v>
      </c>
      <c r="H20" s="4">
        <f>BalSheet!H18</f>
        <v>82984.348125000004</v>
      </c>
      <c r="I20" s="4">
        <f>BalSheet!I18</f>
        <v>87133.565531250002</v>
      </c>
      <c r="J20" s="4">
        <f>BalSheet!J18</f>
        <v>91490.243807812512</v>
      </c>
      <c r="K20" s="98"/>
      <c r="L20" s="98"/>
    </row>
    <row r="21" spans="1:12" x14ac:dyDescent="0.25">
      <c r="B21" s="4" t="s">
        <v>156</v>
      </c>
      <c r="C21" s="98"/>
      <c r="D21" s="98"/>
      <c r="E21" s="99">
        <f>BalSheet!E30</f>
        <v>95143</v>
      </c>
      <c r="F21" s="4">
        <f>BalSheet!F30</f>
        <v>99900.15</v>
      </c>
      <c r="G21" s="4">
        <f>BalSheet!G30</f>
        <v>104895.1575</v>
      </c>
      <c r="H21" s="4">
        <f>BalSheet!H30</f>
        <v>110139.915375</v>
      </c>
      <c r="I21" s="4">
        <f>BalSheet!I30</f>
        <v>115646.91114375</v>
      </c>
      <c r="J21" s="4">
        <f>BalSheet!J30</f>
        <v>121429.25670093751</v>
      </c>
      <c r="K21" s="98"/>
      <c r="L21" s="98"/>
    </row>
    <row r="22" spans="1:12" x14ac:dyDescent="0.25">
      <c r="B22" s="4" t="s">
        <v>72</v>
      </c>
      <c r="C22" s="98"/>
      <c r="D22" s="98"/>
      <c r="E22" s="99">
        <f>BalSheet!E31</f>
        <v>41511</v>
      </c>
      <c r="F22" s="4">
        <f>BalSheet!F31</f>
        <v>43586.55</v>
      </c>
      <c r="G22" s="4">
        <f>BalSheet!G31</f>
        <v>45765.877500000002</v>
      </c>
      <c r="H22" s="4">
        <f>BalSheet!H31</f>
        <v>48054.171375000005</v>
      </c>
      <c r="I22" s="4">
        <f>BalSheet!I31</f>
        <v>50456.879943750006</v>
      </c>
      <c r="J22" s="4">
        <f>BalSheet!J31</f>
        <v>52979.723940937503</v>
      </c>
      <c r="K22" s="98"/>
      <c r="L22" s="98"/>
    </row>
    <row r="23" spans="1:12" x14ac:dyDescent="0.25">
      <c r="A23" s="11" t="s">
        <v>119</v>
      </c>
      <c r="B23" s="18" t="s">
        <v>23</v>
      </c>
      <c r="C23" s="19"/>
      <c r="D23" s="19"/>
      <c r="E23" s="19">
        <f>SUM(E18:E20)-SUM(E21:E22)</f>
        <v>-36136.354999999996</v>
      </c>
      <c r="F23" s="19">
        <f>SUM(F18:F20)-SUM(F21:F22)</f>
        <v>-37943.172750000012</v>
      </c>
      <c r="G23" s="19">
        <f t="shared" ref="G23:J23" si="10">SUM(G18:G20)-SUM(G21:G22)</f>
        <v>-39840.331387499988</v>
      </c>
      <c r="H23" s="19">
        <f t="shared" si="10"/>
        <v>-41832.347956875019</v>
      </c>
      <c r="I23" s="19">
        <f t="shared" si="10"/>
        <v>-43923.965354718748</v>
      </c>
      <c r="J23" s="19">
        <f t="shared" si="10"/>
        <v>-46120.163622454682</v>
      </c>
      <c r="K23" s="11"/>
      <c r="L23" s="11"/>
    </row>
    <row r="24" spans="1:12" s="11" customFormat="1" x14ac:dyDescent="0.25">
      <c r="A24" s="26"/>
      <c r="B24" s="11" t="s">
        <v>144</v>
      </c>
      <c r="F24" s="11">
        <f>E23-F23</f>
        <v>1806.8177500000165</v>
      </c>
      <c r="G24" s="11">
        <f t="shared" ref="G24:J24" si="11">F23-G23</f>
        <v>1897.1586374999752</v>
      </c>
      <c r="H24" s="11">
        <f t="shared" si="11"/>
        <v>1992.0165693750314</v>
      </c>
      <c r="I24" s="11">
        <f t="shared" si="11"/>
        <v>2091.6173978437291</v>
      </c>
      <c r="J24" s="11">
        <f t="shared" si="11"/>
        <v>2196.1982677359338</v>
      </c>
    </row>
    <row r="25" spans="1:12" x14ac:dyDescent="0.25">
      <c r="B25" s="66"/>
      <c r="C25" s="66"/>
      <c r="D25" s="66"/>
      <c r="E25" s="66"/>
      <c r="F25" s="66"/>
      <c r="G25" s="66"/>
      <c r="H25" s="84"/>
      <c r="I25" s="66"/>
      <c r="J25" s="66"/>
    </row>
    <row r="26" spans="1:12" x14ac:dyDescent="0.25">
      <c r="H26" s="6"/>
      <c r="I26" s="4"/>
      <c r="J26" s="4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1" sqref="F3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316" t="str">
        <f>CoName</f>
        <v xml:space="preserve">Berkshire Hathaway Insurance 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7" t="s">
        <v>10</v>
      </c>
      <c r="B2" s="212"/>
      <c r="C2" s="108">
        <v>44926</v>
      </c>
      <c r="D2" s="108">
        <v>45291</v>
      </c>
      <c r="E2" s="108">
        <v>45657</v>
      </c>
      <c r="F2" s="108">
        <v>46022</v>
      </c>
      <c r="G2" s="108">
        <v>46387</v>
      </c>
      <c r="H2" s="108">
        <v>46752</v>
      </c>
      <c r="I2" s="108">
        <v>47118</v>
      </c>
      <c r="J2" s="108">
        <v>47483</v>
      </c>
      <c r="K2" s="221"/>
      <c r="L2" s="221"/>
    </row>
    <row r="3" spans="1:13" s="2" customFormat="1" x14ac:dyDescent="0.25">
      <c r="A3" s="87"/>
      <c r="B3" s="11"/>
      <c r="C3" s="213"/>
      <c r="D3" s="213"/>
      <c r="E3" s="213"/>
      <c r="F3" s="213"/>
      <c r="G3" s="213"/>
      <c r="H3" s="213"/>
      <c r="I3" s="213"/>
      <c r="J3" s="213"/>
      <c r="K3" s="221"/>
      <c r="L3" s="221"/>
    </row>
    <row r="4" spans="1:13" s="2" customFormat="1" x14ac:dyDescent="0.25">
      <c r="A4" s="11"/>
      <c r="B4" s="4" t="s">
        <v>24</v>
      </c>
      <c r="C4" s="32"/>
      <c r="D4" s="56"/>
      <c r="E4" s="60"/>
      <c r="F4" s="112">
        <f>Assumptions!F22</f>
        <v>0</v>
      </c>
      <c r="G4" s="112">
        <f>Assumptions!G22</f>
        <v>0</v>
      </c>
      <c r="H4" s="112">
        <f>Assumptions!H22</f>
        <v>0</v>
      </c>
      <c r="I4" s="112">
        <f>Assumptions!I22</f>
        <v>0</v>
      </c>
      <c r="J4" s="112">
        <f>Assumptions!J22</f>
        <v>0</v>
      </c>
      <c r="K4" s="31"/>
      <c r="L4" s="31"/>
    </row>
    <row r="5" spans="1:13" s="2" customFormat="1" x14ac:dyDescent="0.25">
      <c r="A5" s="11"/>
      <c r="B5" s="4" t="s">
        <v>25</v>
      </c>
      <c r="C5" s="32"/>
      <c r="D5" s="57"/>
      <c r="E5" s="61"/>
      <c r="F5" s="112">
        <f>Assumptions!F23</f>
        <v>0</v>
      </c>
      <c r="G5" s="112">
        <f>Assumptions!G23</f>
        <v>0</v>
      </c>
      <c r="H5" s="112">
        <f>Assumptions!H23</f>
        <v>0</v>
      </c>
      <c r="I5" s="112">
        <f>Assumptions!I23</f>
        <v>0</v>
      </c>
      <c r="J5" s="112">
        <f>Assumptions!J23</f>
        <v>0</v>
      </c>
      <c r="K5" s="31"/>
      <c r="L5" s="31"/>
    </row>
    <row r="6" spans="1:13" s="2" customFormat="1" x14ac:dyDescent="0.25">
      <c r="A6" s="11"/>
      <c r="B6" s="4" t="s">
        <v>26</v>
      </c>
      <c r="C6" s="32"/>
      <c r="D6" s="56"/>
      <c r="E6" s="60"/>
      <c r="F6" s="112">
        <f>Assumptions!F24</f>
        <v>0</v>
      </c>
      <c r="G6" s="112">
        <f>Assumptions!G24</f>
        <v>0</v>
      </c>
      <c r="H6" s="112">
        <f>Assumptions!H24</f>
        <v>0</v>
      </c>
      <c r="I6" s="112">
        <f>Assumptions!I24</f>
        <v>0</v>
      </c>
      <c r="J6" s="112">
        <f>Assumptions!J24</f>
        <v>0</v>
      </c>
      <c r="K6" s="31"/>
      <c r="L6" s="31"/>
    </row>
    <row r="7" spans="1:13" s="2" customFormat="1" x14ac:dyDescent="0.25">
      <c r="A7" s="11"/>
      <c r="B7" s="4"/>
      <c r="C7" s="32"/>
      <c r="D7" s="32"/>
      <c r="E7" s="32"/>
      <c r="F7" s="110"/>
      <c r="G7" s="110"/>
      <c r="H7" s="110"/>
      <c r="I7" s="111"/>
      <c r="J7" s="111"/>
      <c r="K7" s="222"/>
      <c r="L7" s="222"/>
    </row>
    <row r="8" spans="1:13" s="2" customFormat="1" x14ac:dyDescent="0.25">
      <c r="A8" s="11"/>
      <c r="B8" s="4" t="s">
        <v>27</v>
      </c>
      <c r="C8" s="32"/>
      <c r="D8" s="58"/>
      <c r="E8" s="62"/>
      <c r="F8" s="113">
        <f>Assumptions!F26</f>
        <v>0</v>
      </c>
      <c r="G8" s="113">
        <f>Assumptions!G26</f>
        <v>0</v>
      </c>
      <c r="H8" s="113">
        <f>Assumptions!H26</f>
        <v>0</v>
      </c>
      <c r="I8" s="113">
        <f>Assumptions!I26</f>
        <v>0</v>
      </c>
      <c r="J8" s="113">
        <f>Assumptions!J26</f>
        <v>0</v>
      </c>
      <c r="K8" s="223"/>
      <c r="L8" s="223"/>
    </row>
    <row r="9" spans="1:13" s="2" customFormat="1" x14ac:dyDescent="0.25">
      <c r="A9" s="11"/>
      <c r="B9" s="4" t="s">
        <v>28</v>
      </c>
      <c r="C9" s="32"/>
      <c r="D9" s="58"/>
      <c r="E9" s="62"/>
      <c r="F9" s="113">
        <f>Assumptions!F27</f>
        <v>0</v>
      </c>
      <c r="G9" s="113">
        <f>Assumptions!G27</f>
        <v>0</v>
      </c>
      <c r="H9" s="113">
        <f>Assumptions!H27</f>
        <v>0</v>
      </c>
      <c r="I9" s="113">
        <f>Assumptions!I27</f>
        <v>0</v>
      </c>
      <c r="J9" s="113">
        <f>Assumptions!J27</f>
        <v>0</v>
      </c>
      <c r="K9" s="223"/>
      <c r="L9" s="223"/>
    </row>
    <row r="10" spans="1:13" s="2" customFormat="1" ht="18.75" x14ac:dyDescent="0.3">
      <c r="A10" s="33"/>
      <c r="B10" s="3"/>
      <c r="C10" s="53"/>
      <c r="D10" s="53"/>
      <c r="E10" s="53"/>
      <c r="F10" s="109"/>
      <c r="G10" s="109"/>
      <c r="H10" s="109"/>
      <c r="I10" s="109"/>
      <c r="J10" s="109"/>
      <c r="K10" s="53"/>
      <c r="L10" s="53"/>
    </row>
    <row r="11" spans="1:13" x14ac:dyDescent="0.25">
      <c r="A11" s="22" t="s">
        <v>29</v>
      </c>
      <c r="B11" s="54"/>
      <c r="C11" s="157">
        <f>C2</f>
        <v>44926</v>
      </c>
      <c r="D11" s="157">
        <f t="shared" ref="D11:J11" si="0">D2</f>
        <v>45291</v>
      </c>
      <c r="E11" s="157">
        <f t="shared" si="0"/>
        <v>45657</v>
      </c>
      <c r="F11" s="157">
        <f t="shared" si="0"/>
        <v>46022</v>
      </c>
      <c r="G11" s="157">
        <f t="shared" si="0"/>
        <v>46387</v>
      </c>
      <c r="H11" s="157">
        <f t="shared" si="0"/>
        <v>46752</v>
      </c>
      <c r="I11" s="157">
        <f t="shared" si="0"/>
        <v>47118</v>
      </c>
      <c r="J11" s="157">
        <f t="shared" si="0"/>
        <v>47483</v>
      </c>
      <c r="K11" s="224"/>
      <c r="L11" s="224"/>
      <c r="M11" s="47"/>
    </row>
    <row r="12" spans="1:13" x14ac:dyDescent="0.25">
      <c r="B12" s="4" t="s">
        <v>30</v>
      </c>
      <c r="E12" s="29"/>
      <c r="F12" s="4" t="s">
        <v>198</v>
      </c>
      <c r="I12" s="4"/>
      <c r="J12" s="4"/>
      <c r="M12" s="47"/>
    </row>
    <row r="13" spans="1:13" x14ac:dyDescent="0.25">
      <c r="B13" s="4" t="s">
        <v>31</v>
      </c>
      <c r="E13" s="30"/>
      <c r="I13" s="4"/>
      <c r="J13" s="4"/>
      <c r="M13" s="47"/>
    </row>
    <row r="14" spans="1:13" x14ac:dyDescent="0.25">
      <c r="B14" s="4" t="s">
        <v>32</v>
      </c>
      <c r="E14" s="29"/>
      <c r="I14" s="4"/>
      <c r="J14" s="4"/>
      <c r="M14" s="47"/>
    </row>
    <row r="15" spans="1:13" x14ac:dyDescent="0.25">
      <c r="E15" s="29"/>
      <c r="I15" s="4"/>
      <c r="J15" s="4"/>
      <c r="M15" s="47"/>
    </row>
    <row r="16" spans="1:13" x14ac:dyDescent="0.25">
      <c r="A16" s="323" t="s">
        <v>33</v>
      </c>
      <c r="B16" s="21"/>
      <c r="C16" s="55">
        <f t="shared" ref="C16:J16" si="1">C11</f>
        <v>44926</v>
      </c>
      <c r="D16" s="55">
        <f t="shared" si="1"/>
        <v>45291</v>
      </c>
      <c r="E16" s="55">
        <f t="shared" si="1"/>
        <v>45657</v>
      </c>
      <c r="F16" s="55">
        <f t="shared" si="1"/>
        <v>46022</v>
      </c>
      <c r="G16" s="55">
        <f t="shared" si="1"/>
        <v>46387</v>
      </c>
      <c r="H16" s="55">
        <f t="shared" si="1"/>
        <v>46752</v>
      </c>
      <c r="I16" s="55">
        <f t="shared" si="1"/>
        <v>47118</v>
      </c>
      <c r="J16" s="55">
        <f t="shared" si="1"/>
        <v>47483</v>
      </c>
      <c r="K16" s="221"/>
      <c r="L16" s="221"/>
      <c r="M16" s="47"/>
    </row>
    <row r="17" spans="1:13" x14ac:dyDescent="0.25">
      <c r="B17" s="4" t="s">
        <v>19</v>
      </c>
      <c r="E17" s="29"/>
      <c r="F17" s="4" t="s">
        <v>198</v>
      </c>
      <c r="I17" s="4"/>
      <c r="J17" s="4"/>
      <c r="M17" s="47"/>
    </row>
    <row r="18" spans="1:13" x14ac:dyDescent="0.25">
      <c r="B18" s="4" t="s">
        <v>34</v>
      </c>
      <c r="E18" s="29"/>
      <c r="I18" s="4"/>
      <c r="J18" s="4"/>
      <c r="M18" s="47"/>
    </row>
    <row r="19" spans="1:13" x14ac:dyDescent="0.25">
      <c r="B19" s="4" t="s">
        <v>35</v>
      </c>
      <c r="E19" s="29"/>
      <c r="I19" s="4"/>
      <c r="J19" s="4"/>
    </row>
    <row r="20" spans="1:13" x14ac:dyDescent="0.25">
      <c r="B20" s="4" t="s">
        <v>22</v>
      </c>
      <c r="C20" s="10"/>
      <c r="E20" s="29"/>
      <c r="I20" s="4"/>
      <c r="J20" s="4"/>
    </row>
    <row r="21" spans="1:13" x14ac:dyDescent="0.25">
      <c r="B21" s="4" t="s">
        <v>31</v>
      </c>
      <c r="D21" s="48"/>
      <c r="E21" s="29"/>
      <c r="F21" s="8"/>
      <c r="G21" s="8"/>
      <c r="H21" s="8"/>
      <c r="I21" s="8"/>
      <c r="J21" s="8"/>
    </row>
    <row r="22" spans="1:13" x14ac:dyDescent="0.25">
      <c r="B22" s="4" t="s">
        <v>32</v>
      </c>
      <c r="E22" s="29"/>
      <c r="I22" s="4"/>
      <c r="J22" s="4"/>
    </row>
    <row r="23" spans="1:13" x14ac:dyDescent="0.25">
      <c r="E23" s="29"/>
      <c r="I23" s="4"/>
      <c r="J23" s="4"/>
    </row>
    <row r="24" spans="1:13" x14ac:dyDescent="0.25">
      <c r="A24" s="22" t="s">
        <v>36</v>
      </c>
      <c r="B24" s="42"/>
      <c r="C24" s="55">
        <f>C16</f>
        <v>44926</v>
      </c>
      <c r="D24" s="55">
        <f t="shared" ref="D24:J24" si="2">D16</f>
        <v>45291</v>
      </c>
      <c r="E24" s="55">
        <f t="shared" si="2"/>
        <v>45657</v>
      </c>
      <c r="F24" s="55">
        <f t="shared" si="2"/>
        <v>46022</v>
      </c>
      <c r="G24" s="55">
        <f t="shared" si="2"/>
        <v>46387</v>
      </c>
      <c r="H24" s="55">
        <f t="shared" si="2"/>
        <v>46752</v>
      </c>
      <c r="I24" s="55">
        <f t="shared" si="2"/>
        <v>47118</v>
      </c>
      <c r="J24" s="55">
        <f t="shared" si="2"/>
        <v>47483</v>
      </c>
      <c r="K24" s="221"/>
      <c r="L24" s="221"/>
    </row>
    <row r="25" spans="1:13" x14ac:dyDescent="0.25">
      <c r="A25" s="7"/>
      <c r="B25" s="4" t="s">
        <v>29</v>
      </c>
      <c r="E25" s="29"/>
      <c r="F25" s="4" t="s">
        <v>198</v>
      </c>
      <c r="I25" s="4"/>
      <c r="J25" s="4"/>
    </row>
    <row r="26" spans="1:13" x14ac:dyDescent="0.25">
      <c r="A26" s="7"/>
      <c r="B26" s="4" t="s">
        <v>37</v>
      </c>
      <c r="E26" s="29"/>
      <c r="I26" s="4"/>
      <c r="J26" s="4"/>
    </row>
    <row r="27" spans="1:13" x14ac:dyDescent="0.25">
      <c r="A27" s="7"/>
      <c r="B27" s="11" t="s">
        <v>38</v>
      </c>
      <c r="D27" s="11"/>
      <c r="E27" s="26"/>
      <c r="F27" s="11"/>
      <c r="G27" s="11"/>
      <c r="H27" s="11"/>
      <c r="I27" s="11"/>
      <c r="J27" s="11"/>
      <c r="K27" s="11"/>
      <c r="L27" s="11"/>
    </row>
    <row r="28" spans="1:13" x14ac:dyDescent="0.25">
      <c r="A28" s="7"/>
      <c r="B28" s="4" t="s">
        <v>39</v>
      </c>
      <c r="E28" s="29"/>
      <c r="I28" s="4"/>
      <c r="J28" s="4"/>
    </row>
    <row r="29" spans="1:13" x14ac:dyDescent="0.25">
      <c r="A29" s="7"/>
      <c r="E29" s="29"/>
      <c r="I29" s="4"/>
      <c r="J29" s="4"/>
    </row>
    <row r="30" spans="1:13" x14ac:dyDescent="0.25">
      <c r="A30" s="22" t="s">
        <v>40</v>
      </c>
      <c r="B30" s="42"/>
      <c r="C30" s="55">
        <f>C11</f>
        <v>44926</v>
      </c>
      <c r="D30" s="55">
        <f t="shared" ref="D30:J30" si="3">D11</f>
        <v>45291</v>
      </c>
      <c r="E30" s="55">
        <f t="shared" si="3"/>
        <v>45657</v>
      </c>
      <c r="F30" s="55">
        <f t="shared" si="3"/>
        <v>46022</v>
      </c>
      <c r="G30" s="55">
        <f t="shared" si="3"/>
        <v>46387</v>
      </c>
      <c r="H30" s="55">
        <f t="shared" si="3"/>
        <v>46752</v>
      </c>
      <c r="I30" s="55">
        <f t="shared" si="3"/>
        <v>47118</v>
      </c>
      <c r="J30" s="55">
        <f t="shared" si="3"/>
        <v>47483</v>
      </c>
      <c r="K30" s="221"/>
      <c r="L30" s="221"/>
    </row>
    <row r="31" spans="1:13" x14ac:dyDescent="0.25">
      <c r="A31" s="7"/>
      <c r="B31" s="4" t="s">
        <v>161</v>
      </c>
      <c r="E31" s="29"/>
      <c r="I31" s="4"/>
      <c r="J31" s="4"/>
    </row>
    <row r="32" spans="1:13" x14ac:dyDescent="0.25">
      <c r="B32" s="4" t="s">
        <v>31</v>
      </c>
      <c r="D32" s="48"/>
      <c r="E32" s="25"/>
      <c r="F32" s="5"/>
      <c r="G32" s="5"/>
      <c r="H32" s="5"/>
      <c r="I32" s="5"/>
      <c r="J32" s="5"/>
      <c r="K32" s="188"/>
      <c r="L32" s="188"/>
    </row>
    <row r="33" spans="2:10" x14ac:dyDescent="0.25">
      <c r="B33" s="4" t="s">
        <v>40</v>
      </c>
      <c r="E33" s="29"/>
      <c r="I33" s="4"/>
      <c r="J33" s="4"/>
    </row>
    <row r="34" spans="2:10" x14ac:dyDescent="0.25">
      <c r="E34" s="29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1"/>
  <sheetViews>
    <sheetView showGridLines="0" topLeftCell="A2" zoomScaleNormal="100" workbookViewId="0">
      <selection activeCell="I62" sqref="I62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316" t="str">
        <f>CoName</f>
        <v xml:space="preserve">Berkshire Hathaway Insurance 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7" t="s">
        <v>10</v>
      </c>
      <c r="B2" s="16"/>
      <c r="C2" s="315">
        <v>44926</v>
      </c>
      <c r="D2" s="315">
        <v>45291</v>
      </c>
      <c r="E2" s="315">
        <v>45657</v>
      </c>
      <c r="F2" s="108">
        <v>46022</v>
      </c>
      <c r="G2" s="108">
        <v>46387</v>
      </c>
      <c r="H2" s="108">
        <v>46752</v>
      </c>
      <c r="I2" s="108">
        <v>47118</v>
      </c>
      <c r="J2" s="108">
        <v>47483</v>
      </c>
    </row>
    <row r="3" spans="1:12" x14ac:dyDescent="0.25">
      <c r="A3" s="87"/>
      <c r="C3" s="100"/>
      <c r="D3" s="100"/>
      <c r="E3" s="100"/>
    </row>
    <row r="4" spans="1:12" x14ac:dyDescent="0.25">
      <c r="B4" s="32" t="s">
        <v>42</v>
      </c>
      <c r="C4" s="331">
        <f>C15/227956-1</f>
        <v>9.6136973801961734E-2</v>
      </c>
      <c r="D4" s="332">
        <f>D15/C15-1</f>
        <v>0.25957394015311896</v>
      </c>
      <c r="E4" s="333">
        <f>E15/D15-1</f>
        <v>2.1961611662022484E-2</v>
      </c>
      <c r="F4" s="191">
        <f>Assumptions!F10</f>
        <v>0.05</v>
      </c>
      <c r="G4" s="191">
        <f>Assumptions!G10</f>
        <v>0.05</v>
      </c>
      <c r="H4" s="191">
        <f>Assumptions!H10</f>
        <v>0.05</v>
      </c>
      <c r="I4" s="191">
        <f>Assumptions!I10</f>
        <v>0.05</v>
      </c>
      <c r="J4" s="191">
        <f>Assumptions!J10</f>
        <v>0.05</v>
      </c>
      <c r="K4" s="226"/>
      <c r="L4" s="226"/>
    </row>
    <row r="5" spans="1:12" x14ac:dyDescent="0.25">
      <c r="B5" s="32" t="s">
        <v>43</v>
      </c>
      <c r="C5" s="331"/>
      <c r="D5" s="331"/>
      <c r="E5" s="331"/>
      <c r="F5" s="191">
        <f>Assumptions!F11</f>
        <v>0.76968253622805405</v>
      </c>
      <c r="G5" s="191">
        <f>Assumptions!G11</f>
        <v>0.76968253622805405</v>
      </c>
      <c r="H5" s="191">
        <f>Assumptions!H11</f>
        <v>0.76968253622805405</v>
      </c>
      <c r="I5" s="191">
        <f>Assumptions!I11</f>
        <v>0.76968253622805405</v>
      </c>
      <c r="J5" s="191">
        <f>Assumptions!J11</f>
        <v>0.76968253622805405</v>
      </c>
      <c r="K5" s="226"/>
      <c r="L5" s="226"/>
    </row>
    <row r="6" spans="1:12" x14ac:dyDescent="0.25">
      <c r="B6" s="32" t="s">
        <v>44</v>
      </c>
      <c r="C6" s="331"/>
      <c r="D6" s="331"/>
      <c r="E6" s="331"/>
      <c r="F6" s="191">
        <f>Assumptions!F12</f>
        <v>7.9721927727325018E-2</v>
      </c>
      <c r="G6" s="191">
        <f>Assumptions!G12</f>
        <v>7.9721927727325018E-2</v>
      </c>
      <c r="H6" s="191">
        <f>Assumptions!H12</f>
        <v>7.9721927727325018E-2</v>
      </c>
      <c r="I6" s="191">
        <f>Assumptions!I12</f>
        <v>7.9721927727325018E-2</v>
      </c>
      <c r="J6" s="191">
        <f>Assumptions!J12</f>
        <v>7.9721927727325018E-2</v>
      </c>
      <c r="K6" s="226"/>
      <c r="L6" s="226"/>
    </row>
    <row r="7" spans="1:12" x14ac:dyDescent="0.25">
      <c r="A7" s="87"/>
      <c r="B7" s="4" t="s">
        <v>45</v>
      </c>
      <c r="C7" s="334">
        <v>0</v>
      </c>
      <c r="D7" s="334">
        <v>0</v>
      </c>
      <c r="E7" s="334">
        <v>0</v>
      </c>
      <c r="F7" s="192">
        <f>Assumptions!F13</f>
        <v>0</v>
      </c>
      <c r="G7" s="192">
        <f>Assumptions!G13</f>
        <v>0</v>
      </c>
      <c r="H7" s="192">
        <f>Assumptions!H13</f>
        <v>0</v>
      </c>
      <c r="I7" s="192">
        <f>Assumptions!I13</f>
        <v>0</v>
      </c>
      <c r="J7" s="192">
        <f>Assumptions!J13</f>
        <v>0</v>
      </c>
      <c r="K7" s="227"/>
      <c r="L7" s="227"/>
    </row>
    <row r="8" spans="1:12" x14ac:dyDescent="0.25">
      <c r="A8" s="87"/>
      <c r="B8" s="4" t="s">
        <v>46</v>
      </c>
      <c r="C8" s="32"/>
      <c r="D8" s="32"/>
      <c r="E8" s="32"/>
      <c r="F8" s="193">
        <f>Assumptions!F14</f>
        <v>0</v>
      </c>
      <c r="G8" s="193">
        <f>Assumptions!G14</f>
        <v>0</v>
      </c>
      <c r="H8" s="193">
        <f>Assumptions!H14</f>
        <v>0</v>
      </c>
      <c r="I8" s="193">
        <f>Assumptions!I14</f>
        <v>0</v>
      </c>
      <c r="J8" s="193">
        <f>Assumptions!J14</f>
        <v>0</v>
      </c>
      <c r="K8" s="228"/>
      <c r="L8" s="228"/>
    </row>
    <row r="9" spans="1:12" x14ac:dyDescent="0.25">
      <c r="B9" s="4" t="s">
        <v>139</v>
      </c>
      <c r="F9" s="193">
        <f>Assumptions!F15</f>
        <v>1899.6666666666667</v>
      </c>
      <c r="G9" s="193">
        <f>Assumptions!G15</f>
        <v>1899.6666666666667</v>
      </c>
      <c r="H9" s="193">
        <f>Assumptions!H15</f>
        <v>1899.6666666666667</v>
      </c>
      <c r="I9" s="193">
        <f>Assumptions!I15</f>
        <v>1899.6666666666667</v>
      </c>
      <c r="J9" s="193">
        <f>Assumptions!J15</f>
        <v>1899.6666666666667</v>
      </c>
      <c r="K9" s="228"/>
      <c r="L9" s="228"/>
    </row>
    <row r="10" spans="1:12" x14ac:dyDescent="0.25">
      <c r="B10" s="32" t="s">
        <v>47</v>
      </c>
      <c r="C10" s="43"/>
      <c r="D10" s="43"/>
      <c r="E10" s="43"/>
      <c r="F10" s="191">
        <f>Assumptions!F16</f>
        <v>0.1780220904070362</v>
      </c>
      <c r="G10" s="191">
        <f>Assumptions!G16</f>
        <v>0.1780220904070362</v>
      </c>
      <c r="H10" s="191">
        <f>Assumptions!H16</f>
        <v>0.1780220904070362</v>
      </c>
      <c r="I10" s="191">
        <f>Assumptions!I16</f>
        <v>0.1780220904070362</v>
      </c>
      <c r="J10" s="191">
        <f>Assumptions!J16</f>
        <v>0.1780220904070362</v>
      </c>
      <c r="K10" s="226"/>
      <c r="L10" s="226"/>
    </row>
    <row r="11" spans="1:12" x14ac:dyDescent="0.25">
      <c r="B11" s="4" t="s">
        <v>48</v>
      </c>
      <c r="C11" s="32"/>
      <c r="D11" s="32"/>
      <c r="E11" s="39"/>
      <c r="F11" s="193">
        <f>Assumptions!F17</f>
        <v>1.4377200000000001</v>
      </c>
      <c r="G11" s="193">
        <f>Assumptions!G17</f>
        <v>1.4377200000000001</v>
      </c>
      <c r="H11" s="193">
        <f>Assumptions!H17</f>
        <v>1.4377200000000001</v>
      </c>
      <c r="I11" s="193">
        <f>Assumptions!I17</f>
        <v>1.4377200000000001</v>
      </c>
      <c r="J11" s="193">
        <f>Assumptions!J17</f>
        <v>1.4377200000000001</v>
      </c>
      <c r="K11" s="228"/>
      <c r="L11" s="228"/>
    </row>
    <row r="12" spans="1:12" x14ac:dyDescent="0.25">
      <c r="B12" s="4" t="s">
        <v>49</v>
      </c>
      <c r="C12" s="32"/>
      <c r="D12" s="32"/>
      <c r="E12" s="39"/>
      <c r="F12" s="193">
        <f>Assumptions!F18</f>
        <v>2156.5802960000001</v>
      </c>
      <c r="G12" s="193">
        <f>Assumptions!G18</f>
        <v>2156.5802960000001</v>
      </c>
      <c r="H12" s="193">
        <f>Assumptions!H18</f>
        <v>2156.5802960000001</v>
      </c>
      <c r="I12" s="193">
        <f>Assumptions!I18</f>
        <v>2156.5802960000001</v>
      </c>
      <c r="J12" s="193">
        <f>Assumptions!J18</f>
        <v>2156.5802960000001</v>
      </c>
      <c r="K12" s="228"/>
      <c r="L12" s="228"/>
    </row>
    <row r="13" spans="1:12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4.85" customHeight="1" x14ac:dyDescent="0.25">
      <c r="A14" s="194" t="s">
        <v>41</v>
      </c>
      <c r="B14" s="195"/>
      <c r="C14" s="157">
        <f>C35</f>
        <v>44926</v>
      </c>
      <c r="D14" s="157">
        <f t="shared" ref="D14:J14" si="0">D35</f>
        <v>45291</v>
      </c>
      <c r="E14" s="157">
        <f t="shared" si="0"/>
        <v>45657</v>
      </c>
      <c r="F14" s="157">
        <f t="shared" si="0"/>
        <v>46022</v>
      </c>
      <c r="G14" s="157">
        <f t="shared" si="0"/>
        <v>46022</v>
      </c>
      <c r="H14" s="157">
        <f t="shared" si="0"/>
        <v>46022</v>
      </c>
      <c r="I14" s="157">
        <f t="shared" si="0"/>
        <v>46022</v>
      </c>
      <c r="J14" s="157">
        <f t="shared" si="0"/>
        <v>46022</v>
      </c>
      <c r="K14" s="224"/>
      <c r="L14" s="224"/>
    </row>
    <row r="15" spans="1:12" x14ac:dyDescent="0.25">
      <c r="B15" s="4" t="s">
        <v>50</v>
      </c>
      <c r="C15" s="98">
        <f>74576+157518+7514+10263</f>
        <v>249871</v>
      </c>
      <c r="D15" s="128">
        <v>314731</v>
      </c>
      <c r="E15" s="24">
        <f>321643</f>
        <v>321643</v>
      </c>
      <c r="F15" s="4">
        <f>E15*(1+F4)</f>
        <v>337725.15</v>
      </c>
      <c r="G15" s="4">
        <f t="shared" ref="G15:J15" si="1">F15*(1+G4)</f>
        <v>354611.40750000003</v>
      </c>
      <c r="H15" s="4">
        <f t="shared" si="1"/>
        <v>372341.97787500004</v>
      </c>
      <c r="I15" s="4">
        <f t="shared" si="1"/>
        <v>390959.07676875003</v>
      </c>
      <c r="J15" s="4">
        <f t="shared" si="1"/>
        <v>410507.03060718754</v>
      </c>
    </row>
    <row r="16" spans="1:12" x14ac:dyDescent="0.25">
      <c r="B16" s="4" t="s">
        <v>151</v>
      </c>
      <c r="C16" s="128">
        <f>225157-19506-1187</f>
        <v>204464</v>
      </c>
      <c r="D16" s="128">
        <f>278933-1671-25458</f>
        <v>251804</v>
      </c>
      <c r="E16" s="24">
        <f>274799-25642-1594</f>
        <v>247563</v>
      </c>
      <c r="F16" s="190">
        <f>F15*F5</f>
        <v>259941.15</v>
      </c>
      <c r="G16" s="190">
        <f t="shared" ref="G16:J16" si="2">G15*G5</f>
        <v>272938.20750000002</v>
      </c>
      <c r="H16" s="190">
        <f t="shared" si="2"/>
        <v>286585.117875</v>
      </c>
      <c r="I16" s="190">
        <f t="shared" si="2"/>
        <v>300914.37376875</v>
      </c>
      <c r="J16" s="190">
        <f t="shared" si="2"/>
        <v>315960.09245718754</v>
      </c>
      <c r="K16" s="225"/>
      <c r="L16" s="225"/>
    </row>
    <row r="17" spans="1:12" x14ac:dyDescent="0.25">
      <c r="B17" s="4" t="s">
        <v>51</v>
      </c>
      <c r="C17" s="128">
        <v>19506</v>
      </c>
      <c r="D17" s="128">
        <v>25458</v>
      </c>
      <c r="E17" s="24">
        <v>25642</v>
      </c>
      <c r="F17" s="190">
        <f>F15*F6</f>
        <v>26924.100000000002</v>
      </c>
      <c r="G17" s="190">
        <f t="shared" ref="G17:J17" si="3">G15*G6</f>
        <v>28270.305000000004</v>
      </c>
      <c r="H17" s="190">
        <f t="shared" si="3"/>
        <v>29683.820250000004</v>
      </c>
      <c r="I17" s="190">
        <f t="shared" si="3"/>
        <v>31168.011262500004</v>
      </c>
      <c r="J17" s="190">
        <f t="shared" si="3"/>
        <v>32726.411825625004</v>
      </c>
      <c r="K17" s="225"/>
      <c r="L17" s="225"/>
    </row>
    <row r="18" spans="1:12" s="11" customFormat="1" x14ac:dyDescent="0.25">
      <c r="A18" s="11" t="s">
        <v>119</v>
      </c>
      <c r="B18" s="18" t="s">
        <v>54</v>
      </c>
      <c r="C18" s="19">
        <f>C15-SUM(C16:C17)</f>
        <v>25901</v>
      </c>
      <c r="D18" s="19">
        <f>D15-SUM(D16:D17)</f>
        <v>37469</v>
      </c>
      <c r="E18" s="19">
        <f>E15-SUM(E16:E17)</f>
        <v>48438</v>
      </c>
      <c r="F18" s="19">
        <f>F15-SUM(F16:F17)</f>
        <v>50859.900000000023</v>
      </c>
      <c r="G18" s="19">
        <f t="shared" ref="G18:J18" si="4">G15-SUM(G16:G17)</f>
        <v>53402.895000000019</v>
      </c>
      <c r="H18" s="19">
        <f t="shared" si="4"/>
        <v>56073.039750000054</v>
      </c>
      <c r="I18" s="19">
        <f t="shared" si="4"/>
        <v>58876.691737500019</v>
      </c>
      <c r="J18" s="19">
        <f t="shared" si="4"/>
        <v>61820.526324375009</v>
      </c>
    </row>
    <row r="19" spans="1:12" s="11" customFormat="1" x14ac:dyDescent="0.25">
      <c r="E19" s="35"/>
    </row>
    <row r="20" spans="1:12" s="11" customFormat="1" x14ac:dyDescent="0.25">
      <c r="B20" s="4" t="s">
        <v>15</v>
      </c>
      <c r="C20" s="129">
        <v>260</v>
      </c>
      <c r="D20" s="129">
        <v>401</v>
      </c>
      <c r="E20" s="27">
        <v>411</v>
      </c>
      <c r="F20" s="4">
        <f>Calcs!F8</f>
        <v>411</v>
      </c>
      <c r="G20" s="4">
        <f>Calcs!G8</f>
        <v>408.16765155050268</v>
      </c>
      <c r="H20" s="4">
        <f>Calcs!H8</f>
        <v>405.39752365445094</v>
      </c>
      <c r="I20" s="4">
        <f>Calcs!I8</f>
        <v>402.69095036144665</v>
      </c>
      <c r="J20" s="4">
        <f>Calcs!J8</f>
        <v>400.04934791455707</v>
      </c>
      <c r="K20" s="4"/>
      <c r="L20" s="4"/>
    </row>
    <row r="21" spans="1:12" s="11" customFormat="1" x14ac:dyDescent="0.25">
      <c r="B21" s="4" t="s">
        <v>53</v>
      </c>
      <c r="C21" s="98">
        <v>0</v>
      </c>
      <c r="D21" s="98">
        <v>0</v>
      </c>
      <c r="E21" s="130">
        <v>0</v>
      </c>
      <c r="F21" s="4">
        <f>F7</f>
        <v>0</v>
      </c>
      <c r="G21" s="4">
        <f t="shared" ref="G21:J21" si="5">G7</f>
        <v>0</v>
      </c>
      <c r="H21" s="4">
        <f t="shared" si="5"/>
        <v>0</v>
      </c>
      <c r="I21" s="4">
        <f t="shared" si="5"/>
        <v>0</v>
      </c>
      <c r="J21" s="4">
        <f t="shared" si="5"/>
        <v>0</v>
      </c>
      <c r="K21" s="4"/>
      <c r="L21" s="4"/>
    </row>
    <row r="22" spans="1:12" s="133" customFormat="1" x14ac:dyDescent="0.25">
      <c r="A22" s="133" t="s">
        <v>119</v>
      </c>
      <c r="B22" s="134" t="s">
        <v>52</v>
      </c>
      <c r="C22" s="135">
        <f>C18+C20</f>
        <v>26161</v>
      </c>
      <c r="D22" s="135">
        <f t="shared" ref="D22:F22" si="6">D18+D20</f>
        <v>37870</v>
      </c>
      <c r="E22" s="135">
        <f t="shared" si="6"/>
        <v>48849</v>
      </c>
      <c r="F22" s="135">
        <f t="shared" si="6"/>
        <v>51270.900000000023</v>
      </c>
      <c r="G22" s="135">
        <f t="shared" ref="G22:J22" si="7">G18+G20</f>
        <v>53811.062651550521</v>
      </c>
      <c r="H22" s="135">
        <f t="shared" si="7"/>
        <v>56478.437273654505</v>
      </c>
      <c r="I22" s="135">
        <f t="shared" si="7"/>
        <v>59279.382687861464</v>
      </c>
      <c r="J22" s="135">
        <f t="shared" si="7"/>
        <v>62220.575672289568</v>
      </c>
    </row>
    <row r="23" spans="1:12" s="11" customFormat="1" x14ac:dyDescent="0.25">
      <c r="C23" s="14"/>
      <c r="D23" s="4"/>
      <c r="E23" s="36"/>
      <c r="F23" s="4"/>
      <c r="G23" s="4"/>
      <c r="H23" s="4"/>
      <c r="I23" s="4"/>
      <c r="J23" s="4"/>
      <c r="K23" s="14"/>
      <c r="L23" s="14"/>
    </row>
    <row r="24" spans="1:12" s="11" customFormat="1" x14ac:dyDescent="0.25">
      <c r="B24" s="4" t="s">
        <v>55</v>
      </c>
      <c r="C24" s="96">
        <v>-67899</v>
      </c>
      <c r="D24" s="96">
        <v>74855</v>
      </c>
      <c r="E24" s="97">
        <v>52799</v>
      </c>
      <c r="F24" s="4">
        <f>F8</f>
        <v>0</v>
      </c>
      <c r="G24" s="4">
        <f t="shared" ref="G24:J24" si="8">G8</f>
        <v>0</v>
      </c>
      <c r="H24" s="4">
        <f t="shared" si="8"/>
        <v>0</v>
      </c>
      <c r="I24" s="4">
        <f t="shared" si="8"/>
        <v>0</v>
      </c>
      <c r="J24" s="4">
        <f t="shared" si="8"/>
        <v>0</v>
      </c>
      <c r="K24" s="4"/>
      <c r="L24" s="4"/>
    </row>
    <row r="25" spans="1:12" s="11" customFormat="1" x14ac:dyDescent="0.25">
      <c r="B25" s="4" t="s">
        <v>56</v>
      </c>
      <c r="C25" s="96">
        <v>1863</v>
      </c>
      <c r="D25" s="96">
        <v>1973</v>
      </c>
      <c r="E25" s="97">
        <v>1863</v>
      </c>
      <c r="F25" s="4">
        <f>F9</f>
        <v>1899.6666666666667</v>
      </c>
      <c r="G25" s="4">
        <f t="shared" ref="G25:J25" si="9">G9</f>
        <v>1899.6666666666667</v>
      </c>
      <c r="H25" s="4">
        <f t="shared" si="9"/>
        <v>1899.6666666666667</v>
      </c>
      <c r="I25" s="4">
        <f t="shared" si="9"/>
        <v>1899.6666666666667</v>
      </c>
      <c r="J25" s="4">
        <f t="shared" si="9"/>
        <v>1899.6666666666667</v>
      </c>
      <c r="K25" s="4"/>
      <c r="L25" s="4"/>
    </row>
    <row r="26" spans="1:12" s="11" customFormat="1" x14ac:dyDescent="0.25">
      <c r="B26" s="4"/>
      <c r="C26" s="10"/>
      <c r="D26" s="10"/>
      <c r="E26" s="24"/>
      <c r="F26" s="4"/>
      <c r="G26" s="4"/>
      <c r="H26" s="4"/>
      <c r="I26" s="4"/>
      <c r="J26" s="4"/>
      <c r="K26" s="4"/>
      <c r="L26" s="4"/>
    </row>
    <row r="27" spans="1:12" s="11" customFormat="1" x14ac:dyDescent="0.25">
      <c r="B27" s="4" t="s">
        <v>40</v>
      </c>
      <c r="C27" s="9"/>
      <c r="D27" s="9"/>
      <c r="E27" s="45"/>
      <c r="F27" s="335"/>
      <c r="G27" s="335"/>
      <c r="H27" s="335"/>
      <c r="I27" s="335"/>
      <c r="J27" s="335"/>
      <c r="K27" s="198"/>
      <c r="L27" s="198"/>
    </row>
    <row r="28" spans="1:12" x14ac:dyDescent="0.25">
      <c r="B28" s="4" t="s">
        <v>32</v>
      </c>
      <c r="C28" s="9">
        <v>1187</v>
      </c>
      <c r="D28" s="9">
        <v>1671</v>
      </c>
      <c r="E28" s="45">
        <v>1594</v>
      </c>
      <c r="F28" s="335"/>
      <c r="G28" s="335"/>
      <c r="H28" s="335"/>
      <c r="I28" s="335"/>
      <c r="J28" s="335"/>
      <c r="K28" s="198"/>
      <c r="L28" s="198"/>
    </row>
    <row r="29" spans="1:12" x14ac:dyDescent="0.25">
      <c r="C29" s="10"/>
      <c r="D29" s="10"/>
      <c r="E29" s="24"/>
      <c r="H29" s="4"/>
    </row>
    <row r="30" spans="1:12" s="11" customFormat="1" x14ac:dyDescent="0.25">
      <c r="A30" s="11" t="s">
        <v>119</v>
      </c>
      <c r="B30" s="18" t="s">
        <v>80</v>
      </c>
      <c r="C30" s="19">
        <f>C18-SUM(C25,C28)+C27+C24</f>
        <v>-45048</v>
      </c>
      <c r="D30" s="19">
        <f t="shared" ref="D30:F30" si="10">D18-SUM(D25,D28)+D27+D24</f>
        <v>108680</v>
      </c>
      <c r="E30" s="19">
        <f t="shared" si="10"/>
        <v>97780</v>
      </c>
      <c r="F30" s="19">
        <f t="shared" si="10"/>
        <v>48960.233333333359</v>
      </c>
      <c r="G30" s="19">
        <f t="shared" ref="G30:J30" si="11">G18-SUM(G25,G28)+G27+G24</f>
        <v>51503.228333333354</v>
      </c>
      <c r="H30" s="19">
        <f t="shared" si="11"/>
        <v>54173.37308333339</v>
      </c>
      <c r="I30" s="19">
        <f t="shared" si="11"/>
        <v>56977.025070833355</v>
      </c>
      <c r="J30" s="19">
        <f t="shared" si="11"/>
        <v>59920.859657708344</v>
      </c>
    </row>
    <row r="31" spans="1:12" x14ac:dyDescent="0.25">
      <c r="E31" s="37"/>
      <c r="H31" s="4"/>
    </row>
    <row r="32" spans="1:12" x14ac:dyDescent="0.25">
      <c r="B32" s="4" t="s">
        <v>57</v>
      </c>
      <c r="C32" s="137">
        <f>-14166-88+334+437+1247</f>
        <v>-12236</v>
      </c>
      <c r="D32" s="4">
        <f>3497+15930-90+223+46</f>
        <v>19606</v>
      </c>
      <c r="E32" s="59">
        <f>5462+11179-90+322+534</f>
        <v>17407</v>
      </c>
      <c r="F32" s="4">
        <f>F10*F30</f>
        <v>8716.0030848162587</v>
      </c>
      <c r="G32" s="4">
        <f t="shared" ref="G32:J32" si="12">G10*G30</f>
        <v>9168.7123706108996</v>
      </c>
      <c r="H32" s="4">
        <f t="shared" si="12"/>
        <v>9644.0571206952791</v>
      </c>
      <c r="I32" s="4">
        <f t="shared" si="12"/>
        <v>10143.169108283864</v>
      </c>
      <c r="J32" s="4">
        <f t="shared" si="12"/>
        <v>10667.236695251884</v>
      </c>
    </row>
    <row r="33" spans="1:12" s="11" customFormat="1" x14ac:dyDescent="0.25">
      <c r="A33" s="11" t="s">
        <v>119</v>
      </c>
      <c r="B33" s="18" t="s">
        <v>58</v>
      </c>
      <c r="C33" s="19">
        <f>C30-C32</f>
        <v>-32812</v>
      </c>
      <c r="D33" s="19">
        <f t="shared" ref="D33:F33" si="13">D30-D32</f>
        <v>89074</v>
      </c>
      <c r="E33" s="19">
        <f t="shared" si="13"/>
        <v>80373</v>
      </c>
      <c r="F33" s="19">
        <f t="shared" si="13"/>
        <v>40244.230248517102</v>
      </c>
      <c r="G33" s="19">
        <f t="shared" ref="G33:J33" si="14">G30-G32</f>
        <v>42334.515962722457</v>
      </c>
      <c r="H33" s="19">
        <f t="shared" si="14"/>
        <v>44529.315962638109</v>
      </c>
      <c r="I33" s="19">
        <f t="shared" si="14"/>
        <v>46833.855962549489</v>
      </c>
      <c r="J33" s="19">
        <f t="shared" si="14"/>
        <v>49253.622962456458</v>
      </c>
    </row>
    <row r="34" spans="1:12" x14ac:dyDescent="0.25">
      <c r="B34" s="11"/>
      <c r="C34" s="11"/>
      <c r="D34" s="11"/>
      <c r="E34" s="35"/>
      <c r="F34" s="11"/>
      <c r="G34" s="11"/>
      <c r="H34" s="11"/>
      <c r="I34" s="11"/>
      <c r="J34" s="11"/>
      <c r="K34" s="11"/>
      <c r="L34" s="11"/>
    </row>
    <row r="35" spans="1:12" x14ac:dyDescent="0.25">
      <c r="A35" s="22" t="s">
        <v>59</v>
      </c>
      <c r="B35" s="21"/>
      <c r="C35" s="55">
        <v>44926</v>
      </c>
      <c r="D35" s="55">
        <v>45291</v>
      </c>
      <c r="E35" s="55">
        <v>45657</v>
      </c>
      <c r="F35" s="55">
        <v>46022</v>
      </c>
      <c r="G35" s="55">
        <v>46022</v>
      </c>
      <c r="H35" s="55">
        <v>46022</v>
      </c>
      <c r="I35" s="55">
        <v>46022</v>
      </c>
      <c r="J35" s="55">
        <v>46022</v>
      </c>
      <c r="K35" s="221"/>
      <c r="L35" s="221"/>
    </row>
    <row r="36" spans="1:12" x14ac:dyDescent="0.25">
      <c r="B36" s="4" t="s">
        <v>189</v>
      </c>
      <c r="C36" s="10">
        <v>1.4377200000000001</v>
      </c>
      <c r="D36" s="10">
        <v>1.4488799999999999</v>
      </c>
      <c r="E36" s="24">
        <v>1.4377200000000001</v>
      </c>
      <c r="F36" s="128">
        <v>1.4377200000000001</v>
      </c>
      <c r="G36" s="128">
        <v>1.4377200000000001</v>
      </c>
      <c r="H36" s="128">
        <v>1.4377200000000001</v>
      </c>
      <c r="I36" s="128">
        <v>1.4377200000000001</v>
      </c>
      <c r="J36" s="128">
        <v>1.4377200000000001</v>
      </c>
      <c r="K36" s="225"/>
      <c r="L36" s="225"/>
    </row>
    <row r="37" spans="1:12" x14ac:dyDescent="0.25">
      <c r="B37" s="4" t="s">
        <v>188</v>
      </c>
      <c r="C37" s="10">
        <v>2156.5802960000001</v>
      </c>
      <c r="D37" s="10">
        <v>2173.3197089999999</v>
      </c>
      <c r="E37" s="24">
        <v>2156.5802960000001</v>
      </c>
      <c r="F37" s="128">
        <v>2156.5802960000001</v>
      </c>
      <c r="G37" s="128">
        <v>2156.5802960000001</v>
      </c>
      <c r="H37" s="128">
        <v>2156.5802960000001</v>
      </c>
      <c r="I37" s="128">
        <v>2156.5802960000001</v>
      </c>
      <c r="J37" s="128">
        <v>2156.5802960000001</v>
      </c>
      <c r="K37" s="225"/>
      <c r="L37" s="225"/>
    </row>
    <row r="38" spans="1:12" x14ac:dyDescent="0.25">
      <c r="B38" s="4" t="s">
        <v>190</v>
      </c>
      <c r="C38" s="197">
        <f>$C$33/C36</f>
        <v>-22822.246334474028</v>
      </c>
      <c r="D38" s="197">
        <f>$D$33/D36</f>
        <v>61477.83115233836</v>
      </c>
      <c r="E38" s="325">
        <f>$E$33/E36</f>
        <v>55903.096569568479</v>
      </c>
      <c r="F38" s="190">
        <f>F33/F36</f>
        <v>27991.702312353656</v>
      </c>
      <c r="G38" s="190">
        <f t="shared" ref="G38:J38" si="15">G33/G36</f>
        <v>29445.591605265596</v>
      </c>
      <c r="H38" s="190">
        <f t="shared" si="15"/>
        <v>30972.175362823156</v>
      </c>
      <c r="I38" s="190">
        <f t="shared" si="15"/>
        <v>32575.088308258553</v>
      </c>
      <c r="J38" s="190">
        <f t="shared" si="15"/>
        <v>34258.14690096573</v>
      </c>
      <c r="K38" s="225"/>
      <c r="L38" s="225"/>
    </row>
    <row r="39" spans="1:12" s="11" customFormat="1" x14ac:dyDescent="0.25">
      <c r="A39" s="11" t="s">
        <v>119</v>
      </c>
      <c r="B39" s="18" t="s">
        <v>191</v>
      </c>
      <c r="C39" s="336">
        <f>$C$33/C37</f>
        <v>-15.214828801347815</v>
      </c>
      <c r="D39" s="337">
        <f>$D$33/D37</f>
        <v>40.985226256005028</v>
      </c>
      <c r="E39" s="337">
        <f>$E$33/E37</f>
        <v>37.268725931083992</v>
      </c>
      <c r="F39" s="196">
        <f>F33/F37</f>
        <v>18.661132313580733</v>
      </c>
      <c r="G39" s="196">
        <f t="shared" ref="G39:J39" si="16">G33/G37</f>
        <v>19.630391709153617</v>
      </c>
      <c r="H39" s="196">
        <f t="shared" si="16"/>
        <v>20.648114074505163</v>
      </c>
      <c r="I39" s="196">
        <f t="shared" si="16"/>
        <v>21.716722558124257</v>
      </c>
      <c r="J39" s="196">
        <f t="shared" si="16"/>
        <v>22.838761465924318</v>
      </c>
      <c r="K39" s="229"/>
      <c r="L39" s="229"/>
    </row>
    <row r="40" spans="1:12" x14ac:dyDescent="0.25">
      <c r="C40" s="38"/>
      <c r="D40" s="38"/>
      <c r="E40" s="38"/>
      <c r="F40" s="15"/>
      <c r="G40" s="15"/>
      <c r="H40" s="15"/>
      <c r="I40" s="15"/>
      <c r="J40" s="15"/>
    </row>
    <row r="41" spans="1:12" x14ac:dyDescent="0.25">
      <c r="D41" s="15"/>
      <c r="E41" s="15"/>
      <c r="F41" s="15"/>
    </row>
  </sheetData>
  <conditionalFormatting sqref="F4:L12">
    <cfRule type="expression" dxfId="1" priority="35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4"/>
  <sheetViews>
    <sheetView showGridLines="0" topLeftCell="A8" zoomScaleNormal="100" workbookViewId="0">
      <selection activeCell="F34" sqref="F34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316" t="str">
        <f>CoName</f>
        <v xml:space="preserve">Berkshire Hathaway Insurance 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7" t="s">
        <v>10</v>
      </c>
      <c r="B2" s="64"/>
      <c r="C2" s="115">
        <v>44926</v>
      </c>
      <c r="D2" s="115">
        <v>45291</v>
      </c>
      <c r="E2" s="115">
        <v>45657</v>
      </c>
      <c r="F2" s="115">
        <v>46022</v>
      </c>
      <c r="G2" s="115">
        <v>46387</v>
      </c>
      <c r="H2" s="115">
        <v>46752</v>
      </c>
      <c r="I2" s="115">
        <v>47118</v>
      </c>
      <c r="J2" s="115">
        <v>47483</v>
      </c>
      <c r="K2" s="230"/>
      <c r="L2" s="230"/>
    </row>
    <row r="3" spans="1:12" x14ac:dyDescent="0.25">
      <c r="K3" s="6"/>
      <c r="L3" s="6"/>
    </row>
    <row r="4" spans="1:12" x14ac:dyDescent="0.25">
      <c r="B4" s="4" t="s">
        <v>134</v>
      </c>
      <c r="C4" s="43"/>
      <c r="D4" s="43"/>
      <c r="E4" s="44"/>
      <c r="F4" s="103">
        <f>Assumptions!F42</f>
        <v>1.4999999999999998E-2</v>
      </c>
      <c r="G4" s="103">
        <f>F4</f>
        <v>1.4999999999999998E-2</v>
      </c>
      <c r="H4" s="103">
        <f t="shared" ref="H4:J4" si="0">G4</f>
        <v>1.4999999999999998E-2</v>
      </c>
      <c r="I4" s="103">
        <f t="shared" si="0"/>
        <v>1.4999999999999998E-2</v>
      </c>
      <c r="J4" s="103">
        <f t="shared" si="0"/>
        <v>1.4999999999999998E-2</v>
      </c>
      <c r="K4" s="187"/>
      <c r="L4" s="187"/>
    </row>
    <row r="5" spans="1:12" x14ac:dyDescent="0.25">
      <c r="B5" s="4" t="s">
        <v>197</v>
      </c>
      <c r="C5" s="43"/>
      <c r="D5" s="43"/>
      <c r="E5" s="44"/>
      <c r="F5" s="328">
        <f>IncState!F8</f>
        <v>0</v>
      </c>
      <c r="G5" s="328">
        <f>IncState!G8</f>
        <v>0</v>
      </c>
      <c r="H5" s="328">
        <f>IncState!H8</f>
        <v>0</v>
      </c>
      <c r="I5" s="328">
        <f>IncState!I8</f>
        <v>0</v>
      </c>
      <c r="J5" s="328">
        <f>IncState!J8</f>
        <v>0</v>
      </c>
      <c r="K5" s="187"/>
      <c r="L5" s="187"/>
    </row>
    <row r="6" spans="1:12" x14ac:dyDescent="0.25">
      <c r="B6" s="4" t="s">
        <v>147</v>
      </c>
      <c r="C6" s="43"/>
      <c r="D6" s="43"/>
      <c r="E6" s="44"/>
      <c r="F6" s="103">
        <f>Assumptions!F44</f>
        <v>0.22287132006603594</v>
      </c>
      <c r="G6" s="103">
        <f>Assumptions!G44</f>
        <v>0.22287132006603594</v>
      </c>
      <c r="H6" s="103">
        <f>Assumptions!H44</f>
        <v>0.22287132006603594</v>
      </c>
      <c r="I6" s="103">
        <f>Assumptions!I44</f>
        <v>0.22287132006603594</v>
      </c>
      <c r="J6" s="103">
        <f>Assumptions!J44</f>
        <v>0.22287132006603594</v>
      </c>
      <c r="K6" s="187"/>
      <c r="L6" s="187"/>
    </row>
    <row r="7" spans="1:12" x14ac:dyDescent="0.25">
      <c r="B7" s="4" t="s">
        <v>61</v>
      </c>
      <c r="C7" s="43"/>
      <c r="D7" s="43"/>
      <c r="E7" s="44"/>
      <c r="F7" s="103">
        <f>Assumptions!F45</f>
        <v>9.6977335062186185E-2</v>
      </c>
      <c r="G7" s="103">
        <f>Assumptions!G45</f>
        <v>9.6977335062186185E-2</v>
      </c>
      <c r="H7" s="103">
        <f>Assumptions!H45</f>
        <v>9.6977335062186185E-2</v>
      </c>
      <c r="I7" s="103">
        <f>Assumptions!I45</f>
        <v>9.6977335062186185E-2</v>
      </c>
      <c r="J7" s="103">
        <f>Assumptions!J45</f>
        <v>9.6977335062186185E-2</v>
      </c>
      <c r="K7" s="187"/>
      <c r="L7" s="187"/>
    </row>
    <row r="8" spans="1:12" x14ac:dyDescent="0.25">
      <c r="B8" s="4" t="s">
        <v>62</v>
      </c>
      <c r="C8" s="43"/>
      <c r="D8" s="43"/>
      <c r="E8" s="44"/>
      <c r="F8" s="103">
        <f>Assumptions!F46</f>
        <v>0.10505747054964666</v>
      </c>
      <c r="G8" s="103">
        <f>Assumptions!G46</f>
        <v>0.10505747054964666</v>
      </c>
      <c r="H8" s="103">
        <f>Assumptions!H46</f>
        <v>0.10505747054964666</v>
      </c>
      <c r="I8" s="103">
        <f>Assumptions!I46</f>
        <v>0.10505747054964666</v>
      </c>
      <c r="J8" s="103">
        <f>Assumptions!J46</f>
        <v>0.10505747054964666</v>
      </c>
      <c r="K8" s="187"/>
      <c r="L8" s="187"/>
    </row>
    <row r="9" spans="1:12" x14ac:dyDescent="0.25">
      <c r="C9" s="32"/>
      <c r="D9" s="32"/>
      <c r="E9" s="32"/>
      <c r="F9" s="104"/>
      <c r="G9" s="104"/>
      <c r="H9" s="104"/>
      <c r="I9" s="104"/>
      <c r="J9" s="104"/>
      <c r="K9" s="187"/>
      <c r="L9" s="187"/>
    </row>
    <row r="10" spans="1:12" x14ac:dyDescent="0.25">
      <c r="B10" s="4" t="s">
        <v>146</v>
      </c>
      <c r="C10" s="43"/>
      <c r="D10" s="43"/>
      <c r="E10" s="44"/>
      <c r="F10" s="103">
        <f>Assumptions!F50</f>
        <v>0.38431833513085556</v>
      </c>
      <c r="G10" s="103">
        <f>Assumptions!G50</f>
        <v>0.38431833513085556</v>
      </c>
      <c r="H10" s="103">
        <f>Assumptions!H50</f>
        <v>0.38431833513085556</v>
      </c>
      <c r="I10" s="103">
        <f>Assumptions!I50</f>
        <v>0.38431833513085556</v>
      </c>
      <c r="J10" s="103">
        <f>Assumptions!J50</f>
        <v>0.38431833513085556</v>
      </c>
      <c r="K10" s="187"/>
      <c r="L10" s="187"/>
    </row>
    <row r="11" spans="1:12" x14ac:dyDescent="0.25">
      <c r="B11" s="4" t="s">
        <v>63</v>
      </c>
      <c r="C11" s="43"/>
      <c r="D11" s="43"/>
      <c r="E11" s="28"/>
      <c r="F11" s="103">
        <f>Assumptions!F51</f>
        <v>0.12905923648268422</v>
      </c>
      <c r="G11" s="103">
        <f>Assumptions!G51</f>
        <v>0.12905923648268422</v>
      </c>
      <c r="H11" s="103">
        <f>Assumptions!H51</f>
        <v>0.12905923648268422</v>
      </c>
      <c r="I11" s="103">
        <f>Assumptions!I51</f>
        <v>0.12905923648268422</v>
      </c>
      <c r="J11" s="103">
        <f>Assumptions!J51</f>
        <v>0.12905923648268422</v>
      </c>
      <c r="K11" s="187"/>
      <c r="L11" s="187"/>
    </row>
    <row r="12" spans="1:12" x14ac:dyDescent="0.25">
      <c r="B12" s="4" t="s">
        <v>64</v>
      </c>
      <c r="C12" s="43"/>
      <c r="D12" s="43"/>
      <c r="E12" s="44"/>
      <c r="F12" s="318">
        <f>Assumptions!F52</f>
        <v>0.40282549286009645</v>
      </c>
      <c r="G12" s="318">
        <f>Assumptions!G52</f>
        <v>0.40282549286009645</v>
      </c>
      <c r="H12" s="318">
        <f>Assumptions!H52</f>
        <v>0.40282549286009645</v>
      </c>
      <c r="I12" s="318">
        <f>Assumptions!I52</f>
        <v>0.40282549286009645</v>
      </c>
      <c r="J12" s="318">
        <f>Assumptions!J52</f>
        <v>0.40282549286009645</v>
      </c>
      <c r="K12" s="187"/>
      <c r="L12" s="187"/>
    </row>
    <row r="13" spans="1:12" x14ac:dyDescent="0.25">
      <c r="C13" s="43"/>
      <c r="D13" s="43"/>
      <c r="E13" s="43"/>
      <c r="F13" s="104"/>
      <c r="G13" s="104"/>
      <c r="H13" s="104"/>
      <c r="I13" s="104"/>
      <c r="J13" s="104"/>
      <c r="K13" s="187"/>
      <c r="L13" s="187"/>
    </row>
    <row r="14" spans="1:12" ht="15" customHeight="1" x14ac:dyDescent="0.25">
      <c r="A14" s="194" t="s">
        <v>60</v>
      </c>
      <c r="B14" s="195"/>
      <c r="C14" s="157">
        <f t="shared" ref="C14:J14" si="1">C2</f>
        <v>44926</v>
      </c>
      <c r="D14" s="157">
        <f t="shared" si="1"/>
        <v>45291</v>
      </c>
      <c r="E14" s="157">
        <f t="shared" si="1"/>
        <v>45657</v>
      </c>
      <c r="F14" s="157">
        <f t="shared" si="1"/>
        <v>46022</v>
      </c>
      <c r="G14" s="157">
        <f t="shared" si="1"/>
        <v>46387</v>
      </c>
      <c r="H14" s="157">
        <f t="shared" si="1"/>
        <v>46752</v>
      </c>
      <c r="I14" s="157">
        <f t="shared" si="1"/>
        <v>47118</v>
      </c>
      <c r="J14" s="157">
        <f t="shared" si="1"/>
        <v>47483</v>
      </c>
      <c r="K14" s="224"/>
      <c r="L14" s="224"/>
    </row>
    <row r="15" spans="1:12" x14ac:dyDescent="0.25">
      <c r="B15" s="4" t="s">
        <v>152</v>
      </c>
      <c r="C15" s="201">
        <f>1.5%*IncState!C15</f>
        <v>3748.0650000000001</v>
      </c>
      <c r="D15" s="201">
        <f>1.5%*IncState!D15</f>
        <v>4720.9650000000001</v>
      </c>
      <c r="E15" s="202">
        <f>1.5%*IncState!E15</f>
        <v>4824.6449999999995</v>
      </c>
      <c r="F15" s="4">
        <f>F4*IncState!F15</f>
        <v>5065.8772499999995</v>
      </c>
      <c r="G15" s="4">
        <f>G4*IncState!G15</f>
        <v>5319.1711124999993</v>
      </c>
      <c r="H15" s="4">
        <f>H4*IncState!H15</f>
        <v>5585.1296681249996</v>
      </c>
      <c r="I15" s="4">
        <f>I4*IncState!I15</f>
        <v>5864.3861515312492</v>
      </c>
      <c r="J15" s="4">
        <f>J4*IncState!J15</f>
        <v>6157.6054591078118</v>
      </c>
    </row>
    <row r="16" spans="1:12" x14ac:dyDescent="0.25">
      <c r="B16" s="4" t="s">
        <v>153</v>
      </c>
      <c r="C16" s="201">
        <f>32260-C15</f>
        <v>28511.935000000001</v>
      </c>
      <c r="D16" s="201">
        <f>34268-D15</f>
        <v>29547.035</v>
      </c>
      <c r="E16" s="202">
        <f>44333-E15</f>
        <v>39508.355000000003</v>
      </c>
      <c r="F16" s="4">
        <f>MAX(CashFlow!F23,0)</f>
        <v>86673.052998517145</v>
      </c>
      <c r="G16" s="4">
        <f>MAX(CashFlow!G23,0)</f>
        <v>136250.67775029008</v>
      </c>
      <c r="H16" s="4">
        <f>MAX(CashFlow!H23,0)</f>
        <v>188362.07943095767</v>
      </c>
      <c r="I16" s="4">
        <f>MAX(CashFlow!I23,0)</f>
        <v>243134.14894796233</v>
      </c>
      <c r="J16" s="4">
        <f>MAX(CashFlow!J23,0)</f>
        <v>300700.11999263178</v>
      </c>
    </row>
    <row r="17" spans="1:12" x14ac:dyDescent="0.25">
      <c r="B17" s="4" t="s">
        <v>196</v>
      </c>
      <c r="C17" s="201">
        <f>92774+25128+308793+28050</f>
        <v>454745</v>
      </c>
      <c r="D17" s="201">
        <f>129619+23758+353842+29066</f>
        <v>536285</v>
      </c>
      <c r="E17" s="202">
        <f>286472+15364+271588+31134</f>
        <v>604558</v>
      </c>
      <c r="F17" s="4">
        <f>E17+F5</f>
        <v>604558</v>
      </c>
      <c r="G17" s="4">
        <f t="shared" ref="G17:J17" si="2">F17+G5</f>
        <v>604558</v>
      </c>
      <c r="H17" s="4">
        <f t="shared" si="2"/>
        <v>604558</v>
      </c>
      <c r="I17" s="4">
        <f t="shared" si="2"/>
        <v>604558</v>
      </c>
      <c r="J17" s="4">
        <f t="shared" si="2"/>
        <v>604558</v>
      </c>
    </row>
    <row r="18" spans="1:12" x14ac:dyDescent="0.25">
      <c r="B18" s="4" t="s">
        <v>65</v>
      </c>
      <c r="C18" s="203">
        <f>23208+43490</f>
        <v>66698</v>
      </c>
      <c r="D18" s="329">
        <f>24681+46261</f>
        <v>70942</v>
      </c>
      <c r="E18" s="204">
        <f>27798+43887</f>
        <v>71685</v>
      </c>
      <c r="F18" s="4">
        <f>F6*IncState!F15</f>
        <v>75269.25</v>
      </c>
      <c r="G18" s="4">
        <f>G6*IncState!G15</f>
        <v>79032.712500000009</v>
      </c>
      <c r="H18" s="4">
        <f>H6*IncState!H15</f>
        <v>82984.348125000004</v>
      </c>
      <c r="I18" s="4">
        <f>I6*IncState!I15</f>
        <v>87133.565531250002</v>
      </c>
      <c r="J18" s="4">
        <f>J6*IncState!J15</f>
        <v>91490.243807812512</v>
      </c>
    </row>
    <row r="19" spans="1:12" x14ac:dyDescent="0.25">
      <c r="B19" s="4" t="s">
        <v>66</v>
      </c>
      <c r="C19" s="203">
        <v>25366</v>
      </c>
      <c r="D19" s="203">
        <v>25856</v>
      </c>
      <c r="E19" s="204">
        <v>24008</v>
      </c>
      <c r="F19" s="4">
        <f>F7*IncState!F16</f>
        <v>25208.399999999998</v>
      </c>
      <c r="G19" s="4">
        <f>G7*IncState!G16</f>
        <v>26468.82</v>
      </c>
      <c r="H19" s="4">
        <f>H7*IncState!H16</f>
        <v>27792.260999999999</v>
      </c>
      <c r="I19" s="4">
        <f>I7*IncState!I16</f>
        <v>29181.874049999999</v>
      </c>
      <c r="J19" s="4">
        <f>J7*IncState!J16</f>
        <v>30640.967752500001</v>
      </c>
    </row>
    <row r="20" spans="1:12" s="11" customFormat="1" x14ac:dyDescent="0.25">
      <c r="B20" s="11" t="s">
        <v>67</v>
      </c>
      <c r="C20" s="11">
        <f>SUM(C15:C19)</f>
        <v>579069</v>
      </c>
      <c r="D20" s="11">
        <f>SUM(D15:D19)</f>
        <v>667351</v>
      </c>
      <c r="E20" s="26">
        <f>SUM(E15:E19)</f>
        <v>744584</v>
      </c>
      <c r="F20" s="11">
        <f>SUM(F15:F19)</f>
        <v>796774.58024851722</v>
      </c>
      <c r="G20" s="11">
        <f t="shared" ref="G20:J20" si="3">SUM(G15:G19)</f>
        <v>851629.38136279001</v>
      </c>
      <c r="H20" s="11">
        <f t="shared" si="3"/>
        <v>909281.8182240827</v>
      </c>
      <c r="I20" s="11">
        <f t="shared" si="3"/>
        <v>969871.97468074353</v>
      </c>
      <c r="J20" s="11">
        <f t="shared" si="3"/>
        <v>1033546.9370120519</v>
      </c>
    </row>
    <row r="21" spans="1:12" x14ac:dyDescent="0.25">
      <c r="A21" s="7"/>
      <c r="E21" s="29"/>
      <c r="I21" s="4"/>
      <c r="J21" s="4"/>
    </row>
    <row r="22" spans="1:12" x14ac:dyDescent="0.25">
      <c r="B22" s="4" t="s">
        <v>68</v>
      </c>
      <c r="C22" s="203">
        <f>21113+15584</f>
        <v>36697</v>
      </c>
      <c r="D22" s="329">
        <f>30199+16947</f>
        <v>47146</v>
      </c>
      <c r="E22" s="204">
        <f>30071+17828</f>
        <v>47899</v>
      </c>
      <c r="F22" s="4">
        <f>Calcs!F9</f>
        <v>46821.1</v>
      </c>
      <c r="G22" s="4">
        <f>Calcs!G9</f>
        <v>46503.337348449495</v>
      </c>
      <c r="H22" s="4">
        <f>Calcs!H9</f>
        <v>46192.865074795045</v>
      </c>
      <c r="I22" s="4">
        <f>Calcs!I9</f>
        <v>45889.845636933598</v>
      </c>
      <c r="J22" s="4">
        <f>Calcs!J9</f>
        <v>45594.45137714404</v>
      </c>
    </row>
    <row r="23" spans="1:12" x14ac:dyDescent="0.25">
      <c r="B23" s="4" t="s">
        <v>154</v>
      </c>
      <c r="C23" s="203">
        <f>51522+29187</f>
        <v>80709</v>
      </c>
      <c r="D23" s="203">
        <f>35884+57473</f>
        <v>93357</v>
      </c>
      <c r="E23" s="204">
        <f>34638+56860</f>
        <v>91498</v>
      </c>
      <c r="F23" s="136">
        <f>E23-IncState!F7</f>
        <v>91498</v>
      </c>
      <c r="G23" s="136">
        <f>F23-IncState!G7</f>
        <v>91498</v>
      </c>
      <c r="H23" s="136">
        <f>G23-IncState!H7</f>
        <v>91498</v>
      </c>
      <c r="I23" s="136">
        <f>H23-IncState!I7</f>
        <v>91498</v>
      </c>
      <c r="J23" s="136">
        <f>I23-IncState!J7</f>
        <v>91498</v>
      </c>
      <c r="K23" s="136"/>
      <c r="L23" s="136"/>
    </row>
    <row r="24" spans="1:12" x14ac:dyDescent="0.25">
      <c r="B24" s="4" t="s">
        <v>155</v>
      </c>
      <c r="C24" s="203">
        <f>9870+19657</f>
        <v>29527</v>
      </c>
      <c r="D24" s="203">
        <f>9495+21866</f>
        <v>31361</v>
      </c>
      <c r="E24" s="204">
        <f>8797+24994</f>
        <v>33791</v>
      </c>
      <c r="F24" s="4">
        <f>F8*IncState!F15</f>
        <v>35480.550000000003</v>
      </c>
      <c r="G24" s="4">
        <f>G8*IncState!G15</f>
        <v>37254.577500000007</v>
      </c>
      <c r="H24" s="4">
        <f>H8*IncState!H15</f>
        <v>39117.306375000007</v>
      </c>
      <c r="I24" s="4">
        <f>I8*IncState!I15</f>
        <v>41073.171693750002</v>
      </c>
      <c r="J24" s="4">
        <f>J8*IncState!J15</f>
        <v>43126.830278437505</v>
      </c>
    </row>
    <row r="25" spans="1:12" s="11" customFormat="1" x14ac:dyDescent="0.25">
      <c r="B25" s="11" t="s">
        <v>69</v>
      </c>
      <c r="C25" s="11">
        <f>SUM(C22:C24)</f>
        <v>146933</v>
      </c>
      <c r="D25" s="11">
        <f>SUM(D22:D24)</f>
        <v>171864</v>
      </c>
      <c r="E25" s="26">
        <f>SUM(E22:E24)</f>
        <v>173188</v>
      </c>
      <c r="F25" s="11">
        <f>SUM(F22:F24)</f>
        <v>173799.65000000002</v>
      </c>
      <c r="G25" s="11">
        <f t="shared" ref="G25:J25" si="4">SUM(G22:G24)</f>
        <v>175255.91484844952</v>
      </c>
      <c r="H25" s="11">
        <f t="shared" si="4"/>
        <v>176808.17144979505</v>
      </c>
      <c r="I25" s="11">
        <f t="shared" si="4"/>
        <v>178461.01733068359</v>
      </c>
      <c r="J25" s="11">
        <f t="shared" si="4"/>
        <v>180219.28165558152</v>
      </c>
    </row>
    <row r="26" spans="1:12" x14ac:dyDescent="0.25">
      <c r="E26" s="29"/>
      <c r="I26" s="4"/>
      <c r="J26" s="4"/>
    </row>
    <row r="27" spans="1:12" s="11" customFormat="1" x14ac:dyDescent="0.25">
      <c r="A27" s="11" t="s">
        <v>119</v>
      </c>
      <c r="B27" s="18" t="s">
        <v>70</v>
      </c>
      <c r="C27" s="19">
        <f>SUM(C25,C20)</f>
        <v>726002</v>
      </c>
      <c r="D27" s="19">
        <f>SUM(D25,D20)</f>
        <v>839215</v>
      </c>
      <c r="E27" s="19">
        <f>SUM(E25,E20)</f>
        <v>917772</v>
      </c>
      <c r="F27" s="19">
        <f>SUM(F25,F20)+753</f>
        <v>971327.23024851724</v>
      </c>
      <c r="G27" s="19">
        <f t="shared" ref="G27:J27" si="5">SUM(G25,G20)+753</f>
        <v>1027638.2962112395</v>
      </c>
      <c r="H27" s="19">
        <f t="shared" si="5"/>
        <v>1086842.9896738778</v>
      </c>
      <c r="I27" s="19">
        <f t="shared" si="5"/>
        <v>1149085.9920114272</v>
      </c>
      <c r="J27" s="19">
        <f t="shared" si="5"/>
        <v>1214519.2186676334</v>
      </c>
    </row>
    <row r="28" spans="1:12" x14ac:dyDescent="0.25">
      <c r="A28" s="11"/>
      <c r="E28" s="29"/>
      <c r="I28" s="4"/>
      <c r="J28" s="4"/>
      <c r="K28" s="6"/>
      <c r="L28" s="6"/>
    </row>
    <row r="29" spans="1:12" x14ac:dyDescent="0.25">
      <c r="B29" s="4" t="s">
        <v>71</v>
      </c>
      <c r="C29" s="9">
        <v>0</v>
      </c>
      <c r="D29" s="9">
        <v>0</v>
      </c>
      <c r="E29" s="45">
        <v>0</v>
      </c>
      <c r="F29" s="4">
        <f>MIN(CashFlow!F23,0)</f>
        <v>0</v>
      </c>
      <c r="G29" s="4">
        <f>MIN(CashFlow!G23,0)</f>
        <v>0</v>
      </c>
      <c r="H29" s="4">
        <f>MIN(CashFlow!H23,0)</f>
        <v>0</v>
      </c>
      <c r="I29" s="4">
        <f>MIN(CashFlow!I23,0)</f>
        <v>0</v>
      </c>
      <c r="J29" s="4">
        <f>MIN(CashFlow!J23,0)</f>
        <v>0</v>
      </c>
    </row>
    <row r="30" spans="1:12" x14ac:dyDescent="0.25">
      <c r="B30" s="4" t="s">
        <v>145</v>
      </c>
      <c r="C30" s="203">
        <f>33201+46538</f>
        <v>79739</v>
      </c>
      <c r="D30" s="9">
        <f>36559+48468</f>
        <v>85027</v>
      </c>
      <c r="E30" s="45">
        <f>37489+12769+44885</f>
        <v>95143</v>
      </c>
      <c r="F30" s="4">
        <f>F10*IncState!F16</f>
        <v>99900.15</v>
      </c>
      <c r="G30" s="4">
        <f>G10*IncState!G16</f>
        <v>104895.1575</v>
      </c>
      <c r="H30" s="4">
        <f>H10*IncState!H16</f>
        <v>110139.915375</v>
      </c>
      <c r="I30" s="4">
        <f>I10*IncState!I16</f>
        <v>115646.91114375</v>
      </c>
      <c r="J30" s="4">
        <f>J10*IncState!J16</f>
        <v>121429.25670093751</v>
      </c>
    </row>
    <row r="31" spans="1:12" x14ac:dyDescent="0.25">
      <c r="B31" s="4" t="s">
        <v>72</v>
      </c>
      <c r="C31" s="203">
        <f>28657</f>
        <v>28657</v>
      </c>
      <c r="D31" s="9">
        <f>30507</f>
        <v>30507</v>
      </c>
      <c r="E31" s="45">
        <f>30808+10703</f>
        <v>41511</v>
      </c>
      <c r="F31" s="4">
        <f>F11*IncState!F15</f>
        <v>43586.55</v>
      </c>
      <c r="G31" s="4">
        <f>G11*IncState!G15</f>
        <v>45765.877500000002</v>
      </c>
      <c r="H31" s="4">
        <f>H11*IncState!H15</f>
        <v>48054.171375000005</v>
      </c>
      <c r="I31" s="4">
        <f>I11*IncState!I15</f>
        <v>50456.879943750006</v>
      </c>
      <c r="J31" s="4">
        <f>J11*IncState!J15</f>
        <v>52979.723940937503</v>
      </c>
    </row>
    <row r="32" spans="1:12" s="11" customFormat="1" x14ac:dyDescent="0.25">
      <c r="B32" s="11" t="s">
        <v>73</v>
      </c>
      <c r="C32" s="11">
        <f t="shared" ref="C32:E32" si="6">SUM(C29:C31)</f>
        <v>108396</v>
      </c>
      <c r="D32" s="11">
        <f t="shared" si="6"/>
        <v>115534</v>
      </c>
      <c r="E32" s="26">
        <f t="shared" si="6"/>
        <v>136654</v>
      </c>
      <c r="F32" s="11">
        <f>SUM(F29:F31)</f>
        <v>143486.70000000001</v>
      </c>
      <c r="G32" s="11">
        <f t="shared" ref="G32:J32" si="7">SUM(G29:G31)</f>
        <v>150661.035</v>
      </c>
      <c r="H32" s="11">
        <f t="shared" si="7"/>
        <v>158194.08675000002</v>
      </c>
      <c r="I32" s="11">
        <f t="shared" si="7"/>
        <v>166103.79108749999</v>
      </c>
      <c r="J32" s="11">
        <f t="shared" si="7"/>
        <v>174408.98064187501</v>
      </c>
    </row>
    <row r="33" spans="1:12" x14ac:dyDescent="0.25">
      <c r="B33" s="11"/>
      <c r="E33" s="29"/>
      <c r="I33" s="4"/>
      <c r="J33" s="4"/>
    </row>
    <row r="34" spans="1:12" x14ac:dyDescent="0.25">
      <c r="B34" s="4" t="s">
        <v>74</v>
      </c>
      <c r="C34" s="203">
        <v>0</v>
      </c>
      <c r="D34" s="9">
        <v>0</v>
      </c>
      <c r="E34" s="45">
        <v>45000</v>
      </c>
      <c r="F34" s="4">
        <f>E34-SUM(Debt!F8:F9)</f>
        <v>45000</v>
      </c>
      <c r="G34" s="4">
        <f>F34-SUM(Debt!G8:G9)</f>
        <v>45000</v>
      </c>
      <c r="H34" s="4">
        <f>G34-SUM(Debt!H8:H9)</f>
        <v>45000</v>
      </c>
      <c r="I34" s="4">
        <f>H34-SUM(Debt!I8:I9)</f>
        <v>45000</v>
      </c>
      <c r="J34" s="4">
        <f>I34-SUM(Debt!J8:J9)</f>
        <v>45000</v>
      </c>
    </row>
    <row r="35" spans="1:12" x14ac:dyDescent="0.25">
      <c r="B35" s="4" t="s">
        <v>75</v>
      </c>
      <c r="C35" s="203">
        <f>289226-C32</f>
        <v>180830</v>
      </c>
      <c r="D35" s="9">
        <f>301274-D32</f>
        <v>185740</v>
      </c>
      <c r="E35" s="45">
        <f>311220-E32-E34</f>
        <v>129566</v>
      </c>
      <c r="F35" s="4">
        <f>F12*IncState!F15</f>
        <v>136044.30000000002</v>
      </c>
      <c r="G35" s="4">
        <f>G12*IncState!G15</f>
        <v>142846.51500000001</v>
      </c>
      <c r="H35" s="4">
        <f>H12*IncState!H15</f>
        <v>149988.84075000003</v>
      </c>
      <c r="I35" s="4">
        <f>I12*IncState!I15</f>
        <v>157488.28278750001</v>
      </c>
      <c r="J35" s="4">
        <f>J12*IncState!J15</f>
        <v>165362.69692687501</v>
      </c>
    </row>
    <row r="36" spans="1:12" x14ac:dyDescent="0.25">
      <c r="B36" s="11" t="s">
        <v>76</v>
      </c>
      <c r="C36" s="11">
        <f t="shared" ref="C36:E36" si="8">SUM(C34:C35)</f>
        <v>180830</v>
      </c>
      <c r="D36" s="11">
        <f t="shared" si="8"/>
        <v>185740</v>
      </c>
      <c r="E36" s="26">
        <f t="shared" si="8"/>
        <v>174566</v>
      </c>
      <c r="F36" s="11">
        <f>SUM(F34:F35)</f>
        <v>181044.30000000002</v>
      </c>
      <c r="G36" s="11">
        <f t="shared" ref="G36:J36" si="9">SUM(G34:G35)</f>
        <v>187846.51500000001</v>
      </c>
      <c r="H36" s="11">
        <f t="shared" si="9"/>
        <v>194988.84075000003</v>
      </c>
      <c r="I36" s="11">
        <f t="shared" si="9"/>
        <v>202488.28278750001</v>
      </c>
      <c r="J36" s="11">
        <f t="shared" si="9"/>
        <v>210362.69692687501</v>
      </c>
      <c r="K36" s="11"/>
      <c r="L36" s="11"/>
    </row>
    <row r="37" spans="1:12" x14ac:dyDescent="0.25">
      <c r="E37" s="29"/>
      <c r="I37" s="4"/>
      <c r="J37" s="4"/>
    </row>
    <row r="38" spans="1:12" x14ac:dyDescent="0.25">
      <c r="B38" s="4" t="s">
        <v>17</v>
      </c>
      <c r="C38" s="205">
        <v>436776</v>
      </c>
      <c r="D38" s="205">
        <v>537941</v>
      </c>
      <c r="E38" s="235">
        <v>606552</v>
      </c>
      <c r="F38" s="4">
        <f>Calcs!F16</f>
        <v>646796.23024851712</v>
      </c>
      <c r="G38" s="4">
        <f>Calcs!G16</f>
        <v>689130.7462112396</v>
      </c>
      <c r="H38" s="4">
        <f>Calcs!H16</f>
        <v>733660.06217387773</v>
      </c>
      <c r="I38" s="4">
        <f>Calcs!I16</f>
        <v>780493.91813642718</v>
      </c>
      <c r="J38" s="4">
        <f>Calcs!J16</f>
        <v>829747.54109888361</v>
      </c>
    </row>
    <row r="39" spans="1:12" s="11" customFormat="1" x14ac:dyDescent="0.25">
      <c r="A39" s="11" t="s">
        <v>119</v>
      </c>
      <c r="B39" s="18" t="s">
        <v>77</v>
      </c>
      <c r="C39" s="19">
        <f>SUM(C38,C36,C32)</f>
        <v>726002</v>
      </c>
      <c r="D39" s="19">
        <f>SUM(D38,D36,D32)</f>
        <v>839215</v>
      </c>
      <c r="E39" s="19">
        <f t="shared" ref="E39:F39" si="10">SUM(E38,E36,E32)</f>
        <v>917772</v>
      </c>
      <c r="F39" s="19">
        <f t="shared" si="10"/>
        <v>971327.23024851712</v>
      </c>
      <c r="G39" s="19">
        <f t="shared" ref="G39:J39" si="11">SUM(G38,G36,G32)</f>
        <v>1027638.2962112396</v>
      </c>
      <c r="H39" s="19">
        <f t="shared" si="11"/>
        <v>1086842.9896738778</v>
      </c>
      <c r="I39" s="19">
        <f t="shared" si="11"/>
        <v>1149085.9920114272</v>
      </c>
      <c r="J39" s="19">
        <f t="shared" si="11"/>
        <v>1214519.2186676336</v>
      </c>
    </row>
    <row r="40" spans="1:12" x14ac:dyDescent="0.25">
      <c r="E40" s="29"/>
      <c r="H40" s="6"/>
      <c r="K40" s="6"/>
      <c r="L40" s="6"/>
    </row>
    <row r="41" spans="1:12" x14ac:dyDescent="0.25">
      <c r="A41" s="4" t="s">
        <v>119</v>
      </c>
      <c r="B41" s="11" t="s">
        <v>78</v>
      </c>
      <c r="C41" s="46">
        <f>C39-C27</f>
        <v>0</v>
      </c>
      <c r="D41" s="46">
        <f t="shared" ref="D41:J41" si="12">D39-D27</f>
        <v>0</v>
      </c>
      <c r="E41" s="158">
        <f t="shared" si="12"/>
        <v>0</v>
      </c>
      <c r="F41" s="46">
        <f t="shared" si="12"/>
        <v>0</v>
      </c>
      <c r="G41" s="46">
        <f t="shared" si="12"/>
        <v>0</v>
      </c>
      <c r="H41" s="46">
        <f t="shared" si="12"/>
        <v>0</v>
      </c>
      <c r="I41" s="46">
        <f t="shared" si="12"/>
        <v>0</v>
      </c>
      <c r="J41" s="46">
        <f t="shared" si="12"/>
        <v>0</v>
      </c>
      <c r="K41" s="46"/>
      <c r="L41" s="46"/>
    </row>
    <row r="42" spans="1:12" x14ac:dyDescent="0.25">
      <c r="I42" s="4"/>
      <c r="J42" s="4"/>
    </row>
    <row r="43" spans="1:12" x14ac:dyDescent="0.25">
      <c r="H43" s="6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</sheetData>
  <conditionalFormatting sqref="F4:L13">
    <cfRule type="expression" dxfId="0" priority="38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5"/>
  <sheetViews>
    <sheetView showGridLines="0" zoomScaleNormal="100" workbookViewId="0">
      <selection activeCell="D42" sqref="D42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316" t="str">
        <f>CoName</f>
        <v xml:space="preserve">Berkshire Hathaway Insurance 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94" t="s">
        <v>79</v>
      </c>
      <c r="B2" s="195"/>
      <c r="C2" s="199">
        <v>2022</v>
      </c>
      <c r="D2" s="199">
        <f>C2+1</f>
        <v>2023</v>
      </c>
      <c r="E2" s="199">
        <f t="shared" ref="E2:J2" si="0">D2+1</f>
        <v>2024</v>
      </c>
      <c r="F2" s="199">
        <f t="shared" si="0"/>
        <v>2025</v>
      </c>
      <c r="G2" s="199">
        <f t="shared" si="0"/>
        <v>2026</v>
      </c>
      <c r="H2" s="199">
        <f t="shared" si="0"/>
        <v>2027</v>
      </c>
      <c r="I2" s="199">
        <f t="shared" si="0"/>
        <v>2028</v>
      </c>
      <c r="J2" s="199">
        <f t="shared" si="0"/>
        <v>2029</v>
      </c>
      <c r="K2" s="224"/>
      <c r="L2" s="224"/>
    </row>
    <row r="3" spans="1:12" x14ac:dyDescent="0.25">
      <c r="B3" s="4" t="s">
        <v>150</v>
      </c>
      <c r="F3" s="4">
        <f>Calcs!F14</f>
        <v>40244.230248517102</v>
      </c>
      <c r="G3" s="4">
        <f>IncState!G33</f>
        <v>42334.515962722457</v>
      </c>
      <c r="H3" s="4">
        <f>IncState!H33</f>
        <v>44529.315962638109</v>
      </c>
      <c r="I3" s="4">
        <f>IncState!I33</f>
        <v>46833.855962549489</v>
      </c>
      <c r="J3" s="4">
        <f>IncState!J33</f>
        <v>49253.622962456458</v>
      </c>
    </row>
    <row r="4" spans="1:12" x14ac:dyDescent="0.25">
      <c r="B4" s="4" t="s">
        <v>199</v>
      </c>
      <c r="F4" s="4">
        <f>Calcs!F8</f>
        <v>411</v>
      </c>
      <c r="G4" s="4">
        <f>Calcs!G8</f>
        <v>408.16765155050268</v>
      </c>
      <c r="H4" s="4">
        <f>Calcs!H8</f>
        <v>405.39752365445094</v>
      </c>
      <c r="I4" s="4">
        <f>Calcs!I8</f>
        <v>402.69095036144665</v>
      </c>
      <c r="J4" s="4">
        <f>Calcs!J8</f>
        <v>400.04934791455707</v>
      </c>
    </row>
    <row r="5" spans="1:12" x14ac:dyDescent="0.25">
      <c r="B5" s="4" t="s">
        <v>53</v>
      </c>
      <c r="F5" s="4">
        <f>Assumptions!F13</f>
        <v>0</v>
      </c>
      <c r="G5" s="4">
        <f>Assumptions!G13</f>
        <v>0</v>
      </c>
      <c r="H5" s="4">
        <f>Assumptions!H13</f>
        <v>0</v>
      </c>
      <c r="I5" s="4">
        <f>Assumptions!I13</f>
        <v>0</v>
      </c>
      <c r="J5" s="4">
        <f>Assumptions!J13</f>
        <v>0</v>
      </c>
    </row>
    <row r="6" spans="1:12" x14ac:dyDescent="0.25">
      <c r="B6" s="4" t="s">
        <v>85</v>
      </c>
      <c r="F6" s="4">
        <f>Calcs!E23-Calcs!F23</f>
        <v>1806.8177500000165</v>
      </c>
      <c r="G6" s="4">
        <f>Calcs!F23-Calcs!G23</f>
        <v>1897.1586374999752</v>
      </c>
      <c r="H6" s="4">
        <f>Calcs!G23-Calcs!H23</f>
        <v>1992.0165693750314</v>
      </c>
      <c r="I6" s="4">
        <f>Calcs!H23-Calcs!I23</f>
        <v>2091.6173978437291</v>
      </c>
      <c r="J6" s="4">
        <f>Calcs!I23-Calcs!J23</f>
        <v>2196.1982677359338</v>
      </c>
    </row>
    <row r="7" spans="1:12" x14ac:dyDescent="0.25">
      <c r="B7" s="4" t="s">
        <v>200</v>
      </c>
      <c r="F7" s="4">
        <f>BalSheet!E24-BalSheet!F24</f>
        <v>-1689.5500000000029</v>
      </c>
      <c r="G7" s="4">
        <f>BalSheet!F24-BalSheet!G24</f>
        <v>-1774.0275000000038</v>
      </c>
      <c r="H7" s="4">
        <f>BalSheet!G24-BalSheet!H24</f>
        <v>-1862.7288750000007</v>
      </c>
      <c r="I7" s="4">
        <f>BalSheet!H24-BalSheet!I24</f>
        <v>-1955.8653187499949</v>
      </c>
      <c r="J7" s="4">
        <f>BalSheet!I24-BalSheet!J24</f>
        <v>-2053.6585846875023</v>
      </c>
    </row>
    <row r="8" spans="1:12" x14ac:dyDescent="0.25">
      <c r="B8" s="4" t="s">
        <v>201</v>
      </c>
      <c r="F8" s="4">
        <f>BalSheet!F35-BalSheet!E35</f>
        <v>6478.3000000000175</v>
      </c>
      <c r="G8" s="4">
        <f>BalSheet!G35-BalSheet!F35</f>
        <v>6802.2149999999965</v>
      </c>
      <c r="H8" s="4">
        <f>BalSheet!H35-BalSheet!G35</f>
        <v>7142.3257500000182</v>
      </c>
      <c r="I8" s="4">
        <f>BalSheet!I35-BalSheet!H35</f>
        <v>7499.4420374999754</v>
      </c>
      <c r="J8" s="4">
        <f>BalSheet!J35-BalSheet!I35</f>
        <v>7874.4141393750033</v>
      </c>
    </row>
    <row r="9" spans="1:12" s="11" customFormat="1" x14ac:dyDescent="0.25">
      <c r="B9" s="11" t="s">
        <v>203</v>
      </c>
      <c r="F9" s="11">
        <f>SUM(F3:F8)</f>
        <v>47250.797998517133</v>
      </c>
      <c r="G9" s="11">
        <f t="shared" ref="G9:J9" si="1">SUM(G3:G8)</f>
        <v>49668.029751772927</v>
      </c>
      <c r="H9" s="11">
        <f t="shared" si="1"/>
        <v>52206.326930667608</v>
      </c>
      <c r="I9" s="11">
        <f t="shared" si="1"/>
        <v>54871.741029504643</v>
      </c>
      <c r="J9" s="11">
        <f t="shared" si="1"/>
        <v>57670.626132794452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Calcs!F7</f>
        <v>86.100000000000009</v>
      </c>
      <c r="G11" s="4">
        <f>Calcs!G7</f>
        <v>90.405000000000001</v>
      </c>
      <c r="H11" s="4">
        <f>Calcs!H7</f>
        <v>94.925250000000005</v>
      </c>
      <c r="I11" s="4">
        <f>Calcs!I7</f>
        <v>99.671512500000006</v>
      </c>
      <c r="J11" s="4">
        <f>Calcs!J7</f>
        <v>104.65508812500001</v>
      </c>
    </row>
    <row r="12" spans="1:12" x14ac:dyDescent="0.25">
      <c r="B12" s="4" t="s">
        <v>204</v>
      </c>
      <c r="F12" s="4">
        <f>BalSheet!F17-BalSheet!E17</f>
        <v>0</v>
      </c>
      <c r="G12" s="4">
        <f>BalSheet!G17-BalSheet!F17</f>
        <v>0</v>
      </c>
      <c r="H12" s="4">
        <f>BalSheet!H17-BalSheet!G17</f>
        <v>0</v>
      </c>
      <c r="I12" s="4">
        <f>BalSheet!I17-BalSheet!H17</f>
        <v>0</v>
      </c>
      <c r="J12" s="4">
        <f>BalSheet!J17-BalSheet!I17</f>
        <v>0</v>
      </c>
    </row>
    <row r="13" spans="1:12" s="11" customFormat="1" x14ac:dyDescent="0.25">
      <c r="B13" s="11" t="s">
        <v>202</v>
      </c>
      <c r="F13" s="11">
        <f>SUM(F11:F12)*-1</f>
        <v>-86.100000000000009</v>
      </c>
      <c r="G13" s="11">
        <f t="shared" ref="G13:J13" si="2">SUM(G11:G12)*-1</f>
        <v>-90.405000000000001</v>
      </c>
      <c r="H13" s="11">
        <f t="shared" si="2"/>
        <v>-94.925250000000005</v>
      </c>
      <c r="I13" s="11">
        <f t="shared" si="2"/>
        <v>-99.671512500000006</v>
      </c>
      <c r="J13" s="11">
        <f t="shared" si="2"/>
        <v>-104.65508812500001</v>
      </c>
    </row>
    <row r="14" spans="1:12" x14ac:dyDescent="0.25">
      <c r="I14" s="4"/>
      <c r="J14" s="4"/>
    </row>
    <row r="15" spans="1:12" x14ac:dyDescent="0.25">
      <c r="B15" s="4" t="s">
        <v>206</v>
      </c>
      <c r="F15" s="4">
        <f>Calcs!F11</f>
        <v>0</v>
      </c>
      <c r="G15" s="4">
        <f>Calcs!G11</f>
        <v>0</v>
      </c>
      <c r="H15" s="4">
        <f>Calcs!H11</f>
        <v>0</v>
      </c>
      <c r="I15" s="4">
        <f>Calcs!I11</f>
        <v>0</v>
      </c>
      <c r="J15" s="4">
        <f>Calcs!J11</f>
        <v>0</v>
      </c>
    </row>
    <row r="16" spans="1:12" x14ac:dyDescent="0.25">
      <c r="B16" s="4" t="s">
        <v>207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2:10" s="11" customFormat="1" x14ac:dyDescent="0.25">
      <c r="B17" s="11" t="s">
        <v>205</v>
      </c>
      <c r="F17" s="11">
        <f>SUM(F15:F16)</f>
        <v>0</v>
      </c>
      <c r="G17" s="11">
        <f t="shared" ref="G17:J17" si="3">SUM(G15:G16)</f>
        <v>0</v>
      </c>
      <c r="H17" s="11">
        <f t="shared" si="3"/>
        <v>0</v>
      </c>
      <c r="I17" s="11">
        <f t="shared" si="3"/>
        <v>0</v>
      </c>
      <c r="J17" s="11">
        <f t="shared" si="3"/>
        <v>0</v>
      </c>
    </row>
    <row r="18" spans="2:10" x14ac:dyDescent="0.25">
      <c r="I18" s="4"/>
      <c r="J18" s="4"/>
    </row>
    <row r="19" spans="2:10" s="11" customFormat="1" x14ac:dyDescent="0.25">
      <c r="B19" s="11" t="s">
        <v>208</v>
      </c>
      <c r="F19" s="11">
        <f>SUM(F17,F13,F9)</f>
        <v>47164.697998517135</v>
      </c>
      <c r="G19" s="11">
        <f t="shared" ref="G19:J19" si="4">SUM(G17,G13,G9)</f>
        <v>49577.624751772928</v>
      </c>
      <c r="H19" s="11">
        <f t="shared" si="4"/>
        <v>52111.401680667608</v>
      </c>
      <c r="I19" s="11">
        <f t="shared" si="4"/>
        <v>54772.069517004646</v>
      </c>
      <c r="J19" s="11">
        <f t="shared" si="4"/>
        <v>57565.971044669452</v>
      </c>
    </row>
    <row r="20" spans="2:10" x14ac:dyDescent="0.25">
      <c r="I20" s="4"/>
      <c r="J20" s="4"/>
    </row>
    <row r="21" spans="2:10" x14ac:dyDescent="0.25">
      <c r="B21" s="4" t="s">
        <v>209</v>
      </c>
      <c r="F21" s="4">
        <f>BalSheet!E16</f>
        <v>39508.355000000003</v>
      </c>
      <c r="G21" s="4">
        <f>BalSheet!F16</f>
        <v>86673.052998517145</v>
      </c>
      <c r="H21" s="4">
        <f>BalSheet!G16</f>
        <v>136250.67775029008</v>
      </c>
      <c r="I21" s="4">
        <f>BalSheet!H16</f>
        <v>188362.07943095767</v>
      </c>
      <c r="J21" s="4">
        <f>BalSheet!I16</f>
        <v>243134.14894796233</v>
      </c>
    </row>
    <row r="22" spans="2:10" x14ac:dyDescent="0.25">
      <c r="B22" s="4" t="s">
        <v>210</v>
      </c>
      <c r="F22" s="4">
        <f>F19</f>
        <v>47164.697998517135</v>
      </c>
      <c r="G22" s="4">
        <f t="shared" ref="G22:J22" si="5">G19</f>
        <v>49577.624751772928</v>
      </c>
      <c r="H22" s="4">
        <f t="shared" si="5"/>
        <v>52111.401680667608</v>
      </c>
      <c r="I22" s="4">
        <f t="shared" si="5"/>
        <v>54772.069517004646</v>
      </c>
      <c r="J22" s="4">
        <f t="shared" si="5"/>
        <v>57565.971044669452</v>
      </c>
    </row>
    <row r="23" spans="2:10" x14ac:dyDescent="0.25">
      <c r="B23" s="4" t="s">
        <v>211</v>
      </c>
      <c r="F23" s="4">
        <f>SUM(F21:F22)</f>
        <v>86673.052998517145</v>
      </c>
      <c r="G23" s="4">
        <f t="shared" ref="G23:J23" si="6">SUM(G21:G22)</f>
        <v>136250.67775029008</v>
      </c>
      <c r="H23" s="4">
        <f t="shared" si="6"/>
        <v>188362.07943095767</v>
      </c>
      <c r="I23" s="4">
        <f t="shared" si="6"/>
        <v>243134.14894796233</v>
      </c>
      <c r="J23" s="4">
        <f t="shared" si="6"/>
        <v>300700.11999263178</v>
      </c>
    </row>
    <row r="24" spans="2:10" x14ac:dyDescent="0.25">
      <c r="I24" s="4"/>
      <c r="J24" s="4"/>
    </row>
    <row r="25" spans="2:10" x14ac:dyDescent="0.25">
      <c r="I25" s="4"/>
      <c r="J25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6" sqref="F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316" t="str">
        <f>CoName</f>
        <v xml:space="preserve">Berkshire Hathaway Insurance 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94" t="s">
        <v>82</v>
      </c>
      <c r="B2" s="195"/>
      <c r="C2" s="199">
        <v>2022</v>
      </c>
      <c r="D2" s="199">
        <f>C2+1</f>
        <v>2023</v>
      </c>
      <c r="E2" s="199">
        <f t="shared" ref="E2:J2" si="0">D2+1</f>
        <v>2024</v>
      </c>
      <c r="F2" s="199">
        <f t="shared" si="0"/>
        <v>2025</v>
      </c>
      <c r="G2" s="199">
        <f t="shared" si="0"/>
        <v>2026</v>
      </c>
      <c r="H2" s="199">
        <f t="shared" si="0"/>
        <v>2027</v>
      </c>
      <c r="I2" s="199">
        <f t="shared" si="0"/>
        <v>2028</v>
      </c>
      <c r="J2" s="199">
        <f t="shared" si="0"/>
        <v>2029</v>
      </c>
      <c r="K2" s="224"/>
      <c r="L2" s="224"/>
    </row>
    <row r="3" spans="1:12" x14ac:dyDescent="0.25">
      <c r="A3" s="11" t="s">
        <v>119</v>
      </c>
      <c r="B3" s="4" t="s">
        <v>83</v>
      </c>
      <c r="D3" s="289"/>
      <c r="E3" s="25"/>
      <c r="F3" s="290">
        <f>IncState!F15</f>
        <v>337725.15</v>
      </c>
      <c r="G3" s="290">
        <f>IncState!G15</f>
        <v>354611.40750000003</v>
      </c>
      <c r="H3" s="290">
        <f>IncState!H15</f>
        <v>372341.97787500004</v>
      </c>
      <c r="I3" s="290">
        <f>IncState!I15</f>
        <v>390959.07676875003</v>
      </c>
      <c r="J3" s="290">
        <f>IncState!J15</f>
        <v>410507.03060718754</v>
      </c>
      <c r="K3" s="232"/>
      <c r="L3" s="232"/>
    </row>
    <row r="4" spans="1:12" x14ac:dyDescent="0.25">
      <c r="B4" s="4" t="s">
        <v>54</v>
      </c>
      <c r="E4" s="29"/>
      <c r="F4" s="4">
        <f>IncState!F18</f>
        <v>50859.900000000023</v>
      </c>
      <c r="G4" s="4">
        <f>IncState!G18</f>
        <v>53402.895000000019</v>
      </c>
      <c r="H4" s="4">
        <f>IncState!H18</f>
        <v>56073.039750000054</v>
      </c>
      <c r="I4" s="4">
        <f>IncState!I18</f>
        <v>58876.691737500019</v>
      </c>
      <c r="J4" s="4">
        <f>IncState!J18</f>
        <v>61820.526324375009</v>
      </c>
    </row>
    <row r="5" spans="1:12" x14ac:dyDescent="0.25">
      <c r="B5" s="32" t="s">
        <v>88</v>
      </c>
      <c r="C5" s="32"/>
      <c r="D5" s="32"/>
      <c r="E5" s="39"/>
      <c r="F5" s="43">
        <f>IncState!F10</f>
        <v>0.1780220904070362</v>
      </c>
      <c r="G5" s="43">
        <f>IncState!G10</f>
        <v>0.1780220904070362</v>
      </c>
      <c r="H5" s="43">
        <f>IncState!H10</f>
        <v>0.1780220904070362</v>
      </c>
      <c r="I5" s="43">
        <f>IncState!I10</f>
        <v>0.1780220904070362</v>
      </c>
      <c r="J5" s="43">
        <f>IncState!J10</f>
        <v>0.1780220904070362</v>
      </c>
      <c r="K5" s="43"/>
      <c r="L5" s="43"/>
    </row>
    <row r="6" spans="1:12" x14ac:dyDescent="0.25">
      <c r="C6" s="5"/>
      <c r="D6" s="5"/>
      <c r="E6" s="25"/>
      <c r="F6" s="5"/>
      <c r="G6" s="5"/>
      <c r="H6" s="5"/>
      <c r="I6" s="5"/>
      <c r="J6" s="5"/>
      <c r="K6" s="188"/>
      <c r="L6" s="188"/>
    </row>
    <row r="7" spans="1:12" x14ac:dyDescent="0.25">
      <c r="A7" s="26" t="s">
        <v>119</v>
      </c>
      <c r="B7" s="23" t="s">
        <v>84</v>
      </c>
      <c r="C7" s="123"/>
      <c r="D7" s="123"/>
      <c r="E7" s="123"/>
      <c r="F7" s="138">
        <f t="shared" ref="F7:J7" si="1">F4*(1-F5)</f>
        <v>41805.714284107198</v>
      </c>
      <c r="G7" s="138">
        <f t="shared" si="1"/>
        <v>43895.999998312553</v>
      </c>
      <c r="H7" s="138">
        <f t="shared" si="1"/>
        <v>46090.799998228213</v>
      </c>
      <c r="I7" s="138">
        <f t="shared" si="1"/>
        <v>48395.339998139592</v>
      </c>
      <c r="J7" s="172">
        <f t="shared" si="1"/>
        <v>50815.106998046562</v>
      </c>
      <c r="K7" s="232"/>
      <c r="L7" s="232"/>
    </row>
    <row r="8" spans="1:12" x14ac:dyDescent="0.25">
      <c r="B8" s="4" t="s">
        <v>15</v>
      </c>
      <c r="C8" s="123"/>
      <c r="D8" s="123"/>
      <c r="E8" s="124"/>
      <c r="F8" s="139">
        <f>CashFlow!F4</f>
        <v>411</v>
      </c>
      <c r="G8" s="139">
        <f>CashFlow!G4</f>
        <v>408.16765155050268</v>
      </c>
      <c r="H8" s="139">
        <f>CashFlow!H4</f>
        <v>405.39752365445094</v>
      </c>
      <c r="I8" s="139">
        <f>CashFlow!I4</f>
        <v>402.69095036144665</v>
      </c>
      <c r="J8" s="139">
        <f>CashFlow!J4</f>
        <v>400.04934791455707</v>
      </c>
      <c r="K8" s="231"/>
      <c r="L8" s="231"/>
    </row>
    <row r="9" spans="1:12" x14ac:dyDescent="0.25">
      <c r="B9" s="4" t="s">
        <v>53</v>
      </c>
      <c r="C9" s="5"/>
      <c r="D9" s="5"/>
      <c r="E9" s="25"/>
      <c r="F9" s="200">
        <f>CashFlow!F5</f>
        <v>0</v>
      </c>
      <c r="G9" s="200">
        <f>CashFlow!G5</f>
        <v>0</v>
      </c>
      <c r="H9" s="200">
        <f>CashFlow!H5</f>
        <v>0</v>
      </c>
      <c r="I9" s="200">
        <f>CashFlow!I5</f>
        <v>0</v>
      </c>
      <c r="J9" s="200">
        <f>CashFlow!J5</f>
        <v>0</v>
      </c>
      <c r="K9" s="231"/>
      <c r="L9" s="231"/>
    </row>
    <row r="10" spans="1:12" x14ac:dyDescent="0.25">
      <c r="B10" s="4" t="s">
        <v>85</v>
      </c>
      <c r="C10" s="5"/>
      <c r="D10" s="5"/>
      <c r="E10" s="25"/>
      <c r="F10" s="200">
        <f>CashFlow!F6</f>
        <v>1806.8177500000165</v>
      </c>
      <c r="G10" s="200">
        <f>CashFlow!G6</f>
        <v>1897.1586374999752</v>
      </c>
      <c r="H10" s="200">
        <f>CashFlow!H6</f>
        <v>1992.0165693750314</v>
      </c>
      <c r="I10" s="200">
        <f>CashFlow!I6</f>
        <v>2091.6173978437291</v>
      </c>
      <c r="J10" s="200">
        <f>CashFlow!J6</f>
        <v>2196.1982677359338</v>
      </c>
      <c r="K10" s="231"/>
      <c r="L10" s="231"/>
    </row>
    <row r="11" spans="1:12" x14ac:dyDescent="0.25">
      <c r="B11" s="4" t="s">
        <v>157</v>
      </c>
      <c r="C11" s="5"/>
      <c r="D11" s="5"/>
      <c r="E11" s="25"/>
      <c r="F11" s="200">
        <f>CashFlow!F7</f>
        <v>-1689.5500000000029</v>
      </c>
      <c r="G11" s="200">
        <f>CashFlow!G7</f>
        <v>-1774.0275000000038</v>
      </c>
      <c r="H11" s="200">
        <f>CashFlow!H7</f>
        <v>-1862.7288750000007</v>
      </c>
      <c r="I11" s="200">
        <f>CashFlow!I7</f>
        <v>-1955.8653187499949</v>
      </c>
      <c r="J11" s="200">
        <f>CashFlow!J7</f>
        <v>-2053.6585846875023</v>
      </c>
      <c r="K11" s="231"/>
      <c r="L11" s="231"/>
    </row>
    <row r="12" spans="1:12" x14ac:dyDescent="0.25">
      <c r="B12" s="4" t="s">
        <v>158</v>
      </c>
      <c r="E12" s="29"/>
      <c r="F12" s="200">
        <f>CashFlow!F8</f>
        <v>6478.3000000000175</v>
      </c>
      <c r="G12" s="200">
        <f>CashFlow!G8</f>
        <v>6802.2149999999965</v>
      </c>
      <c r="H12" s="200">
        <f>CashFlow!H8</f>
        <v>7142.3257500000182</v>
      </c>
      <c r="I12" s="200">
        <f>CashFlow!I8</f>
        <v>7499.4420374999754</v>
      </c>
      <c r="J12" s="200">
        <f>CashFlow!J8</f>
        <v>7874.4141393750033</v>
      </c>
      <c r="K12" s="231"/>
      <c r="L12" s="231"/>
    </row>
    <row r="13" spans="1:12" x14ac:dyDescent="0.25">
      <c r="B13" s="4" t="s">
        <v>86</v>
      </c>
      <c r="E13" s="29"/>
      <c r="F13" s="136">
        <f>-CashFlow!F11</f>
        <v>-86.100000000000009</v>
      </c>
      <c r="G13" s="136">
        <f>-CashFlow!G11</f>
        <v>-90.405000000000001</v>
      </c>
      <c r="H13" s="136">
        <f>-CashFlow!H11</f>
        <v>-94.925250000000005</v>
      </c>
      <c r="I13" s="136">
        <f>-CashFlow!I11</f>
        <v>-99.671512500000006</v>
      </c>
      <c r="J13" s="136">
        <f>-CashFlow!J11</f>
        <v>-104.65508812500001</v>
      </c>
      <c r="K13" s="136"/>
      <c r="L13" s="136"/>
    </row>
    <row r="14" spans="1:12" x14ac:dyDescent="0.25">
      <c r="E14" s="63"/>
      <c r="F14" s="140"/>
      <c r="G14" s="140"/>
      <c r="H14" s="140"/>
      <c r="I14" s="140"/>
      <c r="J14" s="140"/>
      <c r="K14" s="140"/>
      <c r="L14" s="140"/>
    </row>
    <row r="15" spans="1:12" s="11" customFormat="1" x14ac:dyDescent="0.25">
      <c r="A15" s="26" t="s">
        <v>119</v>
      </c>
      <c r="B15" s="34" t="s">
        <v>87</v>
      </c>
      <c r="C15" s="34"/>
      <c r="D15" s="34"/>
      <c r="E15" s="34"/>
      <c r="F15" s="34">
        <f>SUM(F7:F13)</f>
        <v>48726.182034107231</v>
      </c>
      <c r="G15" s="34">
        <f t="shared" ref="G15:J15" si="2">SUM(G7:G13)</f>
        <v>51139.108787363024</v>
      </c>
      <c r="H15" s="34">
        <f t="shared" si="2"/>
        <v>53672.885716257711</v>
      </c>
      <c r="I15" s="34">
        <f t="shared" si="2"/>
        <v>56333.553552594749</v>
      </c>
      <c r="J15" s="20">
        <f t="shared" si="2"/>
        <v>59127.455080259555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84"/>
      <c r="J16" s="84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F6" sqref="F6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316" t="str">
        <f>CoName</f>
        <v xml:space="preserve">Berkshire Hathaway Insurance </v>
      </c>
    </row>
    <row r="2" spans="1:13" x14ac:dyDescent="0.25">
      <c r="G2" s="150"/>
    </row>
    <row r="3" spans="1:13" x14ac:dyDescent="0.25">
      <c r="A3" s="29" t="s">
        <v>119</v>
      </c>
      <c r="B3" s="169" t="s">
        <v>96</v>
      </c>
      <c r="C3" s="170"/>
      <c r="D3" s="170"/>
      <c r="E3" s="171"/>
      <c r="F3" s="11"/>
      <c r="G3" s="77" t="s">
        <v>103</v>
      </c>
      <c r="H3" s="77" t="s">
        <v>98</v>
      </c>
      <c r="I3" s="77" t="s">
        <v>99</v>
      </c>
      <c r="J3" s="77" t="s">
        <v>100</v>
      </c>
      <c r="K3" s="77" t="s">
        <v>101</v>
      </c>
      <c r="L3" s="77" t="s">
        <v>106</v>
      </c>
      <c r="M3" s="77" t="s">
        <v>102</v>
      </c>
    </row>
    <row r="4" spans="1:13" x14ac:dyDescent="0.25">
      <c r="A4" s="29"/>
      <c r="B4" s="319" t="s">
        <v>159</v>
      </c>
      <c r="C4" s="67"/>
      <c r="D4" s="72"/>
      <c r="E4" s="320">
        <f>Assumptions!E16</f>
        <v>0.1780220904070362</v>
      </c>
      <c r="G4" s="142" t="s">
        <v>212</v>
      </c>
      <c r="H4" s="143">
        <v>0.48</v>
      </c>
      <c r="I4" s="80">
        <f>7737+72399</f>
        <v>80136</v>
      </c>
      <c r="J4" s="81">
        <v>308700</v>
      </c>
      <c r="K4" s="145">
        <f>I4/J4</f>
        <v>0.25959183673469388</v>
      </c>
      <c r="L4" s="159">
        <f>E4</f>
        <v>0.1780220904070362</v>
      </c>
      <c r="M4" s="146">
        <f>H4/((1+K4*(1-L4)))</f>
        <v>0.39558958643438547</v>
      </c>
    </row>
    <row r="5" spans="1:13" x14ac:dyDescent="0.25">
      <c r="A5" s="29"/>
      <c r="B5" s="67" t="s">
        <v>89</v>
      </c>
      <c r="C5" s="67"/>
      <c r="D5" s="72"/>
      <c r="E5" s="141">
        <v>4.1000000000000002E-2</v>
      </c>
      <c r="G5" s="142" t="s">
        <v>213</v>
      </c>
      <c r="H5" s="143">
        <v>0.61</v>
      </c>
      <c r="I5" s="80">
        <f>5328+60508</f>
        <v>65836</v>
      </c>
      <c r="J5" s="81">
        <v>99300</v>
      </c>
      <c r="K5" s="145">
        <f>I5/J5</f>
        <v>0.66300100704934539</v>
      </c>
      <c r="L5" s="159">
        <f>L4</f>
        <v>0.1780220904070362</v>
      </c>
      <c r="M5" s="146">
        <f t="shared" ref="M5:M7" si="0">H5/((1+K5*(1-L5)))</f>
        <v>0.39482911548381089</v>
      </c>
    </row>
    <row r="6" spans="1:13" x14ac:dyDescent="0.25">
      <c r="A6" s="29"/>
      <c r="B6" s="67" t="s">
        <v>90</v>
      </c>
      <c r="C6" s="67"/>
      <c r="D6" s="72"/>
      <c r="E6" s="141">
        <v>0.05</v>
      </c>
      <c r="G6" s="142" t="s">
        <v>214</v>
      </c>
      <c r="H6" s="144">
        <v>0.46</v>
      </c>
      <c r="I6" s="82">
        <f>12439+30947</f>
        <v>43386</v>
      </c>
      <c r="J6" s="81">
        <v>65600</v>
      </c>
      <c r="K6" s="145">
        <f>I6/J6</f>
        <v>0.6613719512195122</v>
      </c>
      <c r="L6" s="159">
        <f t="shared" ref="L6:L7" si="1">L5</f>
        <v>0.1780220904070362</v>
      </c>
      <c r="M6" s="146">
        <f t="shared" si="0"/>
        <v>0.29799826778128957</v>
      </c>
    </row>
    <row r="7" spans="1:13" x14ac:dyDescent="0.25">
      <c r="A7" s="29"/>
      <c r="B7" s="67" t="s">
        <v>91</v>
      </c>
      <c r="C7" s="67"/>
      <c r="D7" s="72"/>
      <c r="E7" s="237">
        <f>M11</f>
        <v>0.44699420551664659</v>
      </c>
      <c r="G7" s="142" t="s">
        <v>217</v>
      </c>
      <c r="H7" s="144">
        <v>0.77</v>
      </c>
      <c r="I7" s="82">
        <v>127020</v>
      </c>
      <c r="J7" s="83">
        <f>660000+376900</f>
        <v>1036900</v>
      </c>
      <c r="K7" s="145">
        <f>I7/J7</f>
        <v>0.12249975889671134</v>
      </c>
      <c r="L7" s="159">
        <f t="shared" si="1"/>
        <v>0.1780220904070362</v>
      </c>
      <c r="M7" s="146">
        <f t="shared" si="0"/>
        <v>0.69955985236710061</v>
      </c>
    </row>
    <row r="8" spans="1:13" x14ac:dyDescent="0.25">
      <c r="A8" s="29"/>
      <c r="B8" s="67" t="s">
        <v>92</v>
      </c>
      <c r="C8" s="67"/>
      <c r="D8" s="72"/>
      <c r="E8" s="141">
        <f>E5+E6*E7</f>
        <v>6.3349710275832333E-2</v>
      </c>
      <c r="L8" s="66"/>
    </row>
    <row r="9" spans="1:13" x14ac:dyDescent="0.25">
      <c r="A9" s="29"/>
      <c r="B9" s="68" t="s">
        <v>93</v>
      </c>
      <c r="C9" s="68"/>
      <c r="D9" s="73"/>
      <c r="E9" s="147">
        <v>1</v>
      </c>
      <c r="G9" s="4" t="s">
        <v>104</v>
      </c>
      <c r="L9" s="29"/>
      <c r="M9" s="236">
        <f>AVERAGE(M4:M7)</f>
        <v>0.44699420551664659</v>
      </c>
    </row>
    <row r="10" spans="1:13" x14ac:dyDescent="0.25">
      <c r="A10" s="29"/>
      <c r="B10" s="69" t="s">
        <v>94</v>
      </c>
      <c r="C10" s="69"/>
      <c r="D10" s="74"/>
      <c r="E10" s="148">
        <v>0</v>
      </c>
      <c r="M10" s="66"/>
    </row>
    <row r="11" spans="1:13" x14ac:dyDescent="0.25">
      <c r="A11" s="29"/>
      <c r="B11" s="168" t="s">
        <v>166</v>
      </c>
      <c r="C11" s="70"/>
      <c r="D11" s="75"/>
      <c r="E11" s="149">
        <v>0.04</v>
      </c>
      <c r="G11" s="4" t="s">
        <v>105</v>
      </c>
      <c r="L11" s="29"/>
      <c r="M11" s="236">
        <f>M9*(1+E10*(1-E4))</f>
        <v>0.44699420551664659</v>
      </c>
    </row>
    <row r="12" spans="1:13" x14ac:dyDescent="0.25">
      <c r="A12" s="29"/>
      <c r="B12" s="71" t="s">
        <v>95</v>
      </c>
      <c r="C12" s="71"/>
      <c r="D12" s="76"/>
      <c r="E12" s="149">
        <f>E11*(1-E4)</f>
        <v>3.287911638371855E-2</v>
      </c>
      <c r="M12" s="66"/>
    </row>
    <row r="13" spans="1:13" s="11" customFormat="1" x14ac:dyDescent="0.25">
      <c r="A13" s="26" t="s">
        <v>119</v>
      </c>
      <c r="B13" s="169" t="s">
        <v>96</v>
      </c>
      <c r="C13" s="170"/>
      <c r="D13" s="171"/>
      <c r="E13" s="166">
        <f>E8*E9+E12*E10</f>
        <v>6.3349710275832333E-2</v>
      </c>
      <c r="F13" s="4"/>
    </row>
    <row r="14" spans="1:13" s="11" customFormat="1" x14ac:dyDescent="0.25">
      <c r="A14" s="26"/>
      <c r="B14" s="77" t="s">
        <v>97</v>
      </c>
      <c r="C14" s="77"/>
      <c r="D14" s="116"/>
      <c r="E14" s="151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R45"/>
  <sheetViews>
    <sheetView showGridLines="0" topLeftCell="C1" zoomScaleNormal="100" workbookViewId="0">
      <selection activeCell="Q16" sqref="Q16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0.42578125" style="4" customWidth="1"/>
    <col min="6" max="6" width="12.140625" style="4" customWidth="1"/>
    <col min="7" max="7" width="11.42578125" style="4" bestFit="1" customWidth="1"/>
    <col min="8" max="9" width="11.7109375" style="4" customWidth="1"/>
    <col min="10" max="13" width="11.42578125" style="4" bestFit="1" customWidth="1"/>
    <col min="14" max="14" width="9" style="4"/>
    <col min="15" max="18" width="9.85546875" style="4" bestFit="1" customWidth="1"/>
    <col min="19" max="16384" width="9" style="4"/>
  </cols>
  <sheetData>
    <row r="1" spans="1:18" ht="19.5" x14ac:dyDescent="0.3">
      <c r="A1" s="316" t="str">
        <f>CoName</f>
        <v xml:space="preserve">Berkshire Hathaway Insurance 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8" x14ac:dyDescent="0.25">
      <c r="A2" s="77" t="s">
        <v>107</v>
      </c>
      <c r="B2" s="21"/>
      <c r="C2" s="42"/>
      <c r="D2" s="77">
        <v>1</v>
      </c>
      <c r="E2" s="77">
        <f>D2+1</f>
        <v>2</v>
      </c>
      <c r="F2" s="77">
        <f t="shared" ref="F2:H2" si="0">E2+1</f>
        <v>3</v>
      </c>
      <c r="G2" s="77">
        <f t="shared" si="0"/>
        <v>4</v>
      </c>
      <c r="H2" s="77">
        <f t="shared" si="0"/>
        <v>5</v>
      </c>
      <c r="I2" s="167"/>
      <c r="J2" s="167"/>
      <c r="K2" s="167"/>
      <c r="L2" s="167"/>
      <c r="M2" s="167"/>
      <c r="N2" s="167"/>
    </row>
    <row r="3" spans="1:18" x14ac:dyDescent="0.25">
      <c r="B3" s="4" t="s">
        <v>216</v>
      </c>
      <c r="D3" s="8">
        <f>1/(1+$M$3)^D2</f>
        <v>0.94042438751462176</v>
      </c>
      <c r="E3" s="8">
        <f t="shared" ref="E3:H3" si="1">1/(1+$M$3)^E2</f>
        <v>0.88439802863225148</v>
      </c>
      <c r="F3" s="8">
        <f t="shared" si="1"/>
        <v>0.83170947439562393</v>
      </c>
      <c r="G3" s="8">
        <f t="shared" si="1"/>
        <v>0.78215987304861256</v>
      </c>
      <c r="H3" s="8">
        <f t="shared" si="1"/>
        <v>0.7355622195502558</v>
      </c>
      <c r="I3" s="8"/>
      <c r="J3" s="169" t="s">
        <v>96</v>
      </c>
      <c r="K3" s="170"/>
      <c r="L3" s="171"/>
      <c r="M3" s="166">
        <f>WACC!E13</f>
        <v>6.3349710275832333E-2</v>
      </c>
    </row>
    <row r="4" spans="1:18" x14ac:dyDescent="0.25">
      <c r="B4" s="4" t="s">
        <v>215</v>
      </c>
      <c r="D4" s="4">
        <f>D3*('Free Cash Flow'!F15)</f>
        <v>45823.289895351256</v>
      </c>
      <c r="E4" s="4">
        <f>E3*('Free Cash Flow'!G15)</f>
        <v>45227.326997554104</v>
      </c>
      <c r="F4" s="4">
        <f>F3*('Free Cash Flow'!H15)</f>
        <v>44640.247568365092</v>
      </c>
      <c r="G4" s="4">
        <f>G3*('Free Cash Flow'!I15)</f>
        <v>44061.845095074728</v>
      </c>
      <c r="H4" s="4">
        <f>H3*('Free Cash Flow'!J15)</f>
        <v>43491.922095193768</v>
      </c>
      <c r="J4" s="77" t="s">
        <v>97</v>
      </c>
      <c r="K4" s="77"/>
      <c r="L4" s="116"/>
      <c r="M4" s="151">
        <v>2.2499999999999999E-2</v>
      </c>
    </row>
    <row r="5" spans="1:18" x14ac:dyDescent="0.25">
      <c r="G5" s="150"/>
      <c r="H5" s="4">
        <f>(H4*(1+M4))/(M3-M4)</f>
        <v>1088636.6155856296</v>
      </c>
    </row>
    <row r="6" spans="1:18" x14ac:dyDescent="0.25">
      <c r="A6" s="77" t="s">
        <v>108</v>
      </c>
      <c r="B6" s="21"/>
      <c r="C6" s="42"/>
      <c r="D6" s="86"/>
      <c r="E6" s="77" t="s">
        <v>163</v>
      </c>
      <c r="F6" s="21"/>
      <c r="G6" s="42"/>
      <c r="H6" s="86" t="s">
        <v>160</v>
      </c>
    </row>
    <row r="7" spans="1:18" x14ac:dyDescent="0.25">
      <c r="B7" s="4" t="s">
        <v>109</v>
      </c>
      <c r="C7" s="4">
        <f>SUM(D4:H4)</f>
        <v>223244.63165153895</v>
      </c>
      <c r="E7" s="4" t="s">
        <v>109</v>
      </c>
      <c r="G7" s="4">
        <f>C7</f>
        <v>223244.63165153895</v>
      </c>
    </row>
    <row r="8" spans="1:18" x14ac:dyDescent="0.25">
      <c r="B8" s="4" t="s">
        <v>110</v>
      </c>
      <c r="C8" s="4">
        <f>H5*H3</f>
        <v>800759.96524384432</v>
      </c>
      <c r="E8" s="4" t="s">
        <v>164</v>
      </c>
      <c r="G8" s="4">
        <f>G10*IncState!J22*'DCF Model'!H3</f>
        <v>549205.25691844756</v>
      </c>
      <c r="K8" s="177"/>
      <c r="L8" s="292" t="s">
        <v>218</v>
      </c>
      <c r="M8" s="177"/>
      <c r="Q8" s="4" t="s">
        <v>220</v>
      </c>
    </row>
    <row r="9" spans="1:18" x14ac:dyDescent="0.25">
      <c r="B9" s="4" t="s">
        <v>111</v>
      </c>
      <c r="C9" s="4">
        <f>SUM(C7:C8)</f>
        <v>1024004.5968953832</v>
      </c>
      <c r="E9" s="4" t="s">
        <v>111</v>
      </c>
      <c r="G9" s="4">
        <f>SUM(G7:G8)</f>
        <v>772449.88856998645</v>
      </c>
      <c r="J9" s="4">
        <f>C15</f>
        <v>1063512.9518953832</v>
      </c>
      <c r="K9" s="281">
        <f>L9-$E$23</f>
        <v>0.02</v>
      </c>
      <c r="L9" s="281">
        <v>2.2499999999999999E-2</v>
      </c>
      <c r="M9" s="281">
        <v>2.5000000000000001E-2</v>
      </c>
      <c r="O9" s="4">
        <f>G15</f>
        <v>811958.24356998643</v>
      </c>
      <c r="P9" s="85">
        <v>11</v>
      </c>
      <c r="Q9" s="85">
        <v>12</v>
      </c>
      <c r="R9" s="85">
        <v>13</v>
      </c>
    </row>
    <row r="10" spans="1:18" x14ac:dyDescent="0.25">
      <c r="C10" s="85"/>
      <c r="E10" s="4" t="s">
        <v>112</v>
      </c>
      <c r="G10" s="85">
        <v>12</v>
      </c>
      <c r="I10" s="11" t="s">
        <v>96</v>
      </c>
      <c r="J10" s="8">
        <f>J11+$E$22</f>
        <v>7.3349710275832342E-2</v>
      </c>
      <c r="K10" s="4">
        <f t="dataTable" ref="K10:M14" dt2D="1" dtr="1" r1="M4" r2="M3"/>
        <v>813630.0881157734</v>
      </c>
      <c r="L10" s="4">
        <v>842446.3376875465</v>
      </c>
      <c r="M10" s="4">
        <v>874242.56887734553</v>
      </c>
      <c r="O10" s="8">
        <v>7.3349710275832342E-2</v>
      </c>
      <c r="P10" s="4">
        <f t="dataTable" ref="P10:R14" dt2D="1" dtr="1" r1="G10" r2="M3" ca="1"/>
        <v>737062.69608543708</v>
      </c>
      <c r="Q10" s="4">
        <v>780737.18262983649</v>
      </c>
      <c r="R10" s="4">
        <v>824411.6691742359</v>
      </c>
    </row>
    <row r="11" spans="1:18" x14ac:dyDescent="0.25">
      <c r="I11" s="167"/>
      <c r="J11" s="8">
        <f>J12+$E$22</f>
        <v>6.8349710275832337E-2</v>
      </c>
      <c r="K11" s="4">
        <v>903628.30456360476</v>
      </c>
      <c r="L11" s="4">
        <v>940405.43115157343</v>
      </c>
      <c r="M11" s="4">
        <v>981424.46920261264</v>
      </c>
      <c r="O11" s="8">
        <v>6.8349710275832337E-2</v>
      </c>
      <c r="P11" s="4">
        <v>751432.16955589817</v>
      </c>
      <c r="Q11" s="4">
        <v>796138.27540828101</v>
      </c>
      <c r="R11" s="4">
        <v>840844.38126066397</v>
      </c>
    </row>
    <row r="12" spans="1:18" x14ac:dyDescent="0.25">
      <c r="B12" s="29" t="s">
        <v>113</v>
      </c>
      <c r="C12" s="37">
        <f>BalSheet!E16</f>
        <v>39508.355000000003</v>
      </c>
      <c r="E12" s="29" t="s">
        <v>113</v>
      </c>
      <c r="F12" s="163"/>
      <c r="G12" s="37">
        <f>C12</f>
        <v>39508.355000000003</v>
      </c>
      <c r="J12" s="8">
        <v>6.3349710275832333E-2</v>
      </c>
      <c r="K12" s="4">
        <v>1015487.7762544199</v>
      </c>
      <c r="L12" s="4">
        <v>1063512.9518953832</v>
      </c>
      <c r="M12" s="4">
        <v>1117799.6058233455</v>
      </c>
      <c r="O12" s="8">
        <v>6.3349710275832333E-2</v>
      </c>
      <c r="P12" s="4">
        <v>766191.13882678258</v>
      </c>
      <c r="Q12" s="4">
        <v>811958.24356998643</v>
      </c>
      <c r="R12" s="4">
        <v>857725.34831319051</v>
      </c>
    </row>
    <row r="13" spans="1:18" x14ac:dyDescent="0.25">
      <c r="B13" s="29" t="s">
        <v>114</v>
      </c>
      <c r="C13" s="37">
        <v>45000</v>
      </c>
      <c r="E13" s="29" t="s">
        <v>114</v>
      </c>
      <c r="F13" s="163"/>
      <c r="G13" s="37">
        <f t="shared" ref="G13:G14" si="2">C13</f>
        <v>45000</v>
      </c>
      <c r="J13" s="8">
        <f>J12-$E$22</f>
        <v>5.8349710275832335E-2</v>
      </c>
      <c r="K13" s="4">
        <v>1157848.5146005256</v>
      </c>
      <c r="L13" s="4">
        <v>1222386.9898446468</v>
      </c>
      <c r="M13" s="4">
        <v>1296601.4824679792</v>
      </c>
      <c r="O13" s="8">
        <v>5.8349710275832335E-2</v>
      </c>
      <c r="P13" s="4">
        <v>781352.28004330152</v>
      </c>
      <c r="Q13" s="4">
        <v>828210.74406269705</v>
      </c>
      <c r="R13" s="4">
        <v>875069.20808209246</v>
      </c>
    </row>
    <row r="14" spans="1:18" x14ac:dyDescent="0.25">
      <c r="B14" s="29" t="s">
        <v>115</v>
      </c>
      <c r="C14" s="79">
        <v>0</v>
      </c>
      <c r="E14" s="4" t="s">
        <v>115</v>
      </c>
      <c r="F14" s="29"/>
      <c r="G14" s="37">
        <f t="shared" si="2"/>
        <v>0</v>
      </c>
      <c r="J14" s="8">
        <f>J13-$E$22</f>
        <v>5.3349710275832338E-2</v>
      </c>
      <c r="K14" s="4">
        <v>1344539.1394057698</v>
      </c>
      <c r="L14" s="4">
        <v>1434537.1312856087</v>
      </c>
      <c r="M14" s="4">
        <v>1540407.9470857265</v>
      </c>
      <c r="O14" s="8">
        <v>5.3349710275832338E-2</v>
      </c>
      <c r="P14" s="4">
        <v>796928.74782274675</v>
      </c>
      <c r="Q14" s="4">
        <v>844909.94990575814</v>
      </c>
      <c r="R14" s="4">
        <v>892891.15198876942</v>
      </c>
    </row>
    <row r="15" spans="1:18" x14ac:dyDescent="0.25">
      <c r="B15" s="4" t="s">
        <v>116</v>
      </c>
      <c r="C15" s="66">
        <f>C9+C12</f>
        <v>1063512.9518953832</v>
      </c>
      <c r="E15" s="4" t="s">
        <v>116</v>
      </c>
      <c r="G15" s="66">
        <f>G9+G12</f>
        <v>811958.24356998643</v>
      </c>
      <c r="L15" s="177" t="s">
        <v>219</v>
      </c>
      <c r="Q15" s="177" t="s">
        <v>219</v>
      </c>
    </row>
    <row r="16" spans="1:18" x14ac:dyDescent="0.25">
      <c r="K16" s="46" t="s">
        <v>111</v>
      </c>
      <c r="L16" s="181">
        <f>AVERAGE(K10:M14)</f>
        <v>1103259.9158841243</v>
      </c>
      <c r="P16" s="46" t="s">
        <v>111</v>
      </c>
      <c r="Q16" s="181">
        <f>AVERAGE(P10:R14)</f>
        <v>812390.87911531178</v>
      </c>
    </row>
    <row r="17" spans="1:17" x14ac:dyDescent="0.25">
      <c r="B17" s="4" t="s">
        <v>117</v>
      </c>
      <c r="E17" s="4" t="s">
        <v>117</v>
      </c>
    </row>
    <row r="18" spans="1:17" x14ac:dyDescent="0.25">
      <c r="A18" s="4" t="s">
        <v>119</v>
      </c>
      <c r="B18" s="152" t="s">
        <v>118</v>
      </c>
      <c r="C18" s="165"/>
      <c r="E18" s="152" t="s">
        <v>118</v>
      </c>
      <c r="F18" s="163"/>
      <c r="G18" s="165"/>
    </row>
    <row r="19" spans="1:17" x14ac:dyDescent="0.25">
      <c r="C19" s="23"/>
    </row>
    <row r="20" spans="1:17" x14ac:dyDescent="0.25">
      <c r="A20" s="119" t="s">
        <v>140</v>
      </c>
      <c r="B20" s="21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233"/>
    </row>
    <row r="21" spans="1:17" x14ac:dyDescent="0.25">
      <c r="B21" s="120"/>
      <c r="C21" s="120"/>
      <c r="D21" s="120"/>
      <c r="E21" s="120"/>
      <c r="F21" s="120"/>
      <c r="G21" s="120"/>
      <c r="H21" s="120"/>
      <c r="I21" s="120"/>
    </row>
    <row r="22" spans="1:17" x14ac:dyDescent="0.25">
      <c r="B22" s="120"/>
      <c r="C22" s="120" t="s">
        <v>141</v>
      </c>
      <c r="D22" s="120"/>
      <c r="E22" s="121">
        <v>5.0000000000000001E-3</v>
      </c>
      <c r="F22" s="120"/>
      <c r="G22" s="120"/>
      <c r="J22" s="120" t="s">
        <v>141</v>
      </c>
      <c r="K22" s="120"/>
      <c r="L22" s="121">
        <v>5.0000000000000001E-3</v>
      </c>
    </row>
    <row r="23" spans="1:17" x14ac:dyDescent="0.25">
      <c r="B23" s="120"/>
      <c r="C23" s="120" t="s">
        <v>142</v>
      </c>
      <c r="D23" s="120"/>
      <c r="E23" s="153">
        <v>2.5000000000000001E-3</v>
      </c>
      <c r="F23" s="120"/>
      <c r="G23" s="120"/>
      <c r="J23" s="120" t="s">
        <v>162</v>
      </c>
      <c r="K23" s="120"/>
      <c r="L23" s="162">
        <v>1</v>
      </c>
    </row>
    <row r="24" spans="1:17" x14ac:dyDescent="0.25">
      <c r="B24" s="120"/>
      <c r="C24" s="120"/>
      <c r="D24" s="120"/>
      <c r="E24" s="175"/>
      <c r="F24" s="120"/>
      <c r="G24" s="120"/>
      <c r="J24" s="120"/>
      <c r="K24" s="120"/>
      <c r="L24" s="174"/>
    </row>
    <row r="25" spans="1:17" x14ac:dyDescent="0.25">
      <c r="A25" s="156" t="s">
        <v>165</v>
      </c>
      <c r="B25" s="16"/>
      <c r="C25" s="154"/>
      <c r="D25" s="154"/>
      <c r="E25" s="155"/>
      <c r="F25" s="154"/>
      <c r="G25" s="154"/>
      <c r="H25" s="154"/>
      <c r="I25" s="154"/>
      <c r="J25" s="164"/>
      <c r="K25" s="16"/>
      <c r="L25" s="16"/>
      <c r="M25" s="16"/>
      <c r="N25" s="16"/>
      <c r="O25" s="16"/>
      <c r="P25" s="16"/>
    </row>
    <row r="26" spans="1:17" x14ac:dyDescent="0.25">
      <c r="B26" s="120"/>
      <c r="C26" s="120"/>
      <c r="D26" s="120"/>
      <c r="E26" s="120"/>
      <c r="F26" s="120"/>
      <c r="H26" s="120"/>
      <c r="I26" s="177"/>
      <c r="P26" s="177"/>
    </row>
    <row r="27" spans="1:17" x14ac:dyDescent="0.25">
      <c r="B27" s="167"/>
      <c r="C27" s="173"/>
      <c r="D27" s="120"/>
      <c r="E27" s="291"/>
      <c r="F27" s="292"/>
      <c r="G27" s="291"/>
      <c r="I27" s="120"/>
      <c r="J27" s="291"/>
    </row>
    <row r="28" spans="1:17" x14ac:dyDescent="0.25">
      <c r="B28" s="167"/>
      <c r="C28" s="293"/>
      <c r="G28" s="294"/>
      <c r="H28" s="294"/>
      <c r="I28" s="177"/>
      <c r="J28" s="177"/>
      <c r="N28" s="295"/>
      <c r="P28" s="177"/>
    </row>
    <row r="29" spans="1:17" x14ac:dyDescent="0.25">
      <c r="B29" s="167"/>
      <c r="C29" s="293"/>
      <c r="E29" s="296"/>
      <c r="F29" s="177"/>
      <c r="G29" s="177"/>
      <c r="H29" s="274"/>
      <c r="I29" s="274"/>
      <c r="J29" s="274"/>
      <c r="N29" s="297"/>
      <c r="O29" s="47"/>
      <c r="P29" s="47"/>
      <c r="Q29" s="47"/>
    </row>
    <row r="30" spans="1:17" x14ac:dyDescent="0.25">
      <c r="E30" s="262"/>
      <c r="F30" s="177"/>
      <c r="G30" s="298"/>
      <c r="H30" s="299"/>
      <c r="I30" s="299"/>
      <c r="J30" s="299"/>
      <c r="N30" s="300"/>
      <c r="O30" s="173"/>
      <c r="P30" s="173"/>
      <c r="Q30" s="173"/>
    </row>
    <row r="31" spans="1:17" x14ac:dyDescent="0.25">
      <c r="F31" s="274"/>
      <c r="G31" s="299"/>
      <c r="H31" s="277"/>
      <c r="I31" s="277"/>
      <c r="J31" s="277"/>
      <c r="K31" s="301"/>
      <c r="M31" s="47"/>
      <c r="N31" s="173"/>
      <c r="O31" s="85"/>
      <c r="P31" s="85"/>
      <c r="Q31" s="85"/>
    </row>
    <row r="32" spans="1:17" x14ac:dyDescent="0.25">
      <c r="F32" s="274"/>
      <c r="G32" s="299"/>
      <c r="H32" s="277"/>
      <c r="I32" s="277"/>
      <c r="J32" s="277"/>
      <c r="K32" s="301"/>
      <c r="M32" s="47"/>
      <c r="N32" s="173"/>
      <c r="O32" s="85"/>
      <c r="P32" s="85"/>
      <c r="Q32" s="85"/>
    </row>
    <row r="33" spans="2:17" x14ac:dyDescent="0.25">
      <c r="D33" s="47"/>
      <c r="E33" s="150"/>
      <c r="F33" s="274"/>
      <c r="G33" s="299"/>
      <c r="H33" s="277"/>
      <c r="I33" s="277"/>
      <c r="J33" s="277"/>
      <c r="K33" s="301"/>
      <c r="L33" s="150"/>
      <c r="M33" s="47"/>
      <c r="N33" s="173"/>
      <c r="O33" s="85"/>
      <c r="P33" s="85"/>
      <c r="Q33" s="85"/>
    </row>
    <row r="34" spans="2:17" x14ac:dyDescent="0.25">
      <c r="D34" s="47"/>
      <c r="E34" s="262"/>
      <c r="F34" s="274"/>
      <c r="G34" s="299"/>
      <c r="H34" s="277"/>
      <c r="I34" s="277"/>
      <c r="J34" s="277"/>
      <c r="K34" s="295"/>
      <c r="M34" s="47"/>
      <c r="N34" s="173"/>
      <c r="O34" s="85"/>
      <c r="P34" s="85"/>
      <c r="Q34" s="85"/>
    </row>
    <row r="35" spans="2:17" x14ac:dyDescent="0.25">
      <c r="D35" s="47"/>
      <c r="E35" s="262"/>
      <c r="F35" s="274"/>
      <c r="G35" s="299"/>
      <c r="H35" s="277"/>
      <c r="I35" s="277"/>
      <c r="J35" s="277"/>
      <c r="K35" s="295"/>
      <c r="M35" s="47"/>
      <c r="N35" s="173"/>
      <c r="O35" s="85"/>
      <c r="P35" s="85"/>
      <c r="Q35" s="85"/>
    </row>
    <row r="36" spans="2:17" x14ac:dyDescent="0.25">
      <c r="B36" s="302"/>
      <c r="C36" s="302"/>
      <c r="D36" s="302"/>
      <c r="E36" s="303"/>
      <c r="F36" s="304"/>
      <c r="G36" s="303"/>
    </row>
    <row r="37" spans="2:17" x14ac:dyDescent="0.25">
      <c r="B37" s="120"/>
      <c r="C37" s="120"/>
      <c r="D37" s="120"/>
      <c r="E37" s="120"/>
      <c r="F37" s="292"/>
      <c r="G37" s="292"/>
      <c r="H37" s="292"/>
      <c r="I37" s="177"/>
      <c r="J37" s="177"/>
      <c r="P37" s="177"/>
    </row>
    <row r="38" spans="2:17" x14ac:dyDescent="0.25">
      <c r="F38" s="281"/>
      <c r="G38" s="281"/>
      <c r="H38" s="274"/>
      <c r="I38" s="274"/>
      <c r="J38" s="274"/>
      <c r="M38" s="177"/>
      <c r="O38" s="85"/>
      <c r="P38" s="85"/>
      <c r="Q38" s="85"/>
    </row>
    <row r="39" spans="2:17" x14ac:dyDescent="0.25">
      <c r="E39" s="47"/>
      <c r="F39" s="268"/>
      <c r="G39" s="305"/>
      <c r="H39" s="299"/>
      <c r="I39" s="299"/>
      <c r="J39" s="299"/>
      <c r="L39" s="85"/>
      <c r="M39" s="85"/>
      <c r="N39" s="306"/>
      <c r="O39" s="176"/>
      <c r="P39" s="176"/>
      <c r="Q39" s="176"/>
    </row>
    <row r="40" spans="2:17" x14ac:dyDescent="0.25">
      <c r="E40" s="47"/>
      <c r="F40" s="274"/>
      <c r="G40" s="299"/>
      <c r="H40" s="268"/>
      <c r="I40" s="268"/>
      <c r="J40" s="268"/>
      <c r="K40" s="47"/>
      <c r="M40" s="47"/>
      <c r="N40" s="173"/>
      <c r="O40" s="307"/>
      <c r="P40" s="307"/>
      <c r="Q40" s="307"/>
    </row>
    <row r="41" spans="2:17" x14ac:dyDescent="0.25">
      <c r="D41" s="8"/>
      <c r="E41" s="47"/>
      <c r="F41" s="274"/>
      <c r="G41" s="299"/>
      <c r="H41" s="268"/>
      <c r="I41" s="268"/>
      <c r="J41" s="268"/>
      <c r="K41" s="8"/>
      <c r="L41" s="47"/>
      <c r="M41" s="47"/>
      <c r="N41" s="173"/>
      <c r="O41" s="307"/>
      <c r="P41" s="307"/>
      <c r="Q41" s="307"/>
    </row>
    <row r="42" spans="2:17" x14ac:dyDescent="0.25">
      <c r="D42" s="8"/>
      <c r="E42" s="150"/>
      <c r="F42" s="274"/>
      <c r="G42" s="299"/>
      <c r="H42" s="268"/>
      <c r="I42" s="268"/>
      <c r="J42" s="268"/>
      <c r="K42" s="8"/>
      <c r="L42" s="150"/>
      <c r="M42" s="47"/>
      <c r="N42" s="173"/>
      <c r="O42" s="307"/>
      <c r="P42" s="307"/>
      <c r="Q42" s="307"/>
    </row>
    <row r="43" spans="2:17" x14ac:dyDescent="0.25">
      <c r="D43" s="8"/>
      <c r="E43" s="47"/>
      <c r="F43" s="274"/>
      <c r="G43" s="299"/>
      <c r="H43" s="268"/>
      <c r="I43" s="268"/>
      <c r="J43" s="268"/>
      <c r="K43" s="8"/>
      <c r="L43" s="47"/>
      <c r="M43" s="47"/>
      <c r="N43" s="173"/>
      <c r="O43" s="307"/>
      <c r="P43" s="307"/>
      <c r="Q43" s="307"/>
    </row>
    <row r="44" spans="2:17" x14ac:dyDescent="0.25">
      <c r="D44" s="8"/>
      <c r="E44" s="8"/>
      <c r="F44" s="274"/>
      <c r="G44" s="299"/>
      <c r="H44" s="268"/>
      <c r="I44" s="268"/>
      <c r="J44" s="268"/>
      <c r="K44" s="8"/>
      <c r="L44" s="47"/>
      <c r="M44" s="47"/>
      <c r="N44" s="173"/>
      <c r="O44" s="307"/>
      <c r="P44" s="307"/>
      <c r="Q44" s="307"/>
    </row>
    <row r="45" spans="2:17" x14ac:dyDescent="0.25">
      <c r="D45" s="8"/>
      <c r="E45" s="8"/>
      <c r="F45" s="85"/>
      <c r="G45" s="85"/>
      <c r="H45" s="85"/>
      <c r="J45" s="8"/>
      <c r="K45" s="8"/>
      <c r="L45" s="47"/>
      <c r="M45" s="47"/>
      <c r="N45" s="47"/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F967-9893-4C24-9902-E3B112D5E747}">
  <sheetPr codeName="Sheet15"/>
  <dimension ref="A1:Q45"/>
  <sheetViews>
    <sheetView showGridLines="0" zoomScaleNormal="100" workbookViewId="0"/>
  </sheetViews>
  <sheetFormatPr defaultColWidth="9.140625" defaultRowHeight="15" x14ac:dyDescent="0.25"/>
  <cols>
    <col min="1" max="1" width="2.140625" style="4" bestFit="1" customWidth="1"/>
    <col min="2" max="2" width="22.7109375" style="4" bestFit="1" customWidth="1"/>
    <col min="3" max="3" width="14.42578125" style="4" bestFit="1" customWidth="1"/>
    <col min="4" max="4" width="12.42578125" style="4" customWidth="1"/>
    <col min="5" max="5" width="12.140625" style="4" bestFit="1" customWidth="1"/>
    <col min="6" max="6" width="11.28515625" style="4" customWidth="1"/>
    <col min="7" max="7" width="12.140625" style="4" customWidth="1"/>
    <col min="8" max="8" width="12.140625" style="4" bestFit="1" customWidth="1"/>
    <col min="9" max="9" width="12.28515625" style="4" bestFit="1" customWidth="1"/>
    <col min="10" max="10" width="12.140625" style="4" bestFit="1" customWidth="1"/>
    <col min="11" max="11" width="10.42578125" style="4" bestFit="1" customWidth="1"/>
    <col min="12" max="12" width="12" style="4" customWidth="1"/>
    <col min="13" max="13" width="10.42578125" style="4" bestFit="1" customWidth="1"/>
    <col min="14" max="17" width="11.42578125" style="4" bestFit="1" customWidth="1"/>
    <col min="18" max="16384" width="9.140625" style="4"/>
  </cols>
  <sheetData>
    <row r="1" spans="1:17" ht="19.5" x14ac:dyDescent="0.3">
      <c r="A1" s="316" t="str">
        <f>CoName</f>
        <v xml:space="preserve">Berkshire Hathaway Insurance </v>
      </c>
    </row>
    <row r="2" spans="1:17" ht="30" x14ac:dyDescent="0.25">
      <c r="A2" s="4" t="s">
        <v>119</v>
      </c>
      <c r="B2" s="243"/>
      <c r="C2" s="242" t="s">
        <v>173</v>
      </c>
      <c r="D2" s="242" t="s">
        <v>167</v>
      </c>
      <c r="E2" s="242" t="s">
        <v>174</v>
      </c>
      <c r="F2" s="242" t="s">
        <v>168</v>
      </c>
      <c r="G2" s="242" t="s">
        <v>171</v>
      </c>
      <c r="H2" s="244" t="s">
        <v>177</v>
      </c>
      <c r="I2" s="244" t="s">
        <v>172</v>
      </c>
      <c r="J2" s="244" t="s">
        <v>175</v>
      </c>
      <c r="K2" s="244" t="s">
        <v>176</v>
      </c>
      <c r="L2" s="244" t="s">
        <v>178</v>
      </c>
      <c r="M2" s="244" t="s">
        <v>179</v>
      </c>
      <c r="N2" s="244" t="s">
        <v>180</v>
      </c>
    </row>
    <row r="3" spans="1:17" x14ac:dyDescent="0.25">
      <c r="A3" s="29"/>
      <c r="D3" s="245"/>
      <c r="E3" s="208"/>
      <c r="F3" s="85"/>
      <c r="G3" s="85"/>
      <c r="H3" s="85"/>
      <c r="I3" s="85"/>
      <c r="J3" s="85"/>
      <c r="K3" s="85"/>
      <c r="L3" s="85"/>
      <c r="M3" s="251"/>
    </row>
    <row r="4" spans="1:17" x14ac:dyDescent="0.25">
      <c r="A4" s="29"/>
      <c r="D4" s="245"/>
      <c r="E4" s="208"/>
      <c r="F4" s="85"/>
      <c r="G4" s="85"/>
      <c r="H4" s="85"/>
      <c r="I4" s="85"/>
      <c r="J4" s="85"/>
      <c r="K4" s="85"/>
      <c r="L4" s="85"/>
      <c r="M4" s="251"/>
    </row>
    <row r="5" spans="1:17" x14ac:dyDescent="0.25">
      <c r="A5" s="29"/>
      <c r="D5" s="245"/>
      <c r="E5" s="208"/>
      <c r="F5" s="85"/>
      <c r="G5" s="85"/>
      <c r="H5" s="85"/>
      <c r="I5" s="85"/>
      <c r="J5" s="85"/>
      <c r="K5" s="85"/>
      <c r="L5" s="85"/>
      <c r="M5" s="251"/>
    </row>
    <row r="6" spans="1:17" x14ac:dyDescent="0.25">
      <c r="A6" s="29"/>
      <c r="D6" s="245"/>
      <c r="E6" s="208"/>
      <c r="F6" s="85"/>
      <c r="G6" s="85"/>
      <c r="H6" s="85"/>
      <c r="I6" s="85"/>
      <c r="J6" s="85"/>
      <c r="K6" s="85"/>
      <c r="L6" s="85"/>
      <c r="M6" s="251"/>
    </row>
    <row r="7" spans="1:17" x14ac:dyDescent="0.25">
      <c r="A7" s="29"/>
      <c r="D7" s="245"/>
      <c r="E7" s="208"/>
      <c r="F7" s="85"/>
      <c r="G7" s="85"/>
      <c r="H7" s="85"/>
      <c r="I7" s="255"/>
      <c r="J7" s="255"/>
      <c r="K7" s="255"/>
      <c r="L7" s="255"/>
      <c r="M7" s="252"/>
    </row>
    <row r="8" spans="1:17" x14ac:dyDescent="0.25">
      <c r="A8" s="29" t="s">
        <v>119</v>
      </c>
      <c r="B8" s="239" t="s">
        <v>169</v>
      </c>
      <c r="C8" s="239"/>
      <c r="D8" s="246"/>
      <c r="E8" s="248"/>
      <c r="F8" s="257"/>
      <c r="G8" s="257"/>
      <c r="H8" s="257"/>
      <c r="I8" s="258"/>
      <c r="J8" s="258"/>
      <c r="K8" s="258"/>
      <c r="L8" s="258"/>
      <c r="M8" s="259"/>
    </row>
    <row r="9" spans="1:17" x14ac:dyDescent="0.25">
      <c r="B9" s="66"/>
      <c r="C9" s="238"/>
      <c r="D9" s="247"/>
      <c r="E9" s="209"/>
      <c r="F9" s="238"/>
      <c r="G9" s="66"/>
      <c r="H9" s="66"/>
      <c r="I9" s="66"/>
      <c r="J9" s="66"/>
      <c r="K9" s="66"/>
      <c r="L9" s="66"/>
      <c r="M9" s="66"/>
    </row>
    <row r="10" spans="1:17" x14ac:dyDescent="0.25">
      <c r="A10" s="4" t="s">
        <v>119</v>
      </c>
      <c r="B10" s="11" t="s">
        <v>186</v>
      </c>
      <c r="C10" s="85"/>
      <c r="D10" s="245"/>
      <c r="E10" s="208"/>
      <c r="F10" s="85"/>
      <c r="G10" s="85"/>
      <c r="H10" s="85"/>
      <c r="I10" s="85"/>
      <c r="J10" s="85"/>
      <c r="K10" s="85"/>
      <c r="L10" s="85"/>
      <c r="M10" s="85"/>
      <c r="N10" s="176"/>
      <c r="O10" s="176"/>
      <c r="P10" s="176"/>
      <c r="Q10" s="176"/>
    </row>
    <row r="11" spans="1:17" x14ac:dyDescent="0.25">
      <c r="A11" s="63"/>
      <c r="B11" s="239" t="s">
        <v>170</v>
      </c>
      <c r="C11" s="239"/>
      <c r="D11" s="249"/>
      <c r="E11" s="249"/>
      <c r="F11" s="249"/>
      <c r="G11" s="249"/>
      <c r="H11" s="249"/>
      <c r="I11" s="256"/>
      <c r="J11" s="256"/>
      <c r="K11" s="256"/>
      <c r="L11" s="256"/>
      <c r="M11" s="250"/>
      <c r="N11" s="261"/>
    </row>
    <row r="12" spans="1:17" x14ac:dyDescent="0.25">
      <c r="A12" s="150"/>
      <c r="B12" s="240"/>
      <c r="C12" s="241"/>
      <c r="D12" s="241"/>
      <c r="E12" s="241"/>
      <c r="F12" s="241"/>
      <c r="G12" s="66"/>
      <c r="H12" s="66"/>
      <c r="I12" s="66"/>
      <c r="J12" s="66"/>
      <c r="K12" s="66"/>
      <c r="L12" s="66"/>
      <c r="M12" s="66"/>
      <c r="N12" s="260"/>
    </row>
    <row r="13" spans="1:17" x14ac:dyDescent="0.25">
      <c r="B13" s="11"/>
      <c r="C13" s="308"/>
      <c r="D13" s="309"/>
      <c r="E13" s="310"/>
      <c r="F13" s="183"/>
      <c r="G13" s="183"/>
      <c r="H13" s="183"/>
      <c r="I13" s="183"/>
      <c r="J13" s="183"/>
      <c r="K13" s="183"/>
      <c r="L13" s="183"/>
      <c r="M13" s="183"/>
      <c r="N13" s="8"/>
    </row>
    <row r="14" spans="1:17" x14ac:dyDescent="0.25">
      <c r="A14" s="150"/>
      <c r="D14" s="8"/>
      <c r="E14" s="8"/>
      <c r="F14" s="8"/>
      <c r="G14" s="8"/>
      <c r="H14" s="8"/>
      <c r="I14" s="8"/>
      <c r="J14" s="8"/>
      <c r="K14" s="8"/>
      <c r="L14" s="8"/>
      <c r="M14" s="8"/>
      <c r="N14" s="12"/>
    </row>
    <row r="15" spans="1:17" x14ac:dyDescent="0.25">
      <c r="A15" s="150"/>
      <c r="B15" s="150"/>
      <c r="C15" s="150"/>
      <c r="D15" s="150"/>
      <c r="E15" s="150"/>
      <c r="F15" s="150"/>
      <c r="N15" s="8"/>
    </row>
    <row r="16" spans="1:17" x14ac:dyDescent="0.25">
      <c r="B16" s="12"/>
      <c r="C16" s="8"/>
      <c r="D16" s="309"/>
      <c r="E16" s="310"/>
      <c r="F16" s="311"/>
      <c r="G16" s="311"/>
      <c r="H16" s="311"/>
      <c r="I16" s="311"/>
      <c r="J16" s="311"/>
      <c r="K16" s="311"/>
      <c r="L16" s="311"/>
      <c r="M16" s="311"/>
      <c r="N16" s="8"/>
    </row>
    <row r="17" spans="1:14" x14ac:dyDescent="0.25">
      <c r="D17" s="8"/>
      <c r="E17" s="8"/>
      <c r="F17" s="8"/>
      <c r="G17" s="8"/>
      <c r="H17" s="8"/>
      <c r="I17" s="8"/>
      <c r="J17" s="8"/>
      <c r="K17" s="8"/>
      <c r="L17" s="8"/>
      <c r="M17" s="8"/>
      <c r="N17" s="12"/>
    </row>
    <row r="18" spans="1:14" x14ac:dyDescent="0.25">
      <c r="D18" s="177"/>
    </row>
    <row r="20" spans="1:14" x14ac:dyDescent="0.25">
      <c r="D20" s="312"/>
      <c r="E20" s="312"/>
      <c r="F20" s="312"/>
    </row>
    <row r="21" spans="1:14" x14ac:dyDescent="0.25">
      <c r="C21" s="312"/>
      <c r="E21" s="312"/>
    </row>
    <row r="22" spans="1:14" x14ac:dyDescent="0.25">
      <c r="C22" s="312"/>
      <c r="D22" s="312"/>
      <c r="E22" s="312"/>
      <c r="G22" s="312"/>
    </row>
    <row r="23" spans="1:14" x14ac:dyDescent="0.25">
      <c r="C23" s="312"/>
      <c r="D23" s="312"/>
      <c r="E23" s="312"/>
      <c r="G23" s="312"/>
    </row>
    <row r="24" spans="1:14" x14ac:dyDescent="0.25">
      <c r="C24" s="312"/>
      <c r="D24" s="312"/>
      <c r="E24" s="312"/>
      <c r="G24" s="312"/>
    </row>
    <row r="25" spans="1:14" x14ac:dyDescent="0.25">
      <c r="C25" s="312"/>
      <c r="D25" s="312"/>
      <c r="E25" s="312"/>
      <c r="H25" s="312"/>
    </row>
    <row r="26" spans="1:14" x14ac:dyDescent="0.25">
      <c r="C26" s="312"/>
      <c r="D26" s="312"/>
    </row>
    <row r="28" spans="1:14" x14ac:dyDescent="0.25">
      <c r="A28" s="32"/>
      <c r="D28" s="312"/>
    </row>
    <row r="29" spans="1:14" x14ac:dyDescent="0.25">
      <c r="C29" s="313"/>
      <c r="D29" s="313"/>
    </row>
    <row r="30" spans="1:14" x14ac:dyDescent="0.25">
      <c r="C30" s="313"/>
      <c r="D30" s="313"/>
    </row>
    <row r="31" spans="1:14" x14ac:dyDescent="0.25">
      <c r="C31" s="313"/>
      <c r="D31" s="313"/>
    </row>
    <row r="32" spans="1:14" x14ac:dyDescent="0.25">
      <c r="C32" s="313"/>
      <c r="D32" s="313"/>
    </row>
    <row r="33" spans="2:7" x14ac:dyDescent="0.25">
      <c r="C33" s="313"/>
      <c r="D33" s="313"/>
    </row>
    <row r="34" spans="2:7" x14ac:dyDescent="0.25">
      <c r="C34" s="313"/>
      <c r="D34" s="313"/>
      <c r="E34" s="313"/>
    </row>
    <row r="36" spans="2:7" x14ac:dyDescent="0.25">
      <c r="B36" s="11"/>
    </row>
    <row r="45" spans="2:7" x14ac:dyDescent="0.25">
      <c r="G45" s="26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B6C6-A523-4E35-8D77-94DE15CE59A2}">
  <sheetPr codeName="Sheet16"/>
  <dimension ref="A1:R58"/>
  <sheetViews>
    <sheetView showGridLines="0" zoomScaleNormal="100" workbookViewId="0"/>
  </sheetViews>
  <sheetFormatPr defaultColWidth="9.140625" defaultRowHeight="15" x14ac:dyDescent="0.25"/>
  <cols>
    <col min="1" max="1" width="3.42578125" style="4" customWidth="1"/>
    <col min="2" max="2" width="9.140625" style="4"/>
    <col min="3" max="3" width="12.140625" style="4" customWidth="1"/>
    <col min="4" max="4" width="12.28515625" style="4" bestFit="1" customWidth="1"/>
    <col min="5" max="5" width="9.140625" style="4"/>
    <col min="6" max="10" width="12.42578125" style="4" customWidth="1"/>
    <col min="11" max="11" width="22.42578125" style="4" customWidth="1"/>
    <col min="12" max="12" width="13.28515625" style="4" customWidth="1"/>
    <col min="13" max="13" width="12.42578125" style="4" customWidth="1"/>
    <col min="14" max="14" width="12.28515625" style="4" bestFit="1" customWidth="1"/>
    <col min="15" max="15" width="11" style="4" bestFit="1" customWidth="1"/>
    <col min="16" max="18" width="12.42578125" style="4" customWidth="1"/>
    <col min="19" max="16384" width="9.140625" style="4"/>
  </cols>
  <sheetData>
    <row r="1" spans="1:18" ht="19.5" x14ac:dyDescent="0.3">
      <c r="A1" s="316" t="str">
        <f>CoName</f>
        <v xml:space="preserve">Berkshire Hathaway Insurance </v>
      </c>
    </row>
    <row r="2" spans="1:18" x14ac:dyDescent="0.25">
      <c r="A2" s="11" t="s">
        <v>181</v>
      </c>
    </row>
    <row r="3" spans="1:18" x14ac:dyDescent="0.25">
      <c r="A3" s="107" t="s">
        <v>182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8" x14ac:dyDescent="0.25">
      <c r="A4" s="167"/>
      <c r="F4" s="254"/>
    </row>
    <row r="5" spans="1:18" x14ac:dyDescent="0.25">
      <c r="F5" s="265"/>
    </row>
    <row r="6" spans="1:18" ht="11.85" customHeight="1" x14ac:dyDescent="0.25">
      <c r="A6" s="167"/>
    </row>
    <row r="7" spans="1:18" x14ac:dyDescent="0.25">
      <c r="K7" s="269"/>
      <c r="L7" s="270"/>
      <c r="M7" s="270"/>
      <c r="N7" s="270"/>
    </row>
    <row r="8" spans="1:18" x14ac:dyDescent="0.25">
      <c r="B8" s="180"/>
      <c r="C8" s="180"/>
      <c r="D8" s="180"/>
      <c r="E8" s="180"/>
      <c r="F8" s="180"/>
      <c r="G8" s="180"/>
      <c r="H8" s="180"/>
      <c r="I8" s="180"/>
      <c r="J8" s="180"/>
      <c r="L8" s="271"/>
      <c r="M8" s="268"/>
      <c r="P8" s="167"/>
      <c r="Q8" s="167"/>
      <c r="R8" s="167"/>
    </row>
    <row r="9" spans="1:18" x14ac:dyDescent="0.25">
      <c r="B9" s="86"/>
      <c r="C9" s="86"/>
      <c r="D9" s="86"/>
      <c r="E9" s="86"/>
      <c r="F9" s="86"/>
      <c r="G9" s="86"/>
      <c r="H9" s="86"/>
      <c r="I9" s="86"/>
      <c r="J9" s="86"/>
      <c r="L9" s="271"/>
      <c r="M9" s="268"/>
      <c r="R9" s="8"/>
    </row>
    <row r="10" spans="1:18" x14ac:dyDescent="0.25">
      <c r="B10" s="161"/>
      <c r="C10" s="161"/>
      <c r="D10" s="161"/>
      <c r="E10" s="161"/>
      <c r="F10" s="161"/>
      <c r="G10" s="161"/>
      <c r="H10" s="161"/>
      <c r="I10" s="161"/>
      <c r="J10" s="161"/>
      <c r="L10" s="271"/>
      <c r="M10" s="268"/>
      <c r="R10" s="8"/>
    </row>
    <row r="11" spans="1:18" x14ac:dyDescent="0.25">
      <c r="L11" s="271"/>
      <c r="M11" s="268"/>
    </row>
    <row r="12" spans="1:18" x14ac:dyDescent="0.25">
      <c r="L12" s="271"/>
      <c r="M12" s="268"/>
      <c r="R12" s="8"/>
    </row>
    <row r="13" spans="1:18" x14ac:dyDescent="0.25">
      <c r="L13" s="271"/>
      <c r="M13" s="268"/>
      <c r="R13" s="8"/>
    </row>
    <row r="14" spans="1:18" x14ac:dyDescent="0.25">
      <c r="L14" s="11"/>
      <c r="N14" s="11"/>
      <c r="R14" s="8"/>
    </row>
    <row r="15" spans="1:18" x14ac:dyDescent="0.25">
      <c r="N15" s="11"/>
      <c r="R15" s="8"/>
    </row>
    <row r="16" spans="1:18" x14ac:dyDescent="0.25">
      <c r="N16" s="272"/>
      <c r="P16" s="167"/>
      <c r="Q16" s="167"/>
      <c r="R16" s="161"/>
    </row>
    <row r="17" spans="1:18" x14ac:dyDescent="0.25">
      <c r="P17" s="167"/>
      <c r="Q17" s="167"/>
      <c r="R17" s="173"/>
    </row>
    <row r="20" spans="1:18" x14ac:dyDescent="0.25">
      <c r="A20" s="167"/>
    </row>
    <row r="21" spans="1:18" x14ac:dyDescent="0.25">
      <c r="A21" s="107" t="s">
        <v>183</v>
      </c>
      <c r="B21" s="266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</row>
    <row r="22" spans="1:18" x14ac:dyDescent="0.25"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R22" s="181"/>
    </row>
    <row r="23" spans="1:18" x14ac:dyDescent="0.25">
      <c r="B23" s="177"/>
      <c r="C23" s="273"/>
      <c r="D23" s="273"/>
      <c r="E23" s="177"/>
      <c r="F23" s="273"/>
      <c r="G23" s="177"/>
      <c r="H23" s="177"/>
      <c r="I23" s="177"/>
      <c r="J23" s="177"/>
      <c r="K23" s="177"/>
      <c r="L23" s="177"/>
      <c r="M23" s="177"/>
      <c r="N23" s="177"/>
      <c r="O23" s="177"/>
      <c r="P23" s="177"/>
    </row>
    <row r="24" spans="1:18" x14ac:dyDescent="0.25">
      <c r="B24" s="177"/>
      <c r="C24" s="273"/>
      <c r="D24" s="273"/>
      <c r="E24" s="273"/>
      <c r="F24" s="177"/>
      <c r="G24" s="273"/>
      <c r="H24" s="273"/>
      <c r="I24" s="177"/>
      <c r="J24" s="177"/>
      <c r="K24" s="177"/>
      <c r="L24" s="177"/>
      <c r="M24" s="177"/>
      <c r="N24" s="177"/>
      <c r="O24" s="177"/>
      <c r="P24" s="177"/>
      <c r="R24" s="85"/>
    </row>
    <row r="25" spans="1:18" x14ac:dyDescent="0.25">
      <c r="B25" s="177"/>
      <c r="C25" s="273"/>
      <c r="D25" s="274"/>
      <c r="E25" s="274"/>
      <c r="F25" s="274"/>
      <c r="G25" s="177"/>
      <c r="H25" s="177"/>
      <c r="I25" s="177"/>
      <c r="J25" s="177"/>
      <c r="K25" s="177"/>
      <c r="L25" s="150"/>
      <c r="M25" s="177"/>
      <c r="N25" s="177"/>
      <c r="O25" s="177"/>
      <c r="P25" s="177"/>
      <c r="R25" s="85"/>
    </row>
    <row r="26" spans="1:18" x14ac:dyDescent="0.25">
      <c r="B26" s="177"/>
      <c r="C26" s="275"/>
      <c r="D26" s="177"/>
      <c r="E26" s="177"/>
      <c r="F26" s="274"/>
      <c r="G26" s="274"/>
      <c r="H26" s="274"/>
      <c r="I26" s="177"/>
      <c r="J26" s="177"/>
      <c r="K26" s="177"/>
      <c r="L26" s="150"/>
      <c r="M26" s="268"/>
      <c r="N26" s="268"/>
      <c r="O26" s="268"/>
      <c r="P26" s="177"/>
      <c r="R26" s="85"/>
    </row>
    <row r="27" spans="1:18" x14ac:dyDescent="0.25">
      <c r="B27" s="177"/>
      <c r="C27" s="177"/>
      <c r="D27" s="177"/>
      <c r="E27" s="276"/>
      <c r="F27" s="277"/>
      <c r="G27" s="277"/>
      <c r="H27" s="277"/>
      <c r="I27" s="274"/>
      <c r="J27" s="177"/>
      <c r="K27" s="177"/>
      <c r="L27" s="276"/>
      <c r="M27" s="277"/>
      <c r="N27" s="277"/>
      <c r="O27" s="277"/>
      <c r="P27" s="177"/>
    </row>
    <row r="28" spans="1:18" x14ac:dyDescent="0.25">
      <c r="B28" s="177"/>
      <c r="C28" s="177"/>
      <c r="D28" s="177"/>
      <c r="E28" s="276"/>
      <c r="F28" s="277"/>
      <c r="G28" s="277"/>
      <c r="H28" s="277"/>
      <c r="I28" s="274"/>
      <c r="J28" s="177"/>
      <c r="K28" s="177"/>
      <c r="L28" s="276"/>
      <c r="M28" s="277"/>
      <c r="N28" s="277"/>
      <c r="O28" s="277"/>
      <c r="P28" s="177"/>
      <c r="R28" s="181"/>
    </row>
    <row r="29" spans="1:18" x14ac:dyDescent="0.25">
      <c r="B29" s="177"/>
      <c r="C29" s="177"/>
      <c r="D29" s="177"/>
      <c r="E29" s="276"/>
      <c r="F29" s="277"/>
      <c r="G29" s="277"/>
      <c r="H29" s="277"/>
      <c r="I29" s="274"/>
      <c r="J29" s="177"/>
      <c r="K29" s="177"/>
      <c r="L29" s="276"/>
      <c r="M29" s="277"/>
      <c r="N29" s="277"/>
      <c r="O29" s="277"/>
      <c r="P29" s="177"/>
    </row>
    <row r="30" spans="1:18" x14ac:dyDescent="0.25">
      <c r="B30" s="177"/>
      <c r="C30" s="274"/>
      <c r="D30" s="177"/>
      <c r="E30" s="276"/>
      <c r="F30" s="277"/>
      <c r="G30" s="277"/>
      <c r="H30" s="277"/>
      <c r="I30" s="274"/>
      <c r="J30" s="177"/>
      <c r="K30" s="177"/>
      <c r="L30" s="276"/>
      <c r="M30" s="277"/>
      <c r="N30" s="277"/>
      <c r="O30" s="277"/>
      <c r="P30" s="177"/>
      <c r="R30" s="85"/>
    </row>
    <row r="31" spans="1:18" x14ac:dyDescent="0.25">
      <c r="B31" s="177"/>
      <c r="C31" s="274"/>
      <c r="D31" s="177"/>
      <c r="E31" s="276"/>
      <c r="F31" s="277"/>
      <c r="G31" s="277"/>
      <c r="H31" s="277"/>
      <c r="I31" s="274"/>
      <c r="J31" s="177"/>
      <c r="K31" s="177"/>
      <c r="L31" s="276"/>
      <c r="M31" s="277"/>
      <c r="N31" s="277"/>
      <c r="O31" s="277"/>
      <c r="P31" s="177"/>
      <c r="R31" s="85"/>
    </row>
    <row r="32" spans="1:18" x14ac:dyDescent="0.25">
      <c r="B32" s="177"/>
      <c r="C32" s="278"/>
      <c r="D32" s="177"/>
      <c r="E32" s="279"/>
      <c r="F32" s="177"/>
      <c r="G32" s="177"/>
      <c r="H32" s="177"/>
      <c r="I32" s="177"/>
      <c r="J32" s="177"/>
      <c r="K32" s="177"/>
      <c r="P32" s="177"/>
      <c r="R32" s="85"/>
    </row>
    <row r="33" spans="1:18" x14ac:dyDescent="0.25">
      <c r="B33" s="177"/>
      <c r="C33" s="273"/>
      <c r="D33" s="177"/>
      <c r="E33" s="280"/>
      <c r="F33" s="273"/>
      <c r="G33" s="177"/>
      <c r="H33" s="177"/>
      <c r="I33" s="177"/>
      <c r="J33" s="177"/>
      <c r="K33" s="177"/>
      <c r="L33" s="274"/>
      <c r="M33" s="177"/>
      <c r="N33" s="177"/>
      <c r="O33" s="177"/>
      <c r="P33" s="177"/>
      <c r="R33" s="85"/>
    </row>
    <row r="34" spans="1:18" x14ac:dyDescent="0.25">
      <c r="B34" s="177"/>
      <c r="C34" s="177"/>
      <c r="D34" s="177"/>
      <c r="E34" s="179"/>
      <c r="F34" s="274"/>
      <c r="G34" s="274"/>
      <c r="H34" s="274"/>
      <c r="I34" s="177"/>
      <c r="J34" s="177"/>
      <c r="K34" s="177"/>
      <c r="L34" s="177"/>
      <c r="M34" s="274"/>
      <c r="N34" s="274"/>
      <c r="O34" s="274"/>
      <c r="P34" s="177"/>
    </row>
    <row r="35" spans="1:18" x14ac:dyDescent="0.25">
      <c r="B35" s="177"/>
      <c r="C35" s="274"/>
      <c r="D35" s="177"/>
      <c r="E35" s="276"/>
      <c r="F35" s="268"/>
      <c r="G35" s="268"/>
      <c r="H35" s="268"/>
      <c r="I35" s="274"/>
      <c r="J35" s="177"/>
      <c r="K35" s="177"/>
      <c r="L35" s="276"/>
      <c r="M35" s="268"/>
      <c r="N35" s="268"/>
      <c r="O35" s="268"/>
      <c r="P35" s="177"/>
    </row>
    <row r="36" spans="1:18" x14ac:dyDescent="0.25">
      <c r="A36" s="167"/>
      <c r="B36" s="177"/>
      <c r="C36" s="274"/>
      <c r="D36" s="177"/>
      <c r="E36" s="276"/>
      <c r="F36" s="268"/>
      <c r="G36" s="268"/>
      <c r="H36" s="268"/>
      <c r="I36" s="281"/>
      <c r="J36" s="274"/>
      <c r="K36" s="177"/>
      <c r="L36" s="276"/>
      <c r="M36" s="268"/>
      <c r="N36" s="268"/>
      <c r="O36" s="268"/>
      <c r="P36" s="177"/>
    </row>
    <row r="37" spans="1:18" x14ac:dyDescent="0.25">
      <c r="B37" s="177"/>
      <c r="C37" s="177"/>
      <c r="D37" s="177"/>
      <c r="E37" s="276"/>
      <c r="F37" s="268"/>
      <c r="G37" s="268"/>
      <c r="H37" s="268"/>
      <c r="I37" s="281"/>
      <c r="J37" s="177"/>
      <c r="K37" s="177"/>
      <c r="L37" s="276"/>
      <c r="M37" s="268"/>
      <c r="N37" s="268"/>
      <c r="O37" s="268"/>
      <c r="P37" s="177"/>
    </row>
    <row r="38" spans="1:18" x14ac:dyDescent="0.25">
      <c r="A38" s="178"/>
      <c r="B38" s="177"/>
      <c r="C38" s="274"/>
      <c r="D38" s="177"/>
      <c r="E38" s="276"/>
      <c r="F38" s="268"/>
      <c r="G38" s="268"/>
      <c r="H38" s="268"/>
      <c r="I38" s="281"/>
      <c r="J38" s="274"/>
      <c r="K38" s="177"/>
      <c r="L38" s="276"/>
      <c r="M38" s="268"/>
      <c r="N38" s="268"/>
      <c r="O38" s="268"/>
      <c r="P38" s="177"/>
    </row>
    <row r="39" spans="1:18" x14ac:dyDescent="0.25">
      <c r="B39" s="282"/>
      <c r="C39" s="281"/>
      <c r="D39" s="177"/>
      <c r="E39" s="276"/>
      <c r="F39" s="268"/>
      <c r="G39" s="268"/>
      <c r="H39" s="268"/>
      <c r="I39" s="281"/>
      <c r="J39" s="274"/>
      <c r="K39" s="177"/>
      <c r="L39" s="276"/>
      <c r="M39" s="268"/>
      <c r="N39" s="268"/>
      <c r="O39" s="268"/>
      <c r="P39" s="177"/>
    </row>
    <row r="41" spans="1:18" x14ac:dyDescent="0.25">
      <c r="A41" s="107" t="s">
        <v>184</v>
      </c>
      <c r="B41" s="266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47"/>
      <c r="R41" s="47"/>
    </row>
    <row r="42" spans="1:18" x14ac:dyDescent="0.25">
      <c r="E42" s="8"/>
      <c r="F42" s="264"/>
      <c r="G42" s="264"/>
      <c r="H42" s="264"/>
      <c r="I42" s="182"/>
      <c r="J42" s="182"/>
      <c r="K42" s="182"/>
      <c r="P42" s="85"/>
      <c r="Q42" s="183"/>
      <c r="R42" s="85"/>
    </row>
    <row r="43" spans="1:18" x14ac:dyDescent="0.25">
      <c r="E43" s="8"/>
      <c r="F43" s="264"/>
      <c r="G43" s="264"/>
      <c r="H43" s="264"/>
      <c r="I43" s="182"/>
      <c r="J43" s="182"/>
      <c r="K43" s="182"/>
      <c r="P43" s="85"/>
      <c r="Q43" s="183"/>
      <c r="R43" s="85"/>
    </row>
    <row r="44" spans="1:18" x14ac:dyDescent="0.25">
      <c r="D44" s="177"/>
      <c r="E44" s="8"/>
      <c r="F44" s="182"/>
      <c r="G44" s="182"/>
      <c r="H44" s="182"/>
      <c r="I44" s="182"/>
      <c r="J44" s="182"/>
      <c r="K44" s="182"/>
      <c r="P44" s="183"/>
      <c r="Q44" s="183"/>
      <c r="R44" s="183"/>
    </row>
    <row r="45" spans="1:18" x14ac:dyDescent="0.25">
      <c r="E45" s="8"/>
      <c r="F45" s="264"/>
      <c r="G45" s="264"/>
      <c r="H45" s="264"/>
      <c r="I45" s="182"/>
      <c r="J45" s="182"/>
      <c r="K45" s="182"/>
      <c r="P45" s="85"/>
      <c r="Q45" s="183"/>
      <c r="R45" s="85"/>
    </row>
    <row r="46" spans="1:18" x14ac:dyDescent="0.25">
      <c r="E46" s="8"/>
      <c r="F46" s="264"/>
      <c r="G46" s="264"/>
      <c r="H46" s="264"/>
      <c r="I46" s="182"/>
      <c r="J46" s="182"/>
      <c r="K46" s="182"/>
      <c r="P46" s="85"/>
      <c r="Q46" s="183"/>
      <c r="R46" s="85"/>
    </row>
    <row r="48" spans="1:18" x14ac:dyDescent="0.25">
      <c r="A48" s="178"/>
    </row>
    <row r="49" spans="2:18" x14ac:dyDescent="0.25">
      <c r="B49" s="184"/>
    </row>
    <row r="51" spans="2:18" x14ac:dyDescent="0.25">
      <c r="I51" s="177"/>
      <c r="J51" s="177"/>
      <c r="K51" s="177"/>
      <c r="Q51" s="177"/>
    </row>
    <row r="52" spans="2:18" x14ac:dyDescent="0.25">
      <c r="F52" s="85"/>
      <c r="G52" s="85"/>
      <c r="H52" s="85"/>
      <c r="I52" s="85"/>
      <c r="J52" s="85"/>
      <c r="K52" s="85"/>
      <c r="L52" s="85"/>
      <c r="P52" s="85"/>
      <c r="Q52" s="85"/>
      <c r="R52" s="85"/>
    </row>
    <row r="53" spans="2:18" x14ac:dyDescent="0.25">
      <c r="E53" s="8"/>
      <c r="F53" s="146"/>
      <c r="G53" s="146"/>
      <c r="H53" s="146"/>
      <c r="I53" s="185"/>
      <c r="J53" s="185"/>
      <c r="K53" s="185"/>
      <c r="L53" s="146"/>
      <c r="O53" s="47"/>
      <c r="P53" s="47"/>
      <c r="Q53" s="186"/>
      <c r="R53" s="47"/>
    </row>
    <row r="54" spans="2:18" x14ac:dyDescent="0.25">
      <c r="E54" s="8"/>
      <c r="F54" s="146"/>
      <c r="G54" s="146"/>
      <c r="H54" s="146"/>
      <c r="I54" s="185"/>
      <c r="J54" s="185"/>
      <c r="K54" s="185"/>
      <c r="L54" s="146"/>
      <c r="O54" s="47"/>
      <c r="P54" s="47"/>
      <c r="Q54" s="186"/>
      <c r="R54" s="47"/>
    </row>
    <row r="55" spans="2:18" x14ac:dyDescent="0.25">
      <c r="E55" s="8"/>
      <c r="F55" s="185"/>
      <c r="G55" s="185"/>
      <c r="H55" s="185"/>
      <c r="I55" s="185"/>
      <c r="J55" s="185"/>
      <c r="K55" s="185"/>
      <c r="L55" s="185"/>
      <c r="O55" s="47"/>
      <c r="P55" s="186"/>
      <c r="Q55" s="186"/>
      <c r="R55" s="186"/>
    </row>
    <row r="56" spans="2:18" x14ac:dyDescent="0.25">
      <c r="E56" s="8"/>
      <c r="F56" s="146"/>
      <c r="G56" s="146"/>
      <c r="H56" s="146"/>
      <c r="I56" s="185"/>
      <c r="J56" s="185"/>
      <c r="K56" s="185"/>
      <c r="L56" s="146"/>
      <c r="O56" s="47"/>
      <c r="P56" s="47"/>
      <c r="Q56" s="186"/>
      <c r="R56" s="47"/>
    </row>
    <row r="57" spans="2:18" x14ac:dyDescent="0.25">
      <c r="E57" s="8"/>
      <c r="F57" s="146"/>
      <c r="G57" s="146"/>
      <c r="H57" s="146"/>
      <c r="I57" s="185"/>
      <c r="J57" s="185"/>
      <c r="K57" s="185"/>
      <c r="L57" s="146"/>
      <c r="O57" s="47"/>
      <c r="P57" s="47"/>
      <c r="Q57" s="186"/>
      <c r="R57" s="47"/>
    </row>
    <row r="58" spans="2:18" x14ac:dyDescent="0.25">
      <c r="O58" s="4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88a26cf8-717e-46a4-ac0d-03f11284dc6b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COMPS</vt:lpstr>
      <vt:lpstr>Presentation</vt:lpstr>
      <vt:lpstr>Ccy</vt:lpstr>
      <vt:lpstr>circ</vt:lpstr>
      <vt:lpstr>CoName</vt:lpstr>
      <vt:lpstr>g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2025-11-02T20:22:35Z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