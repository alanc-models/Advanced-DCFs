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tevens0-my.sharepoint.com/personal/tchen46_stevens_edu/Documents/"/>
    </mc:Choice>
  </mc:AlternateContent>
  <xr:revisionPtr revIDLastSave="579" documentId="8_{00969C3E-1633-4A48-9D5E-F5CFAF5392B0}" xr6:coauthVersionLast="47" xr6:coauthVersionMax="47" xr10:uidLastSave="{869986B1-6151-4074-88E3-64BECDE8D8E9}"/>
  <bookViews>
    <workbookView xWindow="19095" yWindow="0" windowWidth="19410" windowHeight="21705" tabRatio="808" xr2:uid="{00000000-000D-0000-FFFF-FFFF00000000}"/>
  </bookViews>
  <sheets>
    <sheet name="MAIN" sheetId="3" r:id="rId1"/>
    <sheet name="Assumptions" sheetId="13" r:id="rId2"/>
    <sheet name="Revenue" sheetId="32" r:id="rId3"/>
    <sheet name="Calcs" sheetId="5" r:id="rId4"/>
    <sheet name="Debt" sheetId="6" r:id="rId5"/>
    <sheet name="IncState" sheetId="7" r:id="rId6"/>
    <sheet name="BalSheet" sheetId="8" r:id="rId7"/>
    <sheet name="CashFlow" sheetId="9" r:id="rId8"/>
    <sheet name="Free Cash Flow" sheetId="10" r:id="rId9"/>
    <sheet name="WACC" sheetId="11" r:id="rId10"/>
    <sheet name="DCF Model" sheetId="12" r:id="rId11"/>
    <sheet name="COMPS" sheetId="23" r:id="rId12"/>
    <sheet name="Presentation" sheetId="22" r:id="rId13"/>
  </sheets>
  <externalReferences>
    <externalReference r:id="rId14"/>
  </externalReferences>
  <definedNames>
    <definedName name="Ccy">MAIN!$C$6</definedName>
    <definedName name="CIQWBGuid" hidden="1">"3fed39ac-8be9-4d46-8f70-028dfd35ab66"</definedName>
    <definedName name="CIQWBInfo" hidden="1">"{ ""CIQVersion"":""9.48.1616.5174"" }"</definedName>
    <definedName name="circ">MAIN!$C$9</definedName>
    <definedName name="CoName">MAIN!$C$4</definedName>
    <definedName name="g">Presentation!$R$17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OpCase">[1]DCF!$E$98</definedName>
    <definedName name="ScenarioREV">Assumptions!$D$4</definedName>
    <definedName name="TTS" comment="Updated: April 2023">#REF!</definedName>
    <definedName name="Units">MAIN!$C$7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3" l="1"/>
  <c r="F18" i="3"/>
  <c r="F17" i="3"/>
  <c r="H18" i="3"/>
  <c r="H19" i="3"/>
  <c r="H17" i="3"/>
  <c r="G17" i="3"/>
  <c r="F6" i="3"/>
  <c r="L15" i="3"/>
  <c r="L19" i="3" s="1"/>
  <c r="L14" i="3"/>
  <c r="L18" i="3" s="1"/>
  <c r="K13" i="3"/>
  <c r="K17" i="3" s="1"/>
  <c r="L13" i="3"/>
  <c r="L17" i="3" s="1"/>
  <c r="J14" i="3"/>
  <c r="J18" i="3" s="1"/>
  <c r="J15" i="3"/>
  <c r="J19" i="3" s="1"/>
  <c r="J13" i="3"/>
  <c r="J17" i="3" s="1"/>
  <c r="G14" i="3"/>
  <c r="G22" i="3" s="1"/>
  <c r="G23" i="3" s="1"/>
  <c r="H14" i="3"/>
  <c r="G15" i="3"/>
  <c r="G19" i="3" s="1"/>
  <c r="H15" i="3"/>
  <c r="H13" i="3"/>
  <c r="G13" i="3"/>
  <c r="F9" i="3"/>
  <c r="F7" i="3"/>
  <c r="F5" i="3"/>
  <c r="G7" i="13"/>
  <c r="H7" i="13"/>
  <c r="I7" i="13"/>
  <c r="J7" i="13"/>
  <c r="G8" i="13"/>
  <c r="H8" i="13"/>
  <c r="I8" i="13"/>
  <c r="J8" i="13"/>
  <c r="F8" i="13"/>
  <c r="F7" i="13"/>
  <c r="K14" i="3" l="1"/>
  <c r="K18" i="3" s="1"/>
  <c r="K15" i="3"/>
  <c r="K19" i="3" s="1"/>
  <c r="G18" i="3"/>
  <c r="K22" i="3"/>
  <c r="K23" i="3" s="1"/>
  <c r="P15" i="12"/>
  <c r="N13" i="12"/>
  <c r="N12" i="12"/>
  <c r="N9" i="12"/>
  <c r="N10" i="12"/>
  <c r="K15" i="12"/>
  <c r="I10" i="12"/>
  <c r="I9" i="12" s="1"/>
  <c r="G13" i="12"/>
  <c r="G14" i="12"/>
  <c r="G12" i="12"/>
  <c r="C13" i="12"/>
  <c r="C12" i="12"/>
  <c r="E3" i="12"/>
  <c r="F3" i="12"/>
  <c r="G3" i="12"/>
  <c r="H3" i="12"/>
  <c r="D3" i="12"/>
  <c r="M4" i="12"/>
  <c r="E11" i="11"/>
  <c r="E9" i="11"/>
  <c r="E10" i="11"/>
  <c r="I7" i="11"/>
  <c r="K7" i="11" s="1"/>
  <c r="I6" i="11"/>
  <c r="I5" i="11"/>
  <c r="K5" i="11" s="1"/>
  <c r="K6" i="11"/>
  <c r="K4" i="11"/>
  <c r="I4" i="11"/>
  <c r="G5" i="10"/>
  <c r="H5" i="10"/>
  <c r="I5" i="10"/>
  <c r="J5" i="10"/>
  <c r="G9" i="10"/>
  <c r="H9" i="10"/>
  <c r="I9" i="10"/>
  <c r="J9" i="10"/>
  <c r="F9" i="10"/>
  <c r="F8" i="10"/>
  <c r="F5" i="10"/>
  <c r="G5" i="9"/>
  <c r="H5" i="9"/>
  <c r="I5" i="9"/>
  <c r="J5" i="9"/>
  <c r="G14" i="9"/>
  <c r="G16" i="9" s="1"/>
  <c r="H14" i="9"/>
  <c r="I14" i="9"/>
  <c r="J14" i="9"/>
  <c r="G15" i="9"/>
  <c r="H15" i="9"/>
  <c r="I15" i="9"/>
  <c r="J15" i="9"/>
  <c r="H16" i="9"/>
  <c r="I16" i="9"/>
  <c r="J16" i="9"/>
  <c r="G21" i="8"/>
  <c r="H21" i="8" s="1"/>
  <c r="I21" i="8" s="1"/>
  <c r="J21" i="8" s="1"/>
  <c r="G32" i="8"/>
  <c r="G21" i="7"/>
  <c r="H21" i="7"/>
  <c r="I21" i="7"/>
  <c r="J21" i="7"/>
  <c r="G24" i="7"/>
  <c r="H24" i="7"/>
  <c r="I24" i="7"/>
  <c r="J24" i="7"/>
  <c r="G25" i="7"/>
  <c r="H25" i="7"/>
  <c r="I25" i="7"/>
  <c r="J25" i="7"/>
  <c r="G28" i="7"/>
  <c r="H28" i="7"/>
  <c r="I28" i="7"/>
  <c r="J28" i="7"/>
  <c r="G15" i="5"/>
  <c r="H15" i="5"/>
  <c r="I15" i="5"/>
  <c r="J15" i="5"/>
  <c r="F20" i="9"/>
  <c r="F16" i="9"/>
  <c r="F15" i="9"/>
  <c r="F14" i="9"/>
  <c r="E23" i="5"/>
  <c r="E22" i="5"/>
  <c r="E21" i="5"/>
  <c r="E20" i="5"/>
  <c r="E19" i="5"/>
  <c r="E18" i="5"/>
  <c r="F5" i="9"/>
  <c r="F20" i="7"/>
  <c r="F4" i="9"/>
  <c r="F15" i="5"/>
  <c r="F13" i="5"/>
  <c r="E16" i="5"/>
  <c r="F32" i="8"/>
  <c r="F21" i="8"/>
  <c r="F6" i="5"/>
  <c r="E9" i="5"/>
  <c r="D39" i="7"/>
  <c r="E39" i="7"/>
  <c r="C39" i="7"/>
  <c r="F28" i="7"/>
  <c r="F25" i="7"/>
  <c r="F24" i="7"/>
  <c r="F21" i="7"/>
  <c r="E30" i="7"/>
  <c r="D30" i="7"/>
  <c r="C30" i="7"/>
  <c r="E52" i="13"/>
  <c r="D52" i="13"/>
  <c r="C52" i="13"/>
  <c r="E51" i="13"/>
  <c r="D51" i="13"/>
  <c r="C51" i="13"/>
  <c r="E46" i="13"/>
  <c r="D46" i="13"/>
  <c r="C46" i="13"/>
  <c r="E45" i="13"/>
  <c r="D45" i="13"/>
  <c r="C45" i="13"/>
  <c r="E44" i="13"/>
  <c r="D44" i="13"/>
  <c r="C44" i="13"/>
  <c r="E39" i="13"/>
  <c r="D39" i="13"/>
  <c r="C39" i="13"/>
  <c r="E38" i="13"/>
  <c r="D38" i="13"/>
  <c r="C38" i="13"/>
  <c r="E32" i="13"/>
  <c r="D32" i="13"/>
  <c r="E31" i="13"/>
  <c r="D31" i="13"/>
  <c r="C31" i="13"/>
  <c r="E18" i="13"/>
  <c r="D18" i="13"/>
  <c r="C18" i="13"/>
  <c r="E17" i="13"/>
  <c r="D17" i="13"/>
  <c r="C17" i="13"/>
  <c r="E12" i="13"/>
  <c r="D12" i="13"/>
  <c r="C12" i="13"/>
  <c r="C10" i="13"/>
  <c r="F10" i="13"/>
  <c r="D10" i="13"/>
  <c r="E10" i="13"/>
  <c r="D14" i="8"/>
  <c r="D15" i="8" s="1"/>
  <c r="C14" i="8"/>
  <c r="C43" i="13" s="1"/>
  <c r="E14" i="8"/>
  <c r="E15" i="8" s="1"/>
  <c r="E20" i="7"/>
  <c r="D20" i="7"/>
  <c r="C20" i="7"/>
  <c r="E32" i="7"/>
  <c r="D32" i="7"/>
  <c r="C32" i="7"/>
  <c r="I12" i="12" l="1"/>
  <c r="I13" i="12" s="1"/>
  <c r="H32" i="8"/>
  <c r="C15" i="8"/>
  <c r="D43" i="13"/>
  <c r="E43" i="13"/>
  <c r="C16" i="7"/>
  <c r="D16" i="7"/>
  <c r="E16" i="7"/>
  <c r="I32" i="8" l="1"/>
  <c r="E50" i="13"/>
  <c r="E11" i="13"/>
  <c r="D50" i="13"/>
  <c r="D11" i="13"/>
  <c r="C50" i="13"/>
  <c r="C11" i="13"/>
  <c r="G8" i="7"/>
  <c r="H8" i="7"/>
  <c r="I8" i="7"/>
  <c r="J8" i="7"/>
  <c r="G9" i="7"/>
  <c r="H9" i="7"/>
  <c r="I9" i="7"/>
  <c r="J9" i="7"/>
  <c r="A1" i="10"/>
  <c r="C18" i="8"/>
  <c r="D18" i="8"/>
  <c r="E18" i="8"/>
  <c r="D23" i="8"/>
  <c r="C23" i="8"/>
  <c r="E23" i="8"/>
  <c r="E30" i="8"/>
  <c r="C30" i="8"/>
  <c r="D30" i="8"/>
  <c r="C34" i="8"/>
  <c r="D34" i="8"/>
  <c r="E34" i="8"/>
  <c r="C10" i="5"/>
  <c r="C17" i="5" s="1"/>
  <c r="D2" i="5"/>
  <c r="E2" i="5" s="1"/>
  <c r="G10" i="13"/>
  <c r="F13" i="13"/>
  <c r="F7" i="7" s="1"/>
  <c r="F32" i="13"/>
  <c r="G32" i="13" s="1"/>
  <c r="H32" i="13" s="1"/>
  <c r="I32" i="13" s="1"/>
  <c r="J32" i="13" s="1"/>
  <c r="F31" i="13"/>
  <c r="F3" i="5" s="1"/>
  <c r="F37" i="13"/>
  <c r="G37" i="13" s="1"/>
  <c r="H37" i="13" s="1"/>
  <c r="I37" i="13" s="1"/>
  <c r="J37" i="13" s="1"/>
  <c r="A1" i="22"/>
  <c r="A1" i="23"/>
  <c r="J11" i="6"/>
  <c r="J30" i="6" s="1"/>
  <c r="I11" i="6"/>
  <c r="I30" i="6" s="1"/>
  <c r="H11" i="6"/>
  <c r="H16" i="6" s="1"/>
  <c r="H24" i="6" s="1"/>
  <c r="G11" i="6"/>
  <c r="G16" i="6" s="1"/>
  <c r="G24" i="6" s="1"/>
  <c r="F11" i="6"/>
  <c r="F30" i="6" s="1"/>
  <c r="E11" i="6"/>
  <c r="E16" i="6" s="1"/>
  <c r="E24" i="6" s="1"/>
  <c r="D11" i="6"/>
  <c r="D16" i="6" s="1"/>
  <c r="D24" i="6" s="1"/>
  <c r="C11" i="6"/>
  <c r="C30" i="6" s="1"/>
  <c r="F23" i="13"/>
  <c r="G23" i="13" s="1"/>
  <c r="F22" i="13"/>
  <c r="F4" i="6" s="1"/>
  <c r="F24" i="13"/>
  <c r="F6" i="6" s="1"/>
  <c r="D2" i="10"/>
  <c r="E2" i="10" s="1"/>
  <c r="F2" i="10" s="1"/>
  <c r="G2" i="10" s="1"/>
  <c r="H2" i="10" s="1"/>
  <c r="I2" i="10" s="1"/>
  <c r="J2" i="10" s="1"/>
  <c r="D2" i="9"/>
  <c r="E2" i="9"/>
  <c r="F2" i="9"/>
  <c r="G2" i="9"/>
  <c r="H2" i="9"/>
  <c r="I2" i="9"/>
  <c r="J2" i="9"/>
  <c r="J13" i="8"/>
  <c r="I13" i="8"/>
  <c r="H13" i="8"/>
  <c r="G13" i="8"/>
  <c r="F13" i="8"/>
  <c r="E13" i="8"/>
  <c r="D13" i="8"/>
  <c r="C13" i="8"/>
  <c r="F9" i="7"/>
  <c r="J14" i="7"/>
  <c r="I14" i="7"/>
  <c r="H14" i="7"/>
  <c r="G14" i="7"/>
  <c r="F14" i="7"/>
  <c r="E14" i="7"/>
  <c r="D14" i="7"/>
  <c r="C14" i="7"/>
  <c r="F50" i="13"/>
  <c r="F9" i="8" s="1"/>
  <c r="D18" i="7"/>
  <c r="A1" i="3"/>
  <c r="A1" i="13"/>
  <c r="A1" i="5"/>
  <c r="A1" i="6"/>
  <c r="A1" i="7"/>
  <c r="A1" i="8"/>
  <c r="A1" i="9"/>
  <c r="A1" i="11"/>
  <c r="A1" i="12"/>
  <c r="F45" i="13"/>
  <c r="C18" i="7"/>
  <c r="F8" i="6"/>
  <c r="F11" i="5"/>
  <c r="B19" i="5"/>
  <c r="F9" i="6"/>
  <c r="G9" i="6"/>
  <c r="H9" i="6"/>
  <c r="I9" i="6"/>
  <c r="J9" i="6"/>
  <c r="J8" i="6"/>
  <c r="I8" i="6"/>
  <c r="H8" i="6"/>
  <c r="G8" i="6"/>
  <c r="J11" i="5"/>
  <c r="I11" i="5"/>
  <c r="H11" i="5"/>
  <c r="E2" i="12"/>
  <c r="F2" i="12"/>
  <c r="G2" i="12"/>
  <c r="H2" i="12"/>
  <c r="F8" i="7"/>
  <c r="G11" i="5"/>
  <c r="J32" i="8" l="1"/>
  <c r="C33" i="7"/>
  <c r="C16" i="13"/>
  <c r="D33" i="7"/>
  <c r="D16" i="13"/>
  <c r="G4" i="7"/>
  <c r="H10" i="13"/>
  <c r="H4" i="7" s="1"/>
  <c r="C37" i="8"/>
  <c r="D37" i="8"/>
  <c r="D22" i="7"/>
  <c r="G30" i="6"/>
  <c r="E30" i="6"/>
  <c r="F5" i="6"/>
  <c r="G5" i="6"/>
  <c r="H23" i="13"/>
  <c r="G24" i="13"/>
  <c r="G6" i="6" s="1"/>
  <c r="G50" i="13"/>
  <c r="G13" i="13"/>
  <c r="G22" i="13"/>
  <c r="G4" i="6" s="1"/>
  <c r="D10" i="5"/>
  <c r="D17" i="5" s="1"/>
  <c r="E10" i="5"/>
  <c r="E17" i="5" s="1"/>
  <c r="F2" i="5"/>
  <c r="F16" i="6"/>
  <c r="F24" i="6" s="1"/>
  <c r="D30" i="6"/>
  <c r="J16" i="6"/>
  <c r="J24" i="6" s="1"/>
  <c r="D25" i="8"/>
  <c r="C16" i="6"/>
  <c r="C24" i="6" s="1"/>
  <c r="I16" i="6"/>
  <c r="I24" i="6" s="1"/>
  <c r="H30" i="6"/>
  <c r="E37" i="8"/>
  <c r="E25" i="8"/>
  <c r="C25" i="8"/>
  <c r="G31" i="13"/>
  <c r="F4" i="5"/>
  <c r="C22" i="7"/>
  <c r="F6" i="8"/>
  <c r="G45" i="13"/>
  <c r="F43" i="13"/>
  <c r="F51" i="13"/>
  <c r="F44" i="13"/>
  <c r="E18" i="7"/>
  <c r="F46" i="13"/>
  <c r="F52" i="13"/>
  <c r="G4" i="5" l="1"/>
  <c r="H4" i="5" s="1"/>
  <c r="I4" i="5" s="1"/>
  <c r="J4" i="5" s="1"/>
  <c r="F8" i="5"/>
  <c r="D38" i="7"/>
  <c r="C38" i="7"/>
  <c r="I10" i="13"/>
  <c r="J10" i="13" s="1"/>
  <c r="C39" i="8"/>
  <c r="D39" i="8"/>
  <c r="E39" i="8"/>
  <c r="H24" i="13"/>
  <c r="I24" i="13" s="1"/>
  <c r="H5" i="6"/>
  <c r="I23" i="13"/>
  <c r="H22" i="13"/>
  <c r="H13" i="13"/>
  <c r="G7" i="7"/>
  <c r="G9" i="8"/>
  <c r="H50" i="13"/>
  <c r="G2" i="5"/>
  <c r="F10" i="5"/>
  <c r="F17" i="5" s="1"/>
  <c r="H31" i="13"/>
  <c r="G3" i="5"/>
  <c r="H4" i="6"/>
  <c r="I22" i="13"/>
  <c r="F5" i="8"/>
  <c r="G44" i="13"/>
  <c r="G43" i="13"/>
  <c r="H43" i="13" s="1"/>
  <c r="I43" i="13" s="1"/>
  <c r="J43" i="13" s="1"/>
  <c r="F4" i="8"/>
  <c r="F12" i="13"/>
  <c r="G12" i="13" s="1"/>
  <c r="F11" i="8"/>
  <c r="G52" i="13"/>
  <c r="G46" i="13"/>
  <c r="F7" i="8"/>
  <c r="F11" i="13"/>
  <c r="G11" i="13" s="1"/>
  <c r="E22" i="7"/>
  <c r="F10" i="8"/>
  <c r="G51" i="13"/>
  <c r="G6" i="8"/>
  <c r="H45" i="13"/>
  <c r="E33" i="7" l="1"/>
  <c r="E38" i="7" s="1"/>
  <c r="E16" i="13"/>
  <c r="F16" i="13" s="1"/>
  <c r="G16" i="13" s="1"/>
  <c r="J4" i="7"/>
  <c r="I4" i="7"/>
  <c r="H6" i="6"/>
  <c r="J23" i="13"/>
  <c r="I5" i="6"/>
  <c r="H9" i="8"/>
  <c r="I50" i="13"/>
  <c r="G5" i="7"/>
  <c r="H11" i="13"/>
  <c r="I13" i="13"/>
  <c r="H7" i="7"/>
  <c r="H12" i="13"/>
  <c r="G6" i="7"/>
  <c r="H2" i="5"/>
  <c r="G10" i="5"/>
  <c r="G17" i="5" s="1"/>
  <c r="I4" i="6"/>
  <c r="J22" i="13"/>
  <c r="I31" i="13"/>
  <c r="H3" i="5"/>
  <c r="J24" i="13"/>
  <c r="I6" i="6"/>
  <c r="H51" i="13"/>
  <c r="G10" i="8"/>
  <c r="F5" i="7"/>
  <c r="H46" i="13"/>
  <c r="G7" i="8"/>
  <c r="H52" i="13"/>
  <c r="G11" i="8"/>
  <c r="I45" i="13"/>
  <c r="H6" i="8"/>
  <c r="F6" i="7"/>
  <c r="G4" i="8"/>
  <c r="H44" i="13"/>
  <c r="G5" i="8"/>
  <c r="H16" i="13" l="1"/>
  <c r="G10" i="7"/>
  <c r="J5" i="6"/>
  <c r="I12" i="13"/>
  <c r="H6" i="7"/>
  <c r="J13" i="13"/>
  <c r="I7" i="7"/>
  <c r="I11" i="13"/>
  <c r="H5" i="7"/>
  <c r="J50" i="13"/>
  <c r="I9" i="8"/>
  <c r="I2" i="5"/>
  <c r="H10" i="5"/>
  <c r="H17" i="5" s="1"/>
  <c r="I3" i="5"/>
  <c r="J31" i="13"/>
  <c r="J4" i="6"/>
  <c r="J6" i="6"/>
  <c r="F17" i="13"/>
  <c r="G17" i="13" s="1"/>
  <c r="J45" i="13"/>
  <c r="I6" i="8"/>
  <c r="H11" i="8"/>
  <c r="I52" i="13"/>
  <c r="I46" i="13"/>
  <c r="H7" i="8"/>
  <c r="I44" i="13"/>
  <c r="H5" i="8"/>
  <c r="H4" i="8"/>
  <c r="E4" i="11"/>
  <c r="L4" i="11" s="1"/>
  <c r="L5" i="11" s="1"/>
  <c r="L6" i="11" s="1"/>
  <c r="L7" i="11" s="1"/>
  <c r="I51" i="13"/>
  <c r="H10" i="8"/>
  <c r="I16" i="13" l="1"/>
  <c r="H10" i="7"/>
  <c r="H17" i="13"/>
  <c r="G11" i="7"/>
  <c r="J9" i="8"/>
  <c r="J11" i="13"/>
  <c r="I5" i="7"/>
  <c r="J7" i="7"/>
  <c r="I6" i="7"/>
  <c r="J12" i="13"/>
  <c r="J2" i="5"/>
  <c r="I10" i="5"/>
  <c r="I17" i="5" s="1"/>
  <c r="J3" i="5"/>
  <c r="I4" i="8"/>
  <c r="F18" i="13"/>
  <c r="G18" i="13" s="1"/>
  <c r="I5" i="8"/>
  <c r="J44" i="13"/>
  <c r="J46" i="13"/>
  <c r="I7" i="8"/>
  <c r="I11" i="8"/>
  <c r="J52" i="13"/>
  <c r="J6" i="8"/>
  <c r="J51" i="13"/>
  <c r="I10" i="8"/>
  <c r="F10" i="7"/>
  <c r="E12" i="11"/>
  <c r="F38" i="13"/>
  <c r="F11" i="7"/>
  <c r="I10" i="7" l="1"/>
  <c r="J16" i="13"/>
  <c r="J10" i="7" s="1"/>
  <c r="G12" i="7"/>
  <c r="H18" i="13"/>
  <c r="J6" i="7"/>
  <c r="J5" i="7"/>
  <c r="I17" i="13"/>
  <c r="H11" i="7"/>
  <c r="J10" i="5"/>
  <c r="J17" i="5" s="1"/>
  <c r="J7" i="8"/>
  <c r="G38" i="13"/>
  <c r="M4" i="11"/>
  <c r="J11" i="8"/>
  <c r="J10" i="8"/>
  <c r="J5" i="8"/>
  <c r="F39" i="13"/>
  <c r="F12" i="7"/>
  <c r="J4" i="8"/>
  <c r="H12" i="7" l="1"/>
  <c r="I18" i="13"/>
  <c r="J17" i="13"/>
  <c r="I11" i="7"/>
  <c r="M5" i="11"/>
  <c r="H38" i="13"/>
  <c r="G39" i="13"/>
  <c r="J11" i="7" l="1"/>
  <c r="J18" i="13"/>
  <c r="I12" i="7"/>
  <c r="H39" i="13"/>
  <c r="M6" i="11"/>
  <c r="M7" i="11"/>
  <c r="I38" i="13"/>
  <c r="J12" i="7" l="1"/>
  <c r="M9" i="11"/>
  <c r="M11" i="11" s="1"/>
  <c r="E7" i="11" s="1"/>
  <c r="E8" i="11" s="1"/>
  <c r="E13" i="11" s="1"/>
  <c r="I39" i="13"/>
  <c r="J38" i="13"/>
  <c r="J39" i="13" l="1"/>
  <c r="F4" i="7" l="1"/>
  <c r="F15" i="7" s="1"/>
  <c r="F17" i="8" l="1"/>
  <c r="F20" i="5" s="1"/>
  <c r="F16" i="8"/>
  <c r="F19" i="5" s="1"/>
  <c r="F14" i="8"/>
  <c r="F33" i="8"/>
  <c r="F22" i="8"/>
  <c r="G15" i="7"/>
  <c r="F16" i="7"/>
  <c r="F28" i="8" s="1"/>
  <c r="F21" i="5" s="1"/>
  <c r="F3" i="10"/>
  <c r="F29" i="8"/>
  <c r="F22" i="5" s="1"/>
  <c r="F17" i="7"/>
  <c r="F18" i="7" s="1"/>
  <c r="F7" i="5"/>
  <c r="F30" i="7" l="1"/>
  <c r="F32" i="7" s="1"/>
  <c r="F33" i="7" s="1"/>
  <c r="F22" i="7"/>
  <c r="F4" i="10"/>
  <c r="F7" i="10" s="1"/>
  <c r="F18" i="5"/>
  <c r="F23" i="5" s="1"/>
  <c r="F11" i="9"/>
  <c r="F12" i="9" s="1"/>
  <c r="F9" i="5"/>
  <c r="H15" i="7"/>
  <c r="G16" i="7"/>
  <c r="G28" i="8" s="1"/>
  <c r="G21" i="5" s="1"/>
  <c r="G29" i="8"/>
  <c r="G22" i="5" s="1"/>
  <c r="G14" i="8"/>
  <c r="G17" i="7"/>
  <c r="G22" i="8"/>
  <c r="G7" i="9" s="1"/>
  <c r="G11" i="10" s="1"/>
  <c r="G18" i="7"/>
  <c r="G33" i="8"/>
  <c r="G3" i="10"/>
  <c r="G16" i="8"/>
  <c r="G19" i="5" s="1"/>
  <c r="G17" i="8"/>
  <c r="G20" i="5" s="1"/>
  <c r="G7" i="5"/>
  <c r="G11" i="9" s="1"/>
  <c r="G12" i="9" s="1"/>
  <c r="F7" i="9"/>
  <c r="F11" i="10" s="1"/>
  <c r="F8" i="9"/>
  <c r="F12" i="10" s="1"/>
  <c r="F34" i="8"/>
  <c r="G30" i="7" l="1"/>
  <c r="G4" i="10"/>
  <c r="G7" i="10" s="1"/>
  <c r="F20" i="8"/>
  <c r="F23" i="8" s="1"/>
  <c r="G6" i="5"/>
  <c r="G8" i="9"/>
  <c r="G12" i="10" s="1"/>
  <c r="G34" i="8"/>
  <c r="F24" i="5"/>
  <c r="F6" i="9" s="1"/>
  <c r="F10" i="10" s="1"/>
  <c r="H17" i="8"/>
  <c r="H20" i="5" s="1"/>
  <c r="I15" i="7"/>
  <c r="H16" i="8"/>
  <c r="H19" i="5" s="1"/>
  <c r="H16" i="7"/>
  <c r="H28" i="8" s="1"/>
  <c r="H21" i="5" s="1"/>
  <c r="H17" i="7"/>
  <c r="H14" i="8"/>
  <c r="H29" i="8"/>
  <c r="H22" i="5" s="1"/>
  <c r="H3" i="10"/>
  <c r="H22" i="8"/>
  <c r="H18" i="7"/>
  <c r="H7" i="5"/>
  <c r="H11" i="9" s="1"/>
  <c r="H12" i="9" s="1"/>
  <c r="H33" i="8"/>
  <c r="G13" i="10"/>
  <c r="G18" i="5"/>
  <c r="G23" i="5" s="1"/>
  <c r="F13" i="10"/>
  <c r="F39" i="7"/>
  <c r="F14" i="5"/>
  <c r="F16" i="5" s="1"/>
  <c r="F38" i="7"/>
  <c r="F3" i="9"/>
  <c r="F15" i="10" l="1"/>
  <c r="D4" i="12" s="1"/>
  <c r="G13" i="5"/>
  <c r="F36" i="8"/>
  <c r="H18" i="5"/>
  <c r="H23" i="5" s="1"/>
  <c r="H8" i="9"/>
  <c r="H12" i="10" s="1"/>
  <c r="H34" i="8"/>
  <c r="H30" i="7"/>
  <c r="H4" i="10"/>
  <c r="H7" i="10" s="1"/>
  <c r="J15" i="7"/>
  <c r="I17" i="8"/>
  <c r="I20" i="5" s="1"/>
  <c r="I16" i="7"/>
  <c r="I28" i="8" s="1"/>
  <c r="I21" i="5" s="1"/>
  <c r="I3" i="10"/>
  <c r="I16" i="8"/>
  <c r="I19" i="5" s="1"/>
  <c r="I17" i="7"/>
  <c r="I18" i="7" s="1"/>
  <c r="I22" i="8"/>
  <c r="I7" i="5"/>
  <c r="I11" i="9" s="1"/>
  <c r="I12" i="9" s="1"/>
  <c r="I33" i="8"/>
  <c r="I14" i="8"/>
  <c r="I29" i="8"/>
  <c r="I22" i="5" s="1"/>
  <c r="H13" i="10"/>
  <c r="I7" i="9"/>
  <c r="I11" i="10" s="1"/>
  <c r="G24" i="5"/>
  <c r="G6" i="9" s="1"/>
  <c r="G10" i="10" s="1"/>
  <c r="G8" i="5"/>
  <c r="G9" i="5" s="1"/>
  <c r="H7" i="9"/>
  <c r="H11" i="10" s="1"/>
  <c r="F9" i="9"/>
  <c r="F18" i="9" s="1"/>
  <c r="F21" i="9" s="1"/>
  <c r="F22" i="9" s="1"/>
  <c r="G32" i="7"/>
  <c r="G33" i="7" s="1"/>
  <c r="H6" i="5" l="1"/>
  <c r="G20" i="8"/>
  <c r="G23" i="8" s="1"/>
  <c r="G39" i="7"/>
  <c r="G14" i="5"/>
  <c r="G16" i="5" s="1"/>
  <c r="G38" i="7"/>
  <c r="G3" i="9"/>
  <c r="F15" i="8"/>
  <c r="F27" i="8"/>
  <c r="F30" i="8" s="1"/>
  <c r="I18" i="5"/>
  <c r="I23" i="5" s="1"/>
  <c r="I24" i="5" s="1"/>
  <c r="I6" i="9" s="1"/>
  <c r="I10" i="10" s="1"/>
  <c r="I13" i="10"/>
  <c r="J17" i="8"/>
  <c r="J20" i="5" s="1"/>
  <c r="J33" i="8"/>
  <c r="J14" i="8"/>
  <c r="J18" i="5" s="1"/>
  <c r="J16" i="8"/>
  <c r="J19" i="5" s="1"/>
  <c r="J3" i="10"/>
  <c r="J22" i="8"/>
  <c r="J7" i="9" s="1"/>
  <c r="J11" i="10" s="1"/>
  <c r="J29" i="8"/>
  <c r="J22" i="5" s="1"/>
  <c r="J7" i="5"/>
  <c r="J11" i="9" s="1"/>
  <c r="J12" i="9" s="1"/>
  <c r="J16" i="7"/>
  <c r="J17" i="7"/>
  <c r="F37" i="8"/>
  <c r="G20" i="7"/>
  <c r="G22" i="7" s="1"/>
  <c r="G4" i="9"/>
  <c r="I8" i="9"/>
  <c r="I12" i="10" s="1"/>
  <c r="I34" i="8"/>
  <c r="H32" i="7"/>
  <c r="H33" i="7" s="1"/>
  <c r="I30" i="7"/>
  <c r="I4" i="10"/>
  <c r="I7" i="10" s="1"/>
  <c r="H24" i="5"/>
  <c r="H6" i="9" s="1"/>
  <c r="H10" i="10" s="1"/>
  <c r="H14" i="5" l="1"/>
  <c r="H39" i="7"/>
  <c r="H38" i="7"/>
  <c r="H3" i="9"/>
  <c r="G9" i="9"/>
  <c r="G18" i="9" s="1"/>
  <c r="G21" i="9" s="1"/>
  <c r="G8" i="10"/>
  <c r="G15" i="10" s="1"/>
  <c r="E4" i="12" s="1"/>
  <c r="J8" i="9"/>
  <c r="J12" i="10" s="1"/>
  <c r="J34" i="8"/>
  <c r="J13" i="10"/>
  <c r="H13" i="5"/>
  <c r="H16" i="5" s="1"/>
  <c r="G36" i="8"/>
  <c r="I32" i="7"/>
  <c r="I33" i="7" s="1"/>
  <c r="G20" i="9"/>
  <c r="F18" i="8"/>
  <c r="F25" i="8" s="1"/>
  <c r="F39" i="8" s="1"/>
  <c r="J18" i="7"/>
  <c r="J28" i="8"/>
  <c r="J21" i="5" s="1"/>
  <c r="J23" i="5" s="1"/>
  <c r="J24" i="5" s="1"/>
  <c r="J6" i="9" s="1"/>
  <c r="J10" i="10" s="1"/>
  <c r="H8" i="5"/>
  <c r="H9" i="5" s="1"/>
  <c r="I6" i="5" l="1"/>
  <c r="H20" i="8"/>
  <c r="H23" i="8" s="1"/>
  <c r="I38" i="7"/>
  <c r="I39" i="7"/>
  <c r="I14" i="5"/>
  <c r="I3" i="9"/>
  <c r="J4" i="10"/>
  <c r="J7" i="10" s="1"/>
  <c r="J30" i="7"/>
  <c r="J32" i="7" s="1"/>
  <c r="J33" i="7" s="1"/>
  <c r="I13" i="5"/>
  <c r="H36" i="8"/>
  <c r="G22" i="9"/>
  <c r="H20" i="7"/>
  <c r="H22" i="7" s="1"/>
  <c r="H4" i="9"/>
  <c r="H8" i="10" s="1"/>
  <c r="H15" i="10" s="1"/>
  <c r="F4" i="12" s="1"/>
  <c r="I16" i="5" l="1"/>
  <c r="H9" i="9"/>
  <c r="H18" i="9" s="1"/>
  <c r="H21" i="9" s="1"/>
  <c r="J13" i="5"/>
  <c r="I36" i="8"/>
  <c r="G15" i="8"/>
  <c r="G27" i="8"/>
  <c r="G30" i="8" s="1"/>
  <c r="G37" i="8" s="1"/>
  <c r="J39" i="7"/>
  <c r="J14" i="5"/>
  <c r="J38" i="7"/>
  <c r="J3" i="9"/>
  <c r="I8" i="5"/>
  <c r="I9" i="5" s="1"/>
  <c r="J6" i="5" l="1"/>
  <c r="I20" i="8"/>
  <c r="I23" i="8" s="1"/>
  <c r="H20" i="9"/>
  <c r="H22" i="9" s="1"/>
  <c r="G18" i="8"/>
  <c r="G25" i="8" s="1"/>
  <c r="G39" i="8" s="1"/>
  <c r="I20" i="7"/>
  <c r="I22" i="7" s="1"/>
  <c r="I4" i="9"/>
  <c r="J16" i="5"/>
  <c r="J36" i="8" s="1"/>
  <c r="I8" i="10" l="1"/>
  <c r="I15" i="10" s="1"/>
  <c r="G4" i="12" s="1"/>
  <c r="I9" i="9"/>
  <c r="I18" i="9" s="1"/>
  <c r="I21" i="9" s="1"/>
  <c r="H27" i="8"/>
  <c r="H30" i="8" s="1"/>
  <c r="H37" i="8" s="1"/>
  <c r="H15" i="8"/>
  <c r="J8" i="5"/>
  <c r="J9" i="5" s="1"/>
  <c r="J20" i="8" s="1"/>
  <c r="J23" i="8" s="1"/>
  <c r="J4" i="9" l="1"/>
  <c r="J20" i="7"/>
  <c r="J22" i="7" s="1"/>
  <c r="G8" i="12" s="1"/>
  <c r="I20" i="9"/>
  <c r="I22" i="9" s="1"/>
  <c r="H18" i="8"/>
  <c r="H25" i="8" s="1"/>
  <c r="H39" i="8" s="1"/>
  <c r="I15" i="8" l="1"/>
  <c r="I27" i="8"/>
  <c r="I30" i="8" s="1"/>
  <c r="I37" i="8" s="1"/>
  <c r="J8" i="10"/>
  <c r="J15" i="10" s="1"/>
  <c r="H4" i="12" s="1"/>
  <c r="J9" i="9"/>
  <c r="J18" i="9" s="1"/>
  <c r="J21" i="9" s="1"/>
  <c r="H5" i="12" l="1"/>
  <c r="C8" i="12" s="1"/>
  <c r="C7" i="12"/>
  <c r="J20" i="9"/>
  <c r="J22" i="9" s="1"/>
  <c r="I18" i="8"/>
  <c r="I25" i="8" s="1"/>
  <c r="I39" i="8" s="1"/>
  <c r="G7" i="12" l="1"/>
  <c r="G9" i="12" s="1"/>
  <c r="G15" i="12" s="1"/>
  <c r="N8" i="12" s="1"/>
  <c r="C9" i="12"/>
  <c r="C15" i="12" s="1"/>
  <c r="I8" i="12" s="1"/>
  <c r="J15" i="8"/>
  <c r="J18" i="8" s="1"/>
  <c r="J25" i="8" s="1"/>
  <c r="J27" i="8"/>
  <c r="J30" i="8" s="1"/>
  <c r="J37" i="8" s="1"/>
  <c r="J39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Ascoli</author>
  </authors>
  <commentList>
    <comment ref="C5" authorId="0" shapeId="0" xr:uid="{00000000-0006-0000-0000-000001000000}">
      <text>
        <r>
          <rPr>
            <sz val="8"/>
            <color indexed="81"/>
            <rFont val="Tahoma"/>
            <family val="2"/>
          </rPr>
          <t>Latest historical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Alan Chen</author>
  </authors>
  <commentList>
    <comment ref="G10" authorId="0" shapeId="0" xr:uid="{1083F158-90D8-4485-AB2E-5BC81D005AE5}">
      <text>
        <r>
          <rPr>
            <b/>
            <sz val="9"/>
            <color indexed="81"/>
            <rFont val="Tahoma"/>
            <family val="2"/>
          </rPr>
          <t>Alan Chen:</t>
        </r>
        <r>
          <rPr>
            <sz val="9"/>
            <color indexed="81"/>
            <rFont val="Tahoma"/>
            <family val="2"/>
          </rPr>
          <t xml:space="preserve">
Fixed for full year instead of mid-year convention</t>
        </r>
      </text>
    </comment>
  </commentList>
</comments>
</file>

<file path=xl/sharedStrings.xml><?xml version="1.0" encoding="utf-8"?>
<sst xmlns="http://schemas.openxmlformats.org/spreadsheetml/2006/main" count="380" uniqueCount="231">
  <si>
    <t>Hist.</t>
  </si>
  <si>
    <t>Proj.</t>
  </si>
  <si>
    <t>Analyst name</t>
  </si>
  <si>
    <t>Company name</t>
  </si>
  <si>
    <t>Latest BS date</t>
  </si>
  <si>
    <t>Currency</t>
  </si>
  <si>
    <t>Units</t>
  </si>
  <si>
    <t>Circular switch</t>
  </si>
  <si>
    <t>m</t>
  </si>
  <si>
    <t>USD</t>
  </si>
  <si>
    <t>Assumptions</t>
  </si>
  <si>
    <t>Net PP&amp;E</t>
  </si>
  <si>
    <t>Capital expenditure % of sales</t>
  </si>
  <si>
    <t>Beginning PP&amp;E</t>
  </si>
  <si>
    <t>Capex</t>
  </si>
  <si>
    <t>Depreciation</t>
  </si>
  <si>
    <t>Ending PP&amp;E</t>
  </si>
  <si>
    <t>Equity</t>
  </si>
  <si>
    <t>Share issuance/(repurchases)</t>
  </si>
  <si>
    <t>Beginning balance</t>
  </si>
  <si>
    <t>Net income</t>
  </si>
  <si>
    <t>Share issuance / (repurchase)</t>
  </si>
  <si>
    <t>Ending balance</t>
  </si>
  <si>
    <t>OWC</t>
  </si>
  <si>
    <t>Interest rate on revolver</t>
  </si>
  <si>
    <t>Interest rate on long-term debt</t>
  </si>
  <si>
    <t>Interest rate on cash</t>
  </si>
  <si>
    <t>Issuance of long-term debt</t>
  </si>
  <si>
    <t>Repayment of long-term debt</t>
  </si>
  <si>
    <t>Revolver</t>
  </si>
  <si>
    <t>Balance</t>
  </si>
  <si>
    <t>Interest rate</t>
  </si>
  <si>
    <t>Interest expense</t>
  </si>
  <si>
    <t>Long term debt</t>
  </si>
  <si>
    <t>Issuance</t>
  </si>
  <si>
    <t>Repayment</t>
  </si>
  <si>
    <t>Debt summary</t>
  </si>
  <si>
    <t>Total long term debt</t>
  </si>
  <si>
    <t xml:space="preserve"> Total debt</t>
  </si>
  <si>
    <t xml:space="preserve"> Total interest expense</t>
  </si>
  <si>
    <t>Interest income</t>
  </si>
  <si>
    <t>Income statement</t>
  </si>
  <si>
    <t>Revenue growth</t>
  </si>
  <si>
    <t>Cost of goods sold as % of sales</t>
  </si>
  <si>
    <t>SG&amp;A % of sales</t>
  </si>
  <si>
    <t>Amortization amount</t>
  </si>
  <si>
    <t>Non recurring items, amount</t>
  </si>
  <si>
    <t>Effective tax rate</t>
  </si>
  <si>
    <t>Basic WASO</t>
  </si>
  <si>
    <t>Diluted WASO</t>
  </si>
  <si>
    <t>Revenue</t>
  </si>
  <si>
    <t>SG&amp;A</t>
  </si>
  <si>
    <t>EBITDA</t>
  </si>
  <si>
    <t>Amortization</t>
  </si>
  <si>
    <t>EBIT</t>
  </si>
  <si>
    <t>Non-recurring items</t>
  </si>
  <si>
    <t>Other income (expense)</t>
  </si>
  <si>
    <t>Tax expense</t>
  </si>
  <si>
    <t xml:space="preserve"> Net income</t>
  </si>
  <si>
    <t>Shareholder information</t>
  </si>
  <si>
    <t>Balance sheet</t>
  </si>
  <si>
    <t>Other current assets % of sales</t>
  </si>
  <si>
    <t>Other long-term assets % of sales</t>
  </si>
  <si>
    <t>Other current liabilities % of sales</t>
  </si>
  <si>
    <t>Other long-term liabilities % of sales</t>
  </si>
  <si>
    <t>Accounts receivable</t>
  </si>
  <si>
    <t>Other current assets</t>
  </si>
  <si>
    <t xml:space="preserve"> Total current assets</t>
  </si>
  <si>
    <t>Property, plant &amp; equipment, net</t>
  </si>
  <si>
    <t xml:space="preserve"> Total non-current assets</t>
  </si>
  <si>
    <t>TOTAL ASSETS</t>
  </si>
  <si>
    <t>Revolver/Short term debt</t>
  </si>
  <si>
    <t>Other current liabilities</t>
  </si>
  <si>
    <t xml:space="preserve"> Total current liabilities</t>
  </si>
  <si>
    <t>Long-term debt, including current maturities</t>
  </si>
  <si>
    <t>Other long-term liabilities</t>
  </si>
  <si>
    <t xml:space="preserve"> Total non-current liabilities</t>
  </si>
  <si>
    <t>TOTAL LIABILITIES &amp; EQUITY</t>
  </si>
  <si>
    <t>Balance check</t>
  </si>
  <si>
    <t>Cash flow statement</t>
  </si>
  <si>
    <t>Pretax Income</t>
  </si>
  <si>
    <t>Alan Chen</t>
  </si>
  <si>
    <t>Free Cash Flows</t>
  </si>
  <si>
    <t>Sales</t>
  </si>
  <si>
    <t>NOPAT</t>
  </si>
  <si>
    <t>(inc) / dec in OWC</t>
  </si>
  <si>
    <t>(Capex)</t>
  </si>
  <si>
    <t>Free Cash Flow</t>
  </si>
  <si>
    <t>Effective Tax Rate</t>
  </si>
  <si>
    <t>Risk free rate</t>
  </si>
  <si>
    <t>Market risk Premium</t>
  </si>
  <si>
    <t>Beta</t>
  </si>
  <si>
    <t>Cost of Equity</t>
  </si>
  <si>
    <t>% Equity</t>
  </si>
  <si>
    <t>% Debt</t>
  </si>
  <si>
    <t>Post tax cost of debt</t>
  </si>
  <si>
    <t>WACC</t>
  </si>
  <si>
    <t>Long Term growth rate</t>
  </si>
  <si>
    <t>Levered beta</t>
  </si>
  <si>
    <t>Gross debt</t>
  </si>
  <si>
    <t>Market cap</t>
  </si>
  <si>
    <t>Debt/Mcap</t>
  </si>
  <si>
    <t>Unlevered beta</t>
  </si>
  <si>
    <t>Comp</t>
  </si>
  <si>
    <t>Industry beta (average)</t>
  </si>
  <si>
    <t>Re-levered beta</t>
  </si>
  <si>
    <t>MTR</t>
  </si>
  <si>
    <t>Discount Model Year count</t>
  </si>
  <si>
    <t>Value Calculation</t>
  </si>
  <si>
    <t>Total PV of FCFs</t>
  </si>
  <si>
    <t>PV of TV</t>
  </si>
  <si>
    <t>EV</t>
  </si>
  <si>
    <t>Implied EBITDA multiple</t>
  </si>
  <si>
    <t>Cash &amp; Cash Equiv</t>
  </si>
  <si>
    <t>Debt &amp; Claims</t>
  </si>
  <si>
    <t>NCI</t>
  </si>
  <si>
    <t>Equity Value</t>
  </si>
  <si>
    <t>Diluted S/O</t>
  </si>
  <si>
    <t>Implied Share Price</t>
  </si>
  <si>
    <t>*</t>
  </si>
  <si>
    <t>Income Statement</t>
  </si>
  <si>
    <t>Variance</t>
  </si>
  <si>
    <t>Pessimistic Case</t>
  </si>
  <si>
    <t>Optimistic Case</t>
  </si>
  <si>
    <t>Dividend payout ratio</t>
  </si>
  <si>
    <t>Balance Sheet - Assets</t>
  </si>
  <si>
    <t>Balance Sheet - Liabilities</t>
  </si>
  <si>
    <t>Operating Case</t>
  </si>
  <si>
    <t>Street Case</t>
  </si>
  <si>
    <t>COGS % of sales</t>
  </si>
  <si>
    <t>Depreciation % of PP&amp;E</t>
  </si>
  <si>
    <t>Amortization $ Amt</t>
  </si>
  <si>
    <t>Non recurring income / (expense)</t>
  </si>
  <si>
    <t>Interest rate on Revolver</t>
  </si>
  <si>
    <t>Other Income / (expense)</t>
  </si>
  <si>
    <t>Operating Cash % of sales</t>
  </si>
  <si>
    <t>Calcs</t>
  </si>
  <si>
    <t>CapEx % of Sales</t>
  </si>
  <si>
    <t>Share issuance / (repurchases)</t>
  </si>
  <si>
    <t>Debt</t>
  </si>
  <si>
    <t>Other income (expense), amt</t>
  </si>
  <si>
    <t>Sensitivity analysis</t>
  </si>
  <si>
    <t>Discount rate variance</t>
  </si>
  <si>
    <t>Implied growth rate variance</t>
  </si>
  <si>
    <t>Revenue Growth</t>
  </si>
  <si>
    <t>Change in OWC</t>
  </si>
  <si>
    <t>Accounts payable/Accurals</t>
  </si>
  <si>
    <t>Accounts payable/Accural % of COGS</t>
  </si>
  <si>
    <t>Accounts receivable % of sales</t>
  </si>
  <si>
    <t>Accounts payable % of COGS</t>
  </si>
  <si>
    <t>Depreciation % of beginning PP&amp;E</t>
  </si>
  <si>
    <t>Net Income</t>
  </si>
  <si>
    <t>COGS</t>
  </si>
  <si>
    <t>Operating Cash</t>
  </si>
  <si>
    <t>Excess cash</t>
  </si>
  <si>
    <t>Intangible assets</t>
  </si>
  <si>
    <t>Other assets</t>
  </si>
  <si>
    <t>Accounts payables</t>
  </si>
  <si>
    <t>(inc) / dec in other long-term assets</t>
  </si>
  <si>
    <t>inc / (dec) other long-term liabilities</t>
  </si>
  <si>
    <t>Tax Rate</t>
  </si>
  <si>
    <t xml:space="preserve"> </t>
  </si>
  <si>
    <t>Excess Cash</t>
  </si>
  <si>
    <t>TV multiple variance</t>
  </si>
  <si>
    <t>Multiples Calculation</t>
  </si>
  <si>
    <t>Multiple TV</t>
  </si>
  <si>
    <t>DCF tables</t>
  </si>
  <si>
    <t>Cost of debt</t>
  </si>
  <si>
    <t>Price 10/14/25</t>
  </si>
  <si>
    <t>LTM EV/EBITDA</t>
  </si>
  <si>
    <t>Average</t>
  </si>
  <si>
    <t>Delta -&gt; Average</t>
  </si>
  <si>
    <t>EV/EBITDA 2026E</t>
  </si>
  <si>
    <t>EV/EBIT 2026E</t>
  </si>
  <si>
    <t>Company Symbol</t>
  </si>
  <si>
    <t>Enterprise Value</t>
  </si>
  <si>
    <t>LTM P/E Ratio</t>
  </si>
  <si>
    <t>P/E Ratio 2026E</t>
  </si>
  <si>
    <t xml:space="preserve">LTM EV/EBIT </t>
  </si>
  <si>
    <t>LTM EV/Sales</t>
  </si>
  <si>
    <t>EV/Sales 2026E</t>
  </si>
  <si>
    <t>Delta % Average</t>
  </si>
  <si>
    <t>Presentation slide</t>
  </si>
  <si>
    <t>Football field + SOTP Comps analysis</t>
  </si>
  <si>
    <t>Perpetuity</t>
  </si>
  <si>
    <t>DCF Analysis (Sensitivity tables)</t>
  </si>
  <si>
    <t>Projection ranges</t>
  </si>
  <si>
    <t>Model Details</t>
  </si>
  <si>
    <t>Current price</t>
  </si>
  <si>
    <t>Berkshire Hathaway Non-Insurance</t>
  </si>
  <si>
    <t>Class A WASO</t>
  </si>
  <si>
    <t>Class B WASO</t>
  </si>
  <si>
    <t>Class A EPS</t>
  </si>
  <si>
    <t>Class B EPS</t>
  </si>
  <si>
    <t>(inc) / dec In OWC</t>
  </si>
  <si>
    <t>(inc) / dec in LT assets</t>
  </si>
  <si>
    <t>inc / (dec) in LT liabilities</t>
  </si>
  <si>
    <t>Cash Flow From Operations</t>
  </si>
  <si>
    <t>Cash Flow from Investing</t>
  </si>
  <si>
    <t>Share issuance / (repayment)</t>
  </si>
  <si>
    <t>Debt issuance / (repayment)</t>
  </si>
  <si>
    <t>Cash Flow From Financing</t>
  </si>
  <si>
    <t>Net Changes in Cash</t>
  </si>
  <si>
    <t>Beginning Cash</t>
  </si>
  <si>
    <t>Changes</t>
  </si>
  <si>
    <t>Ending Cash</t>
  </si>
  <si>
    <t>UNP</t>
  </si>
  <si>
    <t>CSX</t>
  </si>
  <si>
    <t>NSC</t>
  </si>
  <si>
    <t>CP</t>
  </si>
  <si>
    <t>Discount Factor</t>
  </si>
  <si>
    <t>PV FCF</t>
  </si>
  <si>
    <t>Multiple</t>
  </si>
  <si>
    <t>Scenario</t>
  </si>
  <si>
    <t>Terminal Multiple</t>
  </si>
  <si>
    <t>Case 1</t>
  </si>
  <si>
    <t>Case 2</t>
  </si>
  <si>
    <t>Case 3</t>
  </si>
  <si>
    <t>COMBINED EV</t>
  </si>
  <si>
    <t>Total Debt</t>
  </si>
  <si>
    <t>Total Cash &amp; Equivalents</t>
  </si>
  <si>
    <t>SHARE PRICE CLASS A</t>
  </si>
  <si>
    <t>SHARE PRICE CLASS B</t>
  </si>
  <si>
    <t>Class A outstanding</t>
  </si>
  <si>
    <t>Class B outstanding</t>
  </si>
  <si>
    <t>Total Mkt Cap</t>
  </si>
  <si>
    <t>Class A price</t>
  </si>
  <si>
    <t>Class B Price</t>
  </si>
  <si>
    <t>DIFFERENCE</t>
  </si>
  <si>
    <t>Weighted Average</t>
  </si>
  <si>
    <t>PLEASE REFER TO MY OTHER BERKSHIRE MODEL TO COMBINE THE POTENTIAL EV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</si>
</sst>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_(&quot;£&quot;* #,##0_);_(&quot;£&quot;* \(#,##0\);_(&quot;£&quot;* &quot;-&quot;_);_(@_)"/>
    <numFmt numFmtId="165" formatCode="_(&quot;£&quot;* #,##0.00_);_(&quot;£&quot;* \(#,##0.00\);_(&quot;£&quot;* &quot;-&quot;??_);_(@_)"/>
    <numFmt numFmtId="166" formatCode="#,##0.0_);\(#,##0.0\);0.0_);@_)"/>
    <numFmt numFmtId="167" formatCode="#,##0.0_);\(#,##0.0\)"/>
    <numFmt numFmtId="168" formatCode="dd\-mmm\-yy_)"/>
    <numFmt numFmtId="169" formatCode="0.0%_);\(0.0%\)"/>
    <numFmt numFmtId="170" formatCode="#,##0.00_)\x;\(#,##0.00\)\x"/>
    <numFmt numFmtId="171" formatCode="&quot;Yes&quot;;;&quot;No&quot;"/>
    <numFmt numFmtId="172" formatCode="0.00%_);\(0.00%\)"/>
    <numFmt numFmtId="173" formatCode="0.0%"/>
    <numFmt numFmtId="174" formatCode="#,##0.00_);\(#,##0.00\);0.00_);@_)"/>
    <numFmt numFmtId="175" formatCode="yyyy"/>
    <numFmt numFmtId="176" formatCode="#,##0.0_)\x;\(#,##0.0\)\x"/>
    <numFmt numFmtId="177" formatCode="0.0_);\(0.0\)"/>
    <numFmt numFmtId="178" formatCode="0_);\(0\)"/>
    <numFmt numFmtId="179" formatCode="#,##0.0"/>
    <numFmt numFmtId="180" formatCode="&quot;$&quot;#,##0.0_);\(&quot;$&quot;#,##0.0\)"/>
    <numFmt numFmtId="181" formatCode="#,##0.0_)"/>
    <numFmt numFmtId="182" formatCode="&quot;$&quot;#,##0.0"/>
    <numFmt numFmtId="183" formatCode="&quot;$&quot;#,##0.00"/>
  </numFmts>
  <fonts count="7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sz val="8"/>
      <color indexed="81"/>
      <name val="Tahoma"/>
      <family val="2"/>
    </font>
    <font>
      <u/>
      <sz val="10"/>
      <color theme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24"/>
      <color rgb="FF006100"/>
      <name val="Arial"/>
      <family val="2"/>
    </font>
    <font>
      <sz val="24"/>
      <color rgb="FF9C0006"/>
      <name val="Arial"/>
      <family val="2"/>
    </font>
    <font>
      <sz val="24"/>
      <color rgb="FF9C6500"/>
      <name val="Arial"/>
      <family val="2"/>
    </font>
    <font>
      <b/>
      <sz val="24"/>
      <color rgb="FF3F3F3F"/>
      <name val="Arial"/>
      <family val="2"/>
    </font>
    <font>
      <b/>
      <sz val="24"/>
      <color rgb="FFFA7D00"/>
      <name val="Arial"/>
      <family val="2"/>
    </font>
    <font>
      <sz val="24"/>
      <color rgb="FFFA7D00"/>
      <name val="Arial"/>
      <family val="2"/>
    </font>
    <font>
      <b/>
      <sz val="24"/>
      <color theme="0"/>
      <name val="Arial"/>
      <family val="2"/>
    </font>
    <font>
      <sz val="24"/>
      <color rgb="FFFF0000"/>
      <name val="Arial"/>
      <family val="2"/>
    </font>
    <font>
      <i/>
      <sz val="24"/>
      <color rgb="FF7F7F7F"/>
      <name val="Arial"/>
      <family val="2"/>
    </font>
    <font>
      <b/>
      <sz val="24"/>
      <color theme="1"/>
      <name val="Arial"/>
      <family val="2"/>
    </font>
    <font>
      <sz val="24"/>
      <color theme="0"/>
      <name val="Arial"/>
      <family val="2"/>
    </font>
    <font>
      <sz val="24"/>
      <color theme="1"/>
      <name val="Arial"/>
      <family val="2"/>
    </font>
    <font>
      <u/>
      <sz val="10"/>
      <color theme="11"/>
      <name val="Arial"/>
      <family val="2"/>
    </font>
    <font>
      <b/>
      <sz val="14"/>
      <color theme="0"/>
      <name val="Calibri"/>
      <family val="2"/>
    </font>
    <font>
      <b/>
      <sz val="11"/>
      <color theme="2"/>
      <name val="Calibri"/>
      <family val="2"/>
      <scheme val="minor"/>
    </font>
    <font>
      <sz val="10"/>
      <color rgb="FF0000FF"/>
      <name val="Arial"/>
      <family val="2"/>
    </font>
    <font>
      <b/>
      <sz val="14"/>
      <color rgb="FF0000FF"/>
      <name val="Calibri"/>
      <family val="2"/>
    </font>
    <font>
      <i/>
      <sz val="10"/>
      <name val="Arial"/>
      <family val="2"/>
    </font>
    <font>
      <sz val="7"/>
      <color indexed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rgb="FF027D07"/>
      <name val="Calibri"/>
      <family val="2"/>
      <scheme val="minor"/>
    </font>
    <font>
      <sz val="11"/>
      <color indexed="1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indexed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27D07"/>
      <name val="Calibri"/>
      <family val="2"/>
      <scheme val="minor"/>
    </font>
    <font>
      <sz val="11"/>
      <color rgb="FF4472C4"/>
      <name val="Calibri"/>
      <family val="2"/>
      <scheme val="minor"/>
    </font>
    <font>
      <i/>
      <sz val="11"/>
      <color indexed="10"/>
      <name val="Calibri"/>
      <family val="2"/>
      <scheme val="minor"/>
    </font>
    <font>
      <i/>
      <sz val="10"/>
      <color theme="2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color theme="1"/>
      <name val="Arial"/>
      <family val="2"/>
    </font>
    <font>
      <sz val="11"/>
      <color rgb="FF0500FF"/>
      <name val="Calibri"/>
      <family val="2"/>
      <scheme val="minor"/>
    </font>
    <font>
      <i/>
      <sz val="10"/>
      <color rgb="FF0000FF"/>
      <name val="Arial"/>
      <family val="2"/>
    </font>
    <font>
      <i/>
      <sz val="10"/>
      <color rgb="FF0500FF"/>
      <name val="Arial"/>
      <family val="2"/>
    </font>
    <font>
      <b/>
      <i/>
      <sz val="11"/>
      <color theme="0"/>
      <name val="Calibri"/>
      <family val="2"/>
      <scheme val="minor"/>
    </font>
    <font>
      <b/>
      <i/>
      <sz val="10"/>
      <color theme="0"/>
      <name val="Arial"/>
      <family val="2"/>
    </font>
    <font>
      <sz val="10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rgb="FF0000FF"/>
      <name val="Calibri"/>
      <family val="2"/>
      <scheme val="minor"/>
    </font>
    <font>
      <b/>
      <sz val="15"/>
      <color rgb="FF027D07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theme="2" tint="0.39997558519241921"/>
      <name val="Calibri"/>
      <family val="2"/>
      <scheme val="minor"/>
    </font>
    <font>
      <i/>
      <sz val="11"/>
      <color rgb="FF0000FF"/>
      <name val="Calibri"/>
      <family val="2"/>
      <scheme val="minor"/>
    </font>
    <font>
      <b/>
      <i/>
      <sz val="11"/>
      <color rgb="FFEA4335"/>
      <name val="Calibri"/>
      <family val="2"/>
      <scheme val="minor"/>
    </font>
    <font>
      <b/>
      <sz val="15"/>
      <name val="Calibri"/>
      <family val="2"/>
      <scheme val="minor"/>
    </font>
    <font>
      <b/>
      <sz val="11"/>
      <color rgb="FF34A853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E1E1E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85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68">
    <xf numFmtId="167" fontId="0" fillId="0" borderId="0"/>
    <xf numFmtId="15" fontId="6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167" fontId="29" fillId="33" borderId="1" applyNumberFormat="0" applyAlignment="0" applyProtection="0"/>
    <xf numFmtId="169" fontId="6" fillId="0" borderId="0" applyFont="0" applyFill="0" applyBorder="0" applyAlignment="0" applyProtection="0"/>
    <xf numFmtId="167" fontId="29" fillId="0" borderId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5" applyNumberFormat="0" applyAlignment="0" applyProtection="0"/>
    <xf numFmtId="0" fontId="18" fillId="5" borderId="6" applyNumberFormat="0" applyAlignment="0" applyProtection="0"/>
    <xf numFmtId="0" fontId="19" fillId="0" borderId="7" applyNumberFormat="0" applyFill="0" applyAlignment="0" applyProtection="0"/>
    <xf numFmtId="0" fontId="20" fillId="6" borderId="8" applyNumberFormat="0" applyAlignment="0" applyProtection="0"/>
    <xf numFmtId="0" fontId="21" fillId="0" borderId="0" applyNumberFormat="0" applyFill="0" applyBorder="0" applyAlignment="0" applyProtection="0"/>
    <xf numFmtId="0" fontId="6" fillId="7" borderId="9" applyNumberFormat="0" applyFont="0" applyAlignment="0" applyProtection="0"/>
    <xf numFmtId="0" fontId="22" fillId="0" borderId="0" applyNumberFormat="0" applyFill="0" applyBorder="0" applyAlignment="0" applyProtection="0"/>
    <xf numFmtId="0" fontId="23" fillId="0" borderId="10" applyNumberFormat="0" applyFill="0" applyAlignment="0" applyProtection="0"/>
    <xf numFmtId="0" fontId="24" fillId="8" borderId="0" applyNumberFormat="0" applyBorder="0" applyAlignment="0" applyProtection="0"/>
    <xf numFmtId="0" fontId="25" fillId="9" borderId="0" applyNumberFormat="0" applyBorder="0" applyAlignment="0" applyProtection="0"/>
    <xf numFmtId="0" fontId="25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5" fillId="13" borderId="0" applyNumberFormat="0" applyBorder="0" applyAlignment="0" applyProtection="0"/>
    <xf numFmtId="0" fontId="25" fillId="14" borderId="0" applyNumberFormat="0" applyBorder="0" applyAlignment="0" applyProtection="0"/>
    <xf numFmtId="0" fontId="24" fillId="15" borderId="0" applyNumberFormat="0" applyBorder="0" applyAlignment="0" applyProtection="0"/>
    <xf numFmtId="0" fontId="24" fillId="16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24" fillId="19" borderId="0" applyNumberFormat="0" applyBorder="0" applyAlignment="0" applyProtection="0"/>
    <xf numFmtId="0" fontId="24" fillId="20" borderId="0" applyNumberFormat="0" applyBorder="0" applyAlignment="0" applyProtection="0"/>
    <xf numFmtId="0" fontId="25" fillId="21" borderId="0" applyNumberFormat="0" applyBorder="0" applyAlignment="0" applyProtection="0"/>
    <xf numFmtId="0" fontId="25" fillId="22" borderId="0" applyNumberFormat="0" applyBorder="0" applyAlignment="0" applyProtection="0"/>
    <xf numFmtId="0" fontId="24" fillId="23" borderId="0" applyNumberFormat="0" applyBorder="0" applyAlignment="0" applyProtection="0"/>
    <xf numFmtId="0" fontId="24" fillId="24" borderId="0" applyNumberFormat="0" applyBorder="0" applyAlignment="0" applyProtection="0"/>
    <xf numFmtId="0" fontId="25" fillId="25" borderId="0" applyNumberFormat="0" applyBorder="0" applyAlignment="0" applyProtection="0"/>
    <xf numFmtId="0" fontId="25" fillId="26" borderId="0" applyNumberFormat="0" applyBorder="0" applyAlignment="0" applyProtection="0"/>
    <xf numFmtId="0" fontId="24" fillId="27" borderId="0" applyNumberFormat="0" applyBorder="0" applyAlignment="0" applyProtection="0"/>
    <xf numFmtId="0" fontId="24" fillId="28" borderId="0" applyNumberFormat="0" applyBorder="0" applyAlignment="0" applyProtection="0"/>
    <xf numFmtId="0" fontId="25" fillId="29" borderId="0" applyNumberFormat="0" applyBorder="0" applyAlignment="0" applyProtection="0"/>
    <xf numFmtId="0" fontId="25" fillId="30" borderId="0" applyNumberFormat="0" applyBorder="0" applyAlignment="0" applyProtection="0"/>
    <xf numFmtId="0" fontId="24" fillId="31" borderId="0" applyNumberFormat="0" applyBorder="0" applyAlignment="0" applyProtection="0"/>
    <xf numFmtId="166" fontId="26" fillId="0" borderId="0" applyNumberForma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7" fontId="30" fillId="0" borderId="11" applyNumberFormat="0" applyFill="0" applyAlignment="0" applyProtection="0"/>
    <xf numFmtId="167" fontId="27" fillId="32" borderId="0" applyNumberFormat="0" applyBorder="0" applyProtection="0">
      <alignment horizontal="left" vertical="center"/>
    </xf>
    <xf numFmtId="167" fontId="28" fillId="0" borderId="0" applyNumberFormat="0" applyFill="0" applyBorder="0" applyAlignment="0" applyProtection="0"/>
    <xf numFmtId="171" fontId="7" fillId="0" borderId="0" applyFont="0" applyFill="0" applyBorder="0" applyAlignment="0" applyProtection="0"/>
    <xf numFmtId="169" fontId="29" fillId="33" borderId="1" applyAlignment="0" applyProtection="0"/>
    <xf numFmtId="166" fontId="7" fillId="0" borderId="0" applyNumberFormat="0" applyFill="0" applyBorder="0" applyAlignment="0" applyProtection="0"/>
    <xf numFmtId="166" fontId="7" fillId="0" borderId="0" applyNumberFormat="0" applyFill="0" applyBorder="0" applyAlignment="0" applyProtection="0"/>
    <xf numFmtId="166" fontId="6" fillId="0" borderId="0">
      <protection locked="0"/>
    </xf>
    <xf numFmtId="166" fontId="32" fillId="0" borderId="0" applyNumberFormat="0" applyFill="0" applyBorder="0" applyProtection="0">
      <alignment vertical="center"/>
      <protection hidden="1"/>
    </xf>
    <xf numFmtId="0" fontId="33" fillId="0" borderId="0"/>
    <xf numFmtId="9" fontId="33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5" fillId="0" borderId="0"/>
    <xf numFmtId="167" fontId="43" fillId="32" borderId="0" applyNumberFormat="0" applyBorder="0" applyAlignment="0" applyProtection="0">
      <alignment horizontal="left" vertical="center"/>
    </xf>
    <xf numFmtId="0" fontId="64" fillId="41" borderId="0"/>
    <xf numFmtId="0" fontId="65" fillId="41" borderId="22">
      <alignment horizontal="right"/>
    </xf>
  </cellStyleXfs>
  <cellXfs count="336">
    <xf numFmtId="167" fontId="0" fillId="0" borderId="0" xfId="0"/>
    <xf numFmtId="166" fontId="44" fillId="0" borderId="0" xfId="52" applyNumberFormat="1" applyFont="1" applyFill="1" applyBorder="1" applyAlignment="1">
      <alignment horizontal="center"/>
    </xf>
    <xf numFmtId="167" fontId="44" fillId="0" borderId="0" xfId="0" applyFont="1"/>
    <xf numFmtId="166" fontId="44" fillId="0" borderId="0" xfId="52" applyNumberFormat="1" applyFont="1" applyFill="1" applyBorder="1"/>
    <xf numFmtId="167" fontId="40" fillId="0" borderId="0" xfId="0" applyFont="1"/>
    <xf numFmtId="169" fontId="40" fillId="0" borderId="0" xfId="4" applyFont="1"/>
    <xf numFmtId="167" fontId="45" fillId="0" borderId="0" xfId="0" applyFont="1"/>
    <xf numFmtId="167" fontId="42" fillId="0" borderId="0" xfId="0" applyFont="1"/>
    <xf numFmtId="173" fontId="40" fillId="0" borderId="0" xfId="0" applyNumberFormat="1" applyFont="1"/>
    <xf numFmtId="166" fontId="39" fillId="0" borderId="0" xfId="57" applyFont="1" applyFill="1"/>
    <xf numFmtId="166" fontId="39" fillId="0" borderId="0" xfId="57" applyFont="1"/>
    <xf numFmtId="167" fontId="46" fillId="0" borderId="0" xfId="0" applyFont="1"/>
    <xf numFmtId="173" fontId="46" fillId="0" borderId="0" xfId="0" applyNumberFormat="1" applyFont="1"/>
    <xf numFmtId="167" fontId="39" fillId="0" borderId="0" xfId="0" applyFont="1"/>
    <xf numFmtId="172" fontId="40" fillId="0" borderId="0" xfId="0" applyNumberFormat="1" applyFont="1"/>
    <xf numFmtId="174" fontId="40" fillId="0" borderId="0" xfId="0" applyNumberFormat="1" applyFont="1"/>
    <xf numFmtId="167" fontId="40" fillId="35" borderId="0" xfId="0" applyFont="1" applyFill="1"/>
    <xf numFmtId="166" fontId="34" fillId="35" borderId="0" xfId="54" applyNumberFormat="1" applyFont="1" applyFill="1"/>
    <xf numFmtId="167" fontId="46" fillId="0" borderId="12" xfId="0" applyFont="1" applyBorder="1"/>
    <xf numFmtId="167" fontId="46" fillId="0" borderId="13" xfId="0" applyFont="1" applyBorder="1"/>
    <xf numFmtId="167" fontId="46" fillId="0" borderId="14" xfId="0" applyFont="1" applyBorder="1"/>
    <xf numFmtId="167" fontId="40" fillId="34" borderId="0" xfId="0" applyFont="1" applyFill="1"/>
    <xf numFmtId="166" fontId="34" fillId="34" borderId="0" xfId="54" applyNumberFormat="1" applyFont="1" applyFill="1"/>
    <xf numFmtId="167" fontId="40" fillId="0" borderId="13" xfId="0" applyFont="1" applyBorder="1"/>
    <xf numFmtId="166" fontId="39" fillId="0" borderId="18" xfId="57" applyFont="1" applyBorder="1"/>
    <xf numFmtId="169" fontId="40" fillId="0" borderId="18" xfId="4" applyFont="1" applyBorder="1"/>
    <xf numFmtId="167" fontId="46" fillId="0" borderId="18" xfId="0" applyFont="1" applyBorder="1"/>
    <xf numFmtId="166" fontId="39" fillId="0" borderId="18" xfId="58" applyFont="1" applyBorder="1"/>
    <xf numFmtId="173" fontId="40" fillId="0" borderId="18" xfId="0" applyNumberFormat="1" applyFont="1" applyBorder="1"/>
    <xf numFmtId="167" fontId="40" fillId="0" borderId="18" xfId="0" applyFont="1" applyBorder="1"/>
    <xf numFmtId="169" fontId="40" fillId="0" borderId="18" xfId="4" applyFont="1" applyFill="1" applyBorder="1"/>
    <xf numFmtId="173" fontId="31" fillId="0" borderId="0" xfId="0" applyNumberFormat="1" applyFont="1"/>
    <xf numFmtId="167" fontId="41" fillId="0" borderId="0" xfId="0" applyFont="1"/>
    <xf numFmtId="169" fontId="41" fillId="0" borderId="0" xfId="4" applyFont="1"/>
    <xf numFmtId="169" fontId="41" fillId="0" borderId="18" xfId="4" applyFont="1" applyBorder="1"/>
    <xf numFmtId="167" fontId="48" fillId="0" borderId="0" xfId="0" applyFont="1"/>
    <xf numFmtId="167" fontId="46" fillId="0" borderId="15" xfId="0" applyFont="1" applyBorder="1"/>
    <xf numFmtId="167" fontId="46" fillId="0" borderId="16" xfId="0" applyFont="1" applyBorder="1"/>
    <xf numFmtId="173" fontId="40" fillId="0" borderId="16" xfId="0" applyNumberFormat="1" applyFont="1" applyBorder="1"/>
    <xf numFmtId="167" fontId="40" fillId="0" borderId="16" xfId="0" applyFont="1" applyBorder="1"/>
    <xf numFmtId="174" fontId="40" fillId="0" borderId="15" xfId="0" applyNumberFormat="1" applyFont="1" applyBorder="1"/>
    <xf numFmtId="167" fontId="41" fillId="0" borderId="18" xfId="0" applyFont="1" applyBorder="1"/>
    <xf numFmtId="173" fontId="31" fillId="0" borderId="18" xfId="0" applyNumberFormat="1" applyFont="1" applyBorder="1"/>
    <xf numFmtId="166" fontId="35" fillId="0" borderId="0" xfId="52" applyNumberFormat="1" applyFont="1" applyFill="1" applyBorder="1" applyAlignment="1">
      <alignment horizontal="right"/>
    </xf>
    <xf numFmtId="167" fontId="36" fillId="34" borderId="0" xfId="0" applyFont="1" applyFill="1"/>
    <xf numFmtId="173" fontId="41" fillId="0" borderId="0" xfId="0" applyNumberFormat="1" applyFont="1"/>
    <xf numFmtId="173" fontId="41" fillId="0" borderId="18" xfId="0" applyNumberFormat="1" applyFont="1" applyBorder="1"/>
    <xf numFmtId="166" fontId="39" fillId="0" borderId="18" xfId="57" applyFont="1" applyFill="1" applyBorder="1"/>
    <xf numFmtId="167" fontId="46" fillId="0" borderId="0" xfId="0" applyFont="1" applyAlignment="1">
      <alignment horizontal="right"/>
    </xf>
    <xf numFmtId="10" fontId="40" fillId="0" borderId="0" xfId="0" applyNumberFormat="1" applyFont="1"/>
    <xf numFmtId="172" fontId="40" fillId="0" borderId="0" xfId="4" applyNumberFormat="1" applyFont="1"/>
    <xf numFmtId="167" fontId="49" fillId="0" borderId="0" xfId="0" applyFont="1"/>
    <xf numFmtId="37" fontId="44" fillId="0" borderId="0" xfId="0" applyNumberFormat="1" applyFont="1" applyAlignment="1">
      <alignment horizontal="center"/>
    </xf>
    <xf numFmtId="167" fontId="38" fillId="33" borderId="1" xfId="3" applyFont="1" applyAlignment="1">
      <alignment horizontal="center"/>
    </xf>
    <xf numFmtId="168" fontId="38" fillId="33" borderId="1" xfId="3" applyNumberFormat="1" applyFont="1" applyAlignment="1">
      <alignment horizontal="center"/>
    </xf>
    <xf numFmtId="166" fontId="35" fillId="0" borderId="0" xfId="52" applyNumberFormat="1" applyFont="1" applyFill="1" applyBorder="1" applyAlignment="1">
      <alignment horizontal="center"/>
    </xf>
    <xf numFmtId="167" fontId="50" fillId="34" borderId="0" xfId="0" applyFont="1" applyFill="1"/>
    <xf numFmtId="175" fontId="34" fillId="34" borderId="0" xfId="0" applyNumberFormat="1" applyFont="1" applyFill="1"/>
    <xf numFmtId="169" fontId="47" fillId="0" borderId="0" xfId="57" applyNumberFormat="1" applyFont="1" applyFill="1" applyBorder="1"/>
    <xf numFmtId="169" fontId="41" fillId="0" borderId="0" xfId="57" applyNumberFormat="1" applyFont="1" applyFill="1" applyBorder="1"/>
    <xf numFmtId="166" fontId="41" fillId="0" borderId="0" xfId="0" applyNumberFormat="1" applyFont="1"/>
    <xf numFmtId="167" fontId="40" fillId="0" borderId="17" xfId="0" applyFont="1" applyBorder="1"/>
    <xf numFmtId="169" fontId="47" fillId="0" borderId="18" xfId="57" applyNumberFormat="1" applyFont="1" applyFill="1" applyBorder="1"/>
    <xf numFmtId="169" fontId="41" fillId="0" borderId="18" xfId="57" applyNumberFormat="1" applyFont="1" applyFill="1" applyBorder="1"/>
    <xf numFmtId="166" fontId="41" fillId="0" borderId="18" xfId="0" applyNumberFormat="1" applyFont="1" applyBorder="1"/>
    <xf numFmtId="167" fontId="40" fillId="0" borderId="18" xfId="0" applyFont="1" applyBorder="1" applyAlignment="1">
      <alignment horizontal="right"/>
    </xf>
    <xf numFmtId="167" fontId="36" fillId="35" borderId="0" xfId="0" applyFont="1" applyFill="1"/>
    <xf numFmtId="167" fontId="34" fillId="35" borderId="0" xfId="53" applyFont="1" applyFill="1">
      <alignment horizontal="left" vertical="center"/>
    </xf>
    <xf numFmtId="167" fontId="40" fillId="0" borderId="15" xfId="0" applyFont="1" applyBorder="1"/>
    <xf numFmtId="167" fontId="40" fillId="36" borderId="0" xfId="0" applyFont="1" applyFill="1"/>
    <xf numFmtId="167" fontId="40" fillId="37" borderId="15" xfId="0" applyFont="1" applyFill="1" applyBorder="1"/>
    <xf numFmtId="167" fontId="40" fillId="37" borderId="0" xfId="0" applyFont="1" applyFill="1"/>
    <xf numFmtId="167" fontId="40" fillId="38" borderId="15" xfId="0" applyFont="1" applyFill="1" applyBorder="1"/>
    <xf numFmtId="167" fontId="40" fillId="38" borderId="0" xfId="0" applyFont="1" applyFill="1"/>
    <xf numFmtId="167" fontId="40" fillId="36" borderId="18" xfId="0" applyFont="1" applyFill="1" applyBorder="1"/>
    <xf numFmtId="167" fontId="40" fillId="37" borderId="16" xfId="0" applyFont="1" applyFill="1" applyBorder="1"/>
    <xf numFmtId="167" fontId="40" fillId="37" borderId="18" xfId="0" applyFont="1" applyFill="1" applyBorder="1"/>
    <xf numFmtId="167" fontId="40" fillId="38" borderId="16" xfId="0" applyFont="1" applyFill="1" applyBorder="1"/>
    <xf numFmtId="167" fontId="40" fillId="38" borderId="18" xfId="0" applyFont="1" applyFill="1" applyBorder="1"/>
    <xf numFmtId="167" fontId="34" fillId="34" borderId="0" xfId="0" applyFont="1" applyFill="1"/>
    <xf numFmtId="167" fontId="40" fillId="0" borderId="20" xfId="0" applyFont="1" applyBorder="1"/>
    <xf numFmtId="167" fontId="40" fillId="0" borderId="1" xfId="0" applyFont="1" applyBorder="1"/>
    <xf numFmtId="167" fontId="40" fillId="39" borderId="19" xfId="0" applyFont="1" applyFill="1" applyBorder="1"/>
    <xf numFmtId="167" fontId="40" fillId="39" borderId="16" xfId="0" applyFont="1" applyFill="1" applyBorder="1"/>
    <xf numFmtId="167" fontId="40" fillId="39" borderId="1" xfId="0" applyFont="1" applyFill="1" applyBorder="1"/>
    <xf numFmtId="167" fontId="40" fillId="39" borderId="14" xfId="0" applyFont="1" applyFill="1" applyBorder="1"/>
    <xf numFmtId="167" fontId="45" fillId="0" borderId="15" xfId="0" applyFont="1" applyBorder="1"/>
    <xf numFmtId="176" fontId="40" fillId="0" borderId="0" xfId="0" applyNumberFormat="1" applyFont="1"/>
    <xf numFmtId="167" fontId="36" fillId="0" borderId="0" xfId="0" applyFont="1"/>
    <xf numFmtId="166" fontId="34" fillId="0" borderId="0" xfId="54" applyNumberFormat="1" applyFont="1" applyFill="1"/>
    <xf numFmtId="166" fontId="52" fillId="0" borderId="0" xfId="54" applyNumberFormat="1" applyFont="1" applyProtection="1"/>
    <xf numFmtId="173" fontId="6" fillId="0" borderId="0" xfId="0" applyNumberFormat="1" applyFont="1"/>
    <xf numFmtId="167" fontId="53" fillId="0" borderId="0" xfId="0" applyFont="1"/>
    <xf numFmtId="167" fontId="6" fillId="0" borderId="0" xfId="0" applyFont="1"/>
    <xf numFmtId="167" fontId="6" fillId="0" borderId="0" xfId="0" applyFont="1" applyProtection="1">
      <protection locked="0"/>
    </xf>
    <xf numFmtId="169" fontId="6" fillId="0" borderId="0" xfId="4" applyFont="1"/>
    <xf numFmtId="166" fontId="55" fillId="0" borderId="0" xfId="54" applyNumberFormat="1" applyFont="1" applyProtection="1"/>
    <xf numFmtId="169" fontId="29" fillId="0" borderId="0" xfId="3" applyNumberFormat="1" applyFill="1" applyBorder="1"/>
    <xf numFmtId="167" fontId="56" fillId="0" borderId="0" xfId="0" applyFont="1"/>
    <xf numFmtId="167" fontId="56" fillId="0" borderId="18" xfId="0" applyFont="1" applyBorder="1"/>
    <xf numFmtId="167" fontId="38" fillId="0" borderId="0" xfId="0" applyFont="1"/>
    <xf numFmtId="167" fontId="38" fillId="0" borderId="18" xfId="0" applyFont="1" applyBorder="1"/>
    <xf numFmtId="169" fontId="40" fillId="0" borderId="0" xfId="4" applyFont="1" applyFill="1"/>
    <xf numFmtId="169" fontId="57" fillId="33" borderId="1" xfId="3" applyNumberFormat="1" applyFont="1"/>
    <xf numFmtId="167" fontId="57" fillId="33" borderId="1" xfId="3" applyNumberFormat="1" applyFont="1"/>
    <xf numFmtId="169" fontId="57" fillId="33" borderId="14" xfId="3" applyNumberFormat="1" applyFont="1" applyBorder="1"/>
    <xf numFmtId="169" fontId="57" fillId="0" borderId="15" xfId="3" applyNumberFormat="1" applyFont="1" applyFill="1" applyBorder="1"/>
    <xf numFmtId="173" fontId="31" fillId="36" borderId="14" xfId="0" applyNumberFormat="1" applyFont="1" applyFill="1" applyBorder="1"/>
    <xf numFmtId="177" fontId="57" fillId="33" borderId="1" xfId="3" applyNumberFormat="1" applyFont="1"/>
    <xf numFmtId="167" fontId="34" fillId="35" borderId="0" xfId="0" applyFont="1" applyFill="1"/>
    <xf numFmtId="175" fontId="34" fillId="35" borderId="0" xfId="0" applyNumberFormat="1" applyFont="1" applyFill="1"/>
    <xf numFmtId="166" fontId="35" fillId="0" borderId="15" xfId="52" applyNumberFormat="1" applyFont="1" applyFill="1" applyBorder="1" applyAlignment="1">
      <alignment horizontal="center"/>
    </xf>
    <xf numFmtId="167" fontId="41" fillId="0" borderId="13" xfId="0" applyFont="1" applyBorder="1"/>
    <xf numFmtId="167" fontId="51" fillId="0" borderId="13" xfId="0" applyFont="1" applyBorder="1"/>
    <xf numFmtId="173" fontId="31" fillId="40" borderId="1" xfId="0" applyNumberFormat="1" applyFont="1" applyFill="1" applyBorder="1"/>
    <xf numFmtId="167" fontId="31" fillId="40" borderId="19" xfId="0" applyFont="1" applyFill="1" applyBorder="1"/>
    <xf numFmtId="167" fontId="54" fillId="0" borderId="0" xfId="0" applyFont="1" applyAlignment="1">
      <alignment horizontal="right"/>
    </xf>
    <xf numFmtId="175" fontId="34" fillId="35" borderId="0" xfId="0" applyNumberFormat="1" applyFont="1" applyFill="1" applyAlignment="1">
      <alignment horizontal="right"/>
    </xf>
    <xf numFmtId="167" fontId="34" fillId="34" borderId="17" xfId="0" applyFont="1" applyFill="1" applyBorder="1"/>
    <xf numFmtId="175" fontId="59" fillId="35" borderId="0" xfId="0" applyNumberFormat="1" applyFont="1" applyFill="1"/>
    <xf numFmtId="175" fontId="60" fillId="35" borderId="0" xfId="3" applyNumberFormat="1" applyFont="1" applyFill="1" applyBorder="1"/>
    <xf numFmtId="166" fontId="34" fillId="34" borderId="15" xfId="54" applyNumberFormat="1" applyFont="1" applyFill="1" applyBorder="1" applyProtection="1"/>
    <xf numFmtId="166" fontId="40" fillId="0" borderId="0" xfId="59" applyFont="1" applyProtection="1"/>
    <xf numFmtId="172" fontId="38" fillId="33" borderId="1" xfId="3" applyNumberFormat="1" applyFont="1" applyProtection="1"/>
    <xf numFmtId="166" fontId="4" fillId="0" borderId="0" xfId="54" applyNumberFormat="1" applyFont="1" applyProtection="1"/>
    <xf numFmtId="169" fontId="40" fillId="0" borderId="15" xfId="4" applyFont="1" applyBorder="1"/>
    <xf numFmtId="169" fontId="40" fillId="0" borderId="16" xfId="4" applyFont="1" applyBorder="1"/>
    <xf numFmtId="166" fontId="61" fillId="34" borderId="15" xfId="59" applyFont="1" applyFill="1" applyBorder="1" applyProtection="1"/>
    <xf numFmtId="10" fontId="41" fillId="0" borderId="0" xfId="0" applyNumberFormat="1" applyFont="1"/>
    <xf numFmtId="10" fontId="29" fillId="0" borderId="0" xfId="3" applyNumberFormat="1" applyFill="1" applyBorder="1"/>
    <xf numFmtId="166" fontId="39" fillId="0" borderId="0" xfId="57" applyFont="1" applyBorder="1"/>
    <xf numFmtId="166" fontId="39" fillId="0" borderId="0" xfId="58" applyFont="1" applyBorder="1"/>
    <xf numFmtId="167" fontId="38" fillId="0" borderId="17" xfId="0" applyFont="1" applyBorder="1"/>
    <xf numFmtId="169" fontId="57" fillId="33" borderId="19" xfId="3" applyNumberFormat="1" applyFont="1" applyBorder="1"/>
    <xf numFmtId="167" fontId="3" fillId="0" borderId="18" xfId="0" applyFont="1" applyBorder="1"/>
    <xf numFmtId="179" fontId="46" fillId="0" borderId="0" xfId="0" applyNumberFormat="1" applyFont="1"/>
    <xf numFmtId="179" fontId="46" fillId="0" borderId="12" xfId="0" applyNumberFormat="1" applyFont="1" applyBorder="1"/>
    <xf numFmtId="179" fontId="46" fillId="0" borderId="13" xfId="0" applyNumberFormat="1" applyFont="1" applyBorder="1"/>
    <xf numFmtId="179" fontId="40" fillId="0" borderId="0" xfId="0" applyNumberFormat="1" applyFont="1"/>
    <xf numFmtId="167" fontId="40" fillId="0" borderId="24" xfId="0" applyFont="1" applyBorder="1"/>
    <xf numFmtId="167" fontId="40" fillId="0" borderId="15" xfId="4" applyNumberFormat="1" applyFont="1" applyBorder="1"/>
    <xf numFmtId="179" fontId="40" fillId="0" borderId="15" xfId="4" applyNumberFormat="1" applyFont="1" applyBorder="1"/>
    <xf numFmtId="179" fontId="40" fillId="0" borderId="0" xfId="0" applyNumberFormat="1" applyFont="1" applyAlignment="1">
      <alignment horizontal="right"/>
    </xf>
    <xf numFmtId="173" fontId="40" fillId="36" borderId="19" xfId="0" applyNumberFormat="1" applyFont="1" applyFill="1" applyBorder="1"/>
    <xf numFmtId="37" fontId="34" fillId="34" borderId="18" xfId="0" applyNumberFormat="1" applyFont="1" applyFill="1" applyBorder="1" applyAlignment="1">
      <alignment horizontal="right"/>
    </xf>
    <xf numFmtId="39" fontId="40" fillId="39" borderId="19" xfId="0" applyNumberFormat="1" applyFont="1" applyFill="1" applyBorder="1"/>
    <xf numFmtId="39" fontId="40" fillId="39" borderId="1" xfId="0" applyNumberFormat="1" applyFont="1" applyFill="1" applyBorder="1"/>
    <xf numFmtId="10" fontId="40" fillId="0" borderId="21" xfId="0" applyNumberFormat="1" applyFont="1" applyBorder="1"/>
    <xf numFmtId="39" fontId="40" fillId="0" borderId="0" xfId="0" applyNumberFormat="1" applyFont="1"/>
    <xf numFmtId="173" fontId="40" fillId="37" borderId="16" xfId="0" applyNumberFormat="1" applyFont="1" applyFill="1" applyBorder="1"/>
    <xf numFmtId="173" fontId="40" fillId="37" borderId="1" xfId="0" applyNumberFormat="1" applyFont="1" applyFill="1" applyBorder="1"/>
    <xf numFmtId="173" fontId="40" fillId="38" borderId="19" xfId="0" applyNumberFormat="1" applyFont="1" applyFill="1" applyBorder="1"/>
    <xf numFmtId="167" fontId="40" fillId="0" borderId="0" xfId="0" applyFont="1" applyAlignment="1">
      <alignment horizontal="right"/>
    </xf>
    <xf numFmtId="10" fontId="36" fillId="34" borderId="1" xfId="0" applyNumberFormat="1" applyFont="1" applyFill="1" applyBorder="1"/>
    <xf numFmtId="7" fontId="46" fillId="0" borderId="18" xfId="0" applyNumberFormat="1" applyFont="1" applyBorder="1"/>
    <xf numFmtId="172" fontId="38" fillId="33" borderId="19" xfId="3" applyNumberFormat="1" applyFont="1" applyBorder="1" applyProtection="1"/>
    <xf numFmtId="166" fontId="40" fillId="35" borderId="0" xfId="59" applyFont="1" applyFill="1" applyProtection="1"/>
    <xf numFmtId="172" fontId="38" fillId="35" borderId="0" xfId="3" applyNumberFormat="1" applyFont="1" applyFill="1" applyBorder="1" applyProtection="1"/>
    <xf numFmtId="166" fontId="34" fillId="35" borderId="0" xfId="59" applyFont="1" applyFill="1" applyProtection="1"/>
    <xf numFmtId="175" fontId="34" fillId="34" borderId="0" xfId="52" applyNumberFormat="1" applyFont="1" applyFill="1" applyBorder="1" applyAlignment="1">
      <alignment horizontal="right" vertical="center"/>
    </xf>
    <xf numFmtId="167" fontId="46" fillId="0" borderId="18" xfId="0" applyFont="1" applyBorder="1" applyAlignment="1">
      <alignment horizontal="right"/>
    </xf>
    <xf numFmtId="173" fontId="40" fillId="39" borderId="19" xfId="0" applyNumberFormat="1" applyFont="1" applyFill="1" applyBorder="1"/>
    <xf numFmtId="167" fontId="67" fillId="0" borderId="0" xfId="0" applyFont="1"/>
    <xf numFmtId="173" fontId="36" fillId="0" borderId="0" xfId="0" applyNumberFormat="1" applyFont="1"/>
    <xf numFmtId="167" fontId="38" fillId="33" borderId="19" xfId="3" applyNumberFormat="1" applyFont="1" applyBorder="1" applyProtection="1"/>
    <xf numFmtId="167" fontId="40" fillId="0" borderId="21" xfId="0" applyFont="1" applyBorder="1"/>
    <xf numFmtId="167" fontId="40" fillId="35" borderId="15" xfId="0" applyFont="1" applyFill="1" applyBorder="1"/>
    <xf numFmtId="180" fontId="46" fillId="0" borderId="14" xfId="0" applyNumberFormat="1" applyFont="1" applyBorder="1"/>
    <xf numFmtId="173" fontId="36" fillId="34" borderId="1" xfId="0" applyNumberFormat="1" applyFont="1" applyFill="1" applyBorder="1"/>
    <xf numFmtId="167" fontId="34" fillId="0" borderId="0" xfId="0" applyFont="1"/>
    <xf numFmtId="167" fontId="40" fillId="38" borderId="20" xfId="0" applyFont="1" applyFill="1" applyBorder="1"/>
    <xf numFmtId="167" fontId="34" fillId="34" borderId="20" xfId="0" applyFont="1" applyFill="1" applyBorder="1"/>
    <xf numFmtId="167" fontId="34" fillId="34" borderId="15" xfId="0" applyFont="1" applyFill="1" applyBorder="1"/>
    <xf numFmtId="167" fontId="34" fillId="34" borderId="16" xfId="0" applyFont="1" applyFill="1" applyBorder="1"/>
    <xf numFmtId="10" fontId="36" fillId="0" borderId="0" xfId="0" applyNumberFormat="1" applyFont="1"/>
    <xf numFmtId="176" fontId="38" fillId="0" borderId="15" xfId="3" applyNumberFormat="1" applyFont="1" applyFill="1" applyBorder="1" applyProtection="1"/>
    <xf numFmtId="172" fontId="38" fillId="0" borderId="15" xfId="3" applyNumberFormat="1" applyFont="1" applyFill="1" applyBorder="1" applyProtection="1"/>
    <xf numFmtId="176" fontId="36" fillId="0" borderId="0" xfId="0" applyNumberFormat="1" applyFont="1"/>
    <xf numFmtId="167" fontId="40" fillId="0" borderId="0" xfId="0" applyFont="1" applyAlignment="1">
      <alignment horizontal="center"/>
    </xf>
    <xf numFmtId="167" fontId="35" fillId="0" borderId="0" xfId="0" applyFont="1"/>
    <xf numFmtId="173" fontId="40" fillId="0" borderId="0" xfId="0" applyNumberFormat="1" applyFont="1" applyAlignment="1">
      <alignment horizontal="right"/>
    </xf>
    <xf numFmtId="178" fontId="36" fillId="0" borderId="0" xfId="0" applyNumberFormat="1" applyFont="1"/>
    <xf numFmtId="167" fontId="46" fillId="0" borderId="0" xfId="0" applyFont="1" applyAlignment="1">
      <alignment horizontal="center"/>
    </xf>
    <xf numFmtId="4" fontId="35" fillId="0" borderId="0" xfId="0" applyNumberFormat="1" applyFont="1"/>
    <xf numFmtId="176" fontId="46" fillId="0" borderId="0" xfId="0" applyNumberFormat="1" applyFont="1"/>
    <xf numFmtId="167" fontId="69" fillId="0" borderId="0" xfId="0" applyFont="1"/>
    <xf numFmtId="39" fontId="46" fillId="0" borderId="0" xfId="0" applyNumberFormat="1" applyFont="1"/>
    <xf numFmtId="10" fontId="46" fillId="0" borderId="0" xfId="0" applyNumberFormat="1" applyFont="1"/>
    <xf numFmtId="169" fontId="57" fillId="0" borderId="0" xfId="3" applyNumberFormat="1" applyFont="1" applyFill="1" applyBorder="1"/>
    <xf numFmtId="169" fontId="40" fillId="0" borderId="0" xfId="4" applyFont="1" applyFill="1" applyBorder="1"/>
    <xf numFmtId="167" fontId="2" fillId="0" borderId="0" xfId="0" applyFont="1"/>
    <xf numFmtId="166" fontId="2" fillId="0" borderId="0" xfId="57" applyFont="1" applyBorder="1"/>
    <xf numFmtId="169" fontId="70" fillId="33" borderId="1" xfId="3" applyNumberFormat="1" applyFont="1"/>
    <xf numFmtId="177" fontId="70" fillId="33" borderId="1" xfId="3" applyNumberFormat="1" applyFont="1"/>
    <xf numFmtId="167" fontId="70" fillId="33" borderId="1" xfId="3" applyNumberFormat="1" applyFont="1"/>
    <xf numFmtId="37" fontId="34" fillId="34" borderId="0" xfId="52" applyNumberFormat="1" applyFont="1" applyFill="1" applyBorder="1"/>
    <xf numFmtId="166" fontId="34" fillId="34" borderId="0" xfId="52" applyNumberFormat="1" applyFont="1" applyFill="1" applyBorder="1"/>
    <xf numFmtId="174" fontId="46" fillId="0" borderId="13" xfId="0" applyNumberFormat="1" applyFont="1" applyBorder="1"/>
    <xf numFmtId="39" fontId="39" fillId="0" borderId="0" xfId="57" applyNumberFormat="1" applyFont="1" applyBorder="1"/>
    <xf numFmtId="166" fontId="39" fillId="0" borderId="0" xfId="57" applyFont="1" applyFill="1" applyBorder="1"/>
    <xf numFmtId="0" fontId="34" fillId="34" borderId="0" xfId="52" applyNumberFormat="1" applyFont="1" applyFill="1" applyBorder="1" applyAlignment="1">
      <alignment horizontal="right" vertical="center"/>
    </xf>
    <xf numFmtId="179" fontId="40" fillId="0" borderId="0" xfId="4" applyNumberFormat="1" applyFont="1" applyBorder="1"/>
    <xf numFmtId="166" fontId="38" fillId="0" borderId="0" xfId="0" applyNumberFormat="1" applyFont="1"/>
    <xf numFmtId="166" fontId="38" fillId="0" borderId="18" xfId="0" applyNumberFormat="1" applyFont="1" applyBorder="1"/>
    <xf numFmtId="166" fontId="38" fillId="0" borderId="0" xfId="57" applyFont="1" applyFill="1"/>
    <xf numFmtId="166" fontId="38" fillId="0" borderId="18" xfId="57" applyFont="1" applyFill="1" applyBorder="1"/>
    <xf numFmtId="166" fontId="2" fillId="0" borderId="0" xfId="57" applyFont="1" applyFill="1"/>
    <xf numFmtId="9" fontId="31" fillId="0" borderId="18" xfId="0" applyNumberFormat="1" applyFont="1" applyBorder="1"/>
    <xf numFmtId="3" fontId="40" fillId="0" borderId="0" xfId="0" applyNumberFormat="1" applyFont="1"/>
    <xf numFmtId="3" fontId="40" fillId="0" borderId="15" xfId="0" applyNumberFormat="1" applyFont="1" applyBorder="1"/>
    <xf numFmtId="178" fontId="34" fillId="34" borderId="0" xfId="0" applyNumberFormat="1" applyFont="1" applyFill="1"/>
    <xf numFmtId="175" fontId="34" fillId="0" borderId="0" xfId="52" applyNumberFormat="1" applyFont="1" applyFill="1" applyBorder="1" applyAlignment="1">
      <alignment horizontal="right" vertical="center"/>
    </xf>
    <xf numFmtId="167" fontId="46" fillId="35" borderId="0" xfId="0" applyFont="1" applyFill="1"/>
    <xf numFmtId="175" fontId="34" fillId="0" borderId="0" xfId="0" applyNumberFormat="1" applyFont="1"/>
    <xf numFmtId="167" fontId="57" fillId="0" borderId="0" xfId="3" applyNumberFormat="1" applyFont="1" applyFill="1" applyBorder="1"/>
    <xf numFmtId="175" fontId="60" fillId="0" borderId="0" xfId="3" applyNumberFormat="1" applyFont="1" applyFill="1" applyBorder="1"/>
    <xf numFmtId="0" fontId="60" fillId="0" borderId="0" xfId="3" applyNumberFormat="1" applyFont="1" applyFill="1" applyBorder="1"/>
    <xf numFmtId="177" fontId="57" fillId="0" borderId="0" xfId="3" applyNumberFormat="1" applyFont="1" applyFill="1" applyBorder="1"/>
    <xf numFmtId="173" fontId="57" fillId="0" borderId="0" xfId="0" applyNumberFormat="1" applyFont="1"/>
    <xf numFmtId="167" fontId="58" fillId="0" borderId="0" xfId="0" applyFont="1"/>
    <xf numFmtId="173" fontId="57" fillId="40" borderId="1" xfId="0" applyNumberFormat="1" applyFont="1" applyFill="1" applyBorder="1"/>
    <xf numFmtId="0" fontId="34" fillId="0" borderId="0" xfId="0" applyNumberFormat="1" applyFont="1"/>
    <xf numFmtId="167" fontId="51" fillId="0" borderId="0" xfId="0" applyFont="1"/>
    <xf numFmtId="167" fontId="31" fillId="0" borderId="0" xfId="0" applyFont="1"/>
    <xf numFmtId="0" fontId="34" fillId="0" borderId="0" xfId="52" applyNumberFormat="1" applyFont="1" applyFill="1" applyBorder="1" applyAlignment="1">
      <alignment horizontal="right" vertical="center"/>
    </xf>
    <xf numFmtId="166" fontId="2" fillId="0" borderId="0" xfId="57" applyFont="1" applyFill="1" applyBorder="1"/>
    <xf numFmtId="169" fontId="70" fillId="0" borderId="0" xfId="3" applyNumberFormat="1" applyFont="1" applyFill="1" applyBorder="1"/>
    <xf numFmtId="177" fontId="70" fillId="0" borderId="0" xfId="3" applyNumberFormat="1" applyFont="1" applyFill="1" applyBorder="1"/>
    <xf numFmtId="167" fontId="70" fillId="0" borderId="0" xfId="3" applyNumberFormat="1" applyFont="1" applyFill="1" applyBorder="1"/>
    <xf numFmtId="174" fontId="46" fillId="0" borderId="0" xfId="0" applyNumberFormat="1" applyFont="1"/>
    <xf numFmtId="0" fontId="34" fillId="0" borderId="0" xfId="0" applyNumberFormat="1" applyFont="1" applyAlignment="1">
      <alignment horizontal="right"/>
    </xf>
    <xf numFmtId="179" fontId="40" fillId="0" borderId="0" xfId="4" applyNumberFormat="1" applyFont="1" applyFill="1" applyBorder="1"/>
    <xf numFmtId="167" fontId="40" fillId="0" borderId="0" xfId="4" applyNumberFormat="1" applyFont="1" applyFill="1" applyBorder="1"/>
    <xf numFmtId="166" fontId="61" fillId="0" borderId="0" xfId="59" applyFont="1" applyProtection="1"/>
    <xf numFmtId="179" fontId="38" fillId="0" borderId="18" xfId="0" applyNumberFormat="1" applyFont="1" applyBorder="1"/>
    <xf numFmtId="166" fontId="2" fillId="0" borderId="17" xfId="57" applyFont="1" applyFill="1" applyBorder="1"/>
    <xf numFmtId="39" fontId="40" fillId="0" borderId="1" xfId="0" applyNumberFormat="1" applyFont="1" applyBorder="1"/>
    <xf numFmtId="2" fontId="40" fillId="36" borderId="19" xfId="0" applyNumberFormat="1" applyFont="1" applyFill="1" applyBorder="1"/>
    <xf numFmtId="176" fontId="40" fillId="0" borderId="15" xfId="0" applyNumberFormat="1" applyFont="1" applyBorder="1"/>
    <xf numFmtId="167" fontId="40" fillId="42" borderId="15" xfId="0" applyFont="1" applyFill="1" applyBorder="1"/>
    <xf numFmtId="167" fontId="40" fillId="0" borderId="15" xfId="0" applyFont="1" applyBorder="1" applyAlignment="1">
      <alignment horizontal="right"/>
    </xf>
    <xf numFmtId="181" fontId="40" fillId="0" borderId="15" xfId="0" applyNumberFormat="1" applyFont="1" applyBorder="1"/>
    <xf numFmtId="0" fontId="34" fillId="35" borderId="0" xfId="66" applyFont="1" applyFill="1" applyAlignment="1">
      <alignment horizontal="center" wrapText="1"/>
    </xf>
    <xf numFmtId="0" fontId="34" fillId="35" borderId="0" xfId="66" applyFont="1" applyFill="1" applyAlignment="1">
      <alignment horizontal="center"/>
    </xf>
    <xf numFmtId="167" fontId="34" fillId="35" borderId="0" xfId="0" applyFont="1" applyFill="1" applyAlignment="1">
      <alignment horizontal="center" wrapText="1"/>
    </xf>
    <xf numFmtId="182" fontId="40" fillId="0" borderId="0" xfId="0" applyNumberFormat="1" applyFont="1"/>
    <xf numFmtId="182" fontId="40" fillId="42" borderId="15" xfId="0" applyNumberFormat="1" applyFont="1" applyFill="1" applyBorder="1"/>
    <xf numFmtId="182" fontId="40" fillId="0" borderId="15" xfId="0" applyNumberFormat="1" applyFont="1" applyBorder="1"/>
    <xf numFmtId="3" fontId="40" fillId="42" borderId="15" xfId="0" applyNumberFormat="1" applyFont="1" applyFill="1" applyBorder="1"/>
    <xf numFmtId="173" fontId="40" fillId="42" borderId="15" xfId="0" applyNumberFormat="1" applyFont="1" applyFill="1" applyBorder="1"/>
    <xf numFmtId="173" fontId="40" fillId="42" borderId="14" xfId="0" applyNumberFormat="1" applyFont="1" applyFill="1" applyBorder="1"/>
    <xf numFmtId="176" fontId="40" fillId="0" borderId="18" xfId="0" applyNumberFormat="1" applyFont="1" applyBorder="1"/>
    <xf numFmtId="176" fontId="40" fillId="0" borderId="17" xfId="0" applyNumberFormat="1" applyFont="1" applyBorder="1"/>
    <xf numFmtId="169" fontId="57" fillId="36" borderId="1" xfId="3" applyNumberFormat="1" applyFont="1" applyFill="1"/>
    <xf numFmtId="167" fontId="40" fillId="0" borderId="15" xfId="0" applyFont="1" applyBorder="1" applyAlignment="1">
      <alignment horizontal="center"/>
    </xf>
    <xf numFmtId="176" fontId="40" fillId="0" borderId="24" xfId="0" applyNumberFormat="1" applyFont="1" applyBorder="1"/>
    <xf numFmtId="173" fontId="40" fillId="42" borderId="13" xfId="0" applyNumberFormat="1" applyFont="1" applyFill="1" applyBorder="1"/>
    <xf numFmtId="176" fontId="46" fillId="42" borderId="15" xfId="0" applyNumberFormat="1" applyFont="1" applyFill="1" applyBorder="1"/>
    <xf numFmtId="176" fontId="46" fillId="42" borderId="13" xfId="0" applyNumberFormat="1" applyFont="1" applyFill="1" applyBorder="1"/>
    <xf numFmtId="176" fontId="46" fillId="42" borderId="14" xfId="0" applyNumberFormat="1" applyFont="1" applyFill="1" applyBorder="1"/>
    <xf numFmtId="173" fontId="40" fillId="0" borderId="15" xfId="0" applyNumberFormat="1" applyFont="1" applyBorder="1"/>
    <xf numFmtId="173" fontId="46" fillId="43" borderId="1" xfId="0" applyNumberFormat="1" applyFont="1" applyFill="1" applyBorder="1"/>
    <xf numFmtId="10" fontId="40" fillId="0" borderId="0" xfId="4" applyNumberFormat="1" applyFont="1" applyFill="1" applyBorder="1" applyAlignment="1" applyProtection="1">
      <alignment horizontal="right"/>
    </xf>
    <xf numFmtId="180" fontId="46" fillId="0" borderId="0" xfId="0" applyNumberFormat="1" applyFont="1"/>
    <xf numFmtId="4" fontId="1" fillId="0" borderId="0" xfId="0" applyNumberFormat="1" applyFont="1"/>
    <xf numFmtId="180" fontId="46" fillId="0" borderId="0" xfId="0" applyNumberFormat="1" applyFont="1" applyAlignment="1">
      <alignment horizontal="center"/>
    </xf>
    <xf numFmtId="167" fontId="40" fillId="35" borderId="0" xfId="0" applyFont="1" applyFill="1" applyAlignment="1">
      <alignment horizontal="center"/>
    </xf>
    <xf numFmtId="167" fontId="34" fillId="0" borderId="0" xfId="53" applyFont="1" applyFill="1">
      <alignment horizontal="left" vertical="center"/>
    </xf>
    <xf numFmtId="176" fontId="40" fillId="0" borderId="0" xfId="0" applyNumberFormat="1" applyFont="1" applyAlignment="1">
      <alignment horizontal="center"/>
    </xf>
    <xf numFmtId="167" fontId="34" fillId="0" borderId="0" xfId="0" applyFont="1" applyAlignment="1">
      <alignment wrapText="1"/>
    </xf>
    <xf numFmtId="167" fontId="34" fillId="0" borderId="0" xfId="0" applyFont="1" applyAlignment="1">
      <alignment horizontal="center" wrapText="1"/>
    </xf>
    <xf numFmtId="176" fontId="66" fillId="0" borderId="0" xfId="0" applyNumberFormat="1" applyFont="1" applyAlignment="1">
      <alignment horizontal="center"/>
    </xf>
    <xf numFmtId="7" fontId="46" fillId="0" borderId="0" xfId="0" applyNumberFormat="1" applyFont="1" applyAlignment="1">
      <alignment horizontal="center"/>
    </xf>
    <xf numFmtId="166" fontId="40" fillId="0" borderId="0" xfId="0" applyNumberFormat="1" applyFont="1" applyAlignment="1">
      <alignment horizontal="center"/>
    </xf>
    <xf numFmtId="10" fontId="40" fillId="0" borderId="0" xfId="0" applyNumberFormat="1" applyFont="1" applyAlignment="1">
      <alignment horizontal="center"/>
    </xf>
    <xf numFmtId="179" fontId="40" fillId="0" borderId="0" xfId="0" applyNumberFormat="1" applyFont="1" applyAlignment="1">
      <alignment horizontal="center"/>
    </xf>
    <xf numFmtId="10" fontId="40" fillId="0" borderId="0" xfId="0" applyNumberFormat="1" applyFont="1" applyAlignment="1">
      <alignment horizontal="right"/>
    </xf>
    <xf numFmtId="5" fontId="40" fillId="0" borderId="0" xfId="0" applyNumberFormat="1" applyFont="1" applyAlignment="1">
      <alignment horizontal="center"/>
    </xf>
    <xf numFmtId="40" fontId="40" fillId="0" borderId="0" xfId="0" applyNumberFormat="1" applyFont="1" applyAlignment="1">
      <alignment horizontal="center"/>
    </xf>
    <xf numFmtId="40" fontId="40" fillId="0" borderId="0" xfId="0" applyNumberFormat="1" applyFont="1" applyAlignment="1">
      <alignment horizontal="right"/>
    </xf>
    <xf numFmtId="166" fontId="40" fillId="0" borderId="0" xfId="0" applyNumberFormat="1" applyFont="1" applyAlignment="1">
      <alignment horizontal="right"/>
    </xf>
    <xf numFmtId="173" fontId="40" fillId="0" borderId="0" xfId="0" applyNumberFormat="1" applyFont="1" applyAlignment="1">
      <alignment horizontal="center"/>
    </xf>
    <xf numFmtId="167" fontId="68" fillId="0" borderId="0" xfId="0" applyFont="1" applyAlignment="1">
      <alignment horizontal="center"/>
    </xf>
    <xf numFmtId="183" fontId="66" fillId="33" borderId="1" xfId="3" applyNumberFormat="1" applyFont="1" applyAlignment="1">
      <alignment horizontal="center"/>
    </xf>
    <xf numFmtId="1" fontId="29" fillId="0" borderId="0" xfId="0" applyNumberFormat="1" applyFont="1"/>
    <xf numFmtId="166" fontId="6" fillId="0" borderId="0" xfId="0" applyNumberFormat="1" applyFont="1" applyAlignment="1">
      <alignment horizontal="right"/>
    </xf>
    <xf numFmtId="173" fontId="29" fillId="0" borderId="0" xfId="0" applyNumberFormat="1" applyFont="1"/>
    <xf numFmtId="175" fontId="6" fillId="0" borderId="0" xfId="0" applyNumberFormat="1" applyFont="1"/>
    <xf numFmtId="169" fontId="38" fillId="0" borderId="0" xfId="0" applyNumberFormat="1" applyFont="1"/>
    <xf numFmtId="1" fontId="34" fillId="34" borderId="0" xfId="0" applyNumberFormat="1" applyFont="1" applyFill="1"/>
    <xf numFmtId="169" fontId="40" fillId="0" borderId="0" xfId="4" applyFont="1" applyBorder="1"/>
    <xf numFmtId="167" fontId="40" fillId="0" borderId="0" xfId="4" applyNumberFormat="1" applyFont="1" applyBorder="1"/>
    <xf numFmtId="166" fontId="40" fillId="0" borderId="0" xfId="59" applyFont="1" applyAlignment="1" applyProtection="1">
      <alignment horizontal="centerContinuous"/>
    </xf>
    <xf numFmtId="166" fontId="40" fillId="0" borderId="0" xfId="59" applyFont="1" applyAlignment="1" applyProtection="1">
      <alignment horizontal="center"/>
    </xf>
    <xf numFmtId="10" fontId="34" fillId="0" borderId="0" xfId="0" applyNumberFormat="1" applyFont="1"/>
    <xf numFmtId="10" fontId="40" fillId="0" borderId="0" xfId="59" applyNumberFormat="1" applyFont="1" applyAlignment="1" applyProtection="1">
      <alignment horizontal="center"/>
    </xf>
    <xf numFmtId="10" fontId="40" fillId="0" borderId="0" xfId="59" applyNumberFormat="1" applyFont="1" applyProtection="1"/>
    <xf numFmtId="179" fontId="40" fillId="0" borderId="0" xfId="59" applyNumberFormat="1" applyFont="1" applyAlignment="1" applyProtection="1">
      <alignment horizontal="right"/>
    </xf>
    <xf numFmtId="176" fontId="40" fillId="0" borderId="0" xfId="59" applyNumberFormat="1" applyFont="1" applyAlignment="1" applyProtection="1">
      <alignment horizontal="right"/>
    </xf>
    <xf numFmtId="167" fontId="36" fillId="0" borderId="0" xfId="0" applyFont="1" applyAlignment="1">
      <alignment horizontal="center"/>
    </xf>
    <xf numFmtId="10" fontId="36" fillId="0" borderId="0" xfId="0" applyNumberFormat="1" applyFont="1" applyAlignment="1">
      <alignment horizontal="center"/>
    </xf>
    <xf numFmtId="176" fontId="36" fillId="0" borderId="0" xfId="59" applyNumberFormat="1" applyFont="1" applyAlignment="1" applyProtection="1">
      <alignment horizontal="right"/>
    </xf>
    <xf numFmtId="10" fontId="40" fillId="0" borderId="0" xfId="59" applyNumberFormat="1" applyFont="1" applyAlignment="1" applyProtection="1">
      <alignment horizontal="right"/>
    </xf>
    <xf numFmtId="172" fontId="40" fillId="0" borderId="0" xfId="59" applyNumberFormat="1" applyFont="1" applyProtection="1"/>
    <xf numFmtId="40" fontId="40" fillId="0" borderId="0" xfId="59" applyNumberFormat="1" applyFont="1" applyProtection="1"/>
    <xf numFmtId="40" fontId="46" fillId="0" borderId="0" xfId="59" applyNumberFormat="1" applyFont="1" applyProtection="1"/>
    <xf numFmtId="176" fontId="36" fillId="0" borderId="0" xfId="0" applyNumberFormat="1" applyFont="1" applyAlignment="1">
      <alignment horizontal="center"/>
    </xf>
    <xf numFmtId="180" fontId="36" fillId="0" borderId="0" xfId="0" applyNumberFormat="1" applyFont="1"/>
    <xf numFmtId="5" fontId="40" fillId="0" borderId="0" xfId="0" applyNumberFormat="1" applyFont="1"/>
    <xf numFmtId="181" fontId="40" fillId="0" borderId="0" xfId="0" applyNumberFormat="1" applyFont="1"/>
    <xf numFmtId="182" fontId="46" fillId="0" borderId="0" xfId="0" applyNumberFormat="1" applyFont="1"/>
    <xf numFmtId="3" fontId="46" fillId="0" borderId="0" xfId="0" applyNumberFormat="1" applyFont="1"/>
    <xf numFmtId="176" fontId="46" fillId="0" borderId="0" xfId="0" applyNumberFormat="1" applyFont="1" applyAlignment="1">
      <alignment horizontal="right"/>
    </xf>
    <xf numFmtId="37" fontId="40" fillId="0" borderId="0" xfId="0" applyNumberFormat="1" applyFont="1"/>
    <xf numFmtId="180" fontId="40" fillId="0" borderId="0" xfId="0" applyNumberFormat="1" applyFont="1"/>
    <xf numFmtId="1" fontId="34" fillId="34" borderId="0" xfId="52" applyNumberFormat="1" applyFont="1" applyFill="1" applyBorder="1" applyAlignment="1">
      <alignment horizontal="right" vertical="center"/>
    </xf>
    <xf numFmtId="175" fontId="34" fillId="35" borderId="0" xfId="4" applyNumberFormat="1" applyFont="1" applyFill="1"/>
    <xf numFmtId="167" fontId="72" fillId="0" borderId="0" xfId="0" applyFont="1"/>
    <xf numFmtId="167" fontId="58" fillId="40" borderId="1" xfId="0" applyFont="1" applyFill="1" applyBorder="1"/>
    <xf numFmtId="169" fontId="57" fillId="33" borderId="16" xfId="3" applyNumberFormat="1" applyFont="1" applyBorder="1"/>
    <xf numFmtId="167" fontId="40" fillId="36" borderId="23" xfId="0" applyFont="1" applyFill="1" applyBorder="1"/>
    <xf numFmtId="173" fontId="40" fillId="36" borderId="1" xfId="0" applyNumberFormat="1" applyFont="1" applyFill="1" applyBorder="1"/>
    <xf numFmtId="178" fontId="29" fillId="33" borderId="1" xfId="3" applyNumberFormat="1"/>
    <xf numFmtId="175" fontId="59" fillId="0" borderId="0" xfId="0" applyNumberFormat="1" applyFont="1"/>
    <xf numFmtId="166" fontId="34" fillId="34" borderId="0" xfId="54" applyNumberFormat="1" applyFont="1" applyFill="1" applyBorder="1"/>
    <xf numFmtId="183" fontId="66" fillId="0" borderId="0" xfId="3" applyNumberFormat="1" applyFont="1" applyFill="1" applyBorder="1" applyAlignment="1">
      <alignment horizontal="center"/>
    </xf>
    <xf numFmtId="10" fontId="71" fillId="0" borderId="0" xfId="3" applyNumberFormat="1" applyFont="1" applyFill="1" applyBorder="1" applyAlignment="1">
      <alignment horizontal="center"/>
    </xf>
    <xf numFmtId="39" fontId="39" fillId="0" borderId="17" xfId="57" applyNumberFormat="1" applyFont="1" applyBorder="1"/>
    <xf numFmtId="9" fontId="31" fillId="0" borderId="0" xfId="0" applyNumberFormat="1" applyFont="1"/>
    <xf numFmtId="39" fontId="39" fillId="0" borderId="24" xfId="57" applyNumberFormat="1" applyFont="1" applyBorder="1"/>
    <xf numFmtId="4" fontId="38" fillId="33" borderId="1" xfId="3" applyNumberFormat="1" applyFont="1" applyAlignment="1">
      <alignment horizontal="center"/>
    </xf>
    <xf numFmtId="183" fontId="46" fillId="0" borderId="0" xfId="3" applyNumberFormat="1" applyFont="1" applyFill="1" applyBorder="1" applyAlignment="1">
      <alignment horizontal="center"/>
    </xf>
    <xf numFmtId="10" fontId="42" fillId="0" borderId="0" xfId="3" applyNumberFormat="1" applyFont="1" applyFill="1" applyBorder="1" applyAlignment="1">
      <alignment horizontal="center"/>
    </xf>
    <xf numFmtId="10" fontId="40" fillId="0" borderId="0" xfId="3" applyNumberFormat="1" applyFont="1" applyFill="1" applyBorder="1" applyAlignment="1">
      <alignment horizontal="center"/>
    </xf>
    <xf numFmtId="10" fontId="73" fillId="33" borderId="1" xfId="3" applyNumberFormat="1" applyFont="1" applyAlignment="1">
      <alignment horizontal="center"/>
    </xf>
    <xf numFmtId="10" fontId="74" fillId="33" borderId="1" xfId="3" applyNumberFormat="1" applyFont="1" applyAlignment="1">
      <alignment horizontal="center"/>
    </xf>
  </cellXfs>
  <cellStyles count="68">
    <cellStyle name="20% - Accent1" xfId="23" builtinId="30" hidden="1"/>
    <cellStyle name="20% - Accent2" xfId="27" builtinId="34" hidden="1"/>
    <cellStyle name="20% - Accent3" xfId="31" builtinId="38" hidden="1"/>
    <cellStyle name="20% - Accent4" xfId="35" builtinId="42" hidden="1"/>
    <cellStyle name="20% - Accent5" xfId="39" builtinId="46" hidden="1"/>
    <cellStyle name="20% - Accent6" xfId="43" builtinId="50" hidden="1"/>
    <cellStyle name="40% - Accent1" xfId="24" builtinId="31" hidden="1"/>
    <cellStyle name="40% - Accent2" xfId="28" builtinId="35" hidden="1"/>
    <cellStyle name="40% - Accent3" xfId="32" builtinId="39" hidden="1"/>
    <cellStyle name="40% - Accent4" xfId="36" builtinId="43" hidden="1"/>
    <cellStyle name="40% - Accent5" xfId="40" builtinId="47" hidden="1"/>
    <cellStyle name="40% - Accent6" xfId="44" builtinId="51" hidden="1"/>
    <cellStyle name="60% - Accent1" xfId="25" builtinId="32" hidden="1"/>
    <cellStyle name="60% - Accent2" xfId="29" builtinId="36" hidden="1"/>
    <cellStyle name="60% - Accent3" xfId="33" builtinId="40" hidden="1"/>
    <cellStyle name="60% - Accent4" xfId="37" builtinId="44" hidden="1"/>
    <cellStyle name="60% - Accent5" xfId="41" builtinId="48" hidden="1"/>
    <cellStyle name="60% - Accent6" xfId="45" builtinId="52" hidden="1"/>
    <cellStyle name="Accent1" xfId="22" builtinId="29" hidden="1"/>
    <cellStyle name="Accent2" xfId="26" builtinId="33" hidden="1"/>
    <cellStyle name="Accent3" xfId="30" builtinId="37" hidden="1"/>
    <cellStyle name="Accent4" xfId="34" builtinId="41" hidden="1"/>
    <cellStyle name="Accent5" xfId="38" builtinId="45" hidden="1"/>
    <cellStyle name="Accent6" xfId="42" builtinId="49" hidden="1"/>
    <cellStyle name="Bad" xfId="12" builtinId="27" hidden="1"/>
    <cellStyle name="blp_column_header" xfId="66" xr:uid="{AF54CA06-E9C5-47E9-94D2-0FADAEF0B6B2}"/>
    <cellStyle name="Blue" xfId="57" xr:uid="{00000000-0005-0000-0000-000019000000}"/>
    <cellStyle name="Blue 2" xfId="58" xr:uid="{00000000-0005-0000-0000-00001A000000}"/>
    <cellStyle name="Calculation" xfId="15" builtinId="22" hidden="1"/>
    <cellStyle name="Check Cell" xfId="17" builtinId="23" hidden="1"/>
    <cellStyle name="Comma" xfId="47" builtinId="3" hidden="1"/>
    <cellStyle name="Comma [0]" xfId="48" builtinId="6" hidden="1"/>
    <cellStyle name="Currency" xfId="49" builtinId="4" hidden="1"/>
    <cellStyle name="Currency [0]" xfId="50" builtinId="7" hidden="1"/>
    <cellStyle name="Date" xfId="1" xr:uid="{00000000-0005-0000-0000-000021000000}"/>
    <cellStyle name="Explanatory Text" xfId="20" builtinId="53" hidden="1"/>
    <cellStyle name="fa_column_header_bottom" xfId="67" xr:uid="{B37CB0A4-C947-4ACB-B9B9-C19627451DA0}"/>
    <cellStyle name="Followed Hyperlink" xfId="46" builtinId="9" hidden="1"/>
    <cellStyle name="Good" xfId="11" builtinId="26" hidden="1"/>
    <cellStyle name="Header" xfId="52" xr:uid="{00000000-0005-0000-0000-000025000000}"/>
    <cellStyle name="Heading 1" xfId="7" builtinId="16" hidden="1"/>
    <cellStyle name="Heading 2" xfId="8" builtinId="17" hidden="1"/>
    <cellStyle name="Heading 3" xfId="9" builtinId="18" hidden="1"/>
    <cellStyle name="Heading 4" xfId="10" builtinId="19" hidden="1"/>
    <cellStyle name="Historics" xfId="5" xr:uid="{00000000-0005-0000-0000-00002A000000}"/>
    <cellStyle name="Hyperlink" xfId="2" builtinId="8" hidden="1"/>
    <cellStyle name="Hyperlink 2" xfId="63" xr:uid="{57AD9CC5-9338-4D16-BF1A-884F881EA8CD}"/>
    <cellStyle name="Input" xfId="3" builtinId="20" customBuiltin="1"/>
    <cellStyle name="Input %" xfId="56" xr:uid="{00000000-0005-0000-0000-00002D000000}"/>
    <cellStyle name="Linked Cell" xfId="16" builtinId="24" hidden="1"/>
    <cellStyle name="Multiple" xfId="51" xr:uid="{00000000-0005-0000-0000-00002F000000}"/>
    <cellStyle name="Neutral" xfId="13" builtinId="28" hidden="1"/>
    <cellStyle name="Normal" xfId="0" builtinId="0" customBuiltin="1"/>
    <cellStyle name="Normal 2" xfId="59" xr:uid="{0A8E609E-3410-4D42-B3E5-0CEDA3329063}"/>
    <cellStyle name="Normal 2 2" xfId="64" xr:uid="{9D99E413-20CC-4F11-AA53-24332CDFCBF4}"/>
    <cellStyle name="Normal 3" xfId="61" xr:uid="{31E45258-C707-4FFF-AD35-8231101EDEE0}"/>
    <cellStyle name="Note" xfId="19" builtinId="10" hidden="1"/>
    <cellStyle name="Output" xfId="14" builtinId="21" hidden="1"/>
    <cellStyle name="Percent" xfId="4" builtinId="5" customBuiltin="1"/>
    <cellStyle name="Percent 2" xfId="62" xr:uid="{2050E5B5-C816-466F-AB53-D85F6FC7433A}"/>
    <cellStyle name="SubHeader" xfId="53" xr:uid="{00000000-0005-0000-0000-000035000000}"/>
    <cellStyle name="SubHeader2" xfId="54" xr:uid="{00000000-0005-0000-0000-000036000000}"/>
    <cellStyle name="SubHeader3" xfId="65" xr:uid="{E3F0A91E-F702-431E-964C-140D77ADB2F2}"/>
    <cellStyle name="Title" xfId="6" builtinId="15" hidden="1"/>
    <cellStyle name="Total" xfId="21" builtinId="25" hidden="1"/>
    <cellStyle name="Warning Text" xfId="18" builtinId="11" hidden="1"/>
    <cellStyle name="xGuides" xfId="60" xr:uid="{84689593-CF67-4082-A4B0-622C31D0642E}"/>
    <cellStyle name="YesNo" xfId="55" xr:uid="{00000000-0005-0000-0000-00003A000000}"/>
  </cellStyles>
  <dxfs count="5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E00"/>
      <rgbColor rgb="00000080"/>
      <rgbColor rgb="00808000"/>
      <rgbColor rgb="00800080"/>
      <rgbColor rgb="00008080"/>
      <rgbColor rgb="00C0C0C0"/>
      <rgbColor rgb="00808080"/>
      <rgbColor rgb="00EAFFDF"/>
      <rgbColor rgb="00993366"/>
      <rgbColor rgb="00FFFFCB"/>
      <rgbColor rgb="00E3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3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  <color rgb="FF34A853"/>
      <color rgb="FF44546A"/>
      <color rgb="FFEA4335"/>
      <color rgb="FF5F6368"/>
      <color rgb="FF4472C4"/>
      <color rgb="FFFBBC05"/>
      <color rgb="FFFF8585"/>
      <color rgb="FF4285F4"/>
      <color rgb="FFB4DE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ustomXml" Target="../customXml/item3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eand\Downloads\Lululemon%20DCF%20model%20solution%20std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S"/>
      <sheetName val="Inputs"/>
      <sheetName val="Model"/>
      <sheetName val="DCF"/>
      <sheetName val="Presentation sheet"/>
    </sheetNames>
    <sheetDataSet>
      <sheetData sheetId="0" refreshError="1"/>
      <sheetData sheetId="1" refreshError="1"/>
      <sheetData sheetId="2" refreshError="1"/>
      <sheetData sheetId="3">
        <row r="98">
          <cell r="E98">
            <v>1</v>
          </cell>
        </row>
      </sheetData>
      <sheetData sheetId="4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AMT Training">
      <a:dk1>
        <a:srgbClr val="000000"/>
      </a:dk1>
      <a:lt1>
        <a:sysClr val="window" lastClr="FFFFFF"/>
      </a:lt1>
      <a:dk2>
        <a:srgbClr val="46484C"/>
      </a:dk2>
      <a:lt2>
        <a:srgbClr val="65686D"/>
      </a:lt2>
      <a:accent1>
        <a:srgbClr val="AFD7FF"/>
      </a:accent1>
      <a:accent2>
        <a:srgbClr val="007BEA"/>
      </a:accent2>
      <a:accent3>
        <a:srgbClr val="64E8C8"/>
      </a:accent3>
      <a:accent4>
        <a:srgbClr val="6DB9FF"/>
      </a:accent4>
      <a:accent5>
        <a:srgbClr val="C5D2D5"/>
      </a:accent5>
      <a:accent6>
        <a:srgbClr val="FFFFA0"/>
      </a:accent6>
      <a:hlink>
        <a:srgbClr val="00B050"/>
      </a:hlink>
      <a:folHlink>
        <a:srgbClr val="D2001E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23"/>
  <sheetViews>
    <sheetView showGridLines="0" tabSelected="1" topLeftCell="E1" zoomScaleNormal="100" workbookViewId="0">
      <selection activeCell="G13" sqref="G13:L23"/>
    </sheetView>
  </sheetViews>
  <sheetFormatPr defaultColWidth="9.140625" defaultRowHeight="15" x14ac:dyDescent="0.25"/>
  <cols>
    <col min="1" max="1" width="4.28515625" style="4" bestFit="1" customWidth="1"/>
    <col min="2" max="2" width="22.85546875" style="4" customWidth="1"/>
    <col min="3" max="3" width="32.7109375" style="4" bestFit="1" customWidth="1"/>
    <col min="4" max="4" width="29.7109375" style="4" customWidth="1"/>
    <col min="5" max="5" width="23" style="4" bestFit="1" customWidth="1"/>
    <col min="6" max="6" width="19.85546875" style="4" bestFit="1" customWidth="1"/>
    <col min="7" max="8" width="20.7109375" style="4" customWidth="1"/>
    <col min="9" max="9" width="13.42578125" style="4" customWidth="1"/>
    <col min="10" max="10" width="19.7109375" style="4" bestFit="1" customWidth="1"/>
    <col min="11" max="12" width="20.7109375" style="4" customWidth="1"/>
    <col min="13" max="14" width="13.42578125" style="4" customWidth="1"/>
    <col min="15" max="15" width="13.140625" style="4" customWidth="1"/>
    <col min="16" max="16" width="12.7109375" style="4" customWidth="1"/>
    <col min="17" max="17" width="13.140625" style="4" customWidth="1"/>
    <col min="18" max="16384" width="9.140625" style="4"/>
  </cols>
  <sheetData>
    <row r="1" spans="1:15" s="51" customFormat="1" ht="19.5" x14ac:dyDescent="0.3">
      <c r="A1" s="317" t="str">
        <f>CoName</f>
        <v>Berkshire Hathaway Non-Insurance</v>
      </c>
      <c r="B1" s="2"/>
      <c r="C1" s="2"/>
      <c r="D1" s="16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</row>
    <row r="2" spans="1:15" s="16" customFormat="1" x14ac:dyDescent="0.25">
      <c r="A2" s="67" t="s">
        <v>187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</row>
    <row r="3" spans="1:15" x14ac:dyDescent="0.25">
      <c r="B3" s="11" t="s">
        <v>230</v>
      </c>
    </row>
    <row r="4" spans="1:15" x14ac:dyDescent="0.25">
      <c r="B4" s="4" t="s">
        <v>3</v>
      </c>
      <c r="C4" s="53" t="s">
        <v>189</v>
      </c>
      <c r="E4" s="333" t="s">
        <v>220</v>
      </c>
      <c r="F4" s="330">
        <v>100486</v>
      </c>
    </row>
    <row r="5" spans="1:15" x14ac:dyDescent="0.25">
      <c r="B5" s="4" t="s">
        <v>4</v>
      </c>
      <c r="C5" s="54">
        <v>247.43</v>
      </c>
      <c r="E5" s="178" t="s">
        <v>219</v>
      </c>
      <c r="F5" s="330">
        <f>127020</f>
        <v>127020</v>
      </c>
    </row>
    <row r="6" spans="1:15" x14ac:dyDescent="0.25">
      <c r="B6" s="4" t="s">
        <v>5</v>
      </c>
      <c r="C6" s="53" t="s">
        <v>9</v>
      </c>
      <c r="E6" s="4" t="s">
        <v>225</v>
      </c>
      <c r="F6" s="330">
        <f>726000*F7</f>
        <v>1043784.7200000001</v>
      </c>
    </row>
    <row r="7" spans="1:15" x14ac:dyDescent="0.25">
      <c r="B7" s="4" t="s">
        <v>6</v>
      </c>
      <c r="C7" s="53" t="s">
        <v>8</v>
      </c>
      <c r="E7" s="4" t="s">
        <v>223</v>
      </c>
      <c r="F7" s="11">
        <f>IncState!E36</f>
        <v>1.4377200000000001</v>
      </c>
    </row>
    <row r="8" spans="1:15" x14ac:dyDescent="0.25">
      <c r="B8" s="4" t="s">
        <v>2</v>
      </c>
      <c r="C8" s="53" t="s">
        <v>81</v>
      </c>
      <c r="E8" s="4" t="s">
        <v>226</v>
      </c>
      <c r="F8" s="314">
        <v>726000</v>
      </c>
    </row>
    <row r="9" spans="1:15" x14ac:dyDescent="0.25">
      <c r="B9" s="4" t="s">
        <v>7</v>
      </c>
      <c r="C9" s="53">
        <v>0</v>
      </c>
      <c r="E9" s="4" t="s">
        <v>224</v>
      </c>
      <c r="F9" s="11">
        <f>IncState!E37</f>
        <v>2156.5802960000001</v>
      </c>
    </row>
    <row r="10" spans="1:15" x14ac:dyDescent="0.25">
      <c r="E10" s="4" t="s">
        <v>227</v>
      </c>
      <c r="F10" s="4">
        <v>478.73</v>
      </c>
    </row>
    <row r="11" spans="1:15" x14ac:dyDescent="0.25">
      <c r="B11" s="4" t="s">
        <v>213</v>
      </c>
      <c r="C11" s="182" t="s">
        <v>184</v>
      </c>
      <c r="D11" s="182" t="s">
        <v>214</v>
      </c>
      <c r="E11" s="178"/>
    </row>
    <row r="12" spans="1:15" x14ac:dyDescent="0.25">
      <c r="B12" s="4" t="s">
        <v>215</v>
      </c>
      <c r="C12" s="330">
        <v>104771.75943112261</v>
      </c>
      <c r="D12" s="330">
        <v>246650.22380941684</v>
      </c>
      <c r="E12" s="325"/>
      <c r="F12" s="4" t="s">
        <v>221</v>
      </c>
      <c r="G12" s="332"/>
      <c r="H12" s="332"/>
      <c r="J12" s="4" t="s">
        <v>222</v>
      </c>
    </row>
    <row r="13" spans="1:15" x14ac:dyDescent="0.25">
      <c r="A13" s="267"/>
      <c r="B13" s="4" t="s">
        <v>216</v>
      </c>
      <c r="C13" s="330">
        <v>145099.39560985789</v>
      </c>
      <c r="D13" s="330">
        <v>276233.93336702988</v>
      </c>
      <c r="E13" s="326"/>
      <c r="F13" s="4" t="s">
        <v>215</v>
      </c>
      <c r="G13" s="283">
        <f t="shared" ref="G13:H15" si="0">(C17+$F$4-$F$5)/$F$7</f>
        <v>821785.65737086977</v>
      </c>
      <c r="H13" s="283">
        <f t="shared" si="0"/>
        <v>718155.90165312332</v>
      </c>
      <c r="J13" s="4" t="str">
        <f>F13</f>
        <v>Case 1</v>
      </c>
      <c r="K13" s="283">
        <f t="shared" ref="K13:L15" si="1">G13/1500</f>
        <v>547.85710491391319</v>
      </c>
      <c r="L13" s="283">
        <f t="shared" si="1"/>
        <v>478.7706011020822</v>
      </c>
      <c r="M13" s="267"/>
      <c r="N13" s="267"/>
      <c r="O13" s="267"/>
    </row>
    <row r="14" spans="1:15" x14ac:dyDescent="0.25">
      <c r="A14" s="88"/>
      <c r="B14" s="4" t="s">
        <v>217</v>
      </c>
      <c r="C14" s="330">
        <v>71066.042432074872</v>
      </c>
      <c r="D14" s="330">
        <v>219642.62480551205</v>
      </c>
      <c r="E14" s="178"/>
      <c r="F14" s="4" t="s">
        <v>216</v>
      </c>
      <c r="G14" s="283">
        <f t="shared" si="0"/>
        <v>985567.86963636486</v>
      </c>
      <c r="H14" s="283">
        <f t="shared" si="0"/>
        <v>807924.40970146749</v>
      </c>
      <c r="I14" s="267"/>
      <c r="J14" s="4" t="str">
        <f>F14</f>
        <v>Case 2</v>
      </c>
      <c r="K14" s="283">
        <f t="shared" si="1"/>
        <v>657.04524642424326</v>
      </c>
      <c r="L14" s="283">
        <f t="shared" si="1"/>
        <v>538.61627313431165</v>
      </c>
    </row>
    <row r="15" spans="1:15" x14ac:dyDescent="0.25">
      <c r="B15" s="11"/>
      <c r="C15" s="178"/>
      <c r="D15" s="178"/>
      <c r="E15" s="178"/>
      <c r="F15" s="4" t="s">
        <v>217</v>
      </c>
      <c r="G15" s="283">
        <f t="shared" si="0"/>
        <v>678018.25944719429</v>
      </c>
      <c r="H15" s="283">
        <f t="shared" si="0"/>
        <v>636117.50846347504</v>
      </c>
      <c r="J15" s="4" t="str">
        <f>F15</f>
        <v>Case 3</v>
      </c>
      <c r="K15" s="283">
        <f t="shared" si="1"/>
        <v>452.01217296479621</v>
      </c>
      <c r="L15" s="283">
        <f t="shared" si="1"/>
        <v>424.07833897565001</v>
      </c>
    </row>
    <row r="16" spans="1:15" x14ac:dyDescent="0.25">
      <c r="B16" s="4" t="s">
        <v>218</v>
      </c>
      <c r="C16" s="331" t="s">
        <v>184</v>
      </c>
      <c r="D16" s="331" t="s">
        <v>214</v>
      </c>
      <c r="E16" s="325"/>
      <c r="F16" s="4" t="s">
        <v>228</v>
      </c>
      <c r="J16" s="4" t="s">
        <v>228</v>
      </c>
    </row>
    <row r="17" spans="2:12" x14ac:dyDescent="0.25">
      <c r="B17" s="4" t="s">
        <v>215</v>
      </c>
      <c r="C17" s="330">
        <v>1208031.6753152469</v>
      </c>
      <c r="D17" s="330">
        <v>1059041.1029247285</v>
      </c>
      <c r="F17" s="4" t="str">
        <f>F13</f>
        <v>Case 1</v>
      </c>
      <c r="G17" s="334">
        <f>G13/$F$8-1</f>
        <v>0.13193616717750656</v>
      </c>
      <c r="H17" s="335">
        <f>H13/$F$8-1</f>
        <v>-1.0804543177516113E-2</v>
      </c>
      <c r="J17" s="4" t="str">
        <f>J13</f>
        <v>Case 1</v>
      </c>
      <c r="K17" s="334">
        <f>K13/$F$10-1</f>
        <v>0.14439685190799234</v>
      </c>
      <c r="L17" s="334">
        <f>L13/$F$10-1</f>
        <v>8.4810022522363582E-5</v>
      </c>
    </row>
    <row r="18" spans="2:12" x14ac:dyDescent="0.25">
      <c r="B18" s="4" t="s">
        <v>216</v>
      </c>
      <c r="C18" s="330">
        <v>1443504.6375335946</v>
      </c>
      <c r="D18" s="330">
        <v>1188103.082315994</v>
      </c>
      <c r="F18" s="4" t="str">
        <f t="shared" ref="F18:F19" si="2">F14</f>
        <v>Case 2</v>
      </c>
      <c r="G18" s="334">
        <f t="shared" ref="G18:H18" si="3">G14/$F$8-1</f>
        <v>0.35753150087653562</v>
      </c>
      <c r="H18" s="334">
        <f t="shared" si="3"/>
        <v>0.11284353953370174</v>
      </c>
      <c r="J18" s="4" t="str">
        <f t="shared" ref="J18:J19" si="4">J14</f>
        <v>Case 2</v>
      </c>
      <c r="K18" s="334">
        <f t="shared" ref="K18:L18" si="5">K14/$F$10-1</f>
        <v>0.37247560508897126</v>
      </c>
      <c r="L18" s="334">
        <f t="shared" si="5"/>
        <v>0.12509404702924742</v>
      </c>
    </row>
    <row r="19" spans="2:12" x14ac:dyDescent="0.25">
      <c r="B19" s="4" t="s">
        <v>217</v>
      </c>
      <c r="C19" s="330">
        <v>1001334.4119724203</v>
      </c>
      <c r="D19" s="330">
        <v>941092.86426810746</v>
      </c>
      <c r="E19" s="178"/>
      <c r="F19" s="4" t="str">
        <f t="shared" si="2"/>
        <v>Case 3</v>
      </c>
      <c r="G19" s="335">
        <f t="shared" ref="G19:H19" si="6">G15/$F$8-1</f>
        <v>-6.6090551725627722E-2</v>
      </c>
      <c r="H19" s="335">
        <f t="shared" si="6"/>
        <v>-0.12380508476105367</v>
      </c>
      <c r="J19" s="4" t="str">
        <f t="shared" si="4"/>
        <v>Case 3</v>
      </c>
      <c r="K19" s="335">
        <f t="shared" ref="K19:L19" si="7">K15/$F$10-1</f>
        <v>-5.5809803094027499E-2</v>
      </c>
      <c r="L19" s="335">
        <f t="shared" si="7"/>
        <v>-0.11415967460645882</v>
      </c>
    </row>
    <row r="20" spans="2:12" x14ac:dyDescent="0.25">
      <c r="C20" s="325"/>
      <c r="D20" s="325"/>
      <c r="E20" s="325"/>
      <c r="F20" s="325"/>
    </row>
    <row r="21" spans="2:12" x14ac:dyDescent="0.25">
      <c r="E21" s="326"/>
      <c r="F21" s="326"/>
      <c r="G21" s="178" t="s">
        <v>229</v>
      </c>
      <c r="K21" s="178" t="s">
        <v>229</v>
      </c>
    </row>
    <row r="22" spans="2:12" x14ac:dyDescent="0.25">
      <c r="G22" s="283">
        <f>AVERAGE(G13:H15)</f>
        <v>774594.93437874911</v>
      </c>
      <c r="K22" s="283">
        <f>AVERAGE(K13:L15)</f>
        <v>516.39662291916613</v>
      </c>
    </row>
    <row r="23" spans="2:12" x14ac:dyDescent="0.25">
      <c r="G23" s="334">
        <f>G22/F8-1</f>
        <v>6.6935171320591014E-2</v>
      </c>
      <c r="K23" s="334">
        <f>K22/F10-1</f>
        <v>7.8680306058041216E-2</v>
      </c>
    </row>
  </sheetData>
  <pageMargins left="0.74803149606299213" right="0.74803149606299213" top="0.98425196850393704" bottom="0.98425196850393704" header="0.51181102362204722" footer="0.51181102362204722"/>
  <pageSetup paperSize="9" scale="63" fitToHeight="4" orientation="landscape" horizontalDpi="4294967292" r:id="rId1"/>
  <headerFooter alignWithMargins="0">
    <oddHeader>&amp;L&amp;F &amp;A</oddHeader>
    <oddFooter>&amp;L© Adkins Matchett &amp; Toy 2017&amp;R &amp;P of &amp;N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93EAE-403E-4C0C-9BD0-952BD6AF5DF0}">
  <sheetPr codeName="Sheet6"/>
  <dimension ref="A1:T55"/>
  <sheetViews>
    <sheetView showGridLines="0" zoomScaleNormal="100" workbookViewId="0">
      <selection activeCell="D5" sqref="D5"/>
    </sheetView>
  </sheetViews>
  <sheetFormatPr defaultColWidth="9" defaultRowHeight="15" x14ac:dyDescent="0.25"/>
  <cols>
    <col min="1" max="1" width="2.28515625" style="4" customWidth="1"/>
    <col min="2" max="2" width="36.42578125" style="4" bestFit="1" customWidth="1"/>
    <col min="3" max="10" width="11.7109375" style="4" customWidth="1"/>
    <col min="11" max="11" width="11.42578125" style="4" customWidth="1"/>
    <col min="12" max="12" width="21.42578125" style="4" bestFit="1" customWidth="1"/>
    <col min="13" max="20" width="11.42578125" style="4" customWidth="1"/>
    <col min="21" max="16384" width="9" style="4"/>
  </cols>
  <sheetData>
    <row r="1" spans="1:20" ht="19.5" x14ac:dyDescent="0.3">
      <c r="A1" s="317" t="str">
        <f>CoName</f>
        <v>Berkshire Hathaway Non-Insurance</v>
      </c>
      <c r="B1" s="3"/>
      <c r="C1" s="43" t="s">
        <v>0</v>
      </c>
      <c r="D1" s="43" t="s">
        <v>0</v>
      </c>
      <c r="E1" s="43" t="s">
        <v>0</v>
      </c>
      <c r="F1" s="43" t="s">
        <v>1</v>
      </c>
      <c r="G1" s="43" t="s">
        <v>1</v>
      </c>
      <c r="H1" s="43" t="s">
        <v>1</v>
      </c>
      <c r="I1" s="43" t="s">
        <v>1</v>
      </c>
      <c r="J1" s="43" t="s">
        <v>1</v>
      </c>
      <c r="K1" s="43"/>
      <c r="L1" s="43"/>
    </row>
    <row r="2" spans="1:20" x14ac:dyDescent="0.25">
      <c r="A2" s="66" t="s">
        <v>119</v>
      </c>
      <c r="B2" s="109" t="s">
        <v>120</v>
      </c>
      <c r="C2" s="110">
        <v>44926</v>
      </c>
      <c r="D2" s="110">
        <v>45291</v>
      </c>
      <c r="E2" s="110">
        <v>45657</v>
      </c>
      <c r="F2" s="110">
        <v>46022</v>
      </c>
      <c r="G2" s="110">
        <v>46387</v>
      </c>
      <c r="H2" s="110">
        <v>46752</v>
      </c>
      <c r="I2" s="110">
        <v>47118</v>
      </c>
      <c r="J2" s="110">
        <v>47483</v>
      </c>
      <c r="K2" s="213"/>
      <c r="L2" s="213"/>
    </row>
    <row r="3" spans="1:20" x14ac:dyDescent="0.25">
      <c r="A3" s="88"/>
      <c r="B3" s="169"/>
      <c r="C3" s="213"/>
      <c r="D3" s="213"/>
      <c r="E3" s="213"/>
      <c r="F3" s="213"/>
      <c r="G3" s="213"/>
      <c r="H3" s="213"/>
      <c r="I3" s="213"/>
      <c r="J3" s="213"/>
      <c r="K3" s="213"/>
      <c r="L3" s="213"/>
    </row>
    <row r="4" spans="1:20" x14ac:dyDescent="0.25">
      <c r="B4" s="96" t="s">
        <v>127</v>
      </c>
      <c r="C4"/>
      <c r="D4" s="322">
        <v>3</v>
      </c>
      <c r="E4"/>
      <c r="F4"/>
      <c r="G4" s="91"/>
      <c r="H4" s="91"/>
      <c r="I4" s="91"/>
      <c r="J4" s="91"/>
      <c r="K4" s="91"/>
      <c r="M4" s="284"/>
      <c r="N4" s="285"/>
      <c r="O4" s="285"/>
    </row>
    <row r="5" spans="1:20" x14ac:dyDescent="0.25">
      <c r="B5" s="90"/>
      <c r="C5" s="92"/>
      <c r="D5" s="116" t="s">
        <v>121</v>
      </c>
      <c r="E5" s="93"/>
      <c r="K5" s="91"/>
      <c r="M5" s="286"/>
      <c r="N5" s="287"/>
      <c r="O5" s="287"/>
    </row>
    <row r="6" spans="1:20" x14ac:dyDescent="0.25">
      <c r="B6" s="94" t="s">
        <v>128</v>
      </c>
      <c r="D6" s="103">
        <v>0</v>
      </c>
      <c r="E6" s="95"/>
      <c r="F6" s="103">
        <v>0.05</v>
      </c>
      <c r="G6" s="103">
        <v>0.05</v>
      </c>
      <c r="H6" s="103">
        <v>0.05</v>
      </c>
      <c r="I6" s="103">
        <v>0.05</v>
      </c>
      <c r="J6" s="103">
        <v>0.05</v>
      </c>
      <c r="K6" s="188"/>
      <c r="M6" s="188"/>
      <c r="N6" s="288"/>
      <c r="O6" s="288"/>
      <c r="P6" s="288"/>
      <c r="Q6" s="288"/>
      <c r="R6" s="288"/>
      <c r="S6" s="288"/>
      <c r="T6" s="288"/>
    </row>
    <row r="7" spans="1:20" x14ac:dyDescent="0.25">
      <c r="B7" s="4" t="s">
        <v>123</v>
      </c>
      <c r="D7" s="103">
        <v>2.5000000000000001E-2</v>
      </c>
      <c r="E7" s="95"/>
      <c r="F7" s="103">
        <f>F6+$D$7</f>
        <v>7.5000000000000011E-2</v>
      </c>
      <c r="G7" s="103">
        <f t="shared" ref="G7:J7" si="0">G6+$D$7</f>
        <v>7.5000000000000011E-2</v>
      </c>
      <c r="H7" s="103">
        <f t="shared" si="0"/>
        <v>7.5000000000000011E-2</v>
      </c>
      <c r="I7" s="103">
        <f t="shared" si="0"/>
        <v>7.5000000000000011E-2</v>
      </c>
      <c r="J7" s="103">
        <f t="shared" si="0"/>
        <v>7.5000000000000011E-2</v>
      </c>
      <c r="K7" s="188"/>
      <c r="M7" s="188"/>
      <c r="N7" s="188"/>
      <c r="O7" s="188"/>
      <c r="P7" s="188"/>
      <c r="Q7" s="188"/>
      <c r="R7" s="188"/>
      <c r="S7" s="188"/>
      <c r="T7" s="188"/>
    </row>
    <row r="8" spans="1:20" x14ac:dyDescent="0.25">
      <c r="B8" s="4" t="s">
        <v>122</v>
      </c>
      <c r="D8" s="103">
        <v>-2.5000000000000001E-2</v>
      </c>
      <c r="E8" s="95"/>
      <c r="F8" s="103">
        <f>F6+$D$8</f>
        <v>2.5000000000000001E-2</v>
      </c>
      <c r="G8" s="103">
        <f t="shared" ref="G8:J8" si="1">G6+$D$8</f>
        <v>2.5000000000000001E-2</v>
      </c>
      <c r="H8" s="103">
        <f t="shared" si="1"/>
        <v>2.5000000000000001E-2</v>
      </c>
      <c r="I8" s="103">
        <f t="shared" si="1"/>
        <v>2.5000000000000001E-2</v>
      </c>
      <c r="J8" s="103">
        <f t="shared" si="1"/>
        <v>2.5000000000000001E-2</v>
      </c>
      <c r="K8" s="188"/>
    </row>
    <row r="9" spans="1:20" x14ac:dyDescent="0.25">
      <c r="K9" s="32"/>
      <c r="L9" s="32"/>
      <c r="M9" s="188"/>
      <c r="N9" s="188"/>
    </row>
    <row r="10" spans="1:20" x14ac:dyDescent="0.25">
      <c r="B10" s="124" t="s">
        <v>144</v>
      </c>
      <c r="C10" s="328">
        <f>52149/48229-1</f>
        <v>8.1278898587986426E-2</v>
      </c>
      <c r="D10" s="328">
        <f>IncState!D15/IncState!C15-1</f>
        <v>-4.5983623847053678E-2</v>
      </c>
      <c r="E10" s="207">
        <f>IncState!E15/IncState!D15-1</f>
        <v>7.8390384112880795E-4</v>
      </c>
      <c r="F10" s="107">
        <f t="shared" ref="F10" si="2">CHOOSE(ScenarioREV,F6,F7,F8)</f>
        <v>2.5000000000000001E-2</v>
      </c>
      <c r="G10" s="107">
        <f t="shared" ref="G10:J10" si="3">CHOOSE(ScenarioREV,G6,G7,G8)</f>
        <v>2.5000000000000001E-2</v>
      </c>
      <c r="H10" s="107">
        <f t="shared" si="3"/>
        <v>2.5000000000000001E-2</v>
      </c>
      <c r="I10" s="107">
        <f t="shared" si="3"/>
        <v>2.5000000000000001E-2</v>
      </c>
      <c r="J10" s="107">
        <f t="shared" si="3"/>
        <v>2.5000000000000001E-2</v>
      </c>
      <c r="K10" s="31"/>
      <c r="L10" s="31"/>
      <c r="M10" s="188"/>
      <c r="N10" s="188"/>
    </row>
    <row r="11" spans="1:20" x14ac:dyDescent="0.25">
      <c r="B11" s="4" t="s">
        <v>129</v>
      </c>
      <c r="C11" s="8">
        <f>IncState!C16/IncState!C15</f>
        <v>0.63621545954860115</v>
      </c>
      <c r="D11" s="8">
        <f>IncState!D16/IncState!D15</f>
        <v>0.70074973367369497</v>
      </c>
      <c r="E11" s="8">
        <f>IncState!E16/IncState!E15</f>
        <v>0.66175938943562962</v>
      </c>
      <c r="F11" s="103">
        <f>E11</f>
        <v>0.66175938943562962</v>
      </c>
      <c r="G11" s="103">
        <f t="shared" ref="G11:J11" si="4">F11</f>
        <v>0.66175938943562962</v>
      </c>
      <c r="H11" s="103">
        <f t="shared" si="4"/>
        <v>0.66175938943562962</v>
      </c>
      <c r="I11" s="103">
        <f t="shared" si="4"/>
        <v>0.66175938943562962</v>
      </c>
      <c r="J11" s="103">
        <f t="shared" si="4"/>
        <v>0.66175938943562962</v>
      </c>
      <c r="K11" s="188"/>
      <c r="L11" s="188"/>
      <c r="M11" s="188"/>
      <c r="N11" s="188"/>
    </row>
    <row r="12" spans="1:20" x14ac:dyDescent="0.25">
      <c r="B12" s="4" t="s">
        <v>44</v>
      </c>
      <c r="C12" s="8">
        <f>IncState!C17/IncState!C15</f>
        <v>9.557230244108228E-2</v>
      </c>
      <c r="D12" s="8">
        <f>IncState!D17/IncState!D15</f>
        <v>8.0721995537778132E-2</v>
      </c>
      <c r="E12" s="8">
        <f>IncState!E17/IncState!E15</f>
        <v>8.7226350672825873E-2</v>
      </c>
      <c r="F12" s="103">
        <f>E12</f>
        <v>8.7226350672825873E-2</v>
      </c>
      <c r="G12" s="103">
        <f t="shared" ref="G12:J12" si="5">F12</f>
        <v>8.7226350672825873E-2</v>
      </c>
      <c r="H12" s="103">
        <f t="shared" si="5"/>
        <v>8.7226350672825873E-2</v>
      </c>
      <c r="I12" s="103">
        <f t="shared" si="5"/>
        <v>8.7226350672825873E-2</v>
      </c>
      <c r="J12" s="103">
        <f t="shared" si="5"/>
        <v>8.7226350672825873E-2</v>
      </c>
      <c r="K12" s="188"/>
      <c r="L12" s="188"/>
    </row>
    <row r="13" spans="1:20" x14ac:dyDescent="0.25">
      <c r="B13" s="4" t="s">
        <v>131</v>
      </c>
      <c r="C13" s="4">
        <v>0</v>
      </c>
      <c r="D13" s="4">
        <v>0</v>
      </c>
      <c r="E13" s="4">
        <v>0</v>
      </c>
      <c r="F13" s="104">
        <f>E13</f>
        <v>0</v>
      </c>
      <c r="G13" s="104">
        <f t="shared" ref="G13:J13" si="6">F13</f>
        <v>0</v>
      </c>
      <c r="H13" s="104">
        <f t="shared" si="6"/>
        <v>0</v>
      </c>
      <c r="I13" s="104">
        <f t="shared" si="6"/>
        <v>0</v>
      </c>
      <c r="J13" s="104">
        <f t="shared" si="6"/>
        <v>0</v>
      </c>
      <c r="K13" s="214"/>
      <c r="L13" s="214"/>
    </row>
    <row r="14" spans="1:20" x14ac:dyDescent="0.25">
      <c r="B14" s="4" t="s">
        <v>132</v>
      </c>
      <c r="C14" s="4">
        <v>0</v>
      </c>
      <c r="D14" s="4">
        <v>0</v>
      </c>
      <c r="E14" s="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214"/>
      <c r="L14" s="214"/>
    </row>
    <row r="15" spans="1:20" x14ac:dyDescent="0.25">
      <c r="B15" s="4" t="s">
        <v>134</v>
      </c>
      <c r="C15" s="4">
        <v>0</v>
      </c>
      <c r="D15" s="4">
        <v>0</v>
      </c>
      <c r="E15" s="4">
        <v>0</v>
      </c>
      <c r="F15" s="104">
        <v>0</v>
      </c>
      <c r="G15" s="104">
        <v>0</v>
      </c>
      <c r="H15" s="104">
        <v>0</v>
      </c>
      <c r="I15" s="104">
        <v>0</v>
      </c>
      <c r="J15" s="104">
        <v>0</v>
      </c>
      <c r="K15" s="214"/>
      <c r="L15" s="214"/>
    </row>
    <row r="16" spans="1:20" x14ac:dyDescent="0.25">
      <c r="B16" s="4" t="s">
        <v>47</v>
      </c>
      <c r="C16" s="8">
        <f>IncState!C32/IncState!C30</f>
        <v>0.35969559772661591</v>
      </c>
      <c r="D16" s="8">
        <f>IncState!D32/IncState!D30</f>
        <v>0.45265251989389921</v>
      </c>
      <c r="E16" s="8">
        <f>IncState!E32/IncState!E30</f>
        <v>0.36515589842494373</v>
      </c>
      <c r="F16" s="103">
        <f>E16</f>
        <v>0.36515589842494373</v>
      </c>
      <c r="G16" s="103">
        <f t="shared" ref="G16:J16" si="7">F16</f>
        <v>0.36515589842494373</v>
      </c>
      <c r="H16" s="103">
        <f t="shared" si="7"/>
        <v>0.36515589842494373</v>
      </c>
      <c r="I16" s="103">
        <f t="shared" si="7"/>
        <v>0.36515589842494373</v>
      </c>
      <c r="J16" s="103">
        <f t="shared" si="7"/>
        <v>0.36515589842494373</v>
      </c>
      <c r="K16" s="188"/>
      <c r="L16" s="188"/>
    </row>
    <row r="17" spans="1:12" x14ac:dyDescent="0.25">
      <c r="B17" s="4" t="s">
        <v>48</v>
      </c>
      <c r="C17" s="4">
        <f>IncState!C36</f>
        <v>1.4688760000000001</v>
      </c>
      <c r="D17" s="4">
        <f>IncState!D36</f>
        <v>1.4488799999999999</v>
      </c>
      <c r="E17" s="4">
        <f>IncState!E36</f>
        <v>1.4377200000000001</v>
      </c>
      <c r="F17" s="104">
        <f>E17</f>
        <v>1.4377200000000001</v>
      </c>
      <c r="G17" s="104">
        <f t="shared" ref="G17:J17" si="8">F17</f>
        <v>1.4377200000000001</v>
      </c>
      <c r="H17" s="104">
        <f t="shared" si="8"/>
        <v>1.4377200000000001</v>
      </c>
      <c r="I17" s="104">
        <f t="shared" si="8"/>
        <v>1.4377200000000001</v>
      </c>
      <c r="J17" s="104">
        <f t="shared" si="8"/>
        <v>1.4377200000000001</v>
      </c>
      <c r="K17" s="214"/>
      <c r="L17" s="214"/>
    </row>
    <row r="18" spans="1:12" x14ac:dyDescent="0.25">
      <c r="B18" s="4" t="s">
        <v>49</v>
      </c>
      <c r="C18" s="4">
        <f>IncState!C37</f>
        <v>2203.3136420000001</v>
      </c>
      <c r="D18" s="4">
        <f>IncState!D37</f>
        <v>2173.3197089999999</v>
      </c>
      <c r="E18" s="4">
        <f>IncState!E37</f>
        <v>2156.5802960000001</v>
      </c>
      <c r="F18" s="104">
        <f>E18</f>
        <v>2156.5802960000001</v>
      </c>
      <c r="G18" s="104">
        <f t="shared" ref="G18:J18" si="9">F18</f>
        <v>2156.5802960000001</v>
      </c>
      <c r="H18" s="104">
        <f t="shared" si="9"/>
        <v>2156.5802960000001</v>
      </c>
      <c r="I18" s="104">
        <f t="shared" si="9"/>
        <v>2156.5802960000001</v>
      </c>
      <c r="J18" s="104">
        <f t="shared" si="9"/>
        <v>2156.5802960000001</v>
      </c>
      <c r="K18" s="214"/>
      <c r="L18" s="214"/>
    </row>
    <row r="19" spans="1:12" x14ac:dyDescent="0.25">
      <c r="F19" s="106"/>
      <c r="G19" s="106"/>
      <c r="H19" s="106"/>
      <c r="I19" s="106"/>
      <c r="J19" s="106"/>
      <c r="K19" s="188"/>
      <c r="L19" s="188"/>
    </row>
    <row r="20" spans="1:12" x14ac:dyDescent="0.25">
      <c r="A20" s="66" t="s">
        <v>119</v>
      </c>
      <c r="B20" s="109" t="s">
        <v>139</v>
      </c>
      <c r="C20" s="110">
        <v>44926</v>
      </c>
      <c r="D20" s="110">
        <v>45291</v>
      </c>
      <c r="E20" s="110">
        <v>45657</v>
      </c>
      <c r="F20" s="120">
        <v>46022</v>
      </c>
      <c r="G20" s="120">
        <v>46387</v>
      </c>
      <c r="H20" s="120">
        <v>46752</v>
      </c>
      <c r="I20" s="120">
        <v>47118</v>
      </c>
      <c r="J20" s="120">
        <v>47483</v>
      </c>
      <c r="K20" s="215"/>
      <c r="L20" s="215"/>
    </row>
    <row r="21" spans="1:12" x14ac:dyDescent="0.25">
      <c r="A21" s="88"/>
      <c r="B21" s="169"/>
      <c r="C21" s="213"/>
      <c r="D21" s="213"/>
      <c r="E21" s="213"/>
      <c r="F21" s="215"/>
      <c r="G21" s="215"/>
      <c r="H21" s="215"/>
      <c r="I21" s="215"/>
      <c r="J21" s="215"/>
      <c r="K21" s="215"/>
      <c r="L21" s="215"/>
    </row>
    <row r="22" spans="1:12" x14ac:dyDescent="0.25">
      <c r="B22" s="4" t="s">
        <v>133</v>
      </c>
      <c r="E22" s="8"/>
      <c r="F22" s="103">
        <f>E22</f>
        <v>0</v>
      </c>
      <c r="G22" s="103">
        <f t="shared" ref="G22:J22" si="10">F22</f>
        <v>0</v>
      </c>
      <c r="H22" s="103">
        <f t="shared" si="10"/>
        <v>0</v>
      </c>
      <c r="I22" s="103">
        <f t="shared" si="10"/>
        <v>0</v>
      </c>
      <c r="J22" s="103">
        <f t="shared" si="10"/>
        <v>0</v>
      </c>
      <c r="K22" s="188"/>
      <c r="L22" s="188"/>
    </row>
    <row r="23" spans="1:12" x14ac:dyDescent="0.25">
      <c r="B23" s="4" t="s">
        <v>25</v>
      </c>
      <c r="E23" s="8"/>
      <c r="F23" s="103">
        <f>E23</f>
        <v>0</v>
      </c>
      <c r="G23" s="103">
        <f t="shared" ref="G23:J23" si="11">F23</f>
        <v>0</v>
      </c>
      <c r="H23" s="103">
        <f t="shared" si="11"/>
        <v>0</v>
      </c>
      <c r="I23" s="103">
        <f t="shared" si="11"/>
        <v>0</v>
      </c>
      <c r="J23" s="103">
        <f t="shared" si="11"/>
        <v>0</v>
      </c>
      <c r="K23" s="188"/>
      <c r="L23" s="188"/>
    </row>
    <row r="24" spans="1:12" x14ac:dyDescent="0.25">
      <c r="B24" s="4" t="s">
        <v>26</v>
      </c>
      <c r="C24" s="8"/>
      <c r="D24" s="8"/>
      <c r="E24" s="8"/>
      <c r="F24" s="133">
        <f>E24</f>
        <v>0</v>
      </c>
      <c r="G24" s="133">
        <f t="shared" ref="G24:J24" si="12">F24</f>
        <v>0</v>
      </c>
      <c r="H24" s="133">
        <f t="shared" si="12"/>
        <v>0</v>
      </c>
      <c r="I24" s="133">
        <f t="shared" si="12"/>
        <v>0</v>
      </c>
      <c r="J24" s="133">
        <f t="shared" si="12"/>
        <v>0</v>
      </c>
      <c r="K24" s="188"/>
      <c r="L24" s="188"/>
    </row>
    <row r="25" spans="1:12" x14ac:dyDescent="0.25">
      <c r="F25" s="106"/>
      <c r="G25" s="106"/>
      <c r="H25" s="106"/>
      <c r="I25" s="106"/>
      <c r="J25" s="106"/>
      <c r="K25" s="188"/>
      <c r="L25" s="188"/>
    </row>
    <row r="26" spans="1:12" x14ac:dyDescent="0.25">
      <c r="B26" s="4" t="s">
        <v>27</v>
      </c>
      <c r="F26" s="104">
        <v>0</v>
      </c>
      <c r="G26" s="104">
        <v>0</v>
      </c>
      <c r="H26" s="104">
        <v>0</v>
      </c>
      <c r="I26" s="104">
        <v>0</v>
      </c>
      <c r="J26" s="104">
        <v>0</v>
      </c>
      <c r="K26" s="214"/>
      <c r="L26" s="214"/>
    </row>
    <row r="27" spans="1:12" x14ac:dyDescent="0.25">
      <c r="B27" s="4" t="s">
        <v>28</v>
      </c>
      <c r="F27" s="104">
        <v>0</v>
      </c>
      <c r="G27" s="104">
        <v>0</v>
      </c>
      <c r="H27" s="104">
        <v>0</v>
      </c>
      <c r="I27" s="104">
        <v>0</v>
      </c>
      <c r="J27" s="104">
        <v>0</v>
      </c>
      <c r="K27" s="214"/>
      <c r="L27" s="214"/>
    </row>
    <row r="28" spans="1:12" x14ac:dyDescent="0.25">
      <c r="F28" s="106"/>
      <c r="G28" s="106"/>
      <c r="H28" s="106"/>
      <c r="I28" s="106"/>
      <c r="J28" s="106"/>
      <c r="K28" s="188"/>
      <c r="L28" s="188"/>
    </row>
    <row r="29" spans="1:12" x14ac:dyDescent="0.25">
      <c r="A29" s="66" t="s">
        <v>119</v>
      </c>
      <c r="B29" s="109" t="s">
        <v>136</v>
      </c>
      <c r="C29" s="110">
        <v>44926</v>
      </c>
      <c r="D29" s="110">
        <v>45291</v>
      </c>
      <c r="E29" s="110">
        <v>45657</v>
      </c>
      <c r="F29" s="120">
        <v>46022</v>
      </c>
      <c r="G29" s="120">
        <v>46387</v>
      </c>
      <c r="H29" s="120">
        <v>46752</v>
      </c>
      <c r="I29" s="120">
        <v>47118</v>
      </c>
      <c r="J29" s="120">
        <v>47483</v>
      </c>
      <c r="K29" s="216"/>
      <c r="L29" s="216"/>
    </row>
    <row r="30" spans="1:12" x14ac:dyDescent="0.25">
      <c r="A30" s="88"/>
      <c r="B30" s="169"/>
      <c r="C30" s="213"/>
      <c r="D30" s="213"/>
      <c r="E30" s="213"/>
      <c r="F30" s="215"/>
      <c r="G30" s="215"/>
      <c r="H30" s="215"/>
      <c r="I30" s="215"/>
      <c r="J30" s="215"/>
      <c r="K30" s="216"/>
      <c r="L30" s="216"/>
    </row>
    <row r="31" spans="1:12" x14ac:dyDescent="0.25">
      <c r="B31" s="4" t="s">
        <v>137</v>
      </c>
      <c r="C31" s="8">
        <f>(18976-99)/IncState!C15</f>
        <v>0.36198201307791139</v>
      </c>
      <c r="D31" s="8">
        <f>(19409-68)/IncState!D15</f>
        <v>0.38875600490442402</v>
      </c>
      <c r="E31" s="8">
        <f>(15464-82)/IncState!E15</f>
        <v>0.30893753765816429</v>
      </c>
      <c r="F31" s="253">
        <f>E31</f>
        <v>0.30893753765816429</v>
      </c>
      <c r="G31" s="253">
        <f t="shared" ref="G31:J31" si="13">F31</f>
        <v>0.30893753765816429</v>
      </c>
      <c r="H31" s="253">
        <f t="shared" si="13"/>
        <v>0.30893753765816429</v>
      </c>
      <c r="I31" s="253">
        <f t="shared" si="13"/>
        <v>0.30893753765816429</v>
      </c>
      <c r="J31" s="253">
        <f t="shared" si="13"/>
        <v>0.30893753765816429</v>
      </c>
      <c r="K31" s="188"/>
      <c r="L31" s="188"/>
    </row>
    <row r="32" spans="1:12" x14ac:dyDescent="0.25">
      <c r="B32" s="4" t="s">
        <v>150</v>
      </c>
      <c r="D32" s="8">
        <f>IncState!D20/BalSheet!C20</f>
        <v>7.5404946714253629E-2</v>
      </c>
      <c r="E32" s="8">
        <f>IncState!E20/BalSheet!D20</f>
        <v>7.3438892397032704E-2</v>
      </c>
      <c r="F32" s="103">
        <f>E32</f>
        <v>7.3438892397032704E-2</v>
      </c>
      <c r="G32" s="103">
        <f t="shared" ref="G32:J32" si="14">F32</f>
        <v>7.3438892397032704E-2</v>
      </c>
      <c r="H32" s="103">
        <f t="shared" si="14"/>
        <v>7.3438892397032704E-2</v>
      </c>
      <c r="I32" s="103">
        <f t="shared" si="14"/>
        <v>7.3438892397032704E-2</v>
      </c>
      <c r="J32" s="103">
        <f t="shared" si="14"/>
        <v>7.3438892397032704E-2</v>
      </c>
      <c r="K32" s="188"/>
      <c r="L32" s="188"/>
    </row>
    <row r="33" spans="1:12" x14ac:dyDescent="0.25">
      <c r="B33" s="4" t="s">
        <v>138</v>
      </c>
      <c r="C33" s="4">
        <v>0</v>
      </c>
      <c r="D33" s="4">
        <v>0</v>
      </c>
      <c r="E33" s="4">
        <v>0</v>
      </c>
      <c r="F33" s="108">
        <v>0</v>
      </c>
      <c r="G33" s="108">
        <v>0</v>
      </c>
      <c r="H33" s="108">
        <v>0</v>
      </c>
      <c r="I33" s="108">
        <v>0</v>
      </c>
      <c r="J33" s="108">
        <v>0</v>
      </c>
      <c r="K33" s="217"/>
      <c r="L33" s="217"/>
    </row>
    <row r="34" spans="1:12" x14ac:dyDescent="0.25">
      <c r="F34" s="32"/>
      <c r="G34" s="32"/>
      <c r="H34" s="32"/>
      <c r="I34" s="32"/>
      <c r="J34" s="32"/>
      <c r="K34" s="32"/>
      <c r="L34" s="32"/>
    </row>
    <row r="35" spans="1:12" x14ac:dyDescent="0.25">
      <c r="A35" s="66" t="s">
        <v>119</v>
      </c>
      <c r="B35" s="109" t="s">
        <v>59</v>
      </c>
      <c r="C35" s="110">
        <v>44926</v>
      </c>
      <c r="D35" s="110">
        <v>45291</v>
      </c>
      <c r="E35" s="110">
        <v>45657</v>
      </c>
      <c r="F35" s="119">
        <v>46022</v>
      </c>
      <c r="G35" s="119">
        <v>46387</v>
      </c>
      <c r="H35" s="119">
        <v>46752</v>
      </c>
      <c r="I35" s="119">
        <v>47118</v>
      </c>
      <c r="J35" s="119">
        <v>47483</v>
      </c>
      <c r="K35" s="216"/>
      <c r="L35" s="216"/>
    </row>
    <row r="36" spans="1:12" x14ac:dyDescent="0.25">
      <c r="A36" s="88"/>
      <c r="B36" s="169"/>
      <c r="C36" s="213"/>
      <c r="D36" s="213"/>
      <c r="E36" s="213"/>
      <c r="F36" s="323"/>
      <c r="G36" s="323"/>
      <c r="H36" s="323"/>
      <c r="I36" s="323"/>
      <c r="J36" s="323"/>
      <c r="K36" s="216"/>
      <c r="L36" s="216"/>
    </row>
    <row r="37" spans="1:12" x14ac:dyDescent="0.25">
      <c r="B37" s="4" t="s">
        <v>124</v>
      </c>
      <c r="C37" s="8"/>
      <c r="D37" s="8"/>
      <c r="E37" s="8"/>
      <c r="F37" s="103">
        <f>E37</f>
        <v>0</v>
      </c>
      <c r="G37" s="103">
        <f t="shared" ref="G37:J37" si="15">F37</f>
        <v>0</v>
      </c>
      <c r="H37" s="103">
        <f t="shared" si="15"/>
        <v>0</v>
      </c>
      <c r="I37" s="103">
        <f t="shared" si="15"/>
        <v>0</v>
      </c>
      <c r="J37" s="103">
        <f t="shared" si="15"/>
        <v>0</v>
      </c>
      <c r="K37" s="188"/>
      <c r="L37" s="188"/>
    </row>
    <row r="38" spans="1:12" x14ac:dyDescent="0.25">
      <c r="B38" s="4" t="s">
        <v>48</v>
      </c>
      <c r="C38" s="4">
        <f>C17</f>
        <v>1.4688760000000001</v>
      </c>
      <c r="D38" s="4">
        <f t="shared" ref="D38:E38" si="16">D17</f>
        <v>1.4488799999999999</v>
      </c>
      <c r="E38" s="4">
        <f t="shared" si="16"/>
        <v>1.4377200000000001</v>
      </c>
      <c r="F38" s="104">
        <f t="shared" ref="F38:J39" si="17">F17</f>
        <v>1.4377200000000001</v>
      </c>
      <c r="G38" s="104">
        <f t="shared" si="17"/>
        <v>1.4377200000000001</v>
      </c>
      <c r="H38" s="104">
        <f t="shared" si="17"/>
        <v>1.4377200000000001</v>
      </c>
      <c r="I38" s="104">
        <f t="shared" si="17"/>
        <v>1.4377200000000001</v>
      </c>
      <c r="J38" s="104">
        <f t="shared" si="17"/>
        <v>1.4377200000000001</v>
      </c>
      <c r="K38" s="214"/>
      <c r="L38" s="214"/>
    </row>
    <row r="39" spans="1:12" x14ac:dyDescent="0.25">
      <c r="B39" s="4" t="s">
        <v>49</v>
      </c>
      <c r="C39" s="4">
        <f t="shared" ref="C39:E39" si="18">C18</f>
        <v>2203.3136420000001</v>
      </c>
      <c r="D39" s="4">
        <f t="shared" si="18"/>
        <v>2173.3197089999999</v>
      </c>
      <c r="E39" s="4">
        <f t="shared" si="18"/>
        <v>2156.5802960000001</v>
      </c>
      <c r="F39" s="104">
        <f t="shared" si="17"/>
        <v>2156.5802960000001</v>
      </c>
      <c r="G39" s="104">
        <f t="shared" si="17"/>
        <v>2156.5802960000001</v>
      </c>
      <c r="H39" s="104">
        <f t="shared" si="17"/>
        <v>2156.5802960000001</v>
      </c>
      <c r="I39" s="104">
        <f t="shared" si="17"/>
        <v>2156.5802960000001</v>
      </c>
      <c r="J39" s="104">
        <f t="shared" si="17"/>
        <v>2156.5802960000001</v>
      </c>
      <c r="K39" s="214"/>
      <c r="L39" s="214"/>
    </row>
    <row r="40" spans="1:12" x14ac:dyDescent="0.25">
      <c r="F40" s="32"/>
      <c r="G40" s="32"/>
      <c r="H40" s="32"/>
      <c r="I40" s="32"/>
      <c r="J40" s="32"/>
      <c r="K40" s="32"/>
      <c r="L40" s="32"/>
    </row>
    <row r="41" spans="1:12" x14ac:dyDescent="0.25">
      <c r="A41" s="66" t="s">
        <v>119</v>
      </c>
      <c r="B41" s="109" t="s">
        <v>125</v>
      </c>
      <c r="C41" s="110">
        <v>44926</v>
      </c>
      <c r="D41" s="110">
        <v>45291</v>
      </c>
      <c r="E41" s="110">
        <v>45657</v>
      </c>
      <c r="F41" s="119">
        <v>46022</v>
      </c>
      <c r="G41" s="119">
        <v>46387</v>
      </c>
      <c r="H41" s="119">
        <v>46752</v>
      </c>
      <c r="I41" s="119">
        <v>47118</v>
      </c>
      <c r="J41" s="119">
        <v>47483</v>
      </c>
      <c r="K41" s="216"/>
      <c r="L41" s="216"/>
    </row>
    <row r="42" spans="1:12" x14ac:dyDescent="0.25">
      <c r="A42" s="88"/>
      <c r="B42" s="169"/>
      <c r="C42" s="213"/>
      <c r="D42" s="213"/>
      <c r="E42" s="213"/>
      <c r="F42" s="323"/>
      <c r="G42" s="323"/>
      <c r="H42" s="323"/>
      <c r="I42" s="323"/>
      <c r="J42" s="323"/>
      <c r="K42" s="216"/>
      <c r="L42" s="216"/>
    </row>
    <row r="43" spans="1:12" x14ac:dyDescent="0.25">
      <c r="B43" s="4" t="s">
        <v>135</v>
      </c>
      <c r="C43" s="8">
        <f>BalSheet!C14/IncState!C15</f>
        <v>1.4999999999999999E-2</v>
      </c>
      <c r="D43" s="8">
        <f>BalSheet!D14/IncState!D15</f>
        <v>1.4999999999999999E-2</v>
      </c>
      <c r="E43" s="8">
        <f>BalSheet!E14/IncState!E15</f>
        <v>1.5000000000000001E-2</v>
      </c>
      <c r="F43" s="103">
        <f>E43</f>
        <v>1.5000000000000001E-2</v>
      </c>
      <c r="G43" s="103">
        <f t="shared" ref="G43:J43" si="19">F43</f>
        <v>1.5000000000000001E-2</v>
      </c>
      <c r="H43" s="103">
        <f t="shared" si="19"/>
        <v>1.5000000000000001E-2</v>
      </c>
      <c r="I43" s="103">
        <f t="shared" si="19"/>
        <v>1.5000000000000001E-2</v>
      </c>
      <c r="J43" s="103">
        <f t="shared" si="19"/>
        <v>1.5000000000000001E-2</v>
      </c>
      <c r="K43" s="188"/>
      <c r="L43" s="188"/>
    </row>
    <row r="44" spans="1:12" x14ac:dyDescent="0.25">
      <c r="B44" s="4" t="s">
        <v>148</v>
      </c>
      <c r="C44" s="8">
        <f>BalSheet!C16/IncState!C15</f>
        <v>9.1948071870985068E-2</v>
      </c>
      <c r="D44" s="8">
        <f>BalSheet!D16/IncState!D15</f>
        <v>0.10048039235392253</v>
      </c>
      <c r="E44" s="8">
        <f>BalSheet!E16/IncState!E15</f>
        <v>9.0439847358907408E-2</v>
      </c>
      <c r="F44" s="103">
        <f>E44</f>
        <v>9.0439847358907408E-2</v>
      </c>
      <c r="G44" s="103">
        <f t="shared" ref="G44:J44" si="20">F44</f>
        <v>9.0439847358907408E-2</v>
      </c>
      <c r="H44" s="103">
        <f t="shared" si="20"/>
        <v>9.0439847358907408E-2</v>
      </c>
      <c r="I44" s="103">
        <f t="shared" si="20"/>
        <v>9.0439847358907408E-2</v>
      </c>
      <c r="J44" s="103">
        <f t="shared" si="20"/>
        <v>9.0439847358907408E-2</v>
      </c>
      <c r="K44" s="188"/>
      <c r="L44" s="188"/>
    </row>
    <row r="45" spans="1:12" x14ac:dyDescent="0.25">
      <c r="B45" s="4" t="s">
        <v>61</v>
      </c>
      <c r="C45" s="8">
        <f>BalSheet!C17/IncState!C15</f>
        <v>9.7068016644614466E-2</v>
      </c>
      <c r="D45" s="8">
        <f>BalSheet!D17/IncState!D15</f>
        <v>0.11185704809953569</v>
      </c>
      <c r="E45" s="8">
        <f>BalSheet!E17/IncState!E15</f>
        <v>0.10743121108656356</v>
      </c>
      <c r="F45" s="103">
        <f t="shared" ref="F45:J45" si="21">E45</f>
        <v>0.10743121108656356</v>
      </c>
      <c r="G45" s="103">
        <f t="shared" si="21"/>
        <v>0.10743121108656356</v>
      </c>
      <c r="H45" s="103">
        <f t="shared" si="21"/>
        <v>0.10743121108656356</v>
      </c>
      <c r="I45" s="103">
        <f t="shared" si="21"/>
        <v>0.10743121108656356</v>
      </c>
      <c r="J45" s="103">
        <f t="shared" si="21"/>
        <v>0.10743121108656356</v>
      </c>
      <c r="K45" s="188"/>
      <c r="L45" s="188"/>
    </row>
    <row r="46" spans="1:12" x14ac:dyDescent="0.25">
      <c r="B46" s="4" t="s">
        <v>62</v>
      </c>
      <c r="C46" s="8">
        <f>BalSheet!C22/IncState!C15</f>
        <v>0.42551151508178486</v>
      </c>
      <c r="D46" s="8">
        <f>BalSheet!D22/IncState!D15</f>
        <v>0.39888645454362726</v>
      </c>
      <c r="E46" s="8">
        <f>BalSheet!E22/IncState!E15</f>
        <v>0.41797549708776865</v>
      </c>
      <c r="F46" s="103">
        <f>E46</f>
        <v>0.41797549708776865</v>
      </c>
      <c r="G46" s="103">
        <f t="shared" ref="G46:J46" si="22">F46</f>
        <v>0.41797549708776865</v>
      </c>
      <c r="H46" s="103">
        <f t="shared" si="22"/>
        <v>0.41797549708776865</v>
      </c>
      <c r="I46" s="103">
        <f t="shared" si="22"/>
        <v>0.41797549708776865</v>
      </c>
      <c r="J46" s="103">
        <f t="shared" si="22"/>
        <v>0.41797549708776865</v>
      </c>
      <c r="K46" s="188"/>
      <c r="L46" s="188"/>
    </row>
    <row r="47" spans="1:12" x14ac:dyDescent="0.25">
      <c r="F47" s="32"/>
      <c r="G47" s="32"/>
      <c r="H47" s="32"/>
      <c r="I47" s="32"/>
      <c r="J47" s="32"/>
      <c r="K47" s="32"/>
      <c r="L47" s="32"/>
    </row>
    <row r="48" spans="1:12" x14ac:dyDescent="0.25">
      <c r="A48" s="66" t="s">
        <v>119</v>
      </c>
      <c r="B48" s="109" t="s">
        <v>126</v>
      </c>
      <c r="C48" s="110">
        <v>44926</v>
      </c>
      <c r="D48" s="110">
        <v>45291</v>
      </c>
      <c r="E48" s="110">
        <v>45657</v>
      </c>
      <c r="F48" s="119">
        <v>46022</v>
      </c>
      <c r="G48" s="119">
        <v>46387</v>
      </c>
      <c r="H48" s="119">
        <v>46752</v>
      </c>
      <c r="I48" s="119">
        <v>47118</v>
      </c>
      <c r="J48" s="119">
        <v>47483</v>
      </c>
      <c r="K48" s="216"/>
      <c r="L48" s="216"/>
    </row>
    <row r="49" spans="1:12" x14ac:dyDescent="0.25">
      <c r="A49" s="88"/>
      <c r="B49" s="169"/>
      <c r="C49" s="213"/>
      <c r="D49" s="213"/>
      <c r="E49" s="213"/>
      <c r="F49" s="323"/>
      <c r="G49" s="323"/>
      <c r="H49" s="323"/>
      <c r="I49" s="323"/>
      <c r="J49" s="323"/>
      <c r="K49" s="216"/>
      <c r="L49" s="216"/>
    </row>
    <row r="50" spans="1:12" x14ac:dyDescent="0.25">
      <c r="B50" s="4" t="s">
        <v>149</v>
      </c>
      <c r="C50" s="8">
        <f>BalSheet!C28/IncState!C16</f>
        <v>0.50078365181746942</v>
      </c>
      <c r="D50" s="8">
        <f>BalSheet!D28/IncState!D16</f>
        <v>0.52502653242692832</v>
      </c>
      <c r="E50" s="8">
        <f>BalSheet!E28/IncState!E16</f>
        <v>0.55315791071049192</v>
      </c>
      <c r="F50" s="103">
        <f t="shared" ref="F50:J50" si="23">E50</f>
        <v>0.55315791071049192</v>
      </c>
      <c r="G50" s="103">
        <f t="shared" si="23"/>
        <v>0.55315791071049192</v>
      </c>
      <c r="H50" s="103">
        <f t="shared" si="23"/>
        <v>0.55315791071049192</v>
      </c>
      <c r="I50" s="103">
        <f t="shared" si="23"/>
        <v>0.55315791071049192</v>
      </c>
      <c r="J50" s="103">
        <f t="shared" si="23"/>
        <v>0.55315791071049192</v>
      </c>
      <c r="K50" s="188"/>
      <c r="L50" s="188"/>
    </row>
    <row r="51" spans="1:12" x14ac:dyDescent="0.25">
      <c r="B51" s="4" t="s">
        <v>63</v>
      </c>
      <c r="C51" s="8">
        <f>BalSheet!C29/IncState!C15</f>
        <v>0.14130664058754722</v>
      </c>
      <c r="D51" s="8">
        <f>BalSheet!D29/IncState!D15</f>
        <v>0.13704247150811039</v>
      </c>
      <c r="E51" s="8">
        <f>BalSheet!E29/IncState!E15</f>
        <v>0.1412532637075718</v>
      </c>
      <c r="F51" s="103">
        <f t="shared" ref="F51:J51" si="24">E51</f>
        <v>0.1412532637075718</v>
      </c>
      <c r="G51" s="103">
        <f t="shared" si="24"/>
        <v>0.1412532637075718</v>
      </c>
      <c r="H51" s="103">
        <f t="shared" si="24"/>
        <v>0.1412532637075718</v>
      </c>
      <c r="I51" s="103">
        <f t="shared" si="24"/>
        <v>0.1412532637075718</v>
      </c>
      <c r="J51" s="103">
        <f t="shared" si="24"/>
        <v>0.1412532637075718</v>
      </c>
      <c r="K51" s="188"/>
      <c r="L51" s="188"/>
    </row>
    <row r="52" spans="1:12" x14ac:dyDescent="0.25">
      <c r="B52" s="4" t="s">
        <v>64</v>
      </c>
      <c r="C52" s="8">
        <f>BalSheet!C33/IncState!C15</f>
        <v>1.4613127768509464</v>
      </c>
      <c r="D52" s="8">
        <f>BalSheet!D33/IncState!D15</f>
        <v>1.6040481598359833</v>
      </c>
      <c r="E52" s="8">
        <f>BalSheet!E33/IncState!E15</f>
        <v>1.6042779674633461</v>
      </c>
      <c r="F52" s="103">
        <f t="shared" ref="F52:J52" si="25">E52</f>
        <v>1.6042779674633461</v>
      </c>
      <c r="G52" s="103">
        <f t="shared" si="25"/>
        <v>1.6042779674633461</v>
      </c>
      <c r="H52" s="103">
        <f t="shared" si="25"/>
        <v>1.6042779674633461</v>
      </c>
      <c r="I52" s="103">
        <f t="shared" si="25"/>
        <v>1.6042779674633461</v>
      </c>
      <c r="J52" s="103">
        <f t="shared" si="25"/>
        <v>1.6042779674633461</v>
      </c>
      <c r="K52" s="188"/>
      <c r="L52" s="188"/>
    </row>
    <row r="53" spans="1:12" x14ac:dyDescent="0.25">
      <c r="F53" s="128"/>
      <c r="G53" s="32"/>
      <c r="H53" s="32"/>
      <c r="I53" s="32"/>
      <c r="J53" s="32"/>
    </row>
    <row r="54" spans="1:12" x14ac:dyDescent="0.25">
      <c r="F54" s="129"/>
      <c r="G54" s="97"/>
      <c r="H54" s="97"/>
      <c r="I54" s="97"/>
      <c r="J54" s="97"/>
    </row>
    <row r="55" spans="1:12" x14ac:dyDescent="0.25">
      <c r="F55" s="97"/>
      <c r="G55" s="97"/>
      <c r="H55" s="97"/>
      <c r="I55" s="97"/>
      <c r="J55" s="97"/>
    </row>
  </sheetData>
  <scenarios current="0">
    <scenario name="Pessimistic" locked="1" count="1" user="Alan Chen" comment="Created by Alan Chen on 9/28/2025">
      <inputCells r="D4" val=""/>
    </scenario>
  </scenarios>
  <dataConsolidate/>
  <conditionalFormatting sqref="D4:D5 B6 D6:E6 M6:M7 F6:K8 N7:T7 D7:D8 M9:N11 F11:L33 K35:L39 F37:J39 K41:L46 F43:J46 K48:L52 F50:J52 F54:J55">
    <cfRule type="expression" dxfId="4" priority="14">
      <formula>$E$10&gt;1</formula>
    </cfRule>
  </conditionalFormatting>
  <conditionalFormatting sqref="E7">
    <cfRule type="expression" dxfId="3" priority="32">
      <formula>$E$10&lt;&gt;2</formula>
    </cfRule>
  </conditionalFormatting>
  <conditionalFormatting sqref="E8">
    <cfRule type="expression" dxfId="2" priority="33">
      <formula>$E$10&lt;&gt;3</formula>
    </cfRule>
  </conditionalFormatting>
  <dataValidations count="1">
    <dataValidation type="list" allowBlank="1" showInputMessage="1" showErrorMessage="1" sqref="D4 M4" xr:uid="{FF8E3CD2-0581-4318-AB93-6B284CEDF514}">
      <formula1>"1,2,3"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4D903-117B-4DF0-8D7B-7A5309212F7B}">
  <dimension ref="A1:M2"/>
  <sheetViews>
    <sheetView showGridLines="0" workbookViewId="0"/>
  </sheetViews>
  <sheetFormatPr defaultColWidth="11.7109375" defaultRowHeight="15" x14ac:dyDescent="0.25"/>
  <cols>
    <col min="1" max="2" width="11.7109375" style="4" customWidth="1"/>
    <col min="3" max="16384" width="11.7109375" style="4"/>
  </cols>
  <sheetData>
    <row r="1" spans="1:13" ht="19.5" x14ac:dyDescent="0.3">
      <c r="A1" s="317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1:13" x14ac:dyDescent="0.25">
      <c r="A2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autoPageBreaks="0" fitToPage="1"/>
  </sheetPr>
  <dimension ref="A1:M38"/>
  <sheetViews>
    <sheetView showGridLines="0" topLeftCell="B1" zoomScaleNormal="100" workbookViewId="0">
      <selection activeCell="F18" sqref="F18:J24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12" width="11.42578125" style="4" customWidth="1"/>
    <col min="13" max="253" width="8.85546875" style="4"/>
    <col min="254" max="254" width="1.7109375" style="4" customWidth="1"/>
    <col min="255" max="255" width="40.7109375" style="4" customWidth="1"/>
    <col min="256" max="263" width="10.7109375" style="4" customWidth="1"/>
    <col min="264" max="509" width="8.85546875" style="4"/>
    <col min="510" max="510" width="1.7109375" style="4" customWidth="1"/>
    <col min="511" max="511" width="40.7109375" style="4" customWidth="1"/>
    <col min="512" max="519" width="10.7109375" style="4" customWidth="1"/>
    <col min="520" max="765" width="8.85546875" style="4"/>
    <col min="766" max="766" width="1.7109375" style="4" customWidth="1"/>
    <col min="767" max="767" width="40.7109375" style="4" customWidth="1"/>
    <col min="768" max="775" width="10.7109375" style="4" customWidth="1"/>
    <col min="776" max="1021" width="8.85546875" style="4"/>
    <col min="1022" max="1022" width="1.7109375" style="4" customWidth="1"/>
    <col min="1023" max="1023" width="40.7109375" style="4" customWidth="1"/>
    <col min="1024" max="1031" width="10.7109375" style="4" customWidth="1"/>
    <col min="1032" max="1277" width="8.85546875" style="4"/>
    <col min="1278" max="1278" width="1.7109375" style="4" customWidth="1"/>
    <col min="1279" max="1279" width="40.7109375" style="4" customWidth="1"/>
    <col min="1280" max="1287" width="10.7109375" style="4" customWidth="1"/>
    <col min="1288" max="1533" width="8.85546875" style="4"/>
    <col min="1534" max="1534" width="1.7109375" style="4" customWidth="1"/>
    <col min="1535" max="1535" width="40.7109375" style="4" customWidth="1"/>
    <col min="1536" max="1543" width="10.7109375" style="4" customWidth="1"/>
    <col min="1544" max="1789" width="8.85546875" style="4"/>
    <col min="1790" max="1790" width="1.7109375" style="4" customWidth="1"/>
    <col min="1791" max="1791" width="40.7109375" style="4" customWidth="1"/>
    <col min="1792" max="1799" width="10.7109375" style="4" customWidth="1"/>
    <col min="1800" max="2045" width="8.85546875" style="4"/>
    <col min="2046" max="2046" width="1.7109375" style="4" customWidth="1"/>
    <col min="2047" max="2047" width="40.7109375" style="4" customWidth="1"/>
    <col min="2048" max="2055" width="10.7109375" style="4" customWidth="1"/>
    <col min="2056" max="2301" width="8.85546875" style="4"/>
    <col min="2302" max="2302" width="1.7109375" style="4" customWidth="1"/>
    <col min="2303" max="2303" width="40.7109375" style="4" customWidth="1"/>
    <col min="2304" max="2311" width="10.7109375" style="4" customWidth="1"/>
    <col min="2312" max="2557" width="8.85546875" style="4"/>
    <col min="2558" max="2558" width="1.7109375" style="4" customWidth="1"/>
    <col min="2559" max="2559" width="40.7109375" style="4" customWidth="1"/>
    <col min="2560" max="2567" width="10.7109375" style="4" customWidth="1"/>
    <col min="2568" max="2813" width="8.85546875" style="4"/>
    <col min="2814" max="2814" width="1.7109375" style="4" customWidth="1"/>
    <col min="2815" max="2815" width="40.7109375" style="4" customWidth="1"/>
    <col min="2816" max="2823" width="10.7109375" style="4" customWidth="1"/>
    <col min="2824" max="3069" width="8.85546875" style="4"/>
    <col min="3070" max="3070" width="1.7109375" style="4" customWidth="1"/>
    <col min="3071" max="3071" width="40.7109375" style="4" customWidth="1"/>
    <col min="3072" max="3079" width="10.7109375" style="4" customWidth="1"/>
    <col min="3080" max="3325" width="8.85546875" style="4"/>
    <col min="3326" max="3326" width="1.7109375" style="4" customWidth="1"/>
    <col min="3327" max="3327" width="40.7109375" style="4" customWidth="1"/>
    <col min="3328" max="3335" width="10.7109375" style="4" customWidth="1"/>
    <col min="3336" max="3581" width="8.85546875" style="4"/>
    <col min="3582" max="3582" width="1.7109375" style="4" customWidth="1"/>
    <col min="3583" max="3583" width="40.7109375" style="4" customWidth="1"/>
    <col min="3584" max="3591" width="10.7109375" style="4" customWidth="1"/>
    <col min="3592" max="3837" width="8.85546875" style="4"/>
    <col min="3838" max="3838" width="1.7109375" style="4" customWidth="1"/>
    <col min="3839" max="3839" width="40.7109375" style="4" customWidth="1"/>
    <col min="3840" max="3847" width="10.7109375" style="4" customWidth="1"/>
    <col min="3848" max="4093" width="8.85546875" style="4"/>
    <col min="4094" max="4094" width="1.7109375" style="4" customWidth="1"/>
    <col min="4095" max="4095" width="40.7109375" style="4" customWidth="1"/>
    <col min="4096" max="4103" width="10.7109375" style="4" customWidth="1"/>
    <col min="4104" max="4349" width="8.85546875" style="4"/>
    <col min="4350" max="4350" width="1.7109375" style="4" customWidth="1"/>
    <col min="4351" max="4351" width="40.7109375" style="4" customWidth="1"/>
    <col min="4352" max="4359" width="10.7109375" style="4" customWidth="1"/>
    <col min="4360" max="4605" width="8.85546875" style="4"/>
    <col min="4606" max="4606" width="1.7109375" style="4" customWidth="1"/>
    <col min="4607" max="4607" width="40.7109375" style="4" customWidth="1"/>
    <col min="4608" max="4615" width="10.7109375" style="4" customWidth="1"/>
    <col min="4616" max="4861" width="8.85546875" style="4"/>
    <col min="4862" max="4862" width="1.7109375" style="4" customWidth="1"/>
    <col min="4863" max="4863" width="40.7109375" style="4" customWidth="1"/>
    <col min="4864" max="4871" width="10.7109375" style="4" customWidth="1"/>
    <col min="4872" max="5117" width="8.85546875" style="4"/>
    <col min="5118" max="5118" width="1.7109375" style="4" customWidth="1"/>
    <col min="5119" max="5119" width="40.7109375" style="4" customWidth="1"/>
    <col min="5120" max="5127" width="10.7109375" style="4" customWidth="1"/>
    <col min="5128" max="5373" width="8.85546875" style="4"/>
    <col min="5374" max="5374" width="1.7109375" style="4" customWidth="1"/>
    <col min="5375" max="5375" width="40.7109375" style="4" customWidth="1"/>
    <col min="5376" max="5383" width="10.7109375" style="4" customWidth="1"/>
    <col min="5384" max="5629" width="8.85546875" style="4"/>
    <col min="5630" max="5630" width="1.7109375" style="4" customWidth="1"/>
    <col min="5631" max="5631" width="40.7109375" style="4" customWidth="1"/>
    <col min="5632" max="5639" width="10.7109375" style="4" customWidth="1"/>
    <col min="5640" max="5885" width="8.85546875" style="4"/>
    <col min="5886" max="5886" width="1.7109375" style="4" customWidth="1"/>
    <col min="5887" max="5887" width="40.7109375" style="4" customWidth="1"/>
    <col min="5888" max="5895" width="10.7109375" style="4" customWidth="1"/>
    <col min="5896" max="6141" width="8.85546875" style="4"/>
    <col min="6142" max="6142" width="1.7109375" style="4" customWidth="1"/>
    <col min="6143" max="6143" width="40.7109375" style="4" customWidth="1"/>
    <col min="6144" max="6151" width="10.7109375" style="4" customWidth="1"/>
    <col min="6152" max="6397" width="8.85546875" style="4"/>
    <col min="6398" max="6398" width="1.7109375" style="4" customWidth="1"/>
    <col min="6399" max="6399" width="40.7109375" style="4" customWidth="1"/>
    <col min="6400" max="6407" width="10.7109375" style="4" customWidth="1"/>
    <col min="6408" max="6653" width="8.85546875" style="4"/>
    <col min="6654" max="6654" width="1.7109375" style="4" customWidth="1"/>
    <col min="6655" max="6655" width="40.7109375" style="4" customWidth="1"/>
    <col min="6656" max="6663" width="10.7109375" style="4" customWidth="1"/>
    <col min="6664" max="6909" width="8.85546875" style="4"/>
    <col min="6910" max="6910" width="1.7109375" style="4" customWidth="1"/>
    <col min="6911" max="6911" width="40.7109375" style="4" customWidth="1"/>
    <col min="6912" max="6919" width="10.7109375" style="4" customWidth="1"/>
    <col min="6920" max="7165" width="8.85546875" style="4"/>
    <col min="7166" max="7166" width="1.7109375" style="4" customWidth="1"/>
    <col min="7167" max="7167" width="40.7109375" style="4" customWidth="1"/>
    <col min="7168" max="7175" width="10.7109375" style="4" customWidth="1"/>
    <col min="7176" max="7421" width="8.85546875" style="4"/>
    <col min="7422" max="7422" width="1.7109375" style="4" customWidth="1"/>
    <col min="7423" max="7423" width="40.7109375" style="4" customWidth="1"/>
    <col min="7424" max="7431" width="10.7109375" style="4" customWidth="1"/>
    <col min="7432" max="7677" width="8.85546875" style="4"/>
    <col min="7678" max="7678" width="1.7109375" style="4" customWidth="1"/>
    <col min="7679" max="7679" width="40.7109375" style="4" customWidth="1"/>
    <col min="7680" max="7687" width="10.7109375" style="4" customWidth="1"/>
    <col min="7688" max="7933" width="8.85546875" style="4"/>
    <col min="7934" max="7934" width="1.7109375" style="4" customWidth="1"/>
    <col min="7935" max="7935" width="40.7109375" style="4" customWidth="1"/>
    <col min="7936" max="7943" width="10.7109375" style="4" customWidth="1"/>
    <col min="7944" max="8189" width="8.85546875" style="4"/>
    <col min="8190" max="8190" width="1.7109375" style="4" customWidth="1"/>
    <col min="8191" max="8191" width="40.7109375" style="4" customWidth="1"/>
    <col min="8192" max="8199" width="10.7109375" style="4" customWidth="1"/>
    <col min="8200" max="8445" width="8.85546875" style="4"/>
    <col min="8446" max="8446" width="1.7109375" style="4" customWidth="1"/>
    <col min="8447" max="8447" width="40.7109375" style="4" customWidth="1"/>
    <col min="8448" max="8455" width="10.7109375" style="4" customWidth="1"/>
    <col min="8456" max="8701" width="8.85546875" style="4"/>
    <col min="8702" max="8702" width="1.7109375" style="4" customWidth="1"/>
    <col min="8703" max="8703" width="40.7109375" style="4" customWidth="1"/>
    <col min="8704" max="8711" width="10.7109375" style="4" customWidth="1"/>
    <col min="8712" max="8957" width="8.85546875" style="4"/>
    <col min="8958" max="8958" width="1.7109375" style="4" customWidth="1"/>
    <col min="8959" max="8959" width="40.7109375" style="4" customWidth="1"/>
    <col min="8960" max="8967" width="10.7109375" style="4" customWidth="1"/>
    <col min="8968" max="9213" width="8.85546875" style="4"/>
    <col min="9214" max="9214" width="1.7109375" style="4" customWidth="1"/>
    <col min="9215" max="9215" width="40.7109375" style="4" customWidth="1"/>
    <col min="9216" max="9223" width="10.7109375" style="4" customWidth="1"/>
    <col min="9224" max="9469" width="8.85546875" style="4"/>
    <col min="9470" max="9470" width="1.7109375" style="4" customWidth="1"/>
    <col min="9471" max="9471" width="40.7109375" style="4" customWidth="1"/>
    <col min="9472" max="9479" width="10.7109375" style="4" customWidth="1"/>
    <col min="9480" max="9725" width="8.85546875" style="4"/>
    <col min="9726" max="9726" width="1.7109375" style="4" customWidth="1"/>
    <col min="9727" max="9727" width="40.7109375" style="4" customWidth="1"/>
    <col min="9728" max="9735" width="10.7109375" style="4" customWidth="1"/>
    <col min="9736" max="9981" width="8.85546875" style="4"/>
    <col min="9982" max="9982" width="1.7109375" style="4" customWidth="1"/>
    <col min="9983" max="9983" width="40.7109375" style="4" customWidth="1"/>
    <col min="9984" max="9991" width="10.7109375" style="4" customWidth="1"/>
    <col min="9992" max="10237" width="8.85546875" style="4"/>
    <col min="10238" max="10238" width="1.7109375" style="4" customWidth="1"/>
    <col min="10239" max="10239" width="40.7109375" style="4" customWidth="1"/>
    <col min="10240" max="10247" width="10.7109375" style="4" customWidth="1"/>
    <col min="10248" max="10493" width="8.85546875" style="4"/>
    <col min="10494" max="10494" width="1.7109375" style="4" customWidth="1"/>
    <col min="10495" max="10495" width="40.7109375" style="4" customWidth="1"/>
    <col min="10496" max="10503" width="10.7109375" style="4" customWidth="1"/>
    <col min="10504" max="10749" width="8.85546875" style="4"/>
    <col min="10750" max="10750" width="1.7109375" style="4" customWidth="1"/>
    <col min="10751" max="10751" width="40.7109375" style="4" customWidth="1"/>
    <col min="10752" max="10759" width="10.7109375" style="4" customWidth="1"/>
    <col min="10760" max="11005" width="8.85546875" style="4"/>
    <col min="11006" max="11006" width="1.7109375" style="4" customWidth="1"/>
    <col min="11007" max="11007" width="40.7109375" style="4" customWidth="1"/>
    <col min="11008" max="11015" width="10.7109375" style="4" customWidth="1"/>
    <col min="11016" max="11261" width="8.85546875" style="4"/>
    <col min="11262" max="11262" width="1.7109375" style="4" customWidth="1"/>
    <col min="11263" max="11263" width="40.7109375" style="4" customWidth="1"/>
    <col min="11264" max="11271" width="10.7109375" style="4" customWidth="1"/>
    <col min="11272" max="11517" width="8.85546875" style="4"/>
    <col min="11518" max="11518" width="1.7109375" style="4" customWidth="1"/>
    <col min="11519" max="11519" width="40.7109375" style="4" customWidth="1"/>
    <col min="11520" max="11527" width="10.7109375" style="4" customWidth="1"/>
    <col min="11528" max="11773" width="8.85546875" style="4"/>
    <col min="11774" max="11774" width="1.7109375" style="4" customWidth="1"/>
    <col min="11775" max="11775" width="40.7109375" style="4" customWidth="1"/>
    <col min="11776" max="11783" width="10.7109375" style="4" customWidth="1"/>
    <col min="11784" max="12029" width="8.85546875" style="4"/>
    <col min="12030" max="12030" width="1.7109375" style="4" customWidth="1"/>
    <col min="12031" max="12031" width="40.7109375" style="4" customWidth="1"/>
    <col min="12032" max="12039" width="10.7109375" style="4" customWidth="1"/>
    <col min="12040" max="12285" width="8.85546875" style="4"/>
    <col min="12286" max="12286" width="1.7109375" style="4" customWidth="1"/>
    <col min="12287" max="12287" width="40.7109375" style="4" customWidth="1"/>
    <col min="12288" max="12295" width="10.7109375" style="4" customWidth="1"/>
    <col min="12296" max="12541" width="8.85546875" style="4"/>
    <col min="12542" max="12542" width="1.7109375" style="4" customWidth="1"/>
    <col min="12543" max="12543" width="40.7109375" style="4" customWidth="1"/>
    <col min="12544" max="12551" width="10.7109375" style="4" customWidth="1"/>
    <col min="12552" max="12797" width="8.85546875" style="4"/>
    <col min="12798" max="12798" width="1.7109375" style="4" customWidth="1"/>
    <col min="12799" max="12799" width="40.7109375" style="4" customWidth="1"/>
    <col min="12800" max="12807" width="10.7109375" style="4" customWidth="1"/>
    <col min="12808" max="13053" width="8.85546875" style="4"/>
    <col min="13054" max="13054" width="1.7109375" style="4" customWidth="1"/>
    <col min="13055" max="13055" width="40.7109375" style="4" customWidth="1"/>
    <col min="13056" max="13063" width="10.7109375" style="4" customWidth="1"/>
    <col min="13064" max="13309" width="8.85546875" style="4"/>
    <col min="13310" max="13310" width="1.7109375" style="4" customWidth="1"/>
    <col min="13311" max="13311" width="40.7109375" style="4" customWidth="1"/>
    <col min="13312" max="13319" width="10.7109375" style="4" customWidth="1"/>
    <col min="13320" max="13565" width="8.85546875" style="4"/>
    <col min="13566" max="13566" width="1.7109375" style="4" customWidth="1"/>
    <col min="13567" max="13567" width="40.7109375" style="4" customWidth="1"/>
    <col min="13568" max="13575" width="10.7109375" style="4" customWidth="1"/>
    <col min="13576" max="13821" width="8.85546875" style="4"/>
    <col min="13822" max="13822" width="1.7109375" style="4" customWidth="1"/>
    <col min="13823" max="13823" width="40.7109375" style="4" customWidth="1"/>
    <col min="13824" max="13831" width="10.7109375" style="4" customWidth="1"/>
    <col min="13832" max="14077" width="8.85546875" style="4"/>
    <col min="14078" max="14078" width="1.7109375" style="4" customWidth="1"/>
    <col min="14079" max="14079" width="40.7109375" style="4" customWidth="1"/>
    <col min="14080" max="14087" width="10.7109375" style="4" customWidth="1"/>
    <col min="14088" max="14333" width="8.85546875" style="4"/>
    <col min="14334" max="14334" width="1.7109375" style="4" customWidth="1"/>
    <col min="14335" max="14335" width="40.7109375" style="4" customWidth="1"/>
    <col min="14336" max="14343" width="10.7109375" style="4" customWidth="1"/>
    <col min="14344" max="14589" width="8.85546875" style="4"/>
    <col min="14590" max="14590" width="1.7109375" style="4" customWidth="1"/>
    <col min="14591" max="14591" width="40.7109375" style="4" customWidth="1"/>
    <col min="14592" max="14599" width="10.7109375" style="4" customWidth="1"/>
    <col min="14600" max="14845" width="8.85546875" style="4"/>
    <col min="14846" max="14846" width="1.7109375" style="4" customWidth="1"/>
    <col min="14847" max="14847" width="40.7109375" style="4" customWidth="1"/>
    <col min="14848" max="14855" width="10.7109375" style="4" customWidth="1"/>
    <col min="14856" max="15101" width="8.85546875" style="4"/>
    <col min="15102" max="15102" width="1.7109375" style="4" customWidth="1"/>
    <col min="15103" max="15103" width="40.7109375" style="4" customWidth="1"/>
    <col min="15104" max="15111" width="10.7109375" style="4" customWidth="1"/>
    <col min="15112" max="15357" width="8.85546875" style="4"/>
    <col min="15358" max="15358" width="1.7109375" style="4" customWidth="1"/>
    <col min="15359" max="15359" width="40.7109375" style="4" customWidth="1"/>
    <col min="15360" max="15367" width="10.7109375" style="4" customWidth="1"/>
    <col min="15368" max="15613" width="8.85546875" style="4"/>
    <col min="15614" max="15614" width="1.7109375" style="4" customWidth="1"/>
    <col min="15615" max="15615" width="40.7109375" style="4" customWidth="1"/>
    <col min="15616" max="15623" width="10.7109375" style="4" customWidth="1"/>
    <col min="15624" max="15869" width="8.85546875" style="4"/>
    <col min="15870" max="15870" width="1.7109375" style="4" customWidth="1"/>
    <col min="15871" max="15871" width="40.7109375" style="4" customWidth="1"/>
    <col min="15872" max="15879" width="10.7109375" style="4" customWidth="1"/>
    <col min="15880" max="16125" width="8.85546875" style="4"/>
    <col min="16126" max="16126" width="1.7109375" style="4" customWidth="1"/>
    <col min="16127" max="16127" width="40.7109375" style="4" customWidth="1"/>
    <col min="16128" max="16135" width="10.7109375" style="4" customWidth="1"/>
    <col min="16136" max="16384" width="8.85546875" style="4"/>
  </cols>
  <sheetData>
    <row r="1" spans="1:13" s="2" customFormat="1" ht="19.5" x14ac:dyDescent="0.3">
      <c r="A1" s="317" t="str">
        <f>CoName</f>
        <v>Berkshire Hathaway Non-Insurance</v>
      </c>
      <c r="B1" s="3"/>
      <c r="C1" s="43" t="s">
        <v>0</v>
      </c>
      <c r="D1" s="43" t="s">
        <v>0</v>
      </c>
      <c r="E1" s="43" t="s">
        <v>0</v>
      </c>
      <c r="F1" s="43" t="s">
        <v>1</v>
      </c>
      <c r="G1" s="43" t="s">
        <v>1</v>
      </c>
      <c r="H1" s="43" t="s">
        <v>1</v>
      </c>
      <c r="I1" s="43" t="s">
        <v>1</v>
      </c>
      <c r="J1" s="43" t="s">
        <v>1</v>
      </c>
      <c r="K1" s="43"/>
      <c r="L1" s="43"/>
    </row>
    <row r="2" spans="1:13" x14ac:dyDescent="0.25">
      <c r="A2" s="22" t="s">
        <v>11</v>
      </c>
      <c r="B2" s="21"/>
      <c r="C2" s="210">
        <v>2022</v>
      </c>
      <c r="D2" s="315">
        <f>C2+1</f>
        <v>2023</v>
      </c>
      <c r="E2" s="315">
        <f t="shared" ref="E2:J2" si="0">D2+1</f>
        <v>2024</v>
      </c>
      <c r="F2" s="315">
        <f t="shared" si="0"/>
        <v>2025</v>
      </c>
      <c r="G2" s="315">
        <f t="shared" si="0"/>
        <v>2026</v>
      </c>
      <c r="H2" s="315">
        <f t="shared" si="0"/>
        <v>2027</v>
      </c>
      <c r="I2" s="315">
        <f t="shared" si="0"/>
        <v>2028</v>
      </c>
      <c r="J2" s="315">
        <f t="shared" si="0"/>
        <v>2029</v>
      </c>
      <c r="K2" s="211"/>
      <c r="L2" s="211"/>
      <c r="M2" s="211"/>
    </row>
    <row r="3" spans="1:13" x14ac:dyDescent="0.25">
      <c r="B3" s="4" t="s">
        <v>12</v>
      </c>
      <c r="C3" s="31"/>
      <c r="D3" s="31"/>
      <c r="E3" s="42"/>
      <c r="F3" s="220">
        <f>Assumptions!F31</f>
        <v>0.30893753765816429</v>
      </c>
      <c r="G3" s="220">
        <f>Assumptions!G31</f>
        <v>0.30893753765816429</v>
      </c>
      <c r="H3" s="220">
        <f>Assumptions!H31</f>
        <v>0.30893753765816429</v>
      </c>
      <c r="I3" s="220">
        <f>Assumptions!I31</f>
        <v>0.30893753765816429</v>
      </c>
      <c r="J3" s="220">
        <f>Assumptions!J31</f>
        <v>0.30893753765816429</v>
      </c>
      <c r="K3" s="218"/>
      <c r="L3" s="218"/>
    </row>
    <row r="4" spans="1:13" x14ac:dyDescent="0.25">
      <c r="B4" s="4" t="s">
        <v>130</v>
      </c>
      <c r="C4" s="31"/>
      <c r="D4" s="31"/>
      <c r="E4" s="42"/>
      <c r="F4" s="220">
        <f>Assumptions!F32</f>
        <v>7.3438892397032704E-2</v>
      </c>
      <c r="G4" s="220">
        <f>F4</f>
        <v>7.3438892397032704E-2</v>
      </c>
      <c r="H4" s="220">
        <f t="shared" ref="H4:J4" si="1">G4</f>
        <v>7.3438892397032704E-2</v>
      </c>
      <c r="I4" s="220">
        <f t="shared" si="1"/>
        <v>7.3438892397032704E-2</v>
      </c>
      <c r="J4" s="220">
        <f t="shared" si="1"/>
        <v>7.3438892397032704E-2</v>
      </c>
      <c r="K4" s="218"/>
      <c r="L4" s="218"/>
    </row>
    <row r="5" spans="1:13" x14ac:dyDescent="0.25">
      <c r="E5" s="29"/>
      <c r="F5" s="80"/>
      <c r="G5" s="68"/>
      <c r="H5" s="86"/>
      <c r="I5" s="68"/>
      <c r="J5" s="68"/>
    </row>
    <row r="6" spans="1:13" x14ac:dyDescent="0.25">
      <c r="B6" s="4" t="s">
        <v>13</v>
      </c>
      <c r="E6" s="29"/>
      <c r="F6" s="4">
        <f>E9</f>
        <v>175030</v>
      </c>
      <c r="G6" s="4">
        <f t="shared" ref="G6:J6" si="2">F9</f>
        <v>177942.54066374735</v>
      </c>
      <c r="H6" s="4">
        <f t="shared" si="2"/>
        <v>181035.3513170878</v>
      </c>
      <c r="I6" s="4">
        <f t="shared" si="2"/>
        <v>184305.04722540316</v>
      </c>
      <c r="J6" s="4">
        <f t="shared" si="2"/>
        <v>187748.73857758049</v>
      </c>
    </row>
    <row r="7" spans="1:13" x14ac:dyDescent="0.25">
      <c r="B7" s="4" t="s">
        <v>14</v>
      </c>
      <c r="C7" s="13"/>
      <c r="D7" s="13"/>
      <c r="E7" s="134"/>
      <c r="F7" s="4">
        <f>F3*IncState!F15</f>
        <v>15766.549999999997</v>
      </c>
      <c r="G7" s="4">
        <f>G3*IncState!G15</f>
        <v>16160.713749999995</v>
      </c>
      <c r="H7" s="4">
        <f>H3*IncState!H15</f>
        <v>16564.731593749995</v>
      </c>
      <c r="I7" s="4">
        <f>I3*IncState!I15</f>
        <v>16978.849883593743</v>
      </c>
      <c r="J7" s="4">
        <f>J3*IncState!J15</f>
        <v>17403.321130683584</v>
      </c>
    </row>
    <row r="8" spans="1:13" x14ac:dyDescent="0.25">
      <c r="B8" s="4" t="s">
        <v>15</v>
      </c>
      <c r="E8" s="29"/>
      <c r="F8" s="4">
        <f>F6*F4</f>
        <v>12854.009336252635</v>
      </c>
      <c r="G8" s="4">
        <f t="shared" ref="G8:J8" si="3">G6*G4</f>
        <v>13067.903096659558</v>
      </c>
      <c r="H8" s="4">
        <f t="shared" si="3"/>
        <v>13295.035685434625</v>
      </c>
      <c r="I8" s="4">
        <f t="shared" si="3"/>
        <v>13535.158531416413</v>
      </c>
      <c r="J8" s="4">
        <f t="shared" si="3"/>
        <v>13788.059410077556</v>
      </c>
    </row>
    <row r="9" spans="1:13" x14ac:dyDescent="0.25">
      <c r="B9" s="4" t="s">
        <v>16</v>
      </c>
      <c r="E9" s="29">
        <f>BalSheet!E20</f>
        <v>175030</v>
      </c>
      <c r="F9" s="4">
        <f>F6+F7-F8</f>
        <v>177942.54066374735</v>
      </c>
      <c r="G9" s="4">
        <f t="shared" ref="G9:J9" si="4">G6+G7-G8</f>
        <v>181035.3513170878</v>
      </c>
      <c r="H9" s="4">
        <f t="shared" si="4"/>
        <v>184305.04722540316</v>
      </c>
      <c r="I9" s="4">
        <f t="shared" si="4"/>
        <v>187748.73857758049</v>
      </c>
      <c r="J9" s="4">
        <f t="shared" si="4"/>
        <v>191364.00029818653</v>
      </c>
    </row>
    <row r="10" spans="1:13" x14ac:dyDescent="0.25">
      <c r="A10" s="22" t="s">
        <v>17</v>
      </c>
      <c r="B10" s="44"/>
      <c r="C10" s="289">
        <f t="shared" ref="C10:J10" si="5">C2</f>
        <v>2022</v>
      </c>
      <c r="D10" s="289">
        <f t="shared" si="5"/>
        <v>2023</v>
      </c>
      <c r="E10" s="289">
        <f t="shared" si="5"/>
        <v>2024</v>
      </c>
      <c r="F10" s="289">
        <f t="shared" si="5"/>
        <v>2025</v>
      </c>
      <c r="G10" s="289">
        <f t="shared" si="5"/>
        <v>2026</v>
      </c>
      <c r="H10" s="289">
        <f t="shared" si="5"/>
        <v>2027</v>
      </c>
      <c r="I10" s="289">
        <f t="shared" si="5"/>
        <v>2028</v>
      </c>
      <c r="J10" s="289">
        <f t="shared" si="5"/>
        <v>2029</v>
      </c>
      <c r="K10" s="213"/>
      <c r="L10" s="213"/>
    </row>
    <row r="11" spans="1:13" x14ac:dyDescent="0.25">
      <c r="B11" s="4" t="s">
        <v>18</v>
      </c>
      <c r="E11" s="29"/>
      <c r="F11" s="318">
        <f>Assumptions!F33</f>
        <v>0</v>
      </c>
      <c r="G11" s="318">
        <f>Assumptions!G33</f>
        <v>0</v>
      </c>
      <c r="H11" s="318">
        <f>Assumptions!H33</f>
        <v>0</v>
      </c>
      <c r="I11" s="318">
        <f>Assumptions!I33</f>
        <v>0</v>
      </c>
      <c r="J11" s="318">
        <f>Assumptions!J33</f>
        <v>0</v>
      </c>
      <c r="K11" s="219"/>
      <c r="L11" s="219"/>
    </row>
    <row r="12" spans="1:13" x14ac:dyDescent="0.25">
      <c r="E12" s="29"/>
      <c r="F12" s="80"/>
      <c r="G12" s="68"/>
      <c r="H12" s="86"/>
      <c r="I12" s="68"/>
      <c r="J12" s="68"/>
    </row>
    <row r="13" spans="1:13" x14ac:dyDescent="0.25">
      <c r="B13" s="4" t="s">
        <v>19</v>
      </c>
      <c r="E13" s="29"/>
      <c r="F13" s="4">
        <f>E16</f>
        <v>130973</v>
      </c>
      <c r="G13" s="4">
        <f t="shared" ref="G13:J13" si="6">F16</f>
        <v>137096.35703953714</v>
      </c>
      <c r="H13" s="4">
        <f t="shared" si="6"/>
        <v>143423.03004459981</v>
      </c>
      <c r="I13" s="4">
        <f t="shared" si="6"/>
        <v>149958.10191432619</v>
      </c>
      <c r="J13" s="4">
        <f t="shared" si="6"/>
        <v>156706.78262033284</v>
      </c>
    </row>
    <row r="14" spans="1:13" x14ac:dyDescent="0.25">
      <c r="B14" s="4" t="s">
        <v>20</v>
      </c>
      <c r="E14" s="29"/>
      <c r="F14" s="4">
        <f>IncState!F33</f>
        <v>6123.3570395371298</v>
      </c>
      <c r="G14" s="4">
        <f>IncState!G33</f>
        <v>6326.6730050626811</v>
      </c>
      <c r="H14" s="4">
        <f>IncState!H33</f>
        <v>6535.0718697263728</v>
      </c>
      <c r="I14" s="4">
        <f>IncState!I33</f>
        <v>6748.6807060066549</v>
      </c>
      <c r="J14" s="4">
        <f>IncState!J33</f>
        <v>6967.6297631939506</v>
      </c>
    </row>
    <row r="15" spans="1:13" x14ac:dyDescent="0.25">
      <c r="B15" s="4" t="s">
        <v>21</v>
      </c>
      <c r="E15" s="29"/>
      <c r="F15" s="4">
        <f>F11</f>
        <v>0</v>
      </c>
      <c r="G15" s="4">
        <f t="shared" ref="G15:J15" si="7">G11</f>
        <v>0</v>
      </c>
      <c r="H15" s="4">
        <f t="shared" si="7"/>
        <v>0</v>
      </c>
      <c r="I15" s="4">
        <f t="shared" si="7"/>
        <v>0</v>
      </c>
      <c r="J15" s="4">
        <f t="shared" si="7"/>
        <v>0</v>
      </c>
    </row>
    <row r="16" spans="1:13" x14ac:dyDescent="0.25">
      <c r="B16" s="4" t="s">
        <v>22</v>
      </c>
      <c r="E16" s="29">
        <f>BalSheet!E36</f>
        <v>130973</v>
      </c>
      <c r="F16" s="4">
        <f>SUM(F13:F15)</f>
        <v>137096.35703953714</v>
      </c>
      <c r="G16" s="4">
        <f t="shared" ref="G16:J16" si="8">SUM(G13:G15)</f>
        <v>143423.03004459981</v>
      </c>
      <c r="H16" s="4">
        <f t="shared" si="8"/>
        <v>149958.10191432619</v>
      </c>
      <c r="I16" s="4">
        <f t="shared" si="8"/>
        <v>156706.78262033284</v>
      </c>
      <c r="J16" s="4">
        <f t="shared" si="8"/>
        <v>163674.4123835268</v>
      </c>
    </row>
    <row r="17" spans="1:12" x14ac:dyDescent="0.25">
      <c r="A17" s="22" t="s">
        <v>23</v>
      </c>
      <c r="B17" s="44"/>
      <c r="C17" s="289">
        <f>C10</f>
        <v>2022</v>
      </c>
      <c r="D17" s="289">
        <f t="shared" ref="D17:J17" si="9">D10</f>
        <v>2023</v>
      </c>
      <c r="E17" s="289">
        <f t="shared" si="9"/>
        <v>2024</v>
      </c>
      <c r="F17" s="289">
        <f t="shared" si="9"/>
        <v>2025</v>
      </c>
      <c r="G17" s="289">
        <f t="shared" si="9"/>
        <v>2026</v>
      </c>
      <c r="H17" s="289">
        <f t="shared" si="9"/>
        <v>2027</v>
      </c>
      <c r="I17" s="289">
        <f t="shared" si="9"/>
        <v>2028</v>
      </c>
      <c r="J17" s="289">
        <f t="shared" si="9"/>
        <v>2029</v>
      </c>
      <c r="K17" s="213"/>
      <c r="L17" s="213"/>
    </row>
    <row r="18" spans="1:12" x14ac:dyDescent="0.25">
      <c r="A18" s="89"/>
      <c r="B18" s="190" t="s">
        <v>153</v>
      </c>
      <c r="C18" s="213"/>
      <c r="D18" s="213"/>
      <c r="E18" s="234">
        <f>BalSheet!E14</f>
        <v>746.85</v>
      </c>
      <c r="F18" s="138">
        <f>BalSheet!F14</f>
        <v>765.5212499999999</v>
      </c>
      <c r="G18" s="138">
        <f>BalSheet!G14</f>
        <v>784.65928124999982</v>
      </c>
      <c r="H18" s="138">
        <f>BalSheet!H14</f>
        <v>804.27576328124985</v>
      </c>
      <c r="I18" s="138">
        <f>BalSheet!I14</f>
        <v>824.38265736328094</v>
      </c>
      <c r="J18" s="138">
        <f>BalSheet!J14</f>
        <v>844.99222379736284</v>
      </c>
      <c r="K18" s="213"/>
      <c r="L18" s="213"/>
    </row>
    <row r="19" spans="1:12" x14ac:dyDescent="0.25">
      <c r="B19" s="4" t="str">
        <f>BalSheet!B16</f>
        <v>Accounts receivable</v>
      </c>
      <c r="C19" s="100"/>
      <c r="D19" s="100"/>
      <c r="E19" s="101">
        <f>BalSheet!E16</f>
        <v>4503</v>
      </c>
      <c r="F19" s="4">
        <f>BalSheet!F16</f>
        <v>4615.5749999999989</v>
      </c>
      <c r="G19" s="4">
        <f>BalSheet!G16</f>
        <v>4730.9643749999987</v>
      </c>
      <c r="H19" s="4">
        <f>BalSheet!H16</f>
        <v>4849.2384843749987</v>
      </c>
      <c r="I19" s="4">
        <f>BalSheet!I16</f>
        <v>4970.4694464843724</v>
      </c>
      <c r="J19" s="4">
        <f>BalSheet!J16</f>
        <v>5094.7311826464811</v>
      </c>
      <c r="K19" s="100"/>
      <c r="L19" s="100"/>
    </row>
    <row r="20" spans="1:12" x14ac:dyDescent="0.25">
      <c r="B20" s="4" t="s">
        <v>66</v>
      </c>
      <c r="C20" s="100"/>
      <c r="D20" s="100"/>
      <c r="E20" s="101">
        <f>BalSheet!E17</f>
        <v>5349</v>
      </c>
      <c r="F20" s="4">
        <f>BalSheet!F17</f>
        <v>5482.7249999999985</v>
      </c>
      <c r="G20" s="4">
        <f>BalSheet!G17</f>
        <v>5619.7931249999983</v>
      </c>
      <c r="H20" s="4">
        <f>BalSheet!H17</f>
        <v>5760.2879531249982</v>
      </c>
      <c r="I20" s="4">
        <f>BalSheet!I17</f>
        <v>5904.2951519531216</v>
      </c>
      <c r="J20" s="4">
        <f>BalSheet!J17</f>
        <v>6051.9025307519496</v>
      </c>
      <c r="K20" s="100"/>
      <c r="L20" s="100"/>
    </row>
    <row r="21" spans="1:12" x14ac:dyDescent="0.25">
      <c r="B21" s="4" t="s">
        <v>157</v>
      </c>
      <c r="C21" s="100"/>
      <c r="D21" s="100"/>
      <c r="E21" s="101">
        <f>BalSheet!E28</f>
        <v>18226</v>
      </c>
      <c r="F21" s="4">
        <f>BalSheet!F28</f>
        <v>18681.649999999994</v>
      </c>
      <c r="G21" s="4">
        <f>BalSheet!G28</f>
        <v>19148.691249999993</v>
      </c>
      <c r="H21" s="4">
        <f>BalSheet!H28</f>
        <v>19627.408531249992</v>
      </c>
      <c r="I21" s="4">
        <f>BalSheet!I28</f>
        <v>20118.093744531241</v>
      </c>
      <c r="J21" s="4">
        <f>BalSheet!J28</f>
        <v>20621.046088144518</v>
      </c>
      <c r="K21" s="100"/>
      <c r="L21" s="100"/>
    </row>
    <row r="22" spans="1:12" x14ac:dyDescent="0.25">
      <c r="B22" s="4" t="s">
        <v>72</v>
      </c>
      <c r="C22" s="100"/>
      <c r="D22" s="100"/>
      <c r="E22" s="101">
        <f>BalSheet!E29</f>
        <v>7033</v>
      </c>
      <c r="F22" s="4">
        <f>BalSheet!F29</f>
        <v>7208.8249999999989</v>
      </c>
      <c r="G22" s="4">
        <f>BalSheet!G29</f>
        <v>7389.0456249999979</v>
      </c>
      <c r="H22" s="4">
        <f>BalSheet!H29</f>
        <v>7573.771765624997</v>
      </c>
      <c r="I22" s="4">
        <f>BalSheet!I29</f>
        <v>7763.1160597656217</v>
      </c>
      <c r="J22" s="4">
        <f>BalSheet!J29</f>
        <v>7957.1939612597607</v>
      </c>
      <c r="K22" s="100"/>
      <c r="L22" s="100"/>
    </row>
    <row r="23" spans="1:12" x14ac:dyDescent="0.25">
      <c r="A23" s="11" t="s">
        <v>119</v>
      </c>
      <c r="B23" s="18" t="s">
        <v>23</v>
      </c>
      <c r="C23" s="19"/>
      <c r="D23" s="19"/>
      <c r="E23" s="19">
        <f>SUM(E18:E20)-SUM(E21:E22)</f>
        <v>-14660.15</v>
      </c>
      <c r="F23" s="19">
        <f t="shared" ref="F23" si="10">SUM(F18:F20)-SUM(F21:F22)</f>
        <v>-15026.653749999994</v>
      </c>
      <c r="G23" s="19">
        <f t="shared" ref="G23" si="11">SUM(G18:G20)-SUM(G21:G22)</f>
        <v>-15402.320093749995</v>
      </c>
      <c r="H23" s="19">
        <f t="shared" ref="H23" si="12">SUM(H18:H20)-SUM(H21:H22)</f>
        <v>-15787.378096093744</v>
      </c>
      <c r="I23" s="19">
        <f t="shared" ref="I23" si="13">SUM(I18:I20)-SUM(I21:I22)</f>
        <v>-16182.062548496089</v>
      </c>
      <c r="J23" s="19">
        <f t="shared" ref="J23" si="14">SUM(J18:J20)-SUM(J21:J22)</f>
        <v>-16586.614112208485</v>
      </c>
      <c r="K23" s="11"/>
      <c r="L23" s="11"/>
    </row>
    <row r="24" spans="1:12" s="11" customFormat="1" x14ac:dyDescent="0.25">
      <c r="A24" s="26"/>
      <c r="B24" s="11" t="s">
        <v>145</v>
      </c>
      <c r="F24" s="11">
        <f>E23-F23</f>
        <v>366.5037499999944</v>
      </c>
      <c r="G24" s="11">
        <f t="shared" ref="G24:J24" si="15">F23-G23</f>
        <v>375.66634375000103</v>
      </c>
      <c r="H24" s="11">
        <f t="shared" si="15"/>
        <v>385.05800234374874</v>
      </c>
      <c r="I24" s="11">
        <f t="shared" si="15"/>
        <v>394.68445240234541</v>
      </c>
      <c r="J24" s="11">
        <f t="shared" si="15"/>
        <v>404.55156371239536</v>
      </c>
    </row>
    <row r="25" spans="1:12" x14ac:dyDescent="0.25">
      <c r="B25" s="68"/>
      <c r="C25" s="68"/>
      <c r="D25" s="68"/>
      <c r="E25" s="68"/>
      <c r="F25" s="68"/>
      <c r="G25" s="68"/>
      <c r="H25" s="86"/>
      <c r="I25" s="68"/>
      <c r="J25" s="68"/>
    </row>
    <row r="26" spans="1:12" x14ac:dyDescent="0.25">
      <c r="H26" s="6"/>
      <c r="I26" s="4"/>
      <c r="J26" s="4"/>
    </row>
    <row r="27" spans="1:12" x14ac:dyDescent="0.25">
      <c r="H27" s="6"/>
      <c r="I27" s="4"/>
      <c r="J27" s="4"/>
    </row>
    <row r="28" spans="1:12" x14ac:dyDescent="0.25">
      <c r="H28" s="6"/>
      <c r="I28" s="4"/>
      <c r="J28" s="4"/>
    </row>
    <row r="29" spans="1:12" x14ac:dyDescent="0.25">
      <c r="H29" s="6"/>
      <c r="I29" s="4"/>
      <c r="J29" s="4"/>
    </row>
    <row r="30" spans="1:12" x14ac:dyDescent="0.25">
      <c r="H30" s="6"/>
      <c r="I30" s="4"/>
      <c r="J30" s="4"/>
    </row>
    <row r="31" spans="1:12" x14ac:dyDescent="0.25">
      <c r="H31" s="6"/>
      <c r="I31" s="4"/>
      <c r="J31" s="4"/>
    </row>
    <row r="32" spans="1:12" x14ac:dyDescent="0.25">
      <c r="H32" s="6"/>
      <c r="I32" s="4"/>
      <c r="J32" s="4"/>
    </row>
    <row r="33" spans="8:10" x14ac:dyDescent="0.25">
      <c r="H33" s="6"/>
      <c r="I33" s="4"/>
      <c r="J33" s="4"/>
    </row>
    <row r="34" spans="8:10" x14ac:dyDescent="0.25">
      <c r="H34" s="6"/>
      <c r="I34" s="4"/>
      <c r="J34" s="4"/>
    </row>
    <row r="35" spans="8:10" x14ac:dyDescent="0.25">
      <c r="H35" s="6"/>
      <c r="I35" s="4"/>
      <c r="J35" s="4"/>
    </row>
    <row r="36" spans="8:10" x14ac:dyDescent="0.25">
      <c r="H36" s="6"/>
      <c r="I36" s="4"/>
      <c r="J36" s="4"/>
    </row>
    <row r="37" spans="8:10" x14ac:dyDescent="0.25">
      <c r="H37" s="6"/>
      <c r="I37" s="4"/>
      <c r="J37" s="4"/>
    </row>
    <row r="38" spans="8:10" x14ac:dyDescent="0.25">
      <c r="H38" s="6"/>
      <c r="I38" s="4"/>
      <c r="J38" s="4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>
    <pageSetUpPr autoPageBreaks="0" fitToPage="1"/>
  </sheetPr>
  <dimension ref="A1:M34"/>
  <sheetViews>
    <sheetView showGridLines="0" zoomScaleNormal="100" workbookViewId="0">
      <selection activeCell="L24" sqref="L24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12" width="11.42578125" style="4" customWidth="1"/>
    <col min="13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3" s="2" customFormat="1" ht="19.5" x14ac:dyDescent="0.3">
      <c r="A1" s="317" t="str">
        <f>CoName</f>
        <v>Berkshire Hathaway Non-Insurance</v>
      </c>
      <c r="B1" s="3"/>
      <c r="C1" s="43" t="s">
        <v>0</v>
      </c>
      <c r="D1" s="43" t="s">
        <v>0</v>
      </c>
      <c r="E1" s="43" t="s">
        <v>0</v>
      </c>
      <c r="F1" s="43" t="s">
        <v>1</v>
      </c>
      <c r="G1" s="43" t="s">
        <v>1</v>
      </c>
      <c r="H1" s="43" t="s">
        <v>1</v>
      </c>
      <c r="I1" s="43" t="s">
        <v>1</v>
      </c>
      <c r="J1" s="43" t="s">
        <v>1</v>
      </c>
      <c r="K1" s="43"/>
      <c r="L1" s="43"/>
    </row>
    <row r="2" spans="1:13" s="2" customFormat="1" x14ac:dyDescent="0.25">
      <c r="A2" s="17" t="s">
        <v>10</v>
      </c>
      <c r="B2" s="212"/>
      <c r="C2" s="110">
        <v>44926</v>
      </c>
      <c r="D2" s="110">
        <v>45291</v>
      </c>
      <c r="E2" s="110">
        <v>45657</v>
      </c>
      <c r="F2" s="110">
        <v>46022</v>
      </c>
      <c r="G2" s="110">
        <v>46387</v>
      </c>
      <c r="H2" s="110">
        <v>46752</v>
      </c>
      <c r="I2" s="110">
        <v>47118</v>
      </c>
      <c r="J2" s="110">
        <v>47483</v>
      </c>
      <c r="K2" s="221"/>
      <c r="L2" s="221"/>
    </row>
    <row r="3" spans="1:13" s="2" customFormat="1" x14ac:dyDescent="0.25">
      <c r="A3" s="89"/>
      <c r="B3" s="11"/>
      <c r="C3" s="213"/>
      <c r="D3" s="213"/>
      <c r="E3" s="213"/>
      <c r="F3" s="213"/>
      <c r="G3" s="213"/>
      <c r="H3" s="213"/>
      <c r="I3" s="213"/>
      <c r="J3" s="213"/>
      <c r="K3" s="221"/>
      <c r="L3" s="221"/>
    </row>
    <row r="4" spans="1:13" s="2" customFormat="1" x14ac:dyDescent="0.25">
      <c r="A4" s="11"/>
      <c r="B4" s="4" t="s">
        <v>24</v>
      </c>
      <c r="C4" s="32"/>
      <c r="D4" s="58"/>
      <c r="E4" s="62"/>
      <c r="F4" s="114">
        <f>Assumptions!F22</f>
        <v>0</v>
      </c>
      <c r="G4" s="114">
        <f>Assumptions!G22</f>
        <v>0</v>
      </c>
      <c r="H4" s="114">
        <f>Assumptions!H22</f>
        <v>0</v>
      </c>
      <c r="I4" s="114">
        <f>Assumptions!I22</f>
        <v>0</v>
      </c>
      <c r="J4" s="114">
        <f>Assumptions!J22</f>
        <v>0</v>
      </c>
      <c r="K4" s="31"/>
      <c r="L4" s="31"/>
    </row>
    <row r="5" spans="1:13" s="2" customFormat="1" x14ac:dyDescent="0.25">
      <c r="A5" s="11"/>
      <c r="B5" s="4" t="s">
        <v>25</v>
      </c>
      <c r="C5" s="32"/>
      <c r="D5" s="59"/>
      <c r="E5" s="63"/>
      <c r="F5" s="114">
        <f>Assumptions!F23</f>
        <v>0</v>
      </c>
      <c r="G5" s="114">
        <f>Assumptions!G23</f>
        <v>0</v>
      </c>
      <c r="H5" s="114">
        <f>Assumptions!H23</f>
        <v>0</v>
      </c>
      <c r="I5" s="114">
        <f>Assumptions!I23</f>
        <v>0</v>
      </c>
      <c r="J5" s="114">
        <f>Assumptions!J23</f>
        <v>0</v>
      </c>
      <c r="K5" s="31"/>
      <c r="L5" s="31"/>
    </row>
    <row r="6" spans="1:13" s="2" customFormat="1" x14ac:dyDescent="0.25">
      <c r="A6" s="11"/>
      <c r="B6" s="4" t="s">
        <v>26</v>
      </c>
      <c r="C6" s="32"/>
      <c r="D6" s="58"/>
      <c r="E6" s="62"/>
      <c r="F6" s="114">
        <f>Assumptions!F24</f>
        <v>0</v>
      </c>
      <c r="G6" s="114">
        <f>Assumptions!G24</f>
        <v>0</v>
      </c>
      <c r="H6" s="114">
        <f>Assumptions!H24</f>
        <v>0</v>
      </c>
      <c r="I6" s="114">
        <f>Assumptions!I24</f>
        <v>0</v>
      </c>
      <c r="J6" s="114">
        <f>Assumptions!J24</f>
        <v>0</v>
      </c>
      <c r="K6" s="31"/>
      <c r="L6" s="31"/>
    </row>
    <row r="7" spans="1:13" s="2" customFormat="1" x14ac:dyDescent="0.25">
      <c r="A7" s="11"/>
      <c r="B7" s="4"/>
      <c r="C7" s="32"/>
      <c r="D7" s="32"/>
      <c r="E7" s="32"/>
      <c r="F7" s="112"/>
      <c r="G7" s="112"/>
      <c r="H7" s="112"/>
      <c r="I7" s="113"/>
      <c r="J7" s="113"/>
      <c r="K7" s="222"/>
      <c r="L7" s="222"/>
    </row>
    <row r="8" spans="1:13" s="2" customFormat="1" x14ac:dyDescent="0.25">
      <c r="A8" s="11"/>
      <c r="B8" s="4" t="s">
        <v>27</v>
      </c>
      <c r="C8" s="32"/>
      <c r="D8" s="60"/>
      <c r="E8" s="64"/>
      <c r="F8" s="115">
        <f>Assumptions!F26</f>
        <v>0</v>
      </c>
      <c r="G8" s="115">
        <f>Assumptions!G26</f>
        <v>0</v>
      </c>
      <c r="H8" s="115">
        <f>Assumptions!H26</f>
        <v>0</v>
      </c>
      <c r="I8" s="115">
        <f>Assumptions!I26</f>
        <v>0</v>
      </c>
      <c r="J8" s="115">
        <f>Assumptions!J26</f>
        <v>0</v>
      </c>
      <c r="K8" s="223"/>
      <c r="L8" s="223"/>
    </row>
    <row r="9" spans="1:13" s="2" customFormat="1" x14ac:dyDescent="0.25">
      <c r="A9" s="11"/>
      <c r="B9" s="4" t="s">
        <v>28</v>
      </c>
      <c r="C9" s="32"/>
      <c r="D9" s="60"/>
      <c r="E9" s="64"/>
      <c r="F9" s="115">
        <f>Assumptions!F27</f>
        <v>0</v>
      </c>
      <c r="G9" s="115">
        <f>Assumptions!G27</f>
        <v>0</v>
      </c>
      <c r="H9" s="115">
        <f>Assumptions!H27</f>
        <v>0</v>
      </c>
      <c r="I9" s="115">
        <f>Assumptions!I27</f>
        <v>0</v>
      </c>
      <c r="J9" s="115">
        <f>Assumptions!J27</f>
        <v>0</v>
      </c>
      <c r="K9" s="223"/>
      <c r="L9" s="223"/>
    </row>
    <row r="10" spans="1:13" s="2" customFormat="1" ht="18.75" x14ac:dyDescent="0.3">
      <c r="A10" s="35"/>
      <c r="B10" s="3"/>
      <c r="C10" s="55"/>
      <c r="D10" s="55"/>
      <c r="E10" s="55"/>
      <c r="F10" s="111"/>
      <c r="G10" s="111"/>
      <c r="H10" s="111"/>
      <c r="I10" s="111"/>
      <c r="J10" s="111"/>
      <c r="K10" s="55"/>
      <c r="L10" s="55"/>
    </row>
    <row r="11" spans="1:13" x14ac:dyDescent="0.25">
      <c r="A11" s="22" t="s">
        <v>29</v>
      </c>
      <c r="B11" s="56"/>
      <c r="C11" s="159">
        <f>C2</f>
        <v>44926</v>
      </c>
      <c r="D11" s="159">
        <f t="shared" ref="D11:J11" si="0">D2</f>
        <v>45291</v>
      </c>
      <c r="E11" s="159">
        <f t="shared" si="0"/>
        <v>45657</v>
      </c>
      <c r="F11" s="159">
        <f t="shared" si="0"/>
        <v>46022</v>
      </c>
      <c r="G11" s="159">
        <f t="shared" si="0"/>
        <v>46387</v>
      </c>
      <c r="H11" s="159">
        <f t="shared" si="0"/>
        <v>46752</v>
      </c>
      <c r="I11" s="159">
        <f t="shared" si="0"/>
        <v>47118</v>
      </c>
      <c r="J11" s="159">
        <f t="shared" si="0"/>
        <v>47483</v>
      </c>
      <c r="K11" s="224"/>
      <c r="L11" s="224"/>
      <c r="M11" s="49"/>
    </row>
    <row r="12" spans="1:13" x14ac:dyDescent="0.25">
      <c r="B12" s="4" t="s">
        <v>30</v>
      </c>
      <c r="E12" s="29"/>
      <c r="I12" s="4"/>
      <c r="J12" s="4"/>
      <c r="M12" s="49"/>
    </row>
    <row r="13" spans="1:13" x14ac:dyDescent="0.25">
      <c r="B13" s="4" t="s">
        <v>31</v>
      </c>
      <c r="E13" s="30"/>
      <c r="I13" s="4"/>
      <c r="J13" s="4"/>
      <c r="M13" s="49"/>
    </row>
    <row r="14" spans="1:13" x14ac:dyDescent="0.25">
      <c r="B14" s="4" t="s">
        <v>32</v>
      </c>
      <c r="E14" s="29"/>
      <c r="I14" s="4"/>
      <c r="J14" s="4"/>
      <c r="M14" s="49"/>
    </row>
    <row r="15" spans="1:13" x14ac:dyDescent="0.25">
      <c r="E15" s="29"/>
      <c r="I15" s="4"/>
      <c r="J15" s="4"/>
      <c r="M15" s="49"/>
    </row>
    <row r="16" spans="1:13" x14ac:dyDescent="0.25">
      <c r="A16" s="324" t="s">
        <v>33</v>
      </c>
      <c r="B16" s="21"/>
      <c r="C16" s="57">
        <f t="shared" ref="C16:J16" si="1">C11</f>
        <v>44926</v>
      </c>
      <c r="D16" s="57">
        <f t="shared" si="1"/>
        <v>45291</v>
      </c>
      <c r="E16" s="57">
        <f t="shared" si="1"/>
        <v>45657</v>
      </c>
      <c r="F16" s="57">
        <f t="shared" si="1"/>
        <v>46022</v>
      </c>
      <c r="G16" s="57">
        <f t="shared" si="1"/>
        <v>46387</v>
      </c>
      <c r="H16" s="57">
        <f t="shared" si="1"/>
        <v>46752</v>
      </c>
      <c r="I16" s="57">
        <f t="shared" si="1"/>
        <v>47118</v>
      </c>
      <c r="J16" s="57">
        <f t="shared" si="1"/>
        <v>47483</v>
      </c>
      <c r="K16" s="221"/>
      <c r="L16" s="221"/>
      <c r="M16" s="49"/>
    </row>
    <row r="17" spans="1:13" x14ac:dyDescent="0.25">
      <c r="B17" s="4" t="s">
        <v>19</v>
      </c>
      <c r="E17" s="29"/>
      <c r="I17" s="4"/>
      <c r="J17" s="4"/>
      <c r="M17" s="49"/>
    </row>
    <row r="18" spans="1:13" x14ac:dyDescent="0.25">
      <c r="B18" s="4" t="s">
        <v>34</v>
      </c>
      <c r="E18" s="29"/>
      <c r="I18" s="4"/>
      <c r="J18" s="4"/>
      <c r="M18" s="49"/>
    </row>
    <row r="19" spans="1:13" x14ac:dyDescent="0.25">
      <c r="B19" s="4" t="s">
        <v>35</v>
      </c>
      <c r="E19" s="29"/>
      <c r="I19" s="4"/>
      <c r="J19" s="4"/>
    </row>
    <row r="20" spans="1:13" x14ac:dyDescent="0.25">
      <c r="B20" s="4" t="s">
        <v>22</v>
      </c>
      <c r="C20" s="10"/>
      <c r="E20" s="29"/>
      <c r="I20" s="4"/>
      <c r="J20" s="4"/>
    </row>
    <row r="21" spans="1:13" x14ac:dyDescent="0.25">
      <c r="B21" s="4" t="s">
        <v>31</v>
      </c>
      <c r="D21" s="50"/>
      <c r="E21" s="29"/>
      <c r="F21" s="8"/>
      <c r="G21" s="8"/>
      <c r="H21" s="8"/>
      <c r="I21" s="8"/>
      <c r="J21" s="8"/>
    </row>
    <row r="22" spans="1:13" x14ac:dyDescent="0.25">
      <c r="B22" s="4" t="s">
        <v>32</v>
      </c>
      <c r="E22" s="29"/>
      <c r="I22" s="4"/>
      <c r="J22" s="4"/>
    </row>
    <row r="23" spans="1:13" x14ac:dyDescent="0.25">
      <c r="E23" s="29"/>
      <c r="I23" s="4"/>
      <c r="J23" s="4"/>
    </row>
    <row r="24" spans="1:13" x14ac:dyDescent="0.25">
      <c r="A24" s="22" t="s">
        <v>36</v>
      </c>
      <c r="B24" s="44"/>
      <c r="C24" s="57">
        <f>C16</f>
        <v>44926</v>
      </c>
      <c r="D24" s="57">
        <f t="shared" ref="D24:J24" si="2">D16</f>
        <v>45291</v>
      </c>
      <c r="E24" s="57">
        <f t="shared" si="2"/>
        <v>45657</v>
      </c>
      <c r="F24" s="57">
        <f t="shared" si="2"/>
        <v>46022</v>
      </c>
      <c r="G24" s="57">
        <f t="shared" si="2"/>
        <v>46387</v>
      </c>
      <c r="H24" s="57">
        <f t="shared" si="2"/>
        <v>46752</v>
      </c>
      <c r="I24" s="57">
        <f t="shared" si="2"/>
        <v>47118</v>
      </c>
      <c r="J24" s="57">
        <f t="shared" si="2"/>
        <v>47483</v>
      </c>
      <c r="K24" s="221"/>
      <c r="L24" s="221"/>
    </row>
    <row r="25" spans="1:13" x14ac:dyDescent="0.25">
      <c r="A25" s="7"/>
      <c r="B25" s="4" t="s">
        <v>29</v>
      </c>
      <c r="E25" s="29"/>
      <c r="I25" s="4"/>
      <c r="J25" s="4"/>
    </row>
    <row r="26" spans="1:13" x14ac:dyDescent="0.25">
      <c r="A26" s="7"/>
      <c r="B26" s="4" t="s">
        <v>37</v>
      </c>
      <c r="E26" s="29"/>
      <c r="I26" s="4"/>
      <c r="J26" s="4"/>
    </row>
    <row r="27" spans="1:13" x14ac:dyDescent="0.25">
      <c r="A27" s="7"/>
      <c r="B27" s="11" t="s">
        <v>38</v>
      </c>
      <c r="D27" s="11"/>
      <c r="E27" s="26"/>
      <c r="F27" s="11"/>
      <c r="G27" s="11"/>
      <c r="H27" s="11"/>
      <c r="I27" s="11"/>
      <c r="J27" s="11"/>
      <c r="K27" s="11"/>
      <c r="L27" s="11"/>
    </row>
    <row r="28" spans="1:13" x14ac:dyDescent="0.25">
      <c r="A28" s="7"/>
      <c r="B28" s="4" t="s">
        <v>39</v>
      </c>
      <c r="E28" s="29"/>
      <c r="I28" s="4"/>
      <c r="J28" s="4"/>
    </row>
    <row r="29" spans="1:13" x14ac:dyDescent="0.25">
      <c r="A29" s="7"/>
      <c r="E29" s="29"/>
      <c r="I29" s="4"/>
      <c r="J29" s="4"/>
    </row>
    <row r="30" spans="1:13" x14ac:dyDescent="0.25">
      <c r="A30" s="22" t="s">
        <v>40</v>
      </c>
      <c r="B30" s="44"/>
      <c r="C30" s="57">
        <f>C11</f>
        <v>44926</v>
      </c>
      <c r="D30" s="57">
        <f t="shared" ref="D30:J30" si="3">D11</f>
        <v>45291</v>
      </c>
      <c r="E30" s="57">
        <f t="shared" si="3"/>
        <v>45657</v>
      </c>
      <c r="F30" s="57">
        <f t="shared" si="3"/>
        <v>46022</v>
      </c>
      <c r="G30" s="57">
        <f t="shared" si="3"/>
        <v>46387</v>
      </c>
      <c r="H30" s="57">
        <f t="shared" si="3"/>
        <v>46752</v>
      </c>
      <c r="I30" s="57">
        <f t="shared" si="3"/>
        <v>47118</v>
      </c>
      <c r="J30" s="57">
        <f t="shared" si="3"/>
        <v>47483</v>
      </c>
      <c r="K30" s="221"/>
      <c r="L30" s="221"/>
    </row>
    <row r="31" spans="1:13" x14ac:dyDescent="0.25">
      <c r="A31" s="7"/>
      <c r="B31" s="4" t="s">
        <v>162</v>
      </c>
      <c r="E31" s="29"/>
      <c r="I31" s="4"/>
      <c r="J31" s="4"/>
    </row>
    <row r="32" spans="1:13" x14ac:dyDescent="0.25">
      <c r="B32" s="4" t="s">
        <v>31</v>
      </c>
      <c r="D32" s="50"/>
      <c r="E32" s="25"/>
      <c r="F32" s="5"/>
      <c r="G32" s="5"/>
      <c r="H32" s="5"/>
      <c r="I32" s="5"/>
      <c r="J32" s="5"/>
      <c r="K32" s="189"/>
      <c r="L32" s="189"/>
    </row>
    <row r="33" spans="2:10" x14ac:dyDescent="0.25">
      <c r="B33" s="4" t="s">
        <v>40</v>
      </c>
      <c r="E33" s="29"/>
      <c r="I33" s="4"/>
      <c r="J33" s="4"/>
    </row>
    <row r="34" spans="2:10" x14ac:dyDescent="0.25">
      <c r="E34" s="29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autoPageBreaks="0" fitToPage="1"/>
  </sheetPr>
  <dimension ref="A1:L41"/>
  <sheetViews>
    <sheetView showGridLines="0" zoomScaleNormal="100" workbookViewId="0"/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7" width="11.7109375" style="4" customWidth="1"/>
    <col min="8" max="8" width="11.7109375" style="6" customWidth="1"/>
    <col min="9" max="10" width="11.7109375" style="4" customWidth="1"/>
    <col min="11" max="12" width="12" style="4" customWidth="1"/>
    <col min="13" max="253" width="8.85546875" style="4"/>
    <col min="254" max="254" width="1.7109375" style="4" customWidth="1"/>
    <col min="255" max="255" width="40.7109375" style="4" customWidth="1"/>
    <col min="256" max="260" width="10.7109375" style="4" customWidth="1"/>
    <col min="261" max="261" width="11.42578125" style="4" customWidth="1"/>
    <col min="262" max="263" width="12" style="4" customWidth="1"/>
    <col min="264" max="265" width="8.85546875" style="4"/>
    <col min="266" max="266" width="10.7109375" style="4" bestFit="1" customWidth="1"/>
    <col min="267" max="509" width="8.85546875" style="4"/>
    <col min="510" max="510" width="1.7109375" style="4" customWidth="1"/>
    <col min="511" max="511" width="40.7109375" style="4" customWidth="1"/>
    <col min="512" max="516" width="10.7109375" style="4" customWidth="1"/>
    <col min="517" max="517" width="11.42578125" style="4" customWidth="1"/>
    <col min="518" max="519" width="12" style="4" customWidth="1"/>
    <col min="520" max="521" width="8.85546875" style="4"/>
    <col min="522" max="522" width="10.7109375" style="4" bestFit="1" customWidth="1"/>
    <col min="523" max="765" width="8.85546875" style="4"/>
    <col min="766" max="766" width="1.7109375" style="4" customWidth="1"/>
    <col min="767" max="767" width="40.7109375" style="4" customWidth="1"/>
    <col min="768" max="772" width="10.7109375" style="4" customWidth="1"/>
    <col min="773" max="773" width="11.42578125" style="4" customWidth="1"/>
    <col min="774" max="775" width="12" style="4" customWidth="1"/>
    <col min="776" max="777" width="8.85546875" style="4"/>
    <col min="778" max="778" width="10.7109375" style="4" bestFit="1" customWidth="1"/>
    <col min="779" max="1021" width="8.85546875" style="4"/>
    <col min="1022" max="1022" width="1.7109375" style="4" customWidth="1"/>
    <col min="1023" max="1023" width="40.7109375" style="4" customWidth="1"/>
    <col min="1024" max="1028" width="10.7109375" style="4" customWidth="1"/>
    <col min="1029" max="1029" width="11.42578125" style="4" customWidth="1"/>
    <col min="1030" max="1031" width="12" style="4" customWidth="1"/>
    <col min="1032" max="1033" width="8.85546875" style="4"/>
    <col min="1034" max="1034" width="10.7109375" style="4" bestFit="1" customWidth="1"/>
    <col min="1035" max="1277" width="8.85546875" style="4"/>
    <col min="1278" max="1278" width="1.7109375" style="4" customWidth="1"/>
    <col min="1279" max="1279" width="40.7109375" style="4" customWidth="1"/>
    <col min="1280" max="1284" width="10.7109375" style="4" customWidth="1"/>
    <col min="1285" max="1285" width="11.42578125" style="4" customWidth="1"/>
    <col min="1286" max="1287" width="12" style="4" customWidth="1"/>
    <col min="1288" max="1289" width="8.85546875" style="4"/>
    <col min="1290" max="1290" width="10.7109375" style="4" bestFit="1" customWidth="1"/>
    <col min="1291" max="1533" width="8.85546875" style="4"/>
    <col min="1534" max="1534" width="1.7109375" style="4" customWidth="1"/>
    <col min="1535" max="1535" width="40.7109375" style="4" customWidth="1"/>
    <col min="1536" max="1540" width="10.7109375" style="4" customWidth="1"/>
    <col min="1541" max="1541" width="11.42578125" style="4" customWidth="1"/>
    <col min="1542" max="1543" width="12" style="4" customWidth="1"/>
    <col min="1544" max="1545" width="8.85546875" style="4"/>
    <col min="1546" max="1546" width="10.7109375" style="4" bestFit="1" customWidth="1"/>
    <col min="1547" max="1789" width="8.85546875" style="4"/>
    <col min="1790" max="1790" width="1.7109375" style="4" customWidth="1"/>
    <col min="1791" max="1791" width="40.7109375" style="4" customWidth="1"/>
    <col min="1792" max="1796" width="10.7109375" style="4" customWidth="1"/>
    <col min="1797" max="1797" width="11.42578125" style="4" customWidth="1"/>
    <col min="1798" max="1799" width="12" style="4" customWidth="1"/>
    <col min="1800" max="1801" width="8.85546875" style="4"/>
    <col min="1802" max="1802" width="10.7109375" style="4" bestFit="1" customWidth="1"/>
    <col min="1803" max="2045" width="8.85546875" style="4"/>
    <col min="2046" max="2046" width="1.7109375" style="4" customWidth="1"/>
    <col min="2047" max="2047" width="40.7109375" style="4" customWidth="1"/>
    <col min="2048" max="2052" width="10.7109375" style="4" customWidth="1"/>
    <col min="2053" max="2053" width="11.42578125" style="4" customWidth="1"/>
    <col min="2054" max="2055" width="12" style="4" customWidth="1"/>
    <col min="2056" max="2057" width="8.85546875" style="4"/>
    <col min="2058" max="2058" width="10.7109375" style="4" bestFit="1" customWidth="1"/>
    <col min="2059" max="2301" width="8.85546875" style="4"/>
    <col min="2302" max="2302" width="1.7109375" style="4" customWidth="1"/>
    <col min="2303" max="2303" width="40.7109375" style="4" customWidth="1"/>
    <col min="2304" max="2308" width="10.7109375" style="4" customWidth="1"/>
    <col min="2309" max="2309" width="11.42578125" style="4" customWidth="1"/>
    <col min="2310" max="2311" width="12" style="4" customWidth="1"/>
    <col min="2312" max="2313" width="8.85546875" style="4"/>
    <col min="2314" max="2314" width="10.7109375" style="4" bestFit="1" customWidth="1"/>
    <col min="2315" max="2557" width="8.85546875" style="4"/>
    <col min="2558" max="2558" width="1.7109375" style="4" customWidth="1"/>
    <col min="2559" max="2559" width="40.7109375" style="4" customWidth="1"/>
    <col min="2560" max="2564" width="10.7109375" style="4" customWidth="1"/>
    <col min="2565" max="2565" width="11.42578125" style="4" customWidth="1"/>
    <col min="2566" max="2567" width="12" style="4" customWidth="1"/>
    <col min="2568" max="2569" width="8.85546875" style="4"/>
    <col min="2570" max="2570" width="10.7109375" style="4" bestFit="1" customWidth="1"/>
    <col min="2571" max="2813" width="8.85546875" style="4"/>
    <col min="2814" max="2814" width="1.7109375" style="4" customWidth="1"/>
    <col min="2815" max="2815" width="40.7109375" style="4" customWidth="1"/>
    <col min="2816" max="2820" width="10.7109375" style="4" customWidth="1"/>
    <col min="2821" max="2821" width="11.42578125" style="4" customWidth="1"/>
    <col min="2822" max="2823" width="12" style="4" customWidth="1"/>
    <col min="2824" max="2825" width="8.85546875" style="4"/>
    <col min="2826" max="2826" width="10.7109375" style="4" bestFit="1" customWidth="1"/>
    <col min="2827" max="3069" width="8.85546875" style="4"/>
    <col min="3070" max="3070" width="1.7109375" style="4" customWidth="1"/>
    <col min="3071" max="3071" width="40.7109375" style="4" customWidth="1"/>
    <col min="3072" max="3076" width="10.7109375" style="4" customWidth="1"/>
    <col min="3077" max="3077" width="11.42578125" style="4" customWidth="1"/>
    <col min="3078" max="3079" width="12" style="4" customWidth="1"/>
    <col min="3080" max="3081" width="8.85546875" style="4"/>
    <col min="3082" max="3082" width="10.7109375" style="4" bestFit="1" customWidth="1"/>
    <col min="3083" max="3325" width="8.85546875" style="4"/>
    <col min="3326" max="3326" width="1.7109375" style="4" customWidth="1"/>
    <col min="3327" max="3327" width="40.7109375" style="4" customWidth="1"/>
    <col min="3328" max="3332" width="10.7109375" style="4" customWidth="1"/>
    <col min="3333" max="3333" width="11.42578125" style="4" customWidth="1"/>
    <col min="3334" max="3335" width="12" style="4" customWidth="1"/>
    <col min="3336" max="3337" width="8.85546875" style="4"/>
    <col min="3338" max="3338" width="10.7109375" style="4" bestFit="1" customWidth="1"/>
    <col min="3339" max="3581" width="8.85546875" style="4"/>
    <col min="3582" max="3582" width="1.7109375" style="4" customWidth="1"/>
    <col min="3583" max="3583" width="40.7109375" style="4" customWidth="1"/>
    <col min="3584" max="3588" width="10.7109375" style="4" customWidth="1"/>
    <col min="3589" max="3589" width="11.42578125" style="4" customWidth="1"/>
    <col min="3590" max="3591" width="12" style="4" customWidth="1"/>
    <col min="3592" max="3593" width="8.85546875" style="4"/>
    <col min="3594" max="3594" width="10.7109375" style="4" bestFit="1" customWidth="1"/>
    <col min="3595" max="3837" width="8.85546875" style="4"/>
    <col min="3838" max="3838" width="1.7109375" style="4" customWidth="1"/>
    <col min="3839" max="3839" width="40.7109375" style="4" customWidth="1"/>
    <col min="3840" max="3844" width="10.7109375" style="4" customWidth="1"/>
    <col min="3845" max="3845" width="11.42578125" style="4" customWidth="1"/>
    <col min="3846" max="3847" width="12" style="4" customWidth="1"/>
    <col min="3848" max="3849" width="8.85546875" style="4"/>
    <col min="3850" max="3850" width="10.7109375" style="4" bestFit="1" customWidth="1"/>
    <col min="3851" max="4093" width="8.85546875" style="4"/>
    <col min="4094" max="4094" width="1.7109375" style="4" customWidth="1"/>
    <col min="4095" max="4095" width="40.7109375" style="4" customWidth="1"/>
    <col min="4096" max="4100" width="10.7109375" style="4" customWidth="1"/>
    <col min="4101" max="4101" width="11.42578125" style="4" customWidth="1"/>
    <col min="4102" max="4103" width="12" style="4" customWidth="1"/>
    <col min="4104" max="4105" width="8.85546875" style="4"/>
    <col min="4106" max="4106" width="10.7109375" style="4" bestFit="1" customWidth="1"/>
    <col min="4107" max="4349" width="8.85546875" style="4"/>
    <col min="4350" max="4350" width="1.7109375" style="4" customWidth="1"/>
    <col min="4351" max="4351" width="40.7109375" style="4" customWidth="1"/>
    <col min="4352" max="4356" width="10.7109375" style="4" customWidth="1"/>
    <col min="4357" max="4357" width="11.42578125" style="4" customWidth="1"/>
    <col min="4358" max="4359" width="12" style="4" customWidth="1"/>
    <col min="4360" max="4361" width="8.85546875" style="4"/>
    <col min="4362" max="4362" width="10.7109375" style="4" bestFit="1" customWidth="1"/>
    <col min="4363" max="4605" width="8.85546875" style="4"/>
    <col min="4606" max="4606" width="1.7109375" style="4" customWidth="1"/>
    <col min="4607" max="4607" width="40.7109375" style="4" customWidth="1"/>
    <col min="4608" max="4612" width="10.7109375" style="4" customWidth="1"/>
    <col min="4613" max="4613" width="11.42578125" style="4" customWidth="1"/>
    <col min="4614" max="4615" width="12" style="4" customWidth="1"/>
    <col min="4616" max="4617" width="8.85546875" style="4"/>
    <col min="4618" max="4618" width="10.7109375" style="4" bestFit="1" customWidth="1"/>
    <col min="4619" max="4861" width="8.85546875" style="4"/>
    <col min="4862" max="4862" width="1.7109375" style="4" customWidth="1"/>
    <col min="4863" max="4863" width="40.7109375" style="4" customWidth="1"/>
    <col min="4864" max="4868" width="10.7109375" style="4" customWidth="1"/>
    <col min="4869" max="4869" width="11.42578125" style="4" customWidth="1"/>
    <col min="4870" max="4871" width="12" style="4" customWidth="1"/>
    <col min="4872" max="4873" width="8.85546875" style="4"/>
    <col min="4874" max="4874" width="10.7109375" style="4" bestFit="1" customWidth="1"/>
    <col min="4875" max="5117" width="8.85546875" style="4"/>
    <col min="5118" max="5118" width="1.7109375" style="4" customWidth="1"/>
    <col min="5119" max="5119" width="40.7109375" style="4" customWidth="1"/>
    <col min="5120" max="5124" width="10.7109375" style="4" customWidth="1"/>
    <col min="5125" max="5125" width="11.42578125" style="4" customWidth="1"/>
    <col min="5126" max="5127" width="12" style="4" customWidth="1"/>
    <col min="5128" max="5129" width="8.85546875" style="4"/>
    <col min="5130" max="5130" width="10.7109375" style="4" bestFit="1" customWidth="1"/>
    <col min="5131" max="5373" width="8.85546875" style="4"/>
    <col min="5374" max="5374" width="1.7109375" style="4" customWidth="1"/>
    <col min="5375" max="5375" width="40.7109375" style="4" customWidth="1"/>
    <col min="5376" max="5380" width="10.7109375" style="4" customWidth="1"/>
    <col min="5381" max="5381" width="11.42578125" style="4" customWidth="1"/>
    <col min="5382" max="5383" width="12" style="4" customWidth="1"/>
    <col min="5384" max="5385" width="8.85546875" style="4"/>
    <col min="5386" max="5386" width="10.7109375" style="4" bestFit="1" customWidth="1"/>
    <col min="5387" max="5629" width="8.85546875" style="4"/>
    <col min="5630" max="5630" width="1.7109375" style="4" customWidth="1"/>
    <col min="5631" max="5631" width="40.7109375" style="4" customWidth="1"/>
    <col min="5632" max="5636" width="10.7109375" style="4" customWidth="1"/>
    <col min="5637" max="5637" width="11.42578125" style="4" customWidth="1"/>
    <col min="5638" max="5639" width="12" style="4" customWidth="1"/>
    <col min="5640" max="5641" width="8.85546875" style="4"/>
    <col min="5642" max="5642" width="10.7109375" style="4" bestFit="1" customWidth="1"/>
    <col min="5643" max="5885" width="8.85546875" style="4"/>
    <col min="5886" max="5886" width="1.7109375" style="4" customWidth="1"/>
    <col min="5887" max="5887" width="40.7109375" style="4" customWidth="1"/>
    <col min="5888" max="5892" width="10.7109375" style="4" customWidth="1"/>
    <col min="5893" max="5893" width="11.42578125" style="4" customWidth="1"/>
    <col min="5894" max="5895" width="12" style="4" customWidth="1"/>
    <col min="5896" max="5897" width="8.85546875" style="4"/>
    <col min="5898" max="5898" width="10.7109375" style="4" bestFit="1" customWidth="1"/>
    <col min="5899" max="6141" width="8.85546875" style="4"/>
    <col min="6142" max="6142" width="1.7109375" style="4" customWidth="1"/>
    <col min="6143" max="6143" width="40.7109375" style="4" customWidth="1"/>
    <col min="6144" max="6148" width="10.7109375" style="4" customWidth="1"/>
    <col min="6149" max="6149" width="11.42578125" style="4" customWidth="1"/>
    <col min="6150" max="6151" width="12" style="4" customWidth="1"/>
    <col min="6152" max="6153" width="8.85546875" style="4"/>
    <col min="6154" max="6154" width="10.7109375" style="4" bestFit="1" customWidth="1"/>
    <col min="6155" max="6397" width="8.85546875" style="4"/>
    <col min="6398" max="6398" width="1.7109375" style="4" customWidth="1"/>
    <col min="6399" max="6399" width="40.7109375" style="4" customWidth="1"/>
    <col min="6400" max="6404" width="10.7109375" style="4" customWidth="1"/>
    <col min="6405" max="6405" width="11.42578125" style="4" customWidth="1"/>
    <col min="6406" max="6407" width="12" style="4" customWidth="1"/>
    <col min="6408" max="6409" width="8.85546875" style="4"/>
    <col min="6410" max="6410" width="10.7109375" style="4" bestFit="1" customWidth="1"/>
    <col min="6411" max="6653" width="8.85546875" style="4"/>
    <col min="6654" max="6654" width="1.7109375" style="4" customWidth="1"/>
    <col min="6655" max="6655" width="40.7109375" style="4" customWidth="1"/>
    <col min="6656" max="6660" width="10.7109375" style="4" customWidth="1"/>
    <col min="6661" max="6661" width="11.42578125" style="4" customWidth="1"/>
    <col min="6662" max="6663" width="12" style="4" customWidth="1"/>
    <col min="6664" max="6665" width="8.85546875" style="4"/>
    <col min="6666" max="6666" width="10.7109375" style="4" bestFit="1" customWidth="1"/>
    <col min="6667" max="6909" width="8.85546875" style="4"/>
    <col min="6910" max="6910" width="1.7109375" style="4" customWidth="1"/>
    <col min="6911" max="6911" width="40.7109375" style="4" customWidth="1"/>
    <col min="6912" max="6916" width="10.7109375" style="4" customWidth="1"/>
    <col min="6917" max="6917" width="11.42578125" style="4" customWidth="1"/>
    <col min="6918" max="6919" width="12" style="4" customWidth="1"/>
    <col min="6920" max="6921" width="8.85546875" style="4"/>
    <col min="6922" max="6922" width="10.7109375" style="4" bestFit="1" customWidth="1"/>
    <col min="6923" max="7165" width="8.85546875" style="4"/>
    <col min="7166" max="7166" width="1.7109375" style="4" customWidth="1"/>
    <col min="7167" max="7167" width="40.7109375" style="4" customWidth="1"/>
    <col min="7168" max="7172" width="10.7109375" style="4" customWidth="1"/>
    <col min="7173" max="7173" width="11.42578125" style="4" customWidth="1"/>
    <col min="7174" max="7175" width="12" style="4" customWidth="1"/>
    <col min="7176" max="7177" width="8.85546875" style="4"/>
    <col min="7178" max="7178" width="10.7109375" style="4" bestFit="1" customWidth="1"/>
    <col min="7179" max="7421" width="8.85546875" style="4"/>
    <col min="7422" max="7422" width="1.7109375" style="4" customWidth="1"/>
    <col min="7423" max="7423" width="40.7109375" style="4" customWidth="1"/>
    <col min="7424" max="7428" width="10.7109375" style="4" customWidth="1"/>
    <col min="7429" max="7429" width="11.42578125" style="4" customWidth="1"/>
    <col min="7430" max="7431" width="12" style="4" customWidth="1"/>
    <col min="7432" max="7433" width="8.85546875" style="4"/>
    <col min="7434" max="7434" width="10.7109375" style="4" bestFit="1" customWidth="1"/>
    <col min="7435" max="7677" width="8.85546875" style="4"/>
    <col min="7678" max="7678" width="1.7109375" style="4" customWidth="1"/>
    <col min="7679" max="7679" width="40.7109375" style="4" customWidth="1"/>
    <col min="7680" max="7684" width="10.7109375" style="4" customWidth="1"/>
    <col min="7685" max="7685" width="11.42578125" style="4" customWidth="1"/>
    <col min="7686" max="7687" width="12" style="4" customWidth="1"/>
    <col min="7688" max="7689" width="8.85546875" style="4"/>
    <col min="7690" max="7690" width="10.7109375" style="4" bestFit="1" customWidth="1"/>
    <col min="7691" max="7933" width="8.85546875" style="4"/>
    <col min="7934" max="7934" width="1.7109375" style="4" customWidth="1"/>
    <col min="7935" max="7935" width="40.7109375" style="4" customWidth="1"/>
    <col min="7936" max="7940" width="10.7109375" style="4" customWidth="1"/>
    <col min="7941" max="7941" width="11.42578125" style="4" customWidth="1"/>
    <col min="7942" max="7943" width="12" style="4" customWidth="1"/>
    <col min="7944" max="7945" width="8.85546875" style="4"/>
    <col min="7946" max="7946" width="10.7109375" style="4" bestFit="1" customWidth="1"/>
    <col min="7947" max="8189" width="8.85546875" style="4"/>
    <col min="8190" max="8190" width="1.7109375" style="4" customWidth="1"/>
    <col min="8191" max="8191" width="40.7109375" style="4" customWidth="1"/>
    <col min="8192" max="8196" width="10.7109375" style="4" customWidth="1"/>
    <col min="8197" max="8197" width="11.42578125" style="4" customWidth="1"/>
    <col min="8198" max="8199" width="12" style="4" customWidth="1"/>
    <col min="8200" max="8201" width="8.85546875" style="4"/>
    <col min="8202" max="8202" width="10.7109375" style="4" bestFit="1" customWidth="1"/>
    <col min="8203" max="8445" width="8.85546875" style="4"/>
    <col min="8446" max="8446" width="1.7109375" style="4" customWidth="1"/>
    <col min="8447" max="8447" width="40.7109375" style="4" customWidth="1"/>
    <col min="8448" max="8452" width="10.7109375" style="4" customWidth="1"/>
    <col min="8453" max="8453" width="11.42578125" style="4" customWidth="1"/>
    <col min="8454" max="8455" width="12" style="4" customWidth="1"/>
    <col min="8456" max="8457" width="8.85546875" style="4"/>
    <col min="8458" max="8458" width="10.7109375" style="4" bestFit="1" customWidth="1"/>
    <col min="8459" max="8701" width="8.85546875" style="4"/>
    <col min="8702" max="8702" width="1.7109375" style="4" customWidth="1"/>
    <col min="8703" max="8703" width="40.7109375" style="4" customWidth="1"/>
    <col min="8704" max="8708" width="10.7109375" style="4" customWidth="1"/>
    <col min="8709" max="8709" width="11.42578125" style="4" customWidth="1"/>
    <col min="8710" max="8711" width="12" style="4" customWidth="1"/>
    <col min="8712" max="8713" width="8.85546875" style="4"/>
    <col min="8714" max="8714" width="10.7109375" style="4" bestFit="1" customWidth="1"/>
    <col min="8715" max="8957" width="8.85546875" style="4"/>
    <col min="8958" max="8958" width="1.7109375" style="4" customWidth="1"/>
    <col min="8959" max="8959" width="40.7109375" style="4" customWidth="1"/>
    <col min="8960" max="8964" width="10.7109375" style="4" customWidth="1"/>
    <col min="8965" max="8965" width="11.42578125" style="4" customWidth="1"/>
    <col min="8966" max="8967" width="12" style="4" customWidth="1"/>
    <col min="8968" max="8969" width="8.85546875" style="4"/>
    <col min="8970" max="8970" width="10.7109375" style="4" bestFit="1" customWidth="1"/>
    <col min="8971" max="9213" width="8.85546875" style="4"/>
    <col min="9214" max="9214" width="1.7109375" style="4" customWidth="1"/>
    <col min="9215" max="9215" width="40.7109375" style="4" customWidth="1"/>
    <col min="9216" max="9220" width="10.7109375" style="4" customWidth="1"/>
    <col min="9221" max="9221" width="11.42578125" style="4" customWidth="1"/>
    <col min="9222" max="9223" width="12" style="4" customWidth="1"/>
    <col min="9224" max="9225" width="8.85546875" style="4"/>
    <col min="9226" max="9226" width="10.7109375" style="4" bestFit="1" customWidth="1"/>
    <col min="9227" max="9469" width="8.85546875" style="4"/>
    <col min="9470" max="9470" width="1.7109375" style="4" customWidth="1"/>
    <col min="9471" max="9471" width="40.7109375" style="4" customWidth="1"/>
    <col min="9472" max="9476" width="10.7109375" style="4" customWidth="1"/>
    <col min="9477" max="9477" width="11.42578125" style="4" customWidth="1"/>
    <col min="9478" max="9479" width="12" style="4" customWidth="1"/>
    <col min="9480" max="9481" width="8.85546875" style="4"/>
    <col min="9482" max="9482" width="10.7109375" style="4" bestFit="1" customWidth="1"/>
    <col min="9483" max="9725" width="8.85546875" style="4"/>
    <col min="9726" max="9726" width="1.7109375" style="4" customWidth="1"/>
    <col min="9727" max="9727" width="40.7109375" style="4" customWidth="1"/>
    <col min="9728" max="9732" width="10.7109375" style="4" customWidth="1"/>
    <col min="9733" max="9733" width="11.42578125" style="4" customWidth="1"/>
    <col min="9734" max="9735" width="12" style="4" customWidth="1"/>
    <col min="9736" max="9737" width="8.85546875" style="4"/>
    <col min="9738" max="9738" width="10.7109375" style="4" bestFit="1" customWidth="1"/>
    <col min="9739" max="9981" width="8.85546875" style="4"/>
    <col min="9982" max="9982" width="1.7109375" style="4" customWidth="1"/>
    <col min="9983" max="9983" width="40.7109375" style="4" customWidth="1"/>
    <col min="9984" max="9988" width="10.7109375" style="4" customWidth="1"/>
    <col min="9989" max="9989" width="11.42578125" style="4" customWidth="1"/>
    <col min="9990" max="9991" width="12" style="4" customWidth="1"/>
    <col min="9992" max="9993" width="8.85546875" style="4"/>
    <col min="9994" max="9994" width="10.7109375" style="4" bestFit="1" customWidth="1"/>
    <col min="9995" max="10237" width="8.85546875" style="4"/>
    <col min="10238" max="10238" width="1.7109375" style="4" customWidth="1"/>
    <col min="10239" max="10239" width="40.7109375" style="4" customWidth="1"/>
    <col min="10240" max="10244" width="10.7109375" style="4" customWidth="1"/>
    <col min="10245" max="10245" width="11.42578125" style="4" customWidth="1"/>
    <col min="10246" max="10247" width="12" style="4" customWidth="1"/>
    <col min="10248" max="10249" width="8.85546875" style="4"/>
    <col min="10250" max="10250" width="10.7109375" style="4" bestFit="1" customWidth="1"/>
    <col min="10251" max="10493" width="8.85546875" style="4"/>
    <col min="10494" max="10494" width="1.7109375" style="4" customWidth="1"/>
    <col min="10495" max="10495" width="40.7109375" style="4" customWidth="1"/>
    <col min="10496" max="10500" width="10.7109375" style="4" customWidth="1"/>
    <col min="10501" max="10501" width="11.42578125" style="4" customWidth="1"/>
    <col min="10502" max="10503" width="12" style="4" customWidth="1"/>
    <col min="10504" max="10505" width="8.85546875" style="4"/>
    <col min="10506" max="10506" width="10.7109375" style="4" bestFit="1" customWidth="1"/>
    <col min="10507" max="10749" width="8.85546875" style="4"/>
    <col min="10750" max="10750" width="1.7109375" style="4" customWidth="1"/>
    <col min="10751" max="10751" width="40.7109375" style="4" customWidth="1"/>
    <col min="10752" max="10756" width="10.7109375" style="4" customWidth="1"/>
    <col min="10757" max="10757" width="11.42578125" style="4" customWidth="1"/>
    <col min="10758" max="10759" width="12" style="4" customWidth="1"/>
    <col min="10760" max="10761" width="8.85546875" style="4"/>
    <col min="10762" max="10762" width="10.7109375" style="4" bestFit="1" customWidth="1"/>
    <col min="10763" max="11005" width="8.85546875" style="4"/>
    <col min="11006" max="11006" width="1.7109375" style="4" customWidth="1"/>
    <col min="11007" max="11007" width="40.7109375" style="4" customWidth="1"/>
    <col min="11008" max="11012" width="10.7109375" style="4" customWidth="1"/>
    <col min="11013" max="11013" width="11.42578125" style="4" customWidth="1"/>
    <col min="11014" max="11015" width="12" style="4" customWidth="1"/>
    <col min="11016" max="11017" width="8.85546875" style="4"/>
    <col min="11018" max="11018" width="10.7109375" style="4" bestFit="1" customWidth="1"/>
    <col min="11019" max="11261" width="8.85546875" style="4"/>
    <col min="11262" max="11262" width="1.7109375" style="4" customWidth="1"/>
    <col min="11263" max="11263" width="40.7109375" style="4" customWidth="1"/>
    <col min="11264" max="11268" width="10.7109375" style="4" customWidth="1"/>
    <col min="11269" max="11269" width="11.42578125" style="4" customWidth="1"/>
    <col min="11270" max="11271" width="12" style="4" customWidth="1"/>
    <col min="11272" max="11273" width="8.85546875" style="4"/>
    <col min="11274" max="11274" width="10.7109375" style="4" bestFit="1" customWidth="1"/>
    <col min="11275" max="11517" width="8.85546875" style="4"/>
    <col min="11518" max="11518" width="1.7109375" style="4" customWidth="1"/>
    <col min="11519" max="11519" width="40.7109375" style="4" customWidth="1"/>
    <col min="11520" max="11524" width="10.7109375" style="4" customWidth="1"/>
    <col min="11525" max="11525" width="11.42578125" style="4" customWidth="1"/>
    <col min="11526" max="11527" width="12" style="4" customWidth="1"/>
    <col min="11528" max="11529" width="8.85546875" style="4"/>
    <col min="11530" max="11530" width="10.7109375" style="4" bestFit="1" customWidth="1"/>
    <col min="11531" max="11773" width="8.85546875" style="4"/>
    <col min="11774" max="11774" width="1.7109375" style="4" customWidth="1"/>
    <col min="11775" max="11775" width="40.7109375" style="4" customWidth="1"/>
    <col min="11776" max="11780" width="10.7109375" style="4" customWidth="1"/>
    <col min="11781" max="11781" width="11.42578125" style="4" customWidth="1"/>
    <col min="11782" max="11783" width="12" style="4" customWidth="1"/>
    <col min="11784" max="11785" width="8.85546875" style="4"/>
    <col min="11786" max="11786" width="10.7109375" style="4" bestFit="1" customWidth="1"/>
    <col min="11787" max="12029" width="8.85546875" style="4"/>
    <col min="12030" max="12030" width="1.7109375" style="4" customWidth="1"/>
    <col min="12031" max="12031" width="40.7109375" style="4" customWidth="1"/>
    <col min="12032" max="12036" width="10.7109375" style="4" customWidth="1"/>
    <col min="12037" max="12037" width="11.42578125" style="4" customWidth="1"/>
    <col min="12038" max="12039" width="12" style="4" customWidth="1"/>
    <col min="12040" max="12041" width="8.85546875" style="4"/>
    <col min="12042" max="12042" width="10.7109375" style="4" bestFit="1" customWidth="1"/>
    <col min="12043" max="12285" width="8.85546875" style="4"/>
    <col min="12286" max="12286" width="1.7109375" style="4" customWidth="1"/>
    <col min="12287" max="12287" width="40.7109375" style="4" customWidth="1"/>
    <col min="12288" max="12292" width="10.7109375" style="4" customWidth="1"/>
    <col min="12293" max="12293" width="11.42578125" style="4" customWidth="1"/>
    <col min="12294" max="12295" width="12" style="4" customWidth="1"/>
    <col min="12296" max="12297" width="8.85546875" style="4"/>
    <col min="12298" max="12298" width="10.7109375" style="4" bestFit="1" customWidth="1"/>
    <col min="12299" max="12541" width="8.85546875" style="4"/>
    <col min="12542" max="12542" width="1.7109375" style="4" customWidth="1"/>
    <col min="12543" max="12543" width="40.7109375" style="4" customWidth="1"/>
    <col min="12544" max="12548" width="10.7109375" style="4" customWidth="1"/>
    <col min="12549" max="12549" width="11.42578125" style="4" customWidth="1"/>
    <col min="12550" max="12551" width="12" style="4" customWidth="1"/>
    <col min="12552" max="12553" width="8.85546875" style="4"/>
    <col min="12554" max="12554" width="10.7109375" style="4" bestFit="1" customWidth="1"/>
    <col min="12555" max="12797" width="8.85546875" style="4"/>
    <col min="12798" max="12798" width="1.7109375" style="4" customWidth="1"/>
    <col min="12799" max="12799" width="40.7109375" style="4" customWidth="1"/>
    <col min="12800" max="12804" width="10.7109375" style="4" customWidth="1"/>
    <col min="12805" max="12805" width="11.42578125" style="4" customWidth="1"/>
    <col min="12806" max="12807" width="12" style="4" customWidth="1"/>
    <col min="12808" max="12809" width="8.85546875" style="4"/>
    <col min="12810" max="12810" width="10.7109375" style="4" bestFit="1" customWidth="1"/>
    <col min="12811" max="13053" width="8.85546875" style="4"/>
    <col min="13054" max="13054" width="1.7109375" style="4" customWidth="1"/>
    <col min="13055" max="13055" width="40.7109375" style="4" customWidth="1"/>
    <col min="13056" max="13060" width="10.7109375" style="4" customWidth="1"/>
    <col min="13061" max="13061" width="11.42578125" style="4" customWidth="1"/>
    <col min="13062" max="13063" width="12" style="4" customWidth="1"/>
    <col min="13064" max="13065" width="8.85546875" style="4"/>
    <col min="13066" max="13066" width="10.7109375" style="4" bestFit="1" customWidth="1"/>
    <col min="13067" max="13309" width="8.85546875" style="4"/>
    <col min="13310" max="13310" width="1.7109375" style="4" customWidth="1"/>
    <col min="13311" max="13311" width="40.7109375" style="4" customWidth="1"/>
    <col min="13312" max="13316" width="10.7109375" style="4" customWidth="1"/>
    <col min="13317" max="13317" width="11.42578125" style="4" customWidth="1"/>
    <col min="13318" max="13319" width="12" style="4" customWidth="1"/>
    <col min="13320" max="13321" width="8.85546875" style="4"/>
    <col min="13322" max="13322" width="10.7109375" style="4" bestFit="1" customWidth="1"/>
    <col min="13323" max="13565" width="8.85546875" style="4"/>
    <col min="13566" max="13566" width="1.7109375" style="4" customWidth="1"/>
    <col min="13567" max="13567" width="40.7109375" style="4" customWidth="1"/>
    <col min="13568" max="13572" width="10.7109375" style="4" customWidth="1"/>
    <col min="13573" max="13573" width="11.42578125" style="4" customWidth="1"/>
    <col min="13574" max="13575" width="12" style="4" customWidth="1"/>
    <col min="13576" max="13577" width="8.85546875" style="4"/>
    <col min="13578" max="13578" width="10.7109375" style="4" bestFit="1" customWidth="1"/>
    <col min="13579" max="13821" width="8.85546875" style="4"/>
    <col min="13822" max="13822" width="1.7109375" style="4" customWidth="1"/>
    <col min="13823" max="13823" width="40.7109375" style="4" customWidth="1"/>
    <col min="13824" max="13828" width="10.7109375" style="4" customWidth="1"/>
    <col min="13829" max="13829" width="11.42578125" style="4" customWidth="1"/>
    <col min="13830" max="13831" width="12" style="4" customWidth="1"/>
    <col min="13832" max="13833" width="8.85546875" style="4"/>
    <col min="13834" max="13834" width="10.7109375" style="4" bestFit="1" customWidth="1"/>
    <col min="13835" max="14077" width="8.85546875" style="4"/>
    <col min="14078" max="14078" width="1.7109375" style="4" customWidth="1"/>
    <col min="14079" max="14079" width="40.7109375" style="4" customWidth="1"/>
    <col min="14080" max="14084" width="10.7109375" style="4" customWidth="1"/>
    <col min="14085" max="14085" width="11.42578125" style="4" customWidth="1"/>
    <col min="14086" max="14087" width="12" style="4" customWidth="1"/>
    <col min="14088" max="14089" width="8.85546875" style="4"/>
    <col min="14090" max="14090" width="10.7109375" style="4" bestFit="1" customWidth="1"/>
    <col min="14091" max="14333" width="8.85546875" style="4"/>
    <col min="14334" max="14334" width="1.7109375" style="4" customWidth="1"/>
    <col min="14335" max="14335" width="40.7109375" style="4" customWidth="1"/>
    <col min="14336" max="14340" width="10.7109375" style="4" customWidth="1"/>
    <col min="14341" max="14341" width="11.42578125" style="4" customWidth="1"/>
    <col min="14342" max="14343" width="12" style="4" customWidth="1"/>
    <col min="14344" max="14345" width="8.85546875" style="4"/>
    <col min="14346" max="14346" width="10.7109375" style="4" bestFit="1" customWidth="1"/>
    <col min="14347" max="14589" width="8.85546875" style="4"/>
    <col min="14590" max="14590" width="1.7109375" style="4" customWidth="1"/>
    <col min="14591" max="14591" width="40.7109375" style="4" customWidth="1"/>
    <col min="14592" max="14596" width="10.7109375" style="4" customWidth="1"/>
    <col min="14597" max="14597" width="11.42578125" style="4" customWidth="1"/>
    <col min="14598" max="14599" width="12" style="4" customWidth="1"/>
    <col min="14600" max="14601" width="8.85546875" style="4"/>
    <col min="14602" max="14602" width="10.7109375" style="4" bestFit="1" customWidth="1"/>
    <col min="14603" max="14845" width="8.85546875" style="4"/>
    <col min="14846" max="14846" width="1.7109375" style="4" customWidth="1"/>
    <col min="14847" max="14847" width="40.7109375" style="4" customWidth="1"/>
    <col min="14848" max="14852" width="10.7109375" style="4" customWidth="1"/>
    <col min="14853" max="14853" width="11.42578125" style="4" customWidth="1"/>
    <col min="14854" max="14855" width="12" style="4" customWidth="1"/>
    <col min="14856" max="14857" width="8.85546875" style="4"/>
    <col min="14858" max="14858" width="10.7109375" style="4" bestFit="1" customWidth="1"/>
    <col min="14859" max="15101" width="8.85546875" style="4"/>
    <col min="15102" max="15102" width="1.7109375" style="4" customWidth="1"/>
    <col min="15103" max="15103" width="40.7109375" style="4" customWidth="1"/>
    <col min="15104" max="15108" width="10.7109375" style="4" customWidth="1"/>
    <col min="15109" max="15109" width="11.42578125" style="4" customWidth="1"/>
    <col min="15110" max="15111" width="12" style="4" customWidth="1"/>
    <col min="15112" max="15113" width="8.85546875" style="4"/>
    <col min="15114" max="15114" width="10.7109375" style="4" bestFit="1" customWidth="1"/>
    <col min="15115" max="15357" width="8.85546875" style="4"/>
    <col min="15358" max="15358" width="1.7109375" style="4" customWidth="1"/>
    <col min="15359" max="15359" width="40.7109375" style="4" customWidth="1"/>
    <col min="15360" max="15364" width="10.7109375" style="4" customWidth="1"/>
    <col min="15365" max="15365" width="11.42578125" style="4" customWidth="1"/>
    <col min="15366" max="15367" width="12" style="4" customWidth="1"/>
    <col min="15368" max="15369" width="8.85546875" style="4"/>
    <col min="15370" max="15370" width="10.7109375" style="4" bestFit="1" customWidth="1"/>
    <col min="15371" max="15613" width="8.85546875" style="4"/>
    <col min="15614" max="15614" width="1.7109375" style="4" customWidth="1"/>
    <col min="15615" max="15615" width="40.7109375" style="4" customWidth="1"/>
    <col min="15616" max="15620" width="10.7109375" style="4" customWidth="1"/>
    <col min="15621" max="15621" width="11.42578125" style="4" customWidth="1"/>
    <col min="15622" max="15623" width="12" style="4" customWidth="1"/>
    <col min="15624" max="15625" width="8.85546875" style="4"/>
    <col min="15626" max="15626" width="10.7109375" style="4" bestFit="1" customWidth="1"/>
    <col min="15627" max="15869" width="8.85546875" style="4"/>
    <col min="15870" max="15870" width="1.7109375" style="4" customWidth="1"/>
    <col min="15871" max="15871" width="40.7109375" style="4" customWidth="1"/>
    <col min="15872" max="15876" width="10.7109375" style="4" customWidth="1"/>
    <col min="15877" max="15877" width="11.42578125" style="4" customWidth="1"/>
    <col min="15878" max="15879" width="12" style="4" customWidth="1"/>
    <col min="15880" max="15881" width="8.85546875" style="4"/>
    <col min="15882" max="15882" width="10.7109375" style="4" bestFit="1" customWidth="1"/>
    <col min="15883" max="16125" width="8.85546875" style="4"/>
    <col min="16126" max="16126" width="1.7109375" style="4" customWidth="1"/>
    <col min="16127" max="16127" width="40.7109375" style="4" customWidth="1"/>
    <col min="16128" max="16132" width="10.7109375" style="4" customWidth="1"/>
    <col min="16133" max="16133" width="11.42578125" style="4" customWidth="1"/>
    <col min="16134" max="16135" width="12" style="4" customWidth="1"/>
    <col min="16136" max="16137" width="8.85546875" style="4"/>
    <col min="16138" max="16138" width="10.7109375" style="4" bestFit="1" customWidth="1"/>
    <col min="16139" max="16384" width="8.85546875" style="4"/>
  </cols>
  <sheetData>
    <row r="1" spans="1:12" s="2" customFormat="1" ht="19.5" x14ac:dyDescent="0.3">
      <c r="A1" s="317" t="str">
        <f>CoName</f>
        <v>Berkshire Hathaway Non-Insurance</v>
      </c>
      <c r="B1" s="3"/>
      <c r="C1" s="43" t="s">
        <v>0</v>
      </c>
      <c r="D1" s="43" t="s">
        <v>0</v>
      </c>
      <c r="E1" s="43" t="s">
        <v>0</v>
      </c>
      <c r="F1" s="43" t="s">
        <v>1</v>
      </c>
      <c r="G1" s="43" t="s">
        <v>1</v>
      </c>
      <c r="H1" s="43" t="s">
        <v>1</v>
      </c>
      <c r="I1" s="43" t="s">
        <v>1</v>
      </c>
      <c r="J1" s="43" t="s">
        <v>1</v>
      </c>
      <c r="K1" s="43"/>
      <c r="L1" s="43"/>
    </row>
    <row r="2" spans="1:12" x14ac:dyDescent="0.25">
      <c r="A2" s="17" t="s">
        <v>10</v>
      </c>
      <c r="B2" s="16"/>
      <c r="C2" s="316">
        <v>44926</v>
      </c>
      <c r="D2" s="316">
        <v>45291</v>
      </c>
      <c r="E2" s="316">
        <v>45657</v>
      </c>
      <c r="F2" s="110">
        <v>46022</v>
      </c>
      <c r="G2" s="110">
        <v>46387</v>
      </c>
      <c r="H2" s="110">
        <v>46752</v>
      </c>
      <c r="I2" s="110">
        <v>47118</v>
      </c>
      <c r="J2" s="110">
        <v>47483</v>
      </c>
    </row>
    <row r="3" spans="1:12" x14ac:dyDescent="0.25">
      <c r="A3" s="89"/>
      <c r="C3" s="102"/>
      <c r="D3" s="102"/>
      <c r="E3" s="102"/>
    </row>
    <row r="4" spans="1:12" x14ac:dyDescent="0.25">
      <c r="B4" s="32" t="s">
        <v>42</v>
      </c>
      <c r="C4" s="33"/>
      <c r="D4" s="33"/>
      <c r="E4" s="34"/>
      <c r="F4" s="192">
        <f>Assumptions!F10</f>
        <v>2.5000000000000001E-2</v>
      </c>
      <c r="G4" s="192">
        <f>Assumptions!G10</f>
        <v>2.5000000000000001E-2</v>
      </c>
      <c r="H4" s="192">
        <f>Assumptions!H10</f>
        <v>2.5000000000000001E-2</v>
      </c>
      <c r="I4" s="192">
        <f>Assumptions!I10</f>
        <v>2.5000000000000001E-2</v>
      </c>
      <c r="J4" s="192">
        <f>Assumptions!J10</f>
        <v>2.5000000000000001E-2</v>
      </c>
      <c r="K4" s="226"/>
      <c r="L4" s="226"/>
    </row>
    <row r="5" spans="1:12" x14ac:dyDescent="0.25">
      <c r="B5" s="32" t="s">
        <v>43</v>
      </c>
      <c r="C5" s="33"/>
      <c r="D5" s="33"/>
      <c r="E5" s="33"/>
      <c r="F5" s="192">
        <f>Assumptions!F11</f>
        <v>0.66175938943562962</v>
      </c>
      <c r="G5" s="192">
        <f>Assumptions!G11</f>
        <v>0.66175938943562962</v>
      </c>
      <c r="H5" s="192">
        <f>Assumptions!H11</f>
        <v>0.66175938943562962</v>
      </c>
      <c r="I5" s="192">
        <f>Assumptions!I11</f>
        <v>0.66175938943562962</v>
      </c>
      <c r="J5" s="192">
        <f>Assumptions!J11</f>
        <v>0.66175938943562962</v>
      </c>
      <c r="K5" s="226"/>
      <c r="L5" s="226"/>
    </row>
    <row r="6" spans="1:12" x14ac:dyDescent="0.25">
      <c r="B6" s="32" t="s">
        <v>44</v>
      </c>
      <c r="C6" s="33"/>
      <c r="D6" s="33"/>
      <c r="E6" s="33"/>
      <c r="F6" s="192">
        <f>Assumptions!F12</f>
        <v>8.7226350672825873E-2</v>
      </c>
      <c r="G6" s="192">
        <f>Assumptions!G12</f>
        <v>8.7226350672825873E-2</v>
      </c>
      <c r="H6" s="192">
        <f>Assumptions!H12</f>
        <v>8.7226350672825873E-2</v>
      </c>
      <c r="I6" s="192">
        <f>Assumptions!I12</f>
        <v>8.7226350672825873E-2</v>
      </c>
      <c r="J6" s="192">
        <f>Assumptions!J12</f>
        <v>8.7226350672825873E-2</v>
      </c>
      <c r="K6" s="226"/>
      <c r="L6" s="226"/>
    </row>
    <row r="7" spans="1:12" x14ac:dyDescent="0.25">
      <c r="A7" s="89"/>
      <c r="B7" s="4" t="s">
        <v>45</v>
      </c>
      <c r="C7" s="32"/>
      <c r="D7" s="32"/>
      <c r="E7" s="32"/>
      <c r="F7" s="193">
        <f>Assumptions!F13</f>
        <v>0</v>
      </c>
      <c r="G7" s="193">
        <f>Assumptions!G13</f>
        <v>0</v>
      </c>
      <c r="H7" s="193">
        <f>Assumptions!H13</f>
        <v>0</v>
      </c>
      <c r="I7" s="193">
        <f>Assumptions!I13</f>
        <v>0</v>
      </c>
      <c r="J7" s="193">
        <f>Assumptions!J13</f>
        <v>0</v>
      </c>
      <c r="K7" s="227"/>
      <c r="L7" s="227"/>
    </row>
    <row r="8" spans="1:12" x14ac:dyDescent="0.25">
      <c r="A8" s="89"/>
      <c r="B8" s="4" t="s">
        <v>46</v>
      </c>
      <c r="C8" s="32"/>
      <c r="D8" s="32"/>
      <c r="E8" s="32"/>
      <c r="F8" s="194">
        <f>Assumptions!F14</f>
        <v>0</v>
      </c>
      <c r="G8" s="194">
        <f>Assumptions!G14</f>
        <v>0</v>
      </c>
      <c r="H8" s="194">
        <f>Assumptions!H14</f>
        <v>0</v>
      </c>
      <c r="I8" s="194">
        <f>Assumptions!I14</f>
        <v>0</v>
      </c>
      <c r="J8" s="194">
        <f>Assumptions!J14</f>
        <v>0</v>
      </c>
      <c r="K8" s="228"/>
      <c r="L8" s="228"/>
    </row>
    <row r="9" spans="1:12" x14ac:dyDescent="0.25">
      <c r="B9" s="4" t="s">
        <v>140</v>
      </c>
      <c r="F9" s="194">
        <f>Assumptions!F15</f>
        <v>0</v>
      </c>
      <c r="G9" s="194">
        <f>Assumptions!G15</f>
        <v>0</v>
      </c>
      <c r="H9" s="194">
        <f>Assumptions!H15</f>
        <v>0</v>
      </c>
      <c r="I9" s="194">
        <f>Assumptions!I15</f>
        <v>0</v>
      </c>
      <c r="J9" s="194">
        <f>Assumptions!J15</f>
        <v>0</v>
      </c>
      <c r="K9" s="228"/>
      <c r="L9" s="228"/>
    </row>
    <row r="10" spans="1:12" x14ac:dyDescent="0.25">
      <c r="B10" s="32" t="s">
        <v>47</v>
      </c>
      <c r="C10" s="45"/>
      <c r="D10" s="45"/>
      <c r="E10" s="45"/>
      <c r="F10" s="192">
        <f>Assumptions!F16</f>
        <v>0.36515589842494373</v>
      </c>
      <c r="G10" s="192">
        <f>Assumptions!G16</f>
        <v>0.36515589842494373</v>
      </c>
      <c r="H10" s="192">
        <f>Assumptions!H16</f>
        <v>0.36515589842494373</v>
      </c>
      <c r="I10" s="192">
        <f>Assumptions!I16</f>
        <v>0.36515589842494373</v>
      </c>
      <c r="J10" s="192">
        <f>Assumptions!J16</f>
        <v>0.36515589842494373</v>
      </c>
      <c r="K10" s="226"/>
      <c r="L10" s="226"/>
    </row>
    <row r="11" spans="1:12" x14ac:dyDescent="0.25">
      <c r="B11" s="4" t="s">
        <v>48</v>
      </c>
      <c r="C11" s="32"/>
      <c r="D11" s="32"/>
      <c r="E11" s="41"/>
      <c r="F11" s="194">
        <f>Assumptions!F17</f>
        <v>1.4377200000000001</v>
      </c>
      <c r="G11" s="194">
        <f>Assumptions!G17</f>
        <v>1.4377200000000001</v>
      </c>
      <c r="H11" s="194">
        <f>Assumptions!H17</f>
        <v>1.4377200000000001</v>
      </c>
      <c r="I11" s="194">
        <f>Assumptions!I17</f>
        <v>1.4377200000000001</v>
      </c>
      <c r="J11" s="194">
        <f>Assumptions!J17</f>
        <v>1.4377200000000001</v>
      </c>
      <c r="K11" s="228"/>
      <c r="L11" s="228"/>
    </row>
    <row r="12" spans="1:12" x14ac:dyDescent="0.25">
      <c r="B12" s="4" t="s">
        <v>49</v>
      </c>
      <c r="C12" s="32"/>
      <c r="D12" s="32"/>
      <c r="E12" s="41"/>
      <c r="F12" s="194">
        <f>Assumptions!F18</f>
        <v>2156.5802960000001</v>
      </c>
      <c r="G12" s="194">
        <f>Assumptions!G18</f>
        <v>2156.5802960000001</v>
      </c>
      <c r="H12" s="194">
        <f>Assumptions!H18</f>
        <v>2156.5802960000001</v>
      </c>
      <c r="I12" s="194">
        <f>Assumptions!I18</f>
        <v>2156.5802960000001</v>
      </c>
      <c r="J12" s="194">
        <f>Assumptions!J18</f>
        <v>2156.5802960000001</v>
      </c>
      <c r="K12" s="228"/>
      <c r="L12" s="228"/>
    </row>
    <row r="13" spans="1:12" x14ac:dyDescent="0.25"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4.85" customHeight="1" x14ac:dyDescent="0.25">
      <c r="A14" s="195" t="s">
        <v>41</v>
      </c>
      <c r="B14" s="196"/>
      <c r="C14" s="159">
        <f t="shared" ref="C14:J14" si="0">C35</f>
        <v>44926</v>
      </c>
      <c r="D14" s="159">
        <f t="shared" si="0"/>
        <v>45291</v>
      </c>
      <c r="E14" s="159">
        <f t="shared" si="0"/>
        <v>45657</v>
      </c>
      <c r="F14" s="159">
        <f t="shared" si="0"/>
        <v>46022</v>
      </c>
      <c r="G14" s="159">
        <f t="shared" si="0"/>
        <v>46022</v>
      </c>
      <c r="H14" s="159">
        <f t="shared" si="0"/>
        <v>46022</v>
      </c>
      <c r="I14" s="159">
        <f t="shared" si="0"/>
        <v>46022</v>
      </c>
      <c r="J14" s="159">
        <f t="shared" si="0"/>
        <v>46022</v>
      </c>
      <c r="K14" s="224"/>
      <c r="L14" s="224"/>
    </row>
    <row r="15" spans="1:12" x14ac:dyDescent="0.25">
      <c r="B15" s="4" t="s">
        <v>50</v>
      </c>
      <c r="C15" s="100">
        <v>52149</v>
      </c>
      <c r="D15" s="130">
        <v>49751</v>
      </c>
      <c r="E15" s="24">
        <v>49790</v>
      </c>
      <c r="F15" s="4">
        <f>E15*(1+F4)</f>
        <v>51034.749999999993</v>
      </c>
      <c r="G15" s="4">
        <f t="shared" ref="G15:J15" si="1">F15*(1+G4)</f>
        <v>52310.618749999987</v>
      </c>
      <c r="H15" s="4">
        <f t="shared" si="1"/>
        <v>53618.384218749983</v>
      </c>
      <c r="I15" s="4">
        <f t="shared" si="1"/>
        <v>54958.843824218726</v>
      </c>
      <c r="J15" s="4">
        <f t="shared" si="1"/>
        <v>56332.814919824188</v>
      </c>
    </row>
    <row r="16" spans="1:12" x14ac:dyDescent="0.25">
      <c r="B16" s="4" t="s">
        <v>152</v>
      </c>
      <c r="C16" s="130">
        <f>41327-4984-3165</f>
        <v>33178</v>
      </c>
      <c r="D16" s="130">
        <f>42211-4016-3332</f>
        <v>34863</v>
      </c>
      <c r="E16" s="24">
        <f>40898-4343-3606</f>
        <v>32949</v>
      </c>
      <c r="F16" s="191">
        <f>F15*F5</f>
        <v>33772.724999999991</v>
      </c>
      <c r="G16" s="191">
        <f t="shared" ref="G16:J16" si="2">G15*G5</f>
        <v>34617.043124999989</v>
      </c>
      <c r="H16" s="191">
        <f t="shared" si="2"/>
        <v>35482.469203124987</v>
      </c>
      <c r="I16" s="191">
        <f t="shared" si="2"/>
        <v>36369.53093320311</v>
      </c>
      <c r="J16" s="191">
        <f t="shared" si="2"/>
        <v>37278.769206533179</v>
      </c>
      <c r="K16" s="225"/>
      <c r="L16" s="225"/>
    </row>
    <row r="17" spans="1:12" x14ac:dyDescent="0.25">
      <c r="B17" s="4" t="s">
        <v>51</v>
      </c>
      <c r="C17" s="130">
        <v>4984</v>
      </c>
      <c r="D17" s="130">
        <v>4016</v>
      </c>
      <c r="E17" s="24">
        <v>4343</v>
      </c>
      <c r="F17" s="191">
        <f>F15*F6</f>
        <v>4451.5749999999998</v>
      </c>
      <c r="G17" s="191">
        <f t="shared" ref="G17:J17" si="3">G15*G6</f>
        <v>4562.8643749999992</v>
      </c>
      <c r="H17" s="191">
        <f t="shared" si="3"/>
        <v>4676.935984374999</v>
      </c>
      <c r="I17" s="191">
        <f t="shared" si="3"/>
        <v>4793.8593839843734</v>
      </c>
      <c r="J17" s="191">
        <f t="shared" si="3"/>
        <v>4913.705868583982</v>
      </c>
      <c r="K17" s="225"/>
      <c r="L17" s="225"/>
    </row>
    <row r="18" spans="1:12" s="11" customFormat="1" x14ac:dyDescent="0.25">
      <c r="A18" s="11" t="s">
        <v>119</v>
      </c>
      <c r="B18" s="18" t="s">
        <v>54</v>
      </c>
      <c r="C18" s="19">
        <f>C15-SUM(C16:C17)</f>
        <v>13987</v>
      </c>
      <c r="D18" s="19">
        <f>D15-SUM(D16:D17)</f>
        <v>10872</v>
      </c>
      <c r="E18" s="19">
        <f>E15-SUM(E16:E17)</f>
        <v>12498</v>
      </c>
      <c r="F18" s="19">
        <f>F15-SUM(F16:F17)</f>
        <v>12810.450000000004</v>
      </c>
      <c r="G18" s="19">
        <f t="shared" ref="G18:J18" si="4">G15-SUM(G16:G17)</f>
        <v>13130.71125</v>
      </c>
      <c r="H18" s="19">
        <f t="shared" si="4"/>
        <v>13458.979031249997</v>
      </c>
      <c r="I18" s="19">
        <f t="shared" si="4"/>
        <v>13795.453507031241</v>
      </c>
      <c r="J18" s="19">
        <f t="shared" si="4"/>
        <v>14140.339844707029</v>
      </c>
    </row>
    <row r="19" spans="1:12" s="11" customFormat="1" x14ac:dyDescent="0.25">
      <c r="E19" s="37"/>
    </row>
    <row r="20" spans="1:12" s="11" customFormat="1" x14ac:dyDescent="0.25">
      <c r="B20" s="4" t="s">
        <v>15</v>
      </c>
      <c r="C20" s="131">
        <f>10899-260</f>
        <v>10639</v>
      </c>
      <c r="D20" s="131">
        <f>12486-401</f>
        <v>12085</v>
      </c>
      <c r="E20" s="27">
        <f>12855-411</f>
        <v>12444</v>
      </c>
      <c r="F20" s="4">
        <f>Calcs!F8</f>
        <v>12854.009336252635</v>
      </c>
      <c r="G20" s="4">
        <f>Calcs!G8</f>
        <v>13067.903096659558</v>
      </c>
      <c r="H20" s="4">
        <f>Calcs!H8</f>
        <v>13295.035685434625</v>
      </c>
      <c r="I20" s="4">
        <f>Calcs!I8</f>
        <v>13535.158531416413</v>
      </c>
      <c r="J20" s="4">
        <f>Calcs!J8</f>
        <v>13788.059410077556</v>
      </c>
      <c r="K20" s="4"/>
      <c r="L20" s="4"/>
    </row>
    <row r="21" spans="1:12" s="11" customFormat="1" x14ac:dyDescent="0.25">
      <c r="B21" s="4" t="s">
        <v>53</v>
      </c>
      <c r="C21" s="100">
        <v>0</v>
      </c>
      <c r="D21" s="100">
        <v>0</v>
      </c>
      <c r="E21" s="132">
        <v>0</v>
      </c>
      <c r="F21" s="4">
        <f>F7</f>
        <v>0</v>
      </c>
      <c r="G21" s="4">
        <f t="shared" ref="G21:J21" si="5">G7</f>
        <v>0</v>
      </c>
      <c r="H21" s="4">
        <f t="shared" si="5"/>
        <v>0</v>
      </c>
      <c r="I21" s="4">
        <f t="shared" si="5"/>
        <v>0</v>
      </c>
      <c r="J21" s="4">
        <f t="shared" si="5"/>
        <v>0</v>
      </c>
      <c r="K21" s="4"/>
      <c r="L21" s="4"/>
    </row>
    <row r="22" spans="1:12" s="135" customFormat="1" x14ac:dyDescent="0.25">
      <c r="A22" s="135" t="s">
        <v>119</v>
      </c>
      <c r="B22" s="136" t="s">
        <v>52</v>
      </c>
      <c r="C22" s="137">
        <f>C18+C20</f>
        <v>24626</v>
      </c>
      <c r="D22" s="137">
        <f t="shared" ref="D22:F22" si="6">D18+D20</f>
        <v>22957</v>
      </c>
      <c r="E22" s="137">
        <f t="shared" si="6"/>
        <v>24942</v>
      </c>
      <c r="F22" s="137">
        <f t="shared" si="6"/>
        <v>25664.459336252639</v>
      </c>
      <c r="G22" s="137">
        <f t="shared" ref="G22:J22" si="7">G18+G20</f>
        <v>26198.61434665956</v>
      </c>
      <c r="H22" s="137">
        <f t="shared" si="7"/>
        <v>26754.014716684622</v>
      </c>
      <c r="I22" s="137">
        <f t="shared" si="7"/>
        <v>27330.612038447653</v>
      </c>
      <c r="J22" s="137">
        <f t="shared" si="7"/>
        <v>27928.399254784585</v>
      </c>
    </row>
    <row r="23" spans="1:12" s="11" customFormat="1" x14ac:dyDescent="0.25">
      <c r="C23" s="14"/>
      <c r="D23" s="4"/>
      <c r="E23" s="38"/>
      <c r="F23" s="4"/>
      <c r="G23" s="4"/>
      <c r="H23" s="4"/>
      <c r="I23" s="4"/>
      <c r="J23" s="4"/>
      <c r="K23" s="14"/>
      <c r="L23" s="14"/>
    </row>
    <row r="24" spans="1:12" s="11" customFormat="1" x14ac:dyDescent="0.25">
      <c r="B24" s="4" t="s">
        <v>55</v>
      </c>
      <c r="C24" s="98">
        <v>0</v>
      </c>
      <c r="D24" s="98">
        <v>0</v>
      </c>
      <c r="E24" s="99">
        <v>0</v>
      </c>
      <c r="F24" s="4">
        <f>F8</f>
        <v>0</v>
      </c>
      <c r="G24" s="4">
        <f t="shared" ref="G24:J24" si="8">G8</f>
        <v>0</v>
      </c>
      <c r="H24" s="4">
        <f t="shared" si="8"/>
        <v>0</v>
      </c>
      <c r="I24" s="4">
        <f t="shared" si="8"/>
        <v>0</v>
      </c>
      <c r="J24" s="4">
        <f t="shared" si="8"/>
        <v>0</v>
      </c>
      <c r="K24" s="4"/>
      <c r="L24" s="4"/>
    </row>
    <row r="25" spans="1:12" s="11" customFormat="1" x14ac:dyDescent="0.25">
      <c r="B25" s="4" t="s">
        <v>56</v>
      </c>
      <c r="C25" s="98">
        <v>0</v>
      </c>
      <c r="D25" s="98">
        <v>0</v>
      </c>
      <c r="E25" s="99">
        <v>0</v>
      </c>
      <c r="F25" s="4">
        <f>F9</f>
        <v>0</v>
      </c>
      <c r="G25" s="4">
        <f t="shared" ref="G25:J25" si="9">G9</f>
        <v>0</v>
      </c>
      <c r="H25" s="4">
        <f t="shared" si="9"/>
        <v>0</v>
      </c>
      <c r="I25" s="4">
        <f t="shared" si="9"/>
        <v>0</v>
      </c>
      <c r="J25" s="4">
        <f t="shared" si="9"/>
        <v>0</v>
      </c>
      <c r="K25" s="4"/>
      <c r="L25" s="4"/>
    </row>
    <row r="26" spans="1:12" s="11" customFormat="1" x14ac:dyDescent="0.25">
      <c r="B26" s="4"/>
      <c r="C26" s="10"/>
      <c r="D26" s="10"/>
      <c r="E26" s="24"/>
      <c r="F26" s="4"/>
      <c r="G26" s="4"/>
      <c r="H26" s="4"/>
      <c r="I26" s="4"/>
      <c r="J26" s="4"/>
      <c r="K26" s="4"/>
      <c r="L26" s="4"/>
    </row>
    <row r="27" spans="1:12" s="11" customFormat="1" x14ac:dyDescent="0.25">
      <c r="B27" s="4" t="s">
        <v>40</v>
      </c>
      <c r="C27" s="9">
        <v>0</v>
      </c>
      <c r="D27" s="9">
        <v>0</v>
      </c>
      <c r="E27" s="47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199"/>
      <c r="L27" s="199"/>
    </row>
    <row r="28" spans="1:12" x14ac:dyDescent="0.25">
      <c r="B28" s="4" t="s">
        <v>32</v>
      </c>
      <c r="C28" s="9">
        <v>3606</v>
      </c>
      <c r="D28" s="9">
        <v>3332</v>
      </c>
      <c r="E28" s="47">
        <v>3165</v>
      </c>
      <c r="F28" s="9">
        <f>E28</f>
        <v>3165</v>
      </c>
      <c r="G28" s="9">
        <f t="shared" ref="G28:J28" si="10">F28</f>
        <v>3165</v>
      </c>
      <c r="H28" s="9">
        <f t="shared" si="10"/>
        <v>3165</v>
      </c>
      <c r="I28" s="9">
        <f t="shared" si="10"/>
        <v>3165</v>
      </c>
      <c r="J28" s="9">
        <f t="shared" si="10"/>
        <v>3165</v>
      </c>
      <c r="K28" s="199"/>
      <c r="L28" s="199"/>
    </row>
    <row r="29" spans="1:12" x14ac:dyDescent="0.25">
      <c r="C29" s="10"/>
      <c r="D29" s="10"/>
      <c r="E29" s="24"/>
      <c r="H29" s="4"/>
    </row>
    <row r="30" spans="1:12" s="11" customFormat="1" x14ac:dyDescent="0.25">
      <c r="A30" s="11" t="s">
        <v>119</v>
      </c>
      <c r="B30" s="18" t="s">
        <v>80</v>
      </c>
      <c r="C30" s="19">
        <f>C18-C28</f>
        <v>10381</v>
      </c>
      <c r="D30" s="19">
        <f t="shared" ref="D30:F30" si="11">D18-D28</f>
        <v>7540</v>
      </c>
      <c r="E30" s="19">
        <f t="shared" si="11"/>
        <v>9333</v>
      </c>
      <c r="F30" s="19">
        <f t="shared" si="11"/>
        <v>9645.4500000000044</v>
      </c>
      <c r="G30" s="19">
        <f t="shared" ref="G30:J30" si="12">G18-G28</f>
        <v>9965.7112500000003</v>
      </c>
      <c r="H30" s="19">
        <f t="shared" si="12"/>
        <v>10293.979031249997</v>
      </c>
      <c r="I30" s="19">
        <f t="shared" si="12"/>
        <v>10630.453507031241</v>
      </c>
      <c r="J30" s="19">
        <f t="shared" si="12"/>
        <v>10975.339844707029</v>
      </c>
    </row>
    <row r="31" spans="1:12" x14ac:dyDescent="0.25">
      <c r="E31" s="39"/>
      <c r="H31" s="4"/>
    </row>
    <row r="32" spans="1:12" x14ac:dyDescent="0.25">
      <c r="B32" s="4" t="s">
        <v>57</v>
      </c>
      <c r="C32" s="139">
        <f>1763-1629+2403+66+1131</f>
        <v>3734</v>
      </c>
      <c r="D32" s="4">
        <f>1527-2022+2487+169+117+1135</f>
        <v>3413</v>
      </c>
      <c r="E32" s="61">
        <f>1617-1871+2598+152+912</f>
        <v>3408</v>
      </c>
      <c r="F32" s="4">
        <f>F30*F10</f>
        <v>3522.092960462875</v>
      </c>
      <c r="G32" s="4">
        <f t="shared" ref="G32:J32" si="13">G30*G10</f>
        <v>3639.0382449373192</v>
      </c>
      <c r="H32" s="4">
        <f t="shared" si="13"/>
        <v>3758.9071615236244</v>
      </c>
      <c r="I32" s="4">
        <f t="shared" si="13"/>
        <v>3881.7728010245869</v>
      </c>
      <c r="J32" s="4">
        <f t="shared" si="13"/>
        <v>4007.7100815130775</v>
      </c>
    </row>
    <row r="33" spans="1:12" s="11" customFormat="1" x14ac:dyDescent="0.25">
      <c r="A33" s="11" t="s">
        <v>119</v>
      </c>
      <c r="B33" s="18" t="s">
        <v>58</v>
      </c>
      <c r="C33" s="19">
        <f>C30-C32</f>
        <v>6647</v>
      </c>
      <c r="D33" s="19">
        <f t="shared" ref="D33:F33" si="14">D30-D32</f>
        <v>4127</v>
      </c>
      <c r="E33" s="19">
        <f t="shared" si="14"/>
        <v>5925</v>
      </c>
      <c r="F33" s="19">
        <f t="shared" si="14"/>
        <v>6123.3570395371298</v>
      </c>
      <c r="G33" s="19">
        <f t="shared" ref="G33:J33" si="15">G30-G32</f>
        <v>6326.6730050626811</v>
      </c>
      <c r="H33" s="19">
        <f t="shared" si="15"/>
        <v>6535.0718697263728</v>
      </c>
      <c r="I33" s="19">
        <f t="shared" si="15"/>
        <v>6748.6807060066549</v>
      </c>
      <c r="J33" s="19">
        <f t="shared" si="15"/>
        <v>6967.6297631939506</v>
      </c>
    </row>
    <row r="34" spans="1:12" x14ac:dyDescent="0.25">
      <c r="B34" s="11"/>
      <c r="C34" s="11"/>
      <c r="D34" s="11"/>
      <c r="E34" s="37"/>
      <c r="F34" s="11"/>
      <c r="G34" s="11"/>
      <c r="H34" s="11"/>
      <c r="I34" s="11"/>
      <c r="J34" s="11"/>
      <c r="K34" s="11"/>
      <c r="L34" s="11"/>
    </row>
    <row r="35" spans="1:12" x14ac:dyDescent="0.25">
      <c r="A35" s="22" t="s">
        <v>59</v>
      </c>
      <c r="B35" s="21"/>
      <c r="C35" s="57">
        <v>44926</v>
      </c>
      <c r="D35" s="57">
        <v>45291</v>
      </c>
      <c r="E35" s="57">
        <v>45657</v>
      </c>
      <c r="F35" s="57">
        <v>46022</v>
      </c>
      <c r="G35" s="57">
        <v>46022</v>
      </c>
      <c r="H35" s="57">
        <v>46022</v>
      </c>
      <c r="I35" s="57">
        <v>46022</v>
      </c>
      <c r="J35" s="57">
        <v>46022</v>
      </c>
      <c r="K35" s="221"/>
      <c r="L35" s="221"/>
    </row>
    <row r="36" spans="1:12" x14ac:dyDescent="0.25">
      <c r="B36" s="4" t="s">
        <v>190</v>
      </c>
      <c r="C36" s="10">
        <v>1.4688760000000001</v>
      </c>
      <c r="D36" s="10">
        <v>1.4488799999999999</v>
      </c>
      <c r="E36" s="24">
        <v>1.4377200000000001</v>
      </c>
      <c r="F36" s="130">
        <v>1.4377200000000001</v>
      </c>
      <c r="G36" s="130">
        <v>1.4377200000000001</v>
      </c>
      <c r="H36" s="130">
        <v>1.4377200000000001</v>
      </c>
      <c r="I36" s="130">
        <v>1.4377200000000001</v>
      </c>
      <c r="J36" s="130">
        <v>1.4377200000000001</v>
      </c>
      <c r="K36" s="225"/>
      <c r="L36" s="225"/>
    </row>
    <row r="37" spans="1:12" x14ac:dyDescent="0.25">
      <c r="B37" s="4" t="s">
        <v>191</v>
      </c>
      <c r="C37" s="10">
        <v>2203.3136420000001</v>
      </c>
      <c r="D37" s="10">
        <v>2173.3197089999999</v>
      </c>
      <c r="E37" s="24">
        <v>2156.5802960000001</v>
      </c>
      <c r="F37" s="130">
        <v>2156.5802960000001</v>
      </c>
      <c r="G37" s="130">
        <v>2156.5802960000001</v>
      </c>
      <c r="H37" s="130">
        <v>2156.5802960000001</v>
      </c>
      <c r="I37" s="130">
        <v>2156.5802960000001</v>
      </c>
      <c r="J37" s="130">
        <v>2156.5802960000001</v>
      </c>
      <c r="K37" s="225"/>
      <c r="L37" s="225"/>
    </row>
    <row r="38" spans="1:12" x14ac:dyDescent="0.25">
      <c r="B38" s="4" t="s">
        <v>192</v>
      </c>
      <c r="C38" s="198">
        <f>C33/C36</f>
        <v>4525.2288144131971</v>
      </c>
      <c r="D38" s="198">
        <f t="shared" ref="D38:E38" si="16">D33/D36</f>
        <v>2848.4070454419966</v>
      </c>
      <c r="E38" s="327">
        <f t="shared" si="16"/>
        <v>4121.10842166764</v>
      </c>
      <c r="F38" s="329">
        <f t="shared" ref="F38:J38" si="17">F33/F36</f>
        <v>4259.074812576252</v>
      </c>
      <c r="G38" s="329">
        <f t="shared" si="17"/>
        <v>4400.4903632575752</v>
      </c>
      <c r="H38" s="329">
        <f t="shared" si="17"/>
        <v>4545.4413027059318</v>
      </c>
      <c r="I38" s="329">
        <f t="shared" si="17"/>
        <v>4694.0160156404963</v>
      </c>
      <c r="J38" s="329">
        <f t="shared" si="17"/>
        <v>4846.3050963984297</v>
      </c>
      <c r="K38" s="225"/>
      <c r="L38" s="225"/>
    </row>
    <row r="39" spans="1:12" s="11" customFormat="1" x14ac:dyDescent="0.25">
      <c r="A39" s="11" t="s">
        <v>119</v>
      </c>
      <c r="B39" s="18" t="s">
        <v>193</v>
      </c>
      <c r="C39" s="197">
        <f>C33/C37</f>
        <v>3.0168196997892505</v>
      </c>
      <c r="D39" s="197">
        <f t="shared" ref="D39:F39" si="18">D33/D37</f>
        <v>1.8989382845559057</v>
      </c>
      <c r="E39" s="197">
        <f t="shared" si="18"/>
        <v>2.7474052373517557</v>
      </c>
      <c r="F39" s="197">
        <f t="shared" si="18"/>
        <v>2.8393828186665067</v>
      </c>
      <c r="G39" s="197">
        <f t="shared" ref="G39:J39" si="19">G33/G37</f>
        <v>2.9336598395141236</v>
      </c>
      <c r="H39" s="197">
        <f t="shared" si="19"/>
        <v>3.0302937858829311</v>
      </c>
      <c r="I39" s="197">
        <f t="shared" si="19"/>
        <v>3.1293435809109584</v>
      </c>
      <c r="J39" s="197">
        <f t="shared" si="19"/>
        <v>3.2308696208146892</v>
      </c>
      <c r="K39" s="229"/>
      <c r="L39" s="229"/>
    </row>
    <row r="40" spans="1:12" x14ac:dyDescent="0.25">
      <c r="C40" s="15"/>
      <c r="D40" s="15"/>
      <c r="E40" s="40"/>
      <c r="F40" s="15"/>
      <c r="G40" s="15"/>
      <c r="H40" s="15"/>
      <c r="I40" s="15"/>
      <c r="J40" s="15"/>
    </row>
    <row r="41" spans="1:12" x14ac:dyDescent="0.25">
      <c r="D41" s="15"/>
      <c r="E41" s="15"/>
      <c r="F41" s="15"/>
    </row>
  </sheetData>
  <conditionalFormatting sqref="F4:L12">
    <cfRule type="expression" dxfId="1" priority="38">
      <formula>$E$11&gt;1</formula>
    </cfRule>
  </conditionalFormatting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autoPageBreaks="0" fitToPage="1"/>
  </sheetPr>
  <dimension ref="A1:L52"/>
  <sheetViews>
    <sheetView showGridLines="0" zoomScaleNormal="100" workbookViewId="0">
      <selection activeCell="N53" sqref="N53"/>
    </sheetView>
  </sheetViews>
  <sheetFormatPr defaultColWidth="8.85546875" defaultRowHeight="15" x14ac:dyDescent="0.25"/>
  <cols>
    <col min="1" max="1" width="1.7109375" style="4" customWidth="1"/>
    <col min="2" max="2" width="42.85546875" style="4" customWidth="1"/>
    <col min="3" max="8" width="11.7109375" style="4" customWidth="1"/>
    <col min="9" max="10" width="11.7109375" style="6" customWidth="1"/>
    <col min="11" max="253" width="8.85546875" style="4"/>
    <col min="254" max="254" width="1.7109375" style="4" customWidth="1"/>
    <col min="255" max="255" width="42.855468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2.855468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2.855468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2.855468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2.855468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2.855468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2.855468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2.855468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2.855468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2.855468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2.855468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2.855468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2.855468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2.855468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2.855468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2.855468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2.855468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2.855468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2.855468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2.855468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2.855468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2.855468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2.855468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2.855468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2.855468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2.855468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2.855468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2.855468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2.855468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2.855468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2.855468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2.855468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2.855468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2.855468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2.855468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2.855468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2.855468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2.855468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2.855468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2.855468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2.855468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2.855468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2.855468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2.855468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2.855468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2.855468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2.855468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2.855468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2.855468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2.855468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2.855468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2.855468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2.855468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2.855468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2.855468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2.855468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2.855468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2.855468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2.855468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2.855468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2.855468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2.855468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2.855468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317" t="str">
        <f>CoName</f>
        <v>Berkshire Hathaway Non-Insurance</v>
      </c>
      <c r="B1" s="3"/>
      <c r="C1" s="43" t="s">
        <v>0</v>
      </c>
      <c r="D1" s="43" t="s">
        <v>0</v>
      </c>
      <c r="E1" s="43" t="s">
        <v>0</v>
      </c>
      <c r="F1" s="43" t="s">
        <v>1</v>
      </c>
      <c r="G1" s="43" t="s">
        <v>1</v>
      </c>
      <c r="H1" s="43" t="s">
        <v>1</v>
      </c>
      <c r="I1" s="43" t="s">
        <v>1</v>
      </c>
      <c r="J1" s="43" t="s">
        <v>1</v>
      </c>
      <c r="K1" s="43"/>
      <c r="L1" s="43"/>
    </row>
    <row r="2" spans="1:12" x14ac:dyDescent="0.25">
      <c r="A2" s="17" t="s">
        <v>10</v>
      </c>
      <c r="B2" s="66"/>
      <c r="C2" s="117">
        <v>44926</v>
      </c>
      <c r="D2" s="117">
        <v>45291</v>
      </c>
      <c r="E2" s="117">
        <v>45657</v>
      </c>
      <c r="F2" s="117">
        <v>46022</v>
      </c>
      <c r="G2" s="117">
        <v>46387</v>
      </c>
      <c r="H2" s="117">
        <v>46752</v>
      </c>
      <c r="I2" s="117">
        <v>47118</v>
      </c>
      <c r="J2" s="117">
        <v>47483</v>
      </c>
      <c r="K2" s="230"/>
      <c r="L2" s="230"/>
    </row>
    <row r="3" spans="1:12" x14ac:dyDescent="0.25">
      <c r="K3" s="6"/>
      <c r="L3" s="6"/>
    </row>
    <row r="4" spans="1:12" x14ac:dyDescent="0.25">
      <c r="B4" s="4" t="s">
        <v>135</v>
      </c>
      <c r="C4" s="45"/>
      <c r="D4" s="45"/>
      <c r="E4" s="46"/>
      <c r="F4" s="105">
        <f>Assumptions!F43</f>
        <v>1.5000000000000001E-2</v>
      </c>
      <c r="G4" s="105">
        <f>F4</f>
        <v>1.5000000000000001E-2</v>
      </c>
      <c r="H4" s="105">
        <f t="shared" ref="H4:J4" si="0">G4</f>
        <v>1.5000000000000001E-2</v>
      </c>
      <c r="I4" s="105">
        <f t="shared" si="0"/>
        <v>1.5000000000000001E-2</v>
      </c>
      <c r="J4" s="105">
        <f t="shared" si="0"/>
        <v>1.5000000000000001E-2</v>
      </c>
      <c r="K4" s="188"/>
      <c r="L4" s="188"/>
    </row>
    <row r="5" spans="1:12" x14ac:dyDescent="0.25">
      <c r="B5" s="4" t="s">
        <v>148</v>
      </c>
      <c r="C5" s="45"/>
      <c r="D5" s="45"/>
      <c r="E5" s="46"/>
      <c r="F5" s="105">
        <f>Assumptions!F44</f>
        <v>9.0439847358907408E-2</v>
      </c>
      <c r="G5" s="105">
        <f>Assumptions!G44</f>
        <v>9.0439847358907408E-2</v>
      </c>
      <c r="H5" s="105">
        <f>Assumptions!H44</f>
        <v>9.0439847358907408E-2</v>
      </c>
      <c r="I5" s="105">
        <f>Assumptions!I44</f>
        <v>9.0439847358907408E-2</v>
      </c>
      <c r="J5" s="105">
        <f>Assumptions!J44</f>
        <v>9.0439847358907408E-2</v>
      </c>
      <c r="K5" s="188"/>
      <c r="L5" s="188"/>
    </row>
    <row r="6" spans="1:12" x14ac:dyDescent="0.25">
      <c r="B6" s="4" t="s">
        <v>61</v>
      </c>
      <c r="C6" s="45"/>
      <c r="D6" s="45"/>
      <c r="E6" s="46"/>
      <c r="F6" s="105">
        <f>Assumptions!F45</f>
        <v>0.10743121108656356</v>
      </c>
      <c r="G6" s="105">
        <f>Assumptions!G45</f>
        <v>0.10743121108656356</v>
      </c>
      <c r="H6" s="105">
        <f>Assumptions!H45</f>
        <v>0.10743121108656356</v>
      </c>
      <c r="I6" s="105">
        <f>Assumptions!I45</f>
        <v>0.10743121108656356</v>
      </c>
      <c r="J6" s="105">
        <f>Assumptions!J45</f>
        <v>0.10743121108656356</v>
      </c>
      <c r="K6" s="188"/>
      <c r="L6" s="188"/>
    </row>
    <row r="7" spans="1:12" x14ac:dyDescent="0.25">
      <c r="B7" s="4" t="s">
        <v>62</v>
      </c>
      <c r="C7" s="45"/>
      <c r="D7" s="45"/>
      <c r="E7" s="46"/>
      <c r="F7" s="105">
        <f>Assumptions!F46</f>
        <v>0.41797549708776865</v>
      </c>
      <c r="G7" s="105">
        <f>Assumptions!G46</f>
        <v>0.41797549708776865</v>
      </c>
      <c r="H7" s="105">
        <f>Assumptions!H46</f>
        <v>0.41797549708776865</v>
      </c>
      <c r="I7" s="105">
        <f>Assumptions!I46</f>
        <v>0.41797549708776865</v>
      </c>
      <c r="J7" s="105">
        <f>Assumptions!J46</f>
        <v>0.41797549708776865</v>
      </c>
      <c r="K7" s="188"/>
      <c r="L7" s="188"/>
    </row>
    <row r="8" spans="1:12" x14ac:dyDescent="0.25">
      <c r="C8" s="32"/>
      <c r="D8" s="32"/>
      <c r="E8" s="32"/>
      <c r="F8" s="106"/>
      <c r="G8" s="106"/>
      <c r="H8" s="106"/>
      <c r="I8" s="106"/>
      <c r="J8" s="106"/>
      <c r="K8" s="188"/>
      <c r="L8" s="188"/>
    </row>
    <row r="9" spans="1:12" x14ac:dyDescent="0.25">
      <c r="B9" s="4" t="s">
        <v>147</v>
      </c>
      <c r="C9" s="45"/>
      <c r="D9" s="45"/>
      <c r="E9" s="46"/>
      <c r="F9" s="105">
        <f>Assumptions!F50</f>
        <v>0.55315791071049192</v>
      </c>
      <c r="G9" s="105">
        <f>Assumptions!G50</f>
        <v>0.55315791071049192</v>
      </c>
      <c r="H9" s="105">
        <f>Assumptions!H50</f>
        <v>0.55315791071049192</v>
      </c>
      <c r="I9" s="105">
        <f>Assumptions!I50</f>
        <v>0.55315791071049192</v>
      </c>
      <c r="J9" s="105">
        <f>Assumptions!J50</f>
        <v>0.55315791071049192</v>
      </c>
      <c r="K9" s="188"/>
      <c r="L9" s="188"/>
    </row>
    <row r="10" spans="1:12" x14ac:dyDescent="0.25">
      <c r="B10" s="4" t="s">
        <v>63</v>
      </c>
      <c r="C10" s="45"/>
      <c r="D10" s="45"/>
      <c r="E10" s="28"/>
      <c r="F10" s="105">
        <f>Assumptions!F51</f>
        <v>0.1412532637075718</v>
      </c>
      <c r="G10" s="105">
        <f>Assumptions!G51</f>
        <v>0.1412532637075718</v>
      </c>
      <c r="H10" s="105">
        <f>Assumptions!H51</f>
        <v>0.1412532637075718</v>
      </c>
      <c r="I10" s="105">
        <f>Assumptions!I51</f>
        <v>0.1412532637075718</v>
      </c>
      <c r="J10" s="105">
        <f>Assumptions!J51</f>
        <v>0.1412532637075718</v>
      </c>
      <c r="K10" s="188"/>
      <c r="L10" s="188"/>
    </row>
    <row r="11" spans="1:12" x14ac:dyDescent="0.25">
      <c r="B11" s="4" t="s">
        <v>64</v>
      </c>
      <c r="C11" s="45"/>
      <c r="D11" s="45"/>
      <c r="E11" s="46"/>
      <c r="F11" s="319">
        <f>Assumptions!F52</f>
        <v>1.6042779674633461</v>
      </c>
      <c r="G11" s="319">
        <f>Assumptions!G52</f>
        <v>1.6042779674633461</v>
      </c>
      <c r="H11" s="319">
        <f>Assumptions!H52</f>
        <v>1.6042779674633461</v>
      </c>
      <c r="I11" s="319">
        <f>Assumptions!I52</f>
        <v>1.6042779674633461</v>
      </c>
      <c r="J11" s="319">
        <f>Assumptions!J52</f>
        <v>1.6042779674633461</v>
      </c>
      <c r="K11" s="188"/>
      <c r="L11" s="188"/>
    </row>
    <row r="12" spans="1:12" x14ac:dyDescent="0.25">
      <c r="C12" s="45"/>
      <c r="D12" s="45"/>
      <c r="E12" s="45"/>
      <c r="F12" s="106"/>
      <c r="G12" s="106"/>
      <c r="H12" s="106"/>
      <c r="I12" s="106"/>
      <c r="J12" s="106"/>
      <c r="K12" s="188"/>
      <c r="L12" s="188"/>
    </row>
    <row r="13" spans="1:12" ht="15" customHeight="1" x14ac:dyDescent="0.25">
      <c r="A13" s="195" t="s">
        <v>60</v>
      </c>
      <c r="B13" s="196"/>
      <c r="C13" s="159">
        <f t="shared" ref="C13:J13" si="1">C2</f>
        <v>44926</v>
      </c>
      <c r="D13" s="159">
        <f t="shared" si="1"/>
        <v>45291</v>
      </c>
      <c r="E13" s="159">
        <f t="shared" si="1"/>
        <v>45657</v>
      </c>
      <c r="F13" s="159">
        <f t="shared" si="1"/>
        <v>46022</v>
      </c>
      <c r="G13" s="159">
        <f t="shared" si="1"/>
        <v>46387</v>
      </c>
      <c r="H13" s="159">
        <f t="shared" si="1"/>
        <v>46752</v>
      </c>
      <c r="I13" s="159">
        <f t="shared" si="1"/>
        <v>47118</v>
      </c>
      <c r="J13" s="159">
        <f t="shared" si="1"/>
        <v>47483</v>
      </c>
      <c r="K13" s="224"/>
      <c r="L13" s="224"/>
    </row>
    <row r="14" spans="1:12" x14ac:dyDescent="0.25">
      <c r="B14" s="4" t="s">
        <v>153</v>
      </c>
      <c r="C14" s="202">
        <f>1.5%*IncState!C15</f>
        <v>782.23500000000001</v>
      </c>
      <c r="D14" s="202">
        <f>1.5%*IncState!D15</f>
        <v>746.26499999999999</v>
      </c>
      <c r="E14" s="203">
        <f>1.5%*IncState!E15</f>
        <v>746.85</v>
      </c>
      <c r="F14" s="4">
        <f>F4*IncState!F15</f>
        <v>765.5212499999999</v>
      </c>
      <c r="G14" s="4">
        <f>G4*IncState!G15</f>
        <v>784.65928124999982</v>
      </c>
      <c r="H14" s="4">
        <f>H4*IncState!H15</f>
        <v>804.27576328124985</v>
      </c>
      <c r="I14" s="4">
        <f>I4*IncState!I15</f>
        <v>824.38265736328094</v>
      </c>
      <c r="J14" s="4">
        <f>J4*IncState!J15</f>
        <v>844.99222379736284</v>
      </c>
    </row>
    <row r="15" spans="1:12" x14ac:dyDescent="0.25">
      <c r="B15" s="4" t="s">
        <v>154</v>
      </c>
      <c r="C15" s="202">
        <f>3551-C14</f>
        <v>2768.7649999999999</v>
      </c>
      <c r="D15" s="202">
        <f>3754-D14</f>
        <v>3007.7350000000001</v>
      </c>
      <c r="E15" s="203">
        <f>3396-E14</f>
        <v>2649.15</v>
      </c>
      <c r="F15" s="4">
        <f>MAX(CashFlow!F22,0)</f>
        <v>7703.1201257897555</v>
      </c>
      <c r="G15" s="4">
        <f>MAX(CashFlow!G22,0)</f>
        <v>12826.215071261995</v>
      </c>
      <c r="H15" s="4">
        <f>MAX(CashFlow!H22,0)</f>
        <v>18028.054441266744</v>
      </c>
      <c r="I15" s="4">
        <f>MAX(CashFlow!I22,0)</f>
        <v>23317.918788904663</v>
      </c>
      <c r="J15" s="4">
        <f>MAX(CashFlow!J22,0)</f>
        <v>28704.783700146378</v>
      </c>
    </row>
    <row r="16" spans="1:12" x14ac:dyDescent="0.25">
      <c r="B16" s="4" t="s">
        <v>65</v>
      </c>
      <c r="C16" s="204">
        <v>4795</v>
      </c>
      <c r="D16" s="204">
        <v>4999</v>
      </c>
      <c r="E16" s="205">
        <v>4503</v>
      </c>
      <c r="F16" s="4">
        <f>F5*IncState!F15</f>
        <v>4615.5749999999989</v>
      </c>
      <c r="G16" s="4">
        <f>G5*IncState!G15</f>
        <v>4730.9643749999987</v>
      </c>
      <c r="H16" s="4">
        <f>H5*IncState!H15</f>
        <v>4849.2384843749987</v>
      </c>
      <c r="I16" s="4">
        <f>I5*IncState!I15</f>
        <v>4970.4694464843724</v>
      </c>
      <c r="J16" s="4">
        <f>J5*IncState!J15</f>
        <v>5094.7311826464811</v>
      </c>
    </row>
    <row r="17" spans="1:12" x14ac:dyDescent="0.25">
      <c r="B17" s="4" t="s">
        <v>66</v>
      </c>
      <c r="C17" s="204">
        <v>5062</v>
      </c>
      <c r="D17" s="204">
        <v>5565</v>
      </c>
      <c r="E17" s="205">
        <v>5349</v>
      </c>
      <c r="F17" s="4">
        <f>F6*IncState!F15</f>
        <v>5482.7249999999985</v>
      </c>
      <c r="G17" s="4">
        <f>G6*IncState!G15</f>
        <v>5619.7931249999983</v>
      </c>
      <c r="H17" s="4">
        <f>H6*IncState!H15</f>
        <v>5760.2879531249982</v>
      </c>
      <c r="I17" s="4">
        <f>I6*IncState!I15</f>
        <v>5904.2951519531216</v>
      </c>
      <c r="J17" s="4">
        <f>J6*IncState!J15</f>
        <v>6051.9025307519496</v>
      </c>
    </row>
    <row r="18" spans="1:12" s="11" customFormat="1" x14ac:dyDescent="0.25">
      <c r="B18" s="11" t="s">
        <v>67</v>
      </c>
      <c r="C18" s="11">
        <f>SUM(C14:C17)</f>
        <v>13408</v>
      </c>
      <c r="D18" s="11">
        <f>SUM(D14:D17)</f>
        <v>14318</v>
      </c>
      <c r="E18" s="26">
        <f>SUM(E14:E17)</f>
        <v>13248</v>
      </c>
      <c r="F18" s="11">
        <f>SUM(F14:F17)</f>
        <v>18566.941375789753</v>
      </c>
      <c r="G18" s="11">
        <f t="shared" ref="G18:J18" si="2">SUM(G14:G17)</f>
        <v>23961.631852511993</v>
      </c>
      <c r="H18" s="11">
        <f t="shared" si="2"/>
        <v>29441.856642047991</v>
      </c>
      <c r="I18" s="11">
        <f t="shared" si="2"/>
        <v>35017.066044705432</v>
      </c>
      <c r="J18" s="11">
        <f t="shared" si="2"/>
        <v>40696.409637342171</v>
      </c>
    </row>
    <row r="19" spans="1:12" x14ac:dyDescent="0.25">
      <c r="A19" s="7"/>
      <c r="E19" s="29"/>
      <c r="I19" s="4"/>
      <c r="J19" s="4"/>
    </row>
    <row r="20" spans="1:12" x14ac:dyDescent="0.25">
      <c r="B20" s="4" t="s">
        <v>68</v>
      </c>
      <c r="C20" s="204">
        <v>160268</v>
      </c>
      <c r="D20" s="204">
        <v>169447</v>
      </c>
      <c r="E20" s="205">
        <v>175030</v>
      </c>
      <c r="F20" s="4">
        <f>Calcs!F9</f>
        <v>177942.54066374735</v>
      </c>
      <c r="G20" s="4">
        <f>Calcs!G9</f>
        <v>181035.3513170878</v>
      </c>
      <c r="H20" s="4">
        <f>Calcs!H9</f>
        <v>184305.04722540316</v>
      </c>
      <c r="I20" s="4">
        <f>Calcs!I9</f>
        <v>187748.73857758049</v>
      </c>
      <c r="J20" s="4">
        <f>Calcs!J9</f>
        <v>191364.00029818653</v>
      </c>
    </row>
    <row r="21" spans="1:12" x14ac:dyDescent="0.25">
      <c r="B21" s="4" t="s">
        <v>155</v>
      </c>
      <c r="C21" s="204">
        <v>26597</v>
      </c>
      <c r="D21" s="204">
        <v>27153</v>
      </c>
      <c r="E21" s="205">
        <v>27020</v>
      </c>
      <c r="F21" s="138">
        <f>E21-IncState!F7</f>
        <v>27020</v>
      </c>
      <c r="G21" s="138">
        <f>F21-IncState!G7</f>
        <v>27020</v>
      </c>
      <c r="H21" s="138">
        <f>G21-IncState!H7</f>
        <v>27020</v>
      </c>
      <c r="I21" s="138">
        <f>H21-IncState!I7</f>
        <v>27020</v>
      </c>
      <c r="J21" s="138">
        <f>I21-IncState!J7</f>
        <v>27020</v>
      </c>
      <c r="K21" s="138"/>
      <c r="L21" s="138"/>
    </row>
    <row r="22" spans="1:12" x14ac:dyDescent="0.25">
      <c r="B22" s="4" t="s">
        <v>156</v>
      </c>
      <c r="C22" s="204">
        <v>22190</v>
      </c>
      <c r="D22" s="204">
        <v>19845</v>
      </c>
      <c r="E22" s="205">
        <v>20811</v>
      </c>
      <c r="F22" s="4">
        <f>F7*IncState!F15</f>
        <v>21331.274999999998</v>
      </c>
      <c r="G22" s="4">
        <f>G7*IncState!G15</f>
        <v>21864.556874999995</v>
      </c>
      <c r="H22" s="4">
        <f>H7*IncState!H15</f>
        <v>22411.170796874994</v>
      </c>
      <c r="I22" s="4">
        <f>I7*IncState!I15</f>
        <v>22971.450066796868</v>
      </c>
      <c r="J22" s="4">
        <f>J7*IncState!J15</f>
        <v>23545.736318466785</v>
      </c>
    </row>
    <row r="23" spans="1:12" s="11" customFormat="1" x14ac:dyDescent="0.25">
      <c r="B23" s="11" t="s">
        <v>69</v>
      </c>
      <c r="C23" s="11">
        <f>SUM(C20:C22)</f>
        <v>209055</v>
      </c>
      <c r="D23" s="11">
        <f>SUM(D20:D22)</f>
        <v>216445</v>
      </c>
      <c r="E23" s="26">
        <f>SUM(E20:E22)</f>
        <v>222861</v>
      </c>
      <c r="F23" s="11">
        <f>SUM(F20:F22)</f>
        <v>226293.81566374734</v>
      </c>
      <c r="G23" s="11">
        <f t="shared" ref="G23:J23" si="3">SUM(G20:G22)</f>
        <v>229919.90819208778</v>
      </c>
      <c r="H23" s="11">
        <f t="shared" si="3"/>
        <v>233736.21802227816</v>
      </c>
      <c r="I23" s="11">
        <f t="shared" si="3"/>
        <v>237740.18864437734</v>
      </c>
      <c r="J23" s="11">
        <f t="shared" si="3"/>
        <v>241929.7366166533</v>
      </c>
    </row>
    <row r="24" spans="1:12" x14ac:dyDescent="0.25">
      <c r="E24" s="29"/>
      <c r="I24" s="4"/>
      <c r="J24" s="4"/>
    </row>
    <row r="25" spans="1:12" s="11" customFormat="1" x14ac:dyDescent="0.25">
      <c r="A25" s="11" t="s">
        <v>119</v>
      </c>
      <c r="B25" s="18" t="s">
        <v>70</v>
      </c>
      <c r="C25" s="19">
        <f>SUM(C23,C18)</f>
        <v>222463</v>
      </c>
      <c r="D25" s="19">
        <f>SUM(D23,D18)</f>
        <v>230763</v>
      </c>
      <c r="E25" s="19">
        <f>SUM(E23,E18)</f>
        <v>236109</v>
      </c>
      <c r="F25" s="19">
        <f>SUM(F23,F18)</f>
        <v>244860.7570395371</v>
      </c>
      <c r="G25" s="19">
        <f t="shared" ref="G25:J25" si="4">SUM(G23,G18)</f>
        <v>253881.54004459977</v>
      </c>
      <c r="H25" s="19">
        <f t="shared" si="4"/>
        <v>263178.07466432615</v>
      </c>
      <c r="I25" s="19">
        <f t="shared" si="4"/>
        <v>272757.25468908279</v>
      </c>
      <c r="J25" s="19">
        <f t="shared" si="4"/>
        <v>282626.14625399548</v>
      </c>
    </row>
    <row r="26" spans="1:12" x14ac:dyDescent="0.25">
      <c r="A26" s="11"/>
      <c r="E26" s="29"/>
      <c r="I26" s="4"/>
      <c r="J26" s="4"/>
      <c r="K26" s="6"/>
      <c r="L26" s="6"/>
    </row>
    <row r="27" spans="1:12" x14ac:dyDescent="0.25">
      <c r="B27" s="4" t="s">
        <v>71</v>
      </c>
      <c r="C27" s="9">
        <v>0</v>
      </c>
      <c r="D27" s="9">
        <v>0</v>
      </c>
      <c r="E27" s="47">
        <v>0</v>
      </c>
      <c r="F27" s="4">
        <f>MIN(CashFlow!F22,0)</f>
        <v>0</v>
      </c>
      <c r="G27" s="4">
        <f>MIN(CashFlow!G22,0)</f>
        <v>0</v>
      </c>
      <c r="H27" s="4">
        <f>MIN(CashFlow!H22,0)</f>
        <v>0</v>
      </c>
      <c r="I27" s="4">
        <f>MIN(CashFlow!I22,0)</f>
        <v>0</v>
      </c>
      <c r="J27" s="4">
        <f>MIN(CashFlow!J22,0)</f>
        <v>0</v>
      </c>
    </row>
    <row r="28" spans="1:12" x14ac:dyDescent="0.25">
      <c r="B28" s="4" t="s">
        <v>146</v>
      </c>
      <c r="C28" s="204">
        <v>16615</v>
      </c>
      <c r="D28" s="9">
        <v>18304</v>
      </c>
      <c r="E28" s="47">
        <v>18226</v>
      </c>
      <c r="F28" s="4">
        <f>F9*IncState!F16</f>
        <v>18681.649999999994</v>
      </c>
      <c r="G28" s="4">
        <f>G9*IncState!G16</f>
        <v>19148.691249999993</v>
      </c>
      <c r="H28" s="4">
        <f>H9*IncState!H16</f>
        <v>19627.408531249992</v>
      </c>
      <c r="I28" s="4">
        <f>I9*IncState!I16</f>
        <v>20118.093744531241</v>
      </c>
      <c r="J28" s="4">
        <f>J9*IncState!J16</f>
        <v>20621.046088144518</v>
      </c>
    </row>
    <row r="29" spans="1:12" x14ac:dyDescent="0.25">
      <c r="B29" s="4" t="s">
        <v>72</v>
      </c>
      <c r="C29" s="204">
        <v>7369</v>
      </c>
      <c r="D29" s="9">
        <v>6818</v>
      </c>
      <c r="E29" s="47">
        <v>7033</v>
      </c>
      <c r="F29" s="4">
        <f>F10*IncState!F15</f>
        <v>7208.8249999999989</v>
      </c>
      <c r="G29" s="4">
        <f>G10*IncState!G15</f>
        <v>7389.0456249999979</v>
      </c>
      <c r="H29" s="4">
        <f>H10*IncState!H15</f>
        <v>7573.771765624997</v>
      </c>
      <c r="I29" s="4">
        <f>I10*IncState!I15</f>
        <v>7763.1160597656217</v>
      </c>
      <c r="J29" s="4">
        <f>J10*IncState!J15</f>
        <v>7957.1939612597607</v>
      </c>
    </row>
    <row r="30" spans="1:12" s="11" customFormat="1" x14ac:dyDescent="0.25">
      <c r="B30" s="11" t="s">
        <v>73</v>
      </c>
      <c r="C30" s="11">
        <f t="shared" ref="C30:E30" si="5">SUM(C27:C29)</f>
        <v>23984</v>
      </c>
      <c r="D30" s="11">
        <f t="shared" si="5"/>
        <v>25122</v>
      </c>
      <c r="E30" s="26">
        <f t="shared" si="5"/>
        <v>25259</v>
      </c>
      <c r="F30" s="11">
        <f>SUM(F27:F29)</f>
        <v>25890.474999999991</v>
      </c>
      <c r="G30" s="11">
        <f t="shared" ref="G30:J30" si="6">SUM(G27:G29)</f>
        <v>26537.736874999991</v>
      </c>
      <c r="H30" s="11">
        <f t="shared" si="6"/>
        <v>27201.180296874991</v>
      </c>
      <c r="I30" s="11">
        <f t="shared" si="6"/>
        <v>27881.209804296865</v>
      </c>
      <c r="J30" s="11">
        <f t="shared" si="6"/>
        <v>28578.240049404278</v>
      </c>
    </row>
    <row r="31" spans="1:12" x14ac:dyDescent="0.25">
      <c r="B31" s="11"/>
      <c r="E31" s="29"/>
      <c r="I31" s="4"/>
      <c r="J31" s="4"/>
    </row>
    <row r="32" spans="1:12" x14ac:dyDescent="0.25">
      <c r="B32" s="4" t="s">
        <v>74</v>
      </c>
      <c r="C32" s="204">
        <v>0</v>
      </c>
      <c r="D32" s="9">
        <v>0</v>
      </c>
      <c r="E32" s="47">
        <v>0</v>
      </c>
      <c r="F32" s="4">
        <f>E32+SUM(Debt!F8:F9)</f>
        <v>0</v>
      </c>
      <c r="G32" s="4">
        <f>F32+SUM(Debt!G8:G9)</f>
        <v>0</v>
      </c>
      <c r="H32" s="4">
        <f>G32+SUM(Debt!H8:H9)</f>
        <v>0</v>
      </c>
      <c r="I32" s="4">
        <f>H32+SUM(Debt!I8:I9)</f>
        <v>0</v>
      </c>
      <c r="J32" s="4">
        <f>I32+SUM(Debt!J8:J9)</f>
        <v>0</v>
      </c>
    </row>
    <row r="33" spans="1:12" x14ac:dyDescent="0.25">
      <c r="B33" s="4" t="s">
        <v>75</v>
      </c>
      <c r="C33" s="204">
        <v>76206</v>
      </c>
      <c r="D33" s="9">
        <v>79803</v>
      </c>
      <c r="E33" s="47">
        <v>79877</v>
      </c>
      <c r="F33" s="4">
        <f>F11*IncState!F15</f>
        <v>81873.924999999988</v>
      </c>
      <c r="G33" s="4">
        <f>G11*IncState!G15</f>
        <v>83920.773124999978</v>
      </c>
      <c r="H33" s="4">
        <f>H11*IncState!H15</f>
        <v>86018.792453124974</v>
      </c>
      <c r="I33" s="4">
        <f>I11*IncState!I15</f>
        <v>88169.262264453093</v>
      </c>
      <c r="J33" s="4">
        <f>J11*IncState!J15</f>
        <v>90373.493821064403</v>
      </c>
    </row>
    <row r="34" spans="1:12" x14ac:dyDescent="0.25">
      <c r="B34" s="11" t="s">
        <v>76</v>
      </c>
      <c r="C34" s="11">
        <f t="shared" ref="C34:E34" si="7">SUM(C32:C33)</f>
        <v>76206</v>
      </c>
      <c r="D34" s="11">
        <f t="shared" si="7"/>
        <v>79803</v>
      </c>
      <c r="E34" s="26">
        <f t="shared" si="7"/>
        <v>79877</v>
      </c>
      <c r="F34" s="11">
        <f>SUM(F32:F33)</f>
        <v>81873.924999999988</v>
      </c>
      <c r="G34" s="11">
        <f t="shared" ref="G34:J34" si="8">SUM(G32:G33)</f>
        <v>83920.773124999978</v>
      </c>
      <c r="H34" s="11">
        <f t="shared" si="8"/>
        <v>86018.792453124974</v>
      </c>
      <c r="I34" s="11">
        <f t="shared" si="8"/>
        <v>88169.262264453093</v>
      </c>
      <c r="J34" s="11">
        <f t="shared" si="8"/>
        <v>90373.493821064403</v>
      </c>
      <c r="K34" s="11"/>
      <c r="L34" s="11"/>
    </row>
    <row r="35" spans="1:12" x14ac:dyDescent="0.25">
      <c r="E35" s="29"/>
      <c r="I35" s="4"/>
      <c r="J35" s="4"/>
    </row>
    <row r="36" spans="1:12" x14ac:dyDescent="0.25">
      <c r="B36" s="4" t="s">
        <v>17</v>
      </c>
      <c r="C36" s="206">
        <v>122273</v>
      </c>
      <c r="D36" s="206">
        <v>125838</v>
      </c>
      <c r="E36" s="235">
        <v>130973</v>
      </c>
      <c r="F36" s="4">
        <f>Calcs!F16</f>
        <v>137096.35703953714</v>
      </c>
      <c r="G36" s="4">
        <f>Calcs!G16</f>
        <v>143423.03004459981</v>
      </c>
      <c r="H36" s="4">
        <f>Calcs!H16</f>
        <v>149958.10191432619</v>
      </c>
      <c r="I36" s="4">
        <f>Calcs!I16</f>
        <v>156706.78262033284</v>
      </c>
      <c r="J36" s="4">
        <f>Calcs!J16</f>
        <v>163674.4123835268</v>
      </c>
    </row>
    <row r="37" spans="1:12" s="11" customFormat="1" x14ac:dyDescent="0.25">
      <c r="A37" s="11" t="s">
        <v>119</v>
      </c>
      <c r="B37" s="18" t="s">
        <v>77</v>
      </c>
      <c r="C37" s="19">
        <f>SUM(C36,C34,C30)</f>
        <v>222463</v>
      </c>
      <c r="D37" s="19">
        <f>SUM(D36,D34,D30)</f>
        <v>230763</v>
      </c>
      <c r="E37" s="19">
        <f t="shared" ref="E37:F37" si="9">SUM(E36,E34,E30)</f>
        <v>236109</v>
      </c>
      <c r="F37" s="19">
        <f t="shared" si="9"/>
        <v>244860.75703953713</v>
      </c>
      <c r="G37" s="19">
        <f t="shared" ref="G37:J37" si="10">SUM(G36,G34,G30)</f>
        <v>253881.54004459979</v>
      </c>
      <c r="H37" s="19">
        <f t="shared" si="10"/>
        <v>263178.07466432615</v>
      </c>
      <c r="I37" s="19">
        <f t="shared" si="10"/>
        <v>272757.25468908279</v>
      </c>
      <c r="J37" s="19">
        <f t="shared" si="10"/>
        <v>282626.14625399548</v>
      </c>
    </row>
    <row r="38" spans="1:12" x14ac:dyDescent="0.25">
      <c r="E38" s="29"/>
      <c r="I38" s="4"/>
      <c r="J38" s="4"/>
      <c r="K38" s="6"/>
      <c r="L38" s="6"/>
    </row>
    <row r="39" spans="1:12" x14ac:dyDescent="0.25">
      <c r="A39" s="4" t="s">
        <v>119</v>
      </c>
      <c r="B39" s="11" t="s">
        <v>78</v>
      </c>
      <c r="C39" s="48">
        <f>C37-C25</f>
        <v>0</v>
      </c>
      <c r="D39" s="48">
        <f t="shared" ref="D39:F39" si="11">D37-D25</f>
        <v>0</v>
      </c>
      <c r="E39" s="160">
        <f t="shared" si="11"/>
        <v>0</v>
      </c>
      <c r="F39" s="48">
        <f t="shared" si="11"/>
        <v>0</v>
      </c>
      <c r="G39" s="48">
        <f t="shared" ref="G39:J39" si="12">G37-G25</f>
        <v>0</v>
      </c>
      <c r="H39" s="48">
        <f t="shared" si="12"/>
        <v>0</v>
      </c>
      <c r="I39" s="48">
        <f t="shared" si="12"/>
        <v>0</v>
      </c>
      <c r="J39" s="48">
        <f t="shared" si="12"/>
        <v>0</v>
      </c>
      <c r="K39" s="48"/>
      <c r="L39" s="48"/>
    </row>
    <row r="40" spans="1:12" x14ac:dyDescent="0.25">
      <c r="I40" s="4"/>
      <c r="J40" s="4"/>
    </row>
    <row r="41" spans="1:12" x14ac:dyDescent="0.25">
      <c r="H41" s="6"/>
    </row>
    <row r="42" spans="1:12" x14ac:dyDescent="0.25">
      <c r="H42" s="6"/>
    </row>
    <row r="43" spans="1:12" x14ac:dyDescent="0.25">
      <c r="H43" s="6"/>
    </row>
    <row r="44" spans="1:12" x14ac:dyDescent="0.25">
      <c r="H44" s="6"/>
    </row>
    <row r="45" spans="1:12" x14ac:dyDescent="0.25">
      <c r="H45" s="6"/>
    </row>
    <row r="46" spans="1:12" x14ac:dyDescent="0.25">
      <c r="H46" s="6"/>
    </row>
    <row r="47" spans="1:12" x14ac:dyDescent="0.25">
      <c r="H47" s="6"/>
    </row>
    <row r="48" spans="1:12" x14ac:dyDescent="0.25">
      <c r="H48" s="6"/>
    </row>
    <row r="49" spans="8:8" x14ac:dyDescent="0.25">
      <c r="H49" s="6"/>
    </row>
    <row r="50" spans="8:8" x14ac:dyDescent="0.25">
      <c r="H50" s="6"/>
    </row>
    <row r="51" spans="8:8" x14ac:dyDescent="0.25">
      <c r="H51" s="6"/>
    </row>
    <row r="52" spans="8:8" x14ac:dyDescent="0.25">
      <c r="H52" s="6"/>
    </row>
  </sheetData>
  <conditionalFormatting sqref="F4:L12">
    <cfRule type="expression" dxfId="0" priority="37">
      <formula>$E$11&gt;1</formula>
    </cfRule>
  </conditionalFormatting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pageSetUpPr autoPageBreaks="0" fitToPage="1"/>
  </sheetPr>
  <dimension ref="A1:L22"/>
  <sheetViews>
    <sheetView showGridLines="0" zoomScaleNormal="100" workbookViewId="0">
      <selection activeCell="F22" sqref="F4:J22"/>
    </sheetView>
  </sheetViews>
  <sheetFormatPr defaultColWidth="8.85546875" defaultRowHeight="15" x14ac:dyDescent="0.25"/>
  <cols>
    <col min="1" max="1" width="1.7109375" style="4" customWidth="1"/>
    <col min="2" max="2" width="40.7109375" style="4" customWidth="1"/>
    <col min="3" max="8" width="11.7109375" style="4" customWidth="1"/>
    <col min="9" max="10" width="11.7109375" style="6" customWidth="1"/>
    <col min="11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317" t="str">
        <f>CoName</f>
        <v>Berkshire Hathaway Non-Insurance</v>
      </c>
      <c r="B1" s="3"/>
      <c r="C1" s="43" t="s">
        <v>0</v>
      </c>
      <c r="D1" s="43" t="s">
        <v>0</v>
      </c>
      <c r="E1" s="43" t="s">
        <v>0</v>
      </c>
      <c r="F1" s="43" t="s">
        <v>1</v>
      </c>
      <c r="G1" s="43" t="s">
        <v>1</v>
      </c>
      <c r="H1" s="43" t="s">
        <v>1</v>
      </c>
      <c r="I1" s="43" t="s">
        <v>1</v>
      </c>
      <c r="J1" s="43" t="s">
        <v>1</v>
      </c>
      <c r="K1" s="43"/>
      <c r="L1" s="43"/>
    </row>
    <row r="2" spans="1:12" s="2" customFormat="1" x14ac:dyDescent="0.25">
      <c r="A2" s="195" t="s">
        <v>79</v>
      </c>
      <c r="B2" s="196"/>
      <c r="C2" s="200">
        <v>2022</v>
      </c>
      <c r="D2" s="200">
        <f>C2+1</f>
        <v>2023</v>
      </c>
      <c r="E2" s="200">
        <f t="shared" ref="E2:J2" si="0">D2+1</f>
        <v>2024</v>
      </c>
      <c r="F2" s="200">
        <f t="shared" si="0"/>
        <v>2025</v>
      </c>
      <c r="G2" s="200">
        <f t="shared" si="0"/>
        <v>2026</v>
      </c>
      <c r="H2" s="200">
        <f t="shared" si="0"/>
        <v>2027</v>
      </c>
      <c r="I2" s="200">
        <f t="shared" si="0"/>
        <v>2028</v>
      </c>
      <c r="J2" s="200">
        <f t="shared" si="0"/>
        <v>2029</v>
      </c>
      <c r="K2" s="224"/>
      <c r="L2" s="224"/>
    </row>
    <row r="3" spans="1:12" x14ac:dyDescent="0.25">
      <c r="B3" s="4" t="s">
        <v>151</v>
      </c>
      <c r="F3" s="4">
        <f>IncState!F33</f>
        <v>6123.3570395371298</v>
      </c>
      <c r="G3" s="4">
        <f>IncState!G33</f>
        <v>6326.6730050626811</v>
      </c>
      <c r="H3" s="4">
        <f>IncState!H33</f>
        <v>6535.0718697263728</v>
      </c>
      <c r="I3" s="4">
        <f>IncState!I33</f>
        <v>6748.6807060066549</v>
      </c>
      <c r="J3" s="4">
        <f>IncState!J33</f>
        <v>6967.6297631939506</v>
      </c>
    </row>
    <row r="4" spans="1:12" x14ac:dyDescent="0.25">
      <c r="B4" s="4" t="s">
        <v>15</v>
      </c>
      <c r="F4" s="4">
        <f>Calcs!F8</f>
        <v>12854.009336252635</v>
      </c>
      <c r="G4" s="4">
        <f>Calcs!G8</f>
        <v>13067.903096659558</v>
      </c>
      <c r="H4" s="4">
        <f>Calcs!H8</f>
        <v>13295.035685434625</v>
      </c>
      <c r="I4" s="4">
        <f>Calcs!I8</f>
        <v>13535.158531416413</v>
      </c>
      <c r="J4" s="4">
        <f>Calcs!J8</f>
        <v>13788.059410077556</v>
      </c>
    </row>
    <row r="5" spans="1:12" x14ac:dyDescent="0.25">
      <c r="B5" s="4" t="s">
        <v>53</v>
      </c>
      <c r="F5" s="4">
        <f>IncState!F21</f>
        <v>0</v>
      </c>
      <c r="G5" s="4">
        <f>IncState!G21</f>
        <v>0</v>
      </c>
      <c r="H5" s="4">
        <f>IncState!H21</f>
        <v>0</v>
      </c>
      <c r="I5" s="4">
        <f>IncState!I21</f>
        <v>0</v>
      </c>
      <c r="J5" s="4">
        <f>IncState!J21</f>
        <v>0</v>
      </c>
    </row>
    <row r="6" spans="1:12" x14ac:dyDescent="0.25">
      <c r="B6" s="4" t="s">
        <v>194</v>
      </c>
      <c r="F6" s="4">
        <f>Calcs!F24</f>
        <v>366.5037499999944</v>
      </c>
      <c r="G6" s="4">
        <f>Calcs!G24</f>
        <v>375.66634375000103</v>
      </c>
      <c r="H6" s="4">
        <f>Calcs!H24</f>
        <v>385.05800234374874</v>
      </c>
      <c r="I6" s="4">
        <f>Calcs!I24</f>
        <v>394.68445240234541</v>
      </c>
      <c r="J6" s="4">
        <f>Calcs!J24</f>
        <v>404.55156371239536</v>
      </c>
    </row>
    <row r="7" spans="1:12" x14ac:dyDescent="0.25">
      <c r="B7" s="4" t="s">
        <v>195</v>
      </c>
      <c r="F7" s="4">
        <f>BalSheet!E22-BalSheet!F22</f>
        <v>-520.27499999999782</v>
      </c>
      <c r="G7" s="4">
        <f>BalSheet!F22-BalSheet!G22</f>
        <v>-533.28187499999694</v>
      </c>
      <c r="H7" s="4">
        <f>BalSheet!G22-BalSheet!H22</f>
        <v>-546.61392187499951</v>
      </c>
      <c r="I7" s="4">
        <f>BalSheet!H22-BalSheet!I22</f>
        <v>-560.27926992187349</v>
      </c>
      <c r="J7" s="4">
        <f>BalSheet!I22-BalSheet!J22</f>
        <v>-574.28625166991696</v>
      </c>
    </row>
    <row r="8" spans="1:12" x14ac:dyDescent="0.25">
      <c r="B8" s="4" t="s">
        <v>196</v>
      </c>
      <c r="F8" s="4">
        <f>BalSheet!F33-BalSheet!E33</f>
        <v>1996.9249999999884</v>
      </c>
      <c r="G8" s="4">
        <f>BalSheet!G33-BalSheet!F33</f>
        <v>2046.8481249999895</v>
      </c>
      <c r="H8" s="4">
        <f>BalSheet!H33-BalSheet!G33</f>
        <v>2098.0193281249958</v>
      </c>
      <c r="I8" s="4">
        <f>BalSheet!I33-BalSheet!H33</f>
        <v>2150.4698113281192</v>
      </c>
      <c r="J8" s="4">
        <f>BalSheet!J33-BalSheet!I33</f>
        <v>2204.2315566113102</v>
      </c>
    </row>
    <row r="9" spans="1:12" s="11" customFormat="1" x14ac:dyDescent="0.25">
      <c r="B9" s="11" t="s">
        <v>197</v>
      </c>
      <c r="F9" s="11">
        <f>SUM(F3:F8)</f>
        <v>20820.520125789753</v>
      </c>
      <c r="G9" s="11">
        <f t="shared" ref="G9:J9" si="1">SUM(G3:G8)</f>
        <v>21283.808695472235</v>
      </c>
      <c r="H9" s="11">
        <f t="shared" si="1"/>
        <v>21766.570963754744</v>
      </c>
      <c r="I9" s="11">
        <f t="shared" si="1"/>
        <v>22268.714231231661</v>
      </c>
      <c r="J9" s="11">
        <f t="shared" si="1"/>
        <v>22790.186041925299</v>
      </c>
    </row>
    <row r="10" spans="1:12" x14ac:dyDescent="0.25">
      <c r="I10" s="4"/>
      <c r="J10" s="4"/>
    </row>
    <row r="11" spans="1:12" x14ac:dyDescent="0.25">
      <c r="B11" s="4" t="s">
        <v>14</v>
      </c>
      <c r="F11" s="4">
        <f>Calcs!F7</f>
        <v>15766.549999999997</v>
      </c>
      <c r="G11" s="4">
        <f>Calcs!G7</f>
        <v>16160.713749999995</v>
      </c>
      <c r="H11" s="4">
        <f>Calcs!H7</f>
        <v>16564.731593749995</v>
      </c>
      <c r="I11" s="4">
        <f>Calcs!I7</f>
        <v>16978.849883593743</v>
      </c>
      <c r="J11" s="4">
        <f>Calcs!J7</f>
        <v>17403.321130683584</v>
      </c>
    </row>
    <row r="12" spans="1:12" s="11" customFormat="1" x14ac:dyDescent="0.25">
      <c r="B12" s="11" t="s">
        <v>198</v>
      </c>
      <c r="F12" s="11">
        <f>-F11</f>
        <v>-15766.549999999997</v>
      </c>
      <c r="G12" s="11">
        <f t="shared" ref="G12:J12" si="2">-G11</f>
        <v>-16160.713749999995</v>
      </c>
      <c r="H12" s="11">
        <f t="shared" si="2"/>
        <v>-16564.731593749995</v>
      </c>
      <c r="I12" s="11">
        <f t="shared" si="2"/>
        <v>-16978.849883593743</v>
      </c>
      <c r="J12" s="11">
        <f t="shared" si="2"/>
        <v>-17403.321130683584</v>
      </c>
    </row>
    <row r="13" spans="1:12" x14ac:dyDescent="0.25">
      <c r="I13" s="4"/>
      <c r="J13" s="4"/>
    </row>
    <row r="14" spans="1:12" x14ac:dyDescent="0.25">
      <c r="B14" s="4" t="s">
        <v>199</v>
      </c>
      <c r="F14" s="4">
        <f>Calcs!F11</f>
        <v>0</v>
      </c>
      <c r="G14" s="4">
        <f>Calcs!G11</f>
        <v>0</v>
      </c>
      <c r="H14" s="4">
        <f>Calcs!H11</f>
        <v>0</v>
      </c>
      <c r="I14" s="4">
        <f>Calcs!I11</f>
        <v>0</v>
      </c>
      <c r="J14" s="4">
        <f>Calcs!J11</f>
        <v>0</v>
      </c>
    </row>
    <row r="15" spans="1:12" x14ac:dyDescent="0.25">
      <c r="B15" s="4" t="s">
        <v>200</v>
      </c>
      <c r="F15" s="4">
        <f>SUM(Debt!F8:F9)</f>
        <v>0</v>
      </c>
      <c r="G15" s="4">
        <f>SUM(Debt!G8:G9)</f>
        <v>0</v>
      </c>
      <c r="H15" s="4">
        <f>SUM(Debt!H8:H9)</f>
        <v>0</v>
      </c>
      <c r="I15" s="4">
        <f>SUM(Debt!I8:I9)</f>
        <v>0</v>
      </c>
      <c r="J15" s="4">
        <f>SUM(Debt!J8:J9)</f>
        <v>0</v>
      </c>
    </row>
    <row r="16" spans="1:12" s="11" customFormat="1" x14ac:dyDescent="0.25">
      <c r="B16" s="11" t="s">
        <v>201</v>
      </c>
      <c r="F16" s="11">
        <f>SUM(F14:F15)</f>
        <v>0</v>
      </c>
      <c r="G16" s="11">
        <f t="shared" ref="G16:J16" si="3">SUM(G14:G15)</f>
        <v>0</v>
      </c>
      <c r="H16" s="11">
        <f t="shared" si="3"/>
        <v>0</v>
      </c>
      <c r="I16" s="11">
        <f t="shared" si="3"/>
        <v>0</v>
      </c>
      <c r="J16" s="11">
        <f t="shared" si="3"/>
        <v>0</v>
      </c>
    </row>
    <row r="17" spans="2:10" x14ac:dyDescent="0.25">
      <c r="I17" s="4"/>
      <c r="J17" s="4"/>
    </row>
    <row r="18" spans="2:10" x14ac:dyDescent="0.25">
      <c r="B18" s="4" t="s">
        <v>202</v>
      </c>
      <c r="F18" s="4">
        <f>SUM(F16,F12,F9)</f>
        <v>5053.9701257897559</v>
      </c>
      <c r="G18" s="4">
        <f t="shared" ref="G18:J18" si="4">SUM(G16,G12,G9)</f>
        <v>5123.0949454722395</v>
      </c>
      <c r="H18" s="4">
        <f t="shared" si="4"/>
        <v>5201.8393700047491</v>
      </c>
      <c r="I18" s="4">
        <f t="shared" si="4"/>
        <v>5289.8643476379184</v>
      </c>
      <c r="J18" s="4">
        <f t="shared" si="4"/>
        <v>5386.8649112417152</v>
      </c>
    </row>
    <row r="19" spans="2:10" x14ac:dyDescent="0.25">
      <c r="I19" s="4"/>
      <c r="J19" s="4"/>
    </row>
    <row r="20" spans="2:10" x14ac:dyDescent="0.25">
      <c r="B20" s="4" t="s">
        <v>203</v>
      </c>
      <c r="F20" s="4">
        <f>BalSheet!E15</f>
        <v>2649.15</v>
      </c>
      <c r="G20" s="4">
        <f>BalSheet!F15</f>
        <v>7703.1201257897555</v>
      </c>
      <c r="H20" s="4">
        <f>BalSheet!G15</f>
        <v>12826.215071261995</v>
      </c>
      <c r="I20" s="4">
        <f>BalSheet!H15</f>
        <v>18028.054441266744</v>
      </c>
      <c r="J20" s="4">
        <f>BalSheet!I15</f>
        <v>23317.918788904663</v>
      </c>
    </row>
    <row r="21" spans="2:10" x14ac:dyDescent="0.25">
      <c r="B21" s="4" t="s">
        <v>204</v>
      </c>
      <c r="F21" s="4">
        <f>F18</f>
        <v>5053.9701257897559</v>
      </c>
      <c r="G21" s="4">
        <f t="shared" ref="G21:J21" si="5">G18</f>
        <v>5123.0949454722395</v>
      </c>
      <c r="H21" s="4">
        <f t="shared" si="5"/>
        <v>5201.8393700047491</v>
      </c>
      <c r="I21" s="4">
        <f t="shared" si="5"/>
        <v>5289.8643476379184</v>
      </c>
      <c r="J21" s="4">
        <f t="shared" si="5"/>
        <v>5386.8649112417152</v>
      </c>
    </row>
    <row r="22" spans="2:10" x14ac:dyDescent="0.25">
      <c r="B22" s="4" t="s">
        <v>205</v>
      </c>
      <c r="F22" s="4">
        <f>SUM(F20:F21)</f>
        <v>7703.1201257897555</v>
      </c>
      <c r="G22" s="4">
        <f t="shared" ref="G22:J22" si="6">SUM(G20:G21)</f>
        <v>12826.215071261995</v>
      </c>
      <c r="H22" s="4">
        <f t="shared" si="6"/>
        <v>18028.054441266744</v>
      </c>
      <c r="I22" s="4">
        <f t="shared" si="6"/>
        <v>23317.918788904663</v>
      </c>
      <c r="J22" s="4">
        <f t="shared" si="6"/>
        <v>28704.783700146378</v>
      </c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2">
    <pageSetUpPr autoPageBreaks="0" fitToPage="1"/>
  </sheetPr>
  <dimension ref="A1:L30"/>
  <sheetViews>
    <sheetView showGridLines="0" zoomScaleNormal="100" workbookViewId="0">
      <selection activeCell="J7" sqref="J7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317" t="str">
        <f>CoName</f>
        <v>Berkshire Hathaway Non-Insurance</v>
      </c>
      <c r="B1" s="3"/>
      <c r="C1" s="43" t="s">
        <v>0</v>
      </c>
      <c r="D1" s="43" t="s">
        <v>0</v>
      </c>
      <c r="E1" s="43" t="s">
        <v>0</v>
      </c>
      <c r="F1" s="43" t="s">
        <v>1</v>
      </c>
      <c r="G1" s="43" t="s">
        <v>1</v>
      </c>
      <c r="H1" s="43" t="s">
        <v>1</v>
      </c>
      <c r="I1" s="43" t="s">
        <v>1</v>
      </c>
      <c r="J1" s="43" t="s">
        <v>1</v>
      </c>
      <c r="K1" s="43"/>
      <c r="L1" s="43"/>
    </row>
    <row r="2" spans="1:12" s="2" customFormat="1" ht="16.350000000000001" customHeight="1" x14ac:dyDescent="0.25">
      <c r="A2" s="195" t="s">
        <v>82</v>
      </c>
      <c r="B2" s="196"/>
      <c r="C2" s="200">
        <v>2022</v>
      </c>
      <c r="D2" s="200">
        <f>C2+1</f>
        <v>2023</v>
      </c>
      <c r="E2" s="200">
        <f t="shared" ref="E2:J2" si="0">D2+1</f>
        <v>2024</v>
      </c>
      <c r="F2" s="200">
        <f t="shared" si="0"/>
        <v>2025</v>
      </c>
      <c r="G2" s="200">
        <f t="shared" si="0"/>
        <v>2026</v>
      </c>
      <c r="H2" s="200">
        <f t="shared" si="0"/>
        <v>2027</v>
      </c>
      <c r="I2" s="200">
        <f t="shared" si="0"/>
        <v>2028</v>
      </c>
      <c r="J2" s="200">
        <f t="shared" si="0"/>
        <v>2029</v>
      </c>
      <c r="K2" s="224"/>
      <c r="L2" s="224"/>
    </row>
    <row r="3" spans="1:12" x14ac:dyDescent="0.25">
      <c r="A3" s="11" t="s">
        <v>119</v>
      </c>
      <c r="B3" s="4" t="s">
        <v>83</v>
      </c>
      <c r="D3" s="290"/>
      <c r="E3" s="25"/>
      <c r="F3" s="291">
        <f>IncState!F15</f>
        <v>51034.749999999993</v>
      </c>
      <c r="G3" s="291">
        <f>IncState!G15</f>
        <v>52310.618749999987</v>
      </c>
      <c r="H3" s="291">
        <f>IncState!H15</f>
        <v>53618.384218749983</v>
      </c>
      <c r="I3" s="291">
        <f>IncState!I15</f>
        <v>54958.843824218726</v>
      </c>
      <c r="J3" s="291">
        <f>IncState!J15</f>
        <v>56332.814919824188</v>
      </c>
      <c r="K3" s="232"/>
      <c r="L3" s="232"/>
    </row>
    <row r="4" spans="1:12" x14ac:dyDescent="0.25">
      <c r="B4" s="4" t="s">
        <v>54</v>
      </c>
      <c r="E4" s="29"/>
      <c r="F4" s="4">
        <f>IncState!F18</f>
        <v>12810.450000000004</v>
      </c>
      <c r="G4" s="4">
        <f>IncState!G18</f>
        <v>13130.71125</v>
      </c>
      <c r="H4" s="4">
        <f>IncState!H18</f>
        <v>13458.979031249997</v>
      </c>
      <c r="I4" s="4">
        <f>IncState!I18</f>
        <v>13795.453507031241</v>
      </c>
      <c r="J4" s="4">
        <f>IncState!J18</f>
        <v>14140.339844707029</v>
      </c>
    </row>
    <row r="5" spans="1:12" x14ac:dyDescent="0.25">
      <c r="B5" s="32" t="s">
        <v>88</v>
      </c>
      <c r="C5" s="32"/>
      <c r="D5" s="32"/>
      <c r="E5" s="41"/>
      <c r="F5" s="45">
        <f>IncState!F10</f>
        <v>0.36515589842494373</v>
      </c>
      <c r="G5" s="45">
        <f>IncState!G10</f>
        <v>0.36515589842494373</v>
      </c>
      <c r="H5" s="45">
        <f>IncState!H10</f>
        <v>0.36515589842494373</v>
      </c>
      <c r="I5" s="45">
        <f>IncState!I10</f>
        <v>0.36515589842494373</v>
      </c>
      <c r="J5" s="45">
        <f>IncState!J10</f>
        <v>0.36515589842494373</v>
      </c>
      <c r="K5" s="45"/>
      <c r="L5" s="45"/>
    </row>
    <row r="6" spans="1:12" x14ac:dyDescent="0.25">
      <c r="C6" s="5"/>
      <c r="D6" s="5"/>
      <c r="E6" s="25"/>
      <c r="F6" s="5"/>
      <c r="G6" s="5"/>
      <c r="H6" s="5"/>
      <c r="I6" s="5"/>
      <c r="J6" s="5"/>
      <c r="K6" s="189"/>
      <c r="L6" s="189"/>
    </row>
    <row r="7" spans="1:12" x14ac:dyDescent="0.25">
      <c r="A7" s="26" t="s">
        <v>119</v>
      </c>
      <c r="B7" s="23" t="s">
        <v>84</v>
      </c>
      <c r="C7" s="125"/>
      <c r="D7" s="125"/>
      <c r="E7" s="125"/>
      <c r="F7" s="140">
        <f t="shared" ref="F7" si="1">F4*(1-F5)</f>
        <v>8132.6386210221835</v>
      </c>
      <c r="G7" s="140">
        <f t="shared" ref="G7:J7" si="2">G4*(1-G5)</f>
        <v>8335.9545865477357</v>
      </c>
      <c r="H7" s="140">
        <f t="shared" si="2"/>
        <v>8544.3534512114256</v>
      </c>
      <c r="I7" s="140">
        <f t="shared" si="2"/>
        <v>8757.9622874917077</v>
      </c>
      <c r="J7" s="140">
        <f t="shared" si="2"/>
        <v>8976.9113446790052</v>
      </c>
      <c r="K7" s="232"/>
      <c r="L7" s="232"/>
    </row>
    <row r="8" spans="1:12" x14ac:dyDescent="0.25">
      <c r="B8" s="4" t="s">
        <v>15</v>
      </c>
      <c r="C8" s="125"/>
      <c r="D8" s="125"/>
      <c r="E8" s="126"/>
      <c r="F8" s="141">
        <f>CashFlow!F4</f>
        <v>12854.009336252635</v>
      </c>
      <c r="G8" s="141">
        <f>CashFlow!G4</f>
        <v>13067.903096659558</v>
      </c>
      <c r="H8" s="141">
        <f>CashFlow!H4</f>
        <v>13295.035685434625</v>
      </c>
      <c r="I8" s="141">
        <f>CashFlow!I4</f>
        <v>13535.158531416413</v>
      </c>
      <c r="J8" s="141">
        <f>CashFlow!J4</f>
        <v>13788.059410077556</v>
      </c>
      <c r="K8" s="231"/>
      <c r="L8" s="231"/>
    </row>
    <row r="9" spans="1:12" x14ac:dyDescent="0.25">
      <c r="B9" s="4" t="s">
        <v>53</v>
      </c>
      <c r="C9" s="5"/>
      <c r="D9" s="5"/>
      <c r="E9" s="25"/>
      <c r="F9" s="201">
        <f>CashFlow!F5</f>
        <v>0</v>
      </c>
      <c r="G9" s="201">
        <f>CashFlow!G5</f>
        <v>0</v>
      </c>
      <c r="H9" s="201">
        <f>CashFlow!H5</f>
        <v>0</v>
      </c>
      <c r="I9" s="201">
        <f>CashFlow!I5</f>
        <v>0</v>
      </c>
      <c r="J9" s="201">
        <f>CashFlow!J5</f>
        <v>0</v>
      </c>
      <c r="K9" s="231"/>
      <c r="L9" s="231"/>
    </row>
    <row r="10" spans="1:12" x14ac:dyDescent="0.25">
      <c r="B10" s="4" t="s">
        <v>85</v>
      </c>
      <c r="C10" s="5"/>
      <c r="D10" s="5"/>
      <c r="E10" s="25"/>
      <c r="F10" s="201">
        <f>CashFlow!F6</f>
        <v>366.5037499999944</v>
      </c>
      <c r="G10" s="201">
        <f>CashFlow!G6</f>
        <v>375.66634375000103</v>
      </c>
      <c r="H10" s="201">
        <f>CashFlow!H6</f>
        <v>385.05800234374874</v>
      </c>
      <c r="I10" s="201">
        <f>CashFlow!I6</f>
        <v>394.68445240234541</v>
      </c>
      <c r="J10" s="201">
        <f>CashFlow!J6</f>
        <v>404.55156371239536</v>
      </c>
      <c r="K10" s="231"/>
      <c r="L10" s="231"/>
    </row>
    <row r="11" spans="1:12" x14ac:dyDescent="0.25">
      <c r="B11" s="4" t="s">
        <v>158</v>
      </c>
      <c r="C11" s="5"/>
      <c r="D11" s="5"/>
      <c r="E11" s="25"/>
      <c r="F11" s="201">
        <f>CashFlow!F7</f>
        <v>-520.27499999999782</v>
      </c>
      <c r="G11" s="201">
        <f>CashFlow!G7</f>
        <v>-533.28187499999694</v>
      </c>
      <c r="H11" s="201">
        <f>CashFlow!H7</f>
        <v>-546.61392187499951</v>
      </c>
      <c r="I11" s="201">
        <f>CashFlow!I7</f>
        <v>-560.27926992187349</v>
      </c>
      <c r="J11" s="201">
        <f>CashFlow!J7</f>
        <v>-574.28625166991696</v>
      </c>
      <c r="K11" s="231"/>
      <c r="L11" s="231"/>
    </row>
    <row r="12" spans="1:12" x14ac:dyDescent="0.25">
      <c r="B12" s="4" t="s">
        <v>159</v>
      </c>
      <c r="E12" s="29"/>
      <c r="F12" s="201">
        <f>CashFlow!F8</f>
        <v>1996.9249999999884</v>
      </c>
      <c r="G12" s="201">
        <f>CashFlow!G8</f>
        <v>2046.8481249999895</v>
      </c>
      <c r="H12" s="201">
        <f>CashFlow!H8</f>
        <v>2098.0193281249958</v>
      </c>
      <c r="I12" s="201">
        <f>CashFlow!I8</f>
        <v>2150.4698113281192</v>
      </c>
      <c r="J12" s="201">
        <f>CashFlow!J8</f>
        <v>2204.2315566113102</v>
      </c>
      <c r="K12" s="231"/>
      <c r="L12" s="231"/>
    </row>
    <row r="13" spans="1:12" x14ac:dyDescent="0.25">
      <c r="B13" s="4" t="s">
        <v>86</v>
      </c>
      <c r="E13" s="29"/>
      <c r="F13" s="138">
        <f>CashFlow!F12</f>
        <v>-15766.549999999997</v>
      </c>
      <c r="G13" s="138">
        <f>CashFlow!G12</f>
        <v>-16160.713749999995</v>
      </c>
      <c r="H13" s="138">
        <f>CashFlow!H12</f>
        <v>-16564.731593749995</v>
      </c>
      <c r="I13" s="138">
        <f>CashFlow!I12</f>
        <v>-16978.849883593743</v>
      </c>
      <c r="J13" s="138">
        <f>CashFlow!J12</f>
        <v>-17403.321130683584</v>
      </c>
      <c r="K13" s="138"/>
      <c r="L13" s="138"/>
    </row>
    <row r="14" spans="1:12" x14ac:dyDescent="0.25">
      <c r="E14" s="65"/>
      <c r="F14" s="142"/>
      <c r="G14" s="142"/>
      <c r="H14" s="142"/>
      <c r="I14" s="142"/>
      <c r="J14" s="142"/>
      <c r="K14" s="142"/>
      <c r="L14" s="142"/>
    </row>
    <row r="15" spans="1:12" s="11" customFormat="1" x14ac:dyDescent="0.25">
      <c r="A15" s="26" t="s">
        <v>119</v>
      </c>
      <c r="B15" s="36" t="s">
        <v>87</v>
      </c>
      <c r="C15" s="36"/>
      <c r="D15" s="36"/>
      <c r="E15" s="36"/>
      <c r="F15" s="36">
        <f>SUM(F7:F13)</f>
        <v>7063.2517072748033</v>
      </c>
      <c r="G15" s="36">
        <f t="shared" ref="G15:J15" si="3">SUM(G7:G13)</f>
        <v>7132.3765269572941</v>
      </c>
      <c r="H15" s="36">
        <f t="shared" si="3"/>
        <v>7211.1209514898037</v>
      </c>
      <c r="I15" s="36">
        <f t="shared" si="3"/>
        <v>7299.145929122973</v>
      </c>
      <c r="J15" s="20">
        <f t="shared" si="3"/>
        <v>7396.1464927267698</v>
      </c>
    </row>
    <row r="16" spans="1:12" x14ac:dyDescent="0.25">
      <c r="B16" s="68"/>
      <c r="C16" s="68"/>
      <c r="D16" s="68"/>
      <c r="E16" s="68"/>
      <c r="F16" s="68"/>
      <c r="G16" s="68"/>
      <c r="H16" s="68"/>
      <c r="I16" s="86"/>
      <c r="J16" s="86"/>
    </row>
    <row r="17" spans="3:8" x14ac:dyDescent="0.25">
      <c r="C17" s="5"/>
      <c r="D17" s="5"/>
      <c r="E17" s="5"/>
      <c r="F17" s="5"/>
      <c r="G17" s="5"/>
      <c r="H17" s="5"/>
    </row>
    <row r="20" spans="3:8" x14ac:dyDescent="0.25">
      <c r="C20" s="5"/>
      <c r="D20" s="5"/>
      <c r="E20" s="5"/>
      <c r="F20" s="5"/>
      <c r="G20" s="5"/>
      <c r="H20" s="5"/>
    </row>
    <row r="28" spans="3:8" x14ac:dyDescent="0.25">
      <c r="C28" s="5"/>
      <c r="D28" s="5"/>
      <c r="E28" s="5"/>
      <c r="F28" s="5"/>
      <c r="G28" s="5"/>
      <c r="H28" s="5"/>
    </row>
    <row r="29" spans="3:8" x14ac:dyDescent="0.25">
      <c r="C29" s="5"/>
      <c r="D29" s="5"/>
      <c r="E29" s="5"/>
      <c r="F29" s="5"/>
      <c r="G29" s="5"/>
      <c r="H29" s="5"/>
    </row>
    <row r="30" spans="3:8" x14ac:dyDescent="0.25">
      <c r="C30" s="5"/>
      <c r="D30" s="5"/>
      <c r="E30" s="5"/>
      <c r="F30" s="5"/>
      <c r="G30" s="5"/>
      <c r="H30" s="5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0C759-7EE8-4F94-A92F-62A3DBDD70DA}">
  <sheetPr codeName="Sheet13"/>
  <dimension ref="A1:M15"/>
  <sheetViews>
    <sheetView showGridLines="0" zoomScaleNormal="100" workbookViewId="0">
      <selection activeCell="E1" sqref="E1"/>
    </sheetView>
  </sheetViews>
  <sheetFormatPr defaultColWidth="9" defaultRowHeight="15" x14ac:dyDescent="0.25"/>
  <cols>
    <col min="1" max="1" width="2.7109375" style="4" customWidth="1"/>
    <col min="2" max="3" width="9" style="4"/>
    <col min="4" max="4" width="11" style="4" customWidth="1"/>
    <col min="5" max="5" width="8.28515625" style="4" customWidth="1"/>
    <col min="6" max="7" width="9" style="4"/>
    <col min="8" max="8" width="12.28515625" style="4" customWidth="1"/>
    <col min="9" max="9" width="10.140625" style="4" customWidth="1"/>
    <col min="10" max="10" width="14.28515625" style="4" bestFit="1" customWidth="1"/>
    <col min="11" max="11" width="11.42578125" style="4" customWidth="1"/>
    <col min="12" max="12" width="13.140625" style="4" customWidth="1"/>
    <col min="13" max="13" width="15" style="4" bestFit="1" customWidth="1"/>
    <col min="14" max="16384" width="9" style="4"/>
  </cols>
  <sheetData>
    <row r="1" spans="1:13" ht="19.5" x14ac:dyDescent="0.3">
      <c r="A1" s="317" t="str">
        <f>CoName</f>
        <v>Berkshire Hathaway Non-Insurance</v>
      </c>
    </row>
    <row r="2" spans="1:13" x14ac:dyDescent="0.25">
      <c r="G2" s="152"/>
    </row>
    <row r="3" spans="1:13" x14ac:dyDescent="0.25">
      <c r="A3" s="29" t="s">
        <v>119</v>
      </c>
      <c r="B3" s="171" t="s">
        <v>96</v>
      </c>
      <c r="C3" s="172"/>
      <c r="D3" s="172"/>
      <c r="E3" s="173"/>
      <c r="F3" s="11"/>
      <c r="G3" s="79" t="s">
        <v>103</v>
      </c>
      <c r="H3" s="79" t="s">
        <v>98</v>
      </c>
      <c r="I3" s="79" t="s">
        <v>99</v>
      </c>
      <c r="J3" s="79" t="s">
        <v>100</v>
      </c>
      <c r="K3" s="79" t="s">
        <v>101</v>
      </c>
      <c r="L3" s="79" t="s">
        <v>106</v>
      </c>
      <c r="M3" s="79" t="s">
        <v>102</v>
      </c>
    </row>
    <row r="4" spans="1:13" x14ac:dyDescent="0.25">
      <c r="A4" s="29"/>
      <c r="B4" s="320" t="s">
        <v>160</v>
      </c>
      <c r="C4" s="69"/>
      <c r="D4" s="74"/>
      <c r="E4" s="321">
        <f>Assumptions!E16</f>
        <v>0.36515589842494373</v>
      </c>
      <c r="G4" s="144" t="s">
        <v>206</v>
      </c>
      <c r="H4" s="145">
        <v>1.07</v>
      </c>
      <c r="I4" s="82">
        <f>1521+30286</f>
        <v>31807</v>
      </c>
      <c r="J4" s="83">
        <v>130600</v>
      </c>
      <c r="K4" s="147">
        <f>I4/J4</f>
        <v>0.24354517611026033</v>
      </c>
      <c r="L4" s="161">
        <f>E4</f>
        <v>0.36515589842494373</v>
      </c>
      <c r="M4" s="148">
        <f>H4/((1+K4*(1-L4)))</f>
        <v>0.92671726153536749</v>
      </c>
    </row>
    <row r="5" spans="1:13" x14ac:dyDescent="0.25">
      <c r="A5" s="29"/>
      <c r="B5" s="69" t="s">
        <v>89</v>
      </c>
      <c r="C5" s="69"/>
      <c r="D5" s="74"/>
      <c r="E5" s="143">
        <v>4.0800000000000003E-2</v>
      </c>
      <c r="G5" s="144" t="s">
        <v>207</v>
      </c>
      <c r="H5" s="145">
        <v>1.29</v>
      </c>
      <c r="I5" s="82">
        <f>608+18554</f>
        <v>19162</v>
      </c>
      <c r="J5" s="83">
        <v>66900</v>
      </c>
      <c r="K5" s="147">
        <f t="shared" ref="K5:K7" si="0">I5/J5</f>
        <v>0.28642750373692077</v>
      </c>
      <c r="L5" s="161">
        <f>L4</f>
        <v>0.36515589842494373</v>
      </c>
      <c r="M5" s="148">
        <f t="shared" ref="M5:M7" si="1">H5/((1+K5*(1-L5)))</f>
        <v>1.0915212554658407</v>
      </c>
    </row>
    <row r="6" spans="1:13" x14ac:dyDescent="0.25">
      <c r="A6" s="29"/>
      <c r="B6" s="69" t="s">
        <v>90</v>
      </c>
      <c r="C6" s="69"/>
      <c r="D6" s="74"/>
      <c r="E6" s="143">
        <v>0.05</v>
      </c>
      <c r="G6" s="144" t="s">
        <v>208</v>
      </c>
      <c r="H6" s="146">
        <v>1.32</v>
      </c>
      <c r="I6" s="84">
        <f>607+16476</f>
        <v>17083</v>
      </c>
      <c r="J6" s="83">
        <v>70200</v>
      </c>
      <c r="K6" s="147">
        <f t="shared" si="0"/>
        <v>0.24334757834757834</v>
      </c>
      <c r="L6" s="161">
        <f t="shared" ref="L6:L7" si="2">L5</f>
        <v>0.36515589842494373</v>
      </c>
      <c r="M6" s="148">
        <f t="shared" si="1"/>
        <v>1.1433642078105193</v>
      </c>
    </row>
    <row r="7" spans="1:13" x14ac:dyDescent="0.25">
      <c r="A7" s="29"/>
      <c r="B7" s="69" t="s">
        <v>91</v>
      </c>
      <c r="C7" s="69"/>
      <c r="D7" s="74"/>
      <c r="E7" s="237">
        <f>M11</f>
        <v>1.4185031852270218</v>
      </c>
      <c r="G7" s="144" t="s">
        <v>209</v>
      </c>
      <c r="H7" s="146">
        <v>1.04</v>
      </c>
      <c r="I7" s="84">
        <f>1652+15502</f>
        <v>17154</v>
      </c>
      <c r="J7" s="85">
        <v>90900</v>
      </c>
      <c r="K7" s="147">
        <f t="shared" si="0"/>
        <v>0.18871287128712871</v>
      </c>
      <c r="L7" s="161">
        <f t="shared" si="2"/>
        <v>0.36515589842494373</v>
      </c>
      <c r="M7" s="148">
        <f t="shared" si="1"/>
        <v>0.92873457636608314</v>
      </c>
    </row>
    <row r="8" spans="1:13" x14ac:dyDescent="0.25">
      <c r="A8" s="29"/>
      <c r="B8" s="69" t="s">
        <v>92</v>
      </c>
      <c r="C8" s="69"/>
      <c r="D8" s="74"/>
      <c r="E8" s="143">
        <f>E5+E6*E7</f>
        <v>0.1117251592613511</v>
      </c>
      <c r="L8" s="68"/>
    </row>
    <row r="9" spans="1:13" x14ac:dyDescent="0.25">
      <c r="A9" s="29"/>
      <c r="B9" s="70" t="s">
        <v>93</v>
      </c>
      <c r="C9" s="70"/>
      <c r="D9" s="75"/>
      <c r="E9" s="149">
        <f>1-E10</f>
        <v>0.3901262092186939</v>
      </c>
      <c r="G9" s="4" t="s">
        <v>104</v>
      </c>
      <c r="L9" s="29"/>
      <c r="M9" s="236">
        <f>AVERAGE(M4:M7)</f>
        <v>1.0225843252944526</v>
      </c>
    </row>
    <row r="10" spans="1:13" x14ac:dyDescent="0.25">
      <c r="A10" s="29"/>
      <c r="B10" s="71" t="s">
        <v>94</v>
      </c>
      <c r="C10" s="71"/>
      <c r="D10" s="76"/>
      <c r="E10" s="150">
        <f>BalSheet!E33/BalSheet!E36</f>
        <v>0.6098737907813061</v>
      </c>
      <c r="M10" s="68"/>
    </row>
    <row r="11" spans="1:13" x14ac:dyDescent="0.25">
      <c r="A11" s="29"/>
      <c r="B11" s="170" t="s">
        <v>167</v>
      </c>
      <c r="C11" s="72"/>
      <c r="D11" s="77"/>
      <c r="E11" s="151">
        <f>AVERAGE(0.044,0.046,0.05,0.047)</f>
        <v>4.675E-2</v>
      </c>
      <c r="G11" s="4" t="s">
        <v>105</v>
      </c>
      <c r="L11" s="29"/>
      <c r="M11" s="236">
        <f>M9*(1+E10*(1-E4))</f>
        <v>1.4185031852270218</v>
      </c>
    </row>
    <row r="12" spans="1:13" x14ac:dyDescent="0.25">
      <c r="A12" s="29"/>
      <c r="B12" s="73" t="s">
        <v>95</v>
      </c>
      <c r="C12" s="73"/>
      <c r="D12" s="78"/>
      <c r="E12" s="151">
        <f>E11*(1-E4)</f>
        <v>2.9678961748633884E-2</v>
      </c>
      <c r="M12" s="68"/>
    </row>
    <row r="13" spans="1:13" s="11" customFormat="1" x14ac:dyDescent="0.25">
      <c r="A13" s="26" t="s">
        <v>119</v>
      </c>
      <c r="B13" s="171" t="s">
        <v>96</v>
      </c>
      <c r="C13" s="172"/>
      <c r="D13" s="173"/>
      <c r="E13" s="168">
        <f>WACC!E8*WACC!E9+WACC!E12*WACC!E10</f>
        <v>6.1687333765078484E-2</v>
      </c>
      <c r="F13" s="4"/>
    </row>
    <row r="14" spans="1:13" s="11" customFormat="1" x14ac:dyDescent="0.25">
      <c r="A14" s="26"/>
      <c r="B14" s="79" t="s">
        <v>97</v>
      </c>
      <c r="C14" s="79"/>
      <c r="D14" s="118"/>
      <c r="E14" s="153">
        <v>0.02</v>
      </c>
      <c r="F14" s="4"/>
    </row>
    <row r="15" spans="1:13" x14ac:dyDescent="0.25">
      <c r="B15" s="68"/>
      <c r="C15" s="68"/>
      <c r="D15" s="68"/>
      <c r="E15" s="68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340EB-072D-4DA9-B457-4757931D9A4D}">
  <sheetPr codeName="Sheet14"/>
  <dimension ref="A1:Q45"/>
  <sheetViews>
    <sheetView showGridLines="0" topLeftCell="C1" zoomScaleNormal="100" workbookViewId="0">
      <selection activeCell="J34" sqref="J34"/>
    </sheetView>
  </sheetViews>
  <sheetFormatPr defaultColWidth="9" defaultRowHeight="15" x14ac:dyDescent="0.25"/>
  <cols>
    <col min="1" max="1" width="2" style="4" customWidth="1"/>
    <col min="2" max="2" width="22.42578125" style="4" bestFit="1" customWidth="1"/>
    <col min="3" max="3" width="12.7109375" style="4" customWidth="1"/>
    <col min="4" max="4" width="15.85546875" style="4" customWidth="1"/>
    <col min="5" max="5" width="10.42578125" style="4" customWidth="1"/>
    <col min="6" max="6" width="12.140625" style="4" customWidth="1"/>
    <col min="7" max="7" width="11.42578125" style="4" bestFit="1" customWidth="1"/>
    <col min="8" max="12" width="11.7109375" style="4" customWidth="1"/>
    <col min="13" max="13" width="9" style="4"/>
    <col min="14" max="17" width="9.85546875" style="4" bestFit="1" customWidth="1"/>
    <col min="18" max="16384" width="9" style="4"/>
  </cols>
  <sheetData>
    <row r="1" spans="1:17" ht="19.5" x14ac:dyDescent="0.3">
      <c r="A1" s="317" t="str">
        <f>CoName</f>
        <v>Berkshire Hathaway Non-Insurance</v>
      </c>
      <c r="B1" s="3"/>
      <c r="C1" s="3"/>
      <c r="D1" s="43" t="s">
        <v>1</v>
      </c>
      <c r="E1" s="43" t="s">
        <v>1</v>
      </c>
      <c r="F1" s="43" t="s">
        <v>1</v>
      </c>
      <c r="G1" s="43" t="s">
        <v>1</v>
      </c>
      <c r="H1" s="43" t="s">
        <v>1</v>
      </c>
      <c r="I1" s="43"/>
      <c r="J1" s="43"/>
      <c r="K1" s="43"/>
      <c r="L1" s="43"/>
      <c r="M1" s="43"/>
    </row>
    <row r="2" spans="1:17" x14ac:dyDescent="0.25">
      <c r="A2" s="79" t="s">
        <v>107</v>
      </c>
      <c r="B2" s="21"/>
      <c r="C2" s="44"/>
      <c r="D2" s="79">
        <v>1</v>
      </c>
      <c r="E2" s="79">
        <f>D2+1</f>
        <v>2</v>
      </c>
      <c r="F2" s="79">
        <f t="shared" ref="F2:H2" si="0">E2+1</f>
        <v>3</v>
      </c>
      <c r="G2" s="79">
        <f t="shared" si="0"/>
        <v>4</v>
      </c>
      <c r="H2" s="79">
        <f t="shared" si="0"/>
        <v>5</v>
      </c>
      <c r="I2" s="169"/>
      <c r="J2" s="169"/>
      <c r="K2" s="169"/>
      <c r="L2" s="169"/>
      <c r="M2" s="169"/>
      <c r="N2" s="169"/>
    </row>
    <row r="3" spans="1:17" x14ac:dyDescent="0.25">
      <c r="B3" s="4" t="s">
        <v>210</v>
      </c>
      <c r="D3" s="8">
        <f>1/(1+$M$4)^D2</f>
        <v>0.94189689204794813</v>
      </c>
      <c r="E3" s="8">
        <f t="shared" ref="E3:H3" si="1">1/(1+$M$4)^E2</f>
        <v>0.88716975524958397</v>
      </c>
      <c r="F3" s="8">
        <f t="shared" si="1"/>
        <v>0.83562243518852208</v>
      </c>
      <c r="G3" s="8">
        <f t="shared" si="1"/>
        <v>0.78707017462960671</v>
      </c>
      <c r="H3" s="8">
        <f t="shared" si="1"/>
        <v>0.74133895130726235</v>
      </c>
      <c r="I3" s="8"/>
      <c r="J3" s="8"/>
      <c r="K3" s="8"/>
    </row>
    <row r="4" spans="1:17" x14ac:dyDescent="0.25">
      <c r="B4" s="4" t="s">
        <v>211</v>
      </c>
      <c r="D4" s="4">
        <f>D3*'Free Cash Flow'!F15</f>
        <v>6652.8548308345007</v>
      </c>
      <c r="E4" s="4">
        <f>E3*'Free Cash Flow'!G15</f>
        <v>6327.6287377685803</v>
      </c>
      <c r="F4" s="4">
        <f>F3*'Free Cash Flow'!H15</f>
        <v>6025.774449922882</v>
      </c>
      <c r="G4" s="4">
        <f>G3*'Free Cash Flow'!I15</f>
        <v>5744.9400610818011</v>
      </c>
      <c r="H4" s="4">
        <f>H3*'Free Cash Flow'!J15</f>
        <v>5483.0514846329497</v>
      </c>
      <c r="J4" s="171" t="s">
        <v>96</v>
      </c>
      <c r="K4" s="172"/>
      <c r="L4" s="173"/>
      <c r="M4" s="168">
        <f>WACC!E13</f>
        <v>6.1687333765078484E-2</v>
      </c>
    </row>
    <row r="5" spans="1:17" x14ac:dyDescent="0.25">
      <c r="G5" s="152"/>
      <c r="H5" s="4">
        <f>((H4*(1+M5))/(M4-M5))</f>
        <v>153189.86677354012</v>
      </c>
      <c r="J5" s="79" t="s">
        <v>97</v>
      </c>
      <c r="K5" s="79"/>
      <c r="L5" s="118"/>
      <c r="M5" s="153">
        <v>2.5000000000000001E-2</v>
      </c>
    </row>
    <row r="6" spans="1:17" x14ac:dyDescent="0.25">
      <c r="A6" s="79" t="s">
        <v>108</v>
      </c>
      <c r="B6" s="21"/>
      <c r="C6" s="44"/>
      <c r="D6" s="88"/>
      <c r="E6" s="79" t="s">
        <v>164</v>
      </c>
      <c r="F6" s="21"/>
      <c r="G6" s="44"/>
      <c r="H6" s="88" t="s">
        <v>161</v>
      </c>
    </row>
    <row r="7" spans="1:17" x14ac:dyDescent="0.25">
      <c r="B7" s="4" t="s">
        <v>109</v>
      </c>
      <c r="C7" s="4">
        <f>SUM(D4:H4)</f>
        <v>30234.249564240716</v>
      </c>
      <c r="E7" s="4" t="s">
        <v>109</v>
      </c>
      <c r="G7" s="4">
        <f>C7</f>
        <v>30234.249564240716</v>
      </c>
      <c r="I7" s="178"/>
      <c r="J7" s="178"/>
      <c r="K7" s="182" t="s">
        <v>184</v>
      </c>
      <c r="L7" s="178"/>
      <c r="P7" s="11" t="s">
        <v>212</v>
      </c>
    </row>
    <row r="8" spans="1:17" x14ac:dyDescent="0.25">
      <c r="B8" s="4" t="s">
        <v>110</v>
      </c>
      <c r="C8" s="4">
        <f>H5*H3</f>
        <v>113565.61518479548</v>
      </c>
      <c r="E8" s="4" t="s">
        <v>165</v>
      </c>
      <c r="G8" s="4">
        <f>G10*IncState!J22*'DCF Model'!H3</f>
        <v>269157.33279802289</v>
      </c>
      <c r="I8" s="178">
        <f>C15</f>
        <v>64285.0147490362</v>
      </c>
      <c r="J8" s="281">
        <v>0.02</v>
      </c>
      <c r="K8" s="281">
        <v>2.5000000000000001E-2</v>
      </c>
      <c r="L8" s="281">
        <v>0.03</v>
      </c>
      <c r="N8" s="4">
        <f>G15</f>
        <v>219876.7323622636</v>
      </c>
      <c r="O8" s="87">
        <v>12</v>
      </c>
      <c r="P8" s="87">
        <v>13</v>
      </c>
      <c r="Q8" s="87">
        <v>14</v>
      </c>
    </row>
    <row r="9" spans="1:17" x14ac:dyDescent="0.25">
      <c r="B9" s="4" t="s">
        <v>111</v>
      </c>
      <c r="C9" s="4">
        <f>SUM(C7:C8)</f>
        <v>143799.86474903621</v>
      </c>
      <c r="E9" s="4" t="s">
        <v>111</v>
      </c>
      <c r="G9" s="4">
        <f>SUM(G7:G8)</f>
        <v>299391.58236226358</v>
      </c>
      <c r="I9" s="281">
        <f>I10+$E$22</f>
        <v>7.2000000000000008E-2</v>
      </c>
      <c r="J9" s="178">
        <f t="dataTable" ref="J9:L13" dt2D="1" dtr="1" r1="M5" r2="M4"/>
        <v>22271.381351153512</v>
      </c>
      <c r="K9" s="178">
        <v>30364.599356228893</v>
      </c>
      <c r="L9" s="178">
        <v>40384.774029179389</v>
      </c>
      <c r="N9" s="8">
        <f>N10+$E$22</f>
        <v>7.2000000000000008E-2</v>
      </c>
      <c r="O9" s="4">
        <f t="dataTable" ref="O9:Q13" dt2D="1" dtr="1" r1="G10" r2="M4" ca="1"/>
        <v>186615.43364882912</v>
      </c>
      <c r="P9" s="4">
        <v>206342.93662580138</v>
      </c>
      <c r="Q9" s="4">
        <v>226070.43960277369</v>
      </c>
    </row>
    <row r="10" spans="1:17" x14ac:dyDescent="0.25">
      <c r="C10" s="87"/>
      <c r="E10" s="4" t="s">
        <v>112</v>
      </c>
      <c r="G10" s="87">
        <v>13</v>
      </c>
      <c r="I10" s="281">
        <f>I11+$E$22</f>
        <v>6.7000000000000004E-2</v>
      </c>
      <c r="J10" s="178">
        <v>34204.785514587275</v>
      </c>
      <c r="K10" s="178">
        <v>44655.562631450302</v>
      </c>
      <c r="L10" s="178">
        <v>57930.874104222254</v>
      </c>
      <c r="N10" s="8">
        <f>N11+$E$22</f>
        <v>6.7000000000000004E-2</v>
      </c>
      <c r="O10" s="4">
        <v>192614.03337620705</v>
      </c>
      <c r="P10" s="4">
        <v>212808.10755659052</v>
      </c>
      <c r="Q10" s="4">
        <v>233002.1817369741</v>
      </c>
    </row>
    <row r="11" spans="1:17" x14ac:dyDescent="0.25">
      <c r="I11" s="281">
        <v>6.2E-2</v>
      </c>
      <c r="J11" s="178">
        <v>49119.879066761874</v>
      </c>
      <c r="K11" s="178">
        <v>62968.414407369331</v>
      </c>
      <c r="L11" s="178">
        <v>81144.617041916674</v>
      </c>
      <c r="N11" s="8">
        <v>6.2E-2</v>
      </c>
      <c r="O11" s="4">
        <v>198780.96520000597</v>
      </c>
      <c r="P11" s="4">
        <v>219454.91515484039</v>
      </c>
      <c r="Q11" s="4">
        <v>240128.86510967492</v>
      </c>
    </row>
    <row r="12" spans="1:17" x14ac:dyDescent="0.25">
      <c r="B12" s="29" t="s">
        <v>113</v>
      </c>
      <c r="C12" s="39">
        <f>BalSheet!E15</f>
        <v>2649.15</v>
      </c>
      <c r="E12" s="29" t="s">
        <v>113</v>
      </c>
      <c r="F12" s="165"/>
      <c r="G12" s="39">
        <f>C12</f>
        <v>2649.15</v>
      </c>
      <c r="I12" s="281">
        <f>I11-$E$22</f>
        <v>5.7000000000000002E-2</v>
      </c>
      <c r="J12" s="178">
        <v>68237.117871812166</v>
      </c>
      <c r="K12" s="178">
        <v>87201.946413590835</v>
      </c>
      <c r="L12" s="178">
        <v>113190.7855263986</v>
      </c>
      <c r="N12" s="8">
        <f>N11-$E$22</f>
        <v>5.7000000000000002E-2</v>
      </c>
      <c r="O12" s="4">
        <v>205121.81130774214</v>
      </c>
      <c r="P12" s="4">
        <v>226289.38633789896</v>
      </c>
      <c r="Q12" s="4">
        <v>247456.96136805578</v>
      </c>
    </row>
    <row r="13" spans="1:17" x14ac:dyDescent="0.25">
      <c r="B13" s="29" t="s">
        <v>114</v>
      </c>
      <c r="C13" s="39">
        <f>BalSheet!E33</f>
        <v>79877</v>
      </c>
      <c r="E13" s="29" t="s">
        <v>114</v>
      </c>
      <c r="F13" s="165"/>
      <c r="G13" s="39">
        <f t="shared" ref="G13:G14" si="2">C13</f>
        <v>79877</v>
      </c>
      <c r="I13" s="281">
        <f>I12-$E$22</f>
        <v>5.2000000000000005E-2</v>
      </c>
      <c r="J13" s="178">
        <v>93540.687772493926</v>
      </c>
      <c r="K13" s="178">
        <v>120662.58762351162</v>
      </c>
      <c r="L13" s="178">
        <v>160112.62377044652</v>
      </c>
      <c r="N13" s="8">
        <f>N12-$E$22</f>
        <v>5.2000000000000005E-2</v>
      </c>
      <c r="O13" s="4">
        <v>211642.36714524135</v>
      </c>
      <c r="P13" s="4">
        <v>233317.77835242893</v>
      </c>
      <c r="Q13" s="4">
        <v>254993.18955961656</v>
      </c>
    </row>
    <row r="14" spans="1:17" x14ac:dyDescent="0.25">
      <c r="B14" s="29" t="s">
        <v>115</v>
      </c>
      <c r="C14" s="81">
        <v>2287</v>
      </c>
      <c r="E14" s="4" t="s">
        <v>115</v>
      </c>
      <c r="F14" s="29"/>
      <c r="G14" s="39">
        <f t="shared" si="2"/>
        <v>2287</v>
      </c>
      <c r="I14" s="178"/>
      <c r="J14" s="178"/>
      <c r="K14" s="178" t="s">
        <v>170</v>
      </c>
      <c r="L14" s="178"/>
      <c r="O14" s="178"/>
      <c r="P14" s="178" t="s">
        <v>170</v>
      </c>
    </row>
    <row r="15" spans="1:17" x14ac:dyDescent="0.25">
      <c r="B15" s="4" t="s">
        <v>116</v>
      </c>
      <c r="C15" s="68">
        <f>C9+C12-C13-C14</f>
        <v>64285.0147490362</v>
      </c>
      <c r="E15" s="4" t="s">
        <v>116</v>
      </c>
      <c r="G15" s="68">
        <f>G9+G12-G13-G14</f>
        <v>219876.7323622636</v>
      </c>
      <c r="I15" s="178"/>
      <c r="J15" s="48" t="s">
        <v>111</v>
      </c>
      <c r="K15" s="182">
        <f>AVERAGE(J9:L13)</f>
        <v>71066.042432074872</v>
      </c>
      <c r="L15" s="178"/>
      <c r="O15" s="48" t="s">
        <v>111</v>
      </c>
      <c r="P15" s="182">
        <f>AVERAGE(O9:Q13)</f>
        <v>219642.62480551205</v>
      </c>
    </row>
    <row r="17" spans="1:17" x14ac:dyDescent="0.25">
      <c r="B17" s="4" t="s">
        <v>117</v>
      </c>
      <c r="E17" s="4" t="s">
        <v>117</v>
      </c>
    </row>
    <row r="18" spans="1:17" x14ac:dyDescent="0.25">
      <c r="A18" s="4" t="s">
        <v>119</v>
      </c>
      <c r="B18" s="154" t="s">
        <v>118</v>
      </c>
      <c r="C18" s="167"/>
      <c r="E18" s="154" t="s">
        <v>118</v>
      </c>
      <c r="F18" s="165"/>
      <c r="G18" s="167"/>
    </row>
    <row r="19" spans="1:17" x14ac:dyDescent="0.25">
      <c r="C19" s="23"/>
    </row>
    <row r="20" spans="1:17" x14ac:dyDescent="0.25">
      <c r="A20" s="121" t="s">
        <v>141</v>
      </c>
      <c r="B20" s="21"/>
      <c r="C20" s="127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233"/>
    </row>
    <row r="21" spans="1:17" x14ac:dyDescent="0.25">
      <c r="B21" s="122"/>
      <c r="C21" s="122"/>
      <c r="D21" s="122"/>
      <c r="E21" s="122"/>
      <c r="F21" s="122"/>
      <c r="G21" s="122"/>
      <c r="H21" s="122"/>
      <c r="I21" s="122"/>
    </row>
    <row r="22" spans="1:17" x14ac:dyDescent="0.25">
      <c r="B22" s="122"/>
      <c r="C22" s="122" t="s">
        <v>142</v>
      </c>
      <c r="D22" s="122"/>
      <c r="E22" s="123">
        <v>5.0000000000000001E-3</v>
      </c>
      <c r="F22" s="122"/>
      <c r="G22" s="122"/>
      <c r="J22" s="122" t="s">
        <v>142</v>
      </c>
      <c r="K22" s="122"/>
      <c r="L22" s="123">
        <v>5.0000000000000001E-3</v>
      </c>
    </row>
    <row r="23" spans="1:17" x14ac:dyDescent="0.25">
      <c r="B23" s="122"/>
      <c r="C23" s="122" t="s">
        <v>143</v>
      </c>
      <c r="D23" s="122"/>
      <c r="E23" s="155">
        <v>2.5000000000000001E-3</v>
      </c>
      <c r="F23" s="122"/>
      <c r="G23" s="122"/>
      <c r="J23" s="122" t="s">
        <v>163</v>
      </c>
      <c r="K23" s="122"/>
      <c r="L23" s="164">
        <v>1</v>
      </c>
    </row>
    <row r="24" spans="1:17" x14ac:dyDescent="0.25">
      <c r="B24" s="122"/>
      <c r="C24" s="122"/>
      <c r="D24" s="122"/>
      <c r="E24" s="176"/>
      <c r="F24" s="122"/>
      <c r="G24" s="122"/>
      <c r="J24" s="122"/>
      <c r="K24" s="122"/>
      <c r="L24" s="175"/>
    </row>
    <row r="25" spans="1:17" x14ac:dyDescent="0.25">
      <c r="A25" s="158" t="s">
        <v>166</v>
      </c>
      <c r="B25" s="16"/>
      <c r="C25" s="156"/>
      <c r="D25" s="156"/>
      <c r="E25" s="157"/>
      <c r="F25" s="156"/>
      <c r="G25" s="156"/>
      <c r="H25" s="156"/>
      <c r="I25" s="156"/>
      <c r="J25" s="166"/>
      <c r="K25" s="16"/>
      <c r="L25" s="16"/>
      <c r="M25" s="16"/>
      <c r="N25" s="16"/>
      <c r="O25" s="16"/>
      <c r="P25" s="16"/>
    </row>
    <row r="26" spans="1:17" x14ac:dyDescent="0.25">
      <c r="B26" s="122"/>
      <c r="C26" s="122"/>
      <c r="D26" s="122"/>
      <c r="E26" s="122"/>
      <c r="F26" s="122"/>
      <c r="H26" s="122"/>
      <c r="I26" s="178"/>
      <c r="P26" s="178"/>
    </row>
    <row r="27" spans="1:17" x14ac:dyDescent="0.25">
      <c r="B27" s="169"/>
      <c r="C27" s="174"/>
      <c r="D27" s="122"/>
      <c r="E27" s="292"/>
      <c r="F27" s="293"/>
      <c r="G27" s="292"/>
      <c r="I27" s="122"/>
      <c r="J27" s="292"/>
    </row>
    <row r="28" spans="1:17" x14ac:dyDescent="0.25">
      <c r="B28" s="169"/>
      <c r="C28" s="294"/>
      <c r="E28" s="122"/>
      <c r="F28" s="295"/>
      <c r="G28" s="295"/>
      <c r="H28" s="295"/>
      <c r="I28" s="178"/>
      <c r="J28" s="178"/>
      <c r="N28" s="296"/>
      <c r="P28" s="178"/>
    </row>
    <row r="29" spans="1:17" x14ac:dyDescent="0.25">
      <c r="B29" s="169"/>
      <c r="C29" s="294"/>
      <c r="E29" s="297"/>
      <c r="F29" s="178"/>
      <c r="G29" s="178"/>
      <c r="H29" s="274"/>
      <c r="I29" s="274"/>
      <c r="J29" s="274"/>
      <c r="N29" s="298"/>
      <c r="O29" s="49"/>
      <c r="P29" s="49"/>
      <c r="Q29" s="49"/>
    </row>
    <row r="30" spans="1:17" x14ac:dyDescent="0.25">
      <c r="E30" s="262"/>
      <c r="F30" s="178"/>
      <c r="G30" s="299"/>
      <c r="H30" s="300"/>
      <c r="I30" s="300"/>
      <c r="J30" s="300"/>
      <c r="N30" s="301"/>
      <c r="O30" s="174"/>
      <c r="P30" s="174"/>
      <c r="Q30" s="174"/>
    </row>
    <row r="31" spans="1:17" x14ac:dyDescent="0.25">
      <c r="F31" s="274"/>
      <c r="G31" s="300"/>
      <c r="H31" s="277"/>
      <c r="I31" s="277"/>
      <c r="J31" s="277"/>
      <c r="K31" s="302"/>
      <c r="M31" s="49"/>
      <c r="N31" s="174"/>
      <c r="O31" s="87"/>
      <c r="P31" s="87"/>
      <c r="Q31" s="87"/>
    </row>
    <row r="32" spans="1:17" x14ac:dyDescent="0.25">
      <c r="F32" s="274"/>
      <c r="G32" s="300"/>
      <c r="H32" s="277"/>
      <c r="I32" s="277"/>
      <c r="J32" s="277"/>
      <c r="K32" s="302"/>
      <c r="M32" s="49"/>
      <c r="N32" s="174"/>
      <c r="O32" s="87"/>
      <c r="P32" s="87"/>
      <c r="Q32" s="87"/>
    </row>
    <row r="33" spans="2:17" x14ac:dyDescent="0.25">
      <c r="D33" s="49"/>
      <c r="E33" s="152"/>
      <c r="F33" s="274"/>
      <c r="G33" s="300"/>
      <c r="H33" s="277"/>
      <c r="I33" s="277"/>
      <c r="J33" s="277"/>
      <c r="K33" s="302"/>
      <c r="L33" s="152"/>
      <c r="M33" s="49"/>
      <c r="N33" s="174"/>
      <c r="O33" s="87"/>
      <c r="P33" s="87"/>
      <c r="Q33" s="87"/>
    </row>
    <row r="34" spans="2:17" x14ac:dyDescent="0.25">
      <c r="D34" s="49"/>
      <c r="E34" s="262"/>
      <c r="F34" s="274"/>
      <c r="G34" s="300"/>
      <c r="H34" s="277"/>
      <c r="I34" s="277"/>
      <c r="J34" s="277"/>
      <c r="K34" s="296"/>
      <c r="M34" s="49"/>
      <c r="N34" s="174"/>
      <c r="O34" s="87"/>
      <c r="P34" s="87"/>
      <c r="Q34" s="87"/>
    </row>
    <row r="35" spans="2:17" x14ac:dyDescent="0.25">
      <c r="D35" s="49"/>
      <c r="E35" s="262"/>
      <c r="F35" s="274"/>
      <c r="G35" s="300"/>
      <c r="H35" s="277"/>
      <c r="I35" s="277"/>
      <c r="J35" s="277"/>
      <c r="K35" s="296"/>
      <c r="M35" s="49"/>
      <c r="N35" s="174"/>
      <c r="O35" s="87"/>
      <c r="P35" s="87"/>
      <c r="Q35" s="87"/>
    </row>
    <row r="36" spans="2:17" x14ac:dyDescent="0.25">
      <c r="B36" s="303"/>
      <c r="C36" s="303"/>
      <c r="D36" s="303"/>
      <c r="E36" s="304"/>
      <c r="F36" s="305"/>
      <c r="G36" s="304"/>
    </row>
    <row r="37" spans="2:17" x14ac:dyDescent="0.25">
      <c r="B37" s="122"/>
      <c r="C37" s="122"/>
      <c r="D37" s="122"/>
      <c r="E37" s="122"/>
      <c r="F37" s="293"/>
      <c r="G37" s="293"/>
      <c r="H37" s="293"/>
      <c r="I37" s="178"/>
      <c r="J37" s="178"/>
      <c r="P37" s="178"/>
    </row>
    <row r="38" spans="2:17" x14ac:dyDescent="0.25">
      <c r="F38" s="281"/>
      <c r="G38" s="281"/>
      <c r="H38" s="274"/>
      <c r="I38" s="274"/>
      <c r="J38" s="274"/>
      <c r="M38" s="178"/>
      <c r="O38" s="87"/>
      <c r="P38" s="87"/>
      <c r="Q38" s="87"/>
    </row>
    <row r="39" spans="2:17" x14ac:dyDescent="0.25">
      <c r="E39" s="49"/>
      <c r="F39" s="268"/>
      <c r="G39" s="306"/>
      <c r="H39" s="300"/>
      <c r="I39" s="300"/>
      <c r="J39" s="300"/>
      <c r="L39" s="87"/>
      <c r="M39" s="87"/>
      <c r="N39" s="307"/>
      <c r="O39" s="177"/>
      <c r="P39" s="177"/>
      <c r="Q39" s="177"/>
    </row>
    <row r="40" spans="2:17" x14ac:dyDescent="0.25">
      <c r="E40" s="49"/>
      <c r="F40" s="274"/>
      <c r="G40" s="300"/>
      <c r="H40" s="268"/>
      <c r="I40" s="268"/>
      <c r="J40" s="268"/>
      <c r="K40" s="49"/>
      <c r="M40" s="49"/>
      <c r="N40" s="174"/>
      <c r="O40" s="308"/>
      <c r="P40" s="308"/>
      <c r="Q40" s="308"/>
    </row>
    <row r="41" spans="2:17" x14ac:dyDescent="0.25">
      <c r="D41" s="8"/>
      <c r="E41" s="49"/>
      <c r="F41" s="274"/>
      <c r="G41" s="300"/>
      <c r="H41" s="268"/>
      <c r="I41" s="268"/>
      <c r="J41" s="268"/>
      <c r="K41" s="8"/>
      <c r="L41" s="49"/>
      <c r="M41" s="49"/>
      <c r="N41" s="174"/>
      <c r="O41" s="308"/>
      <c r="P41" s="308"/>
      <c r="Q41" s="308"/>
    </row>
    <row r="42" spans="2:17" x14ac:dyDescent="0.25">
      <c r="D42" s="8"/>
      <c r="E42" s="152"/>
      <c r="F42" s="274"/>
      <c r="G42" s="300"/>
      <c r="H42" s="268"/>
      <c r="I42" s="268"/>
      <c r="J42" s="268"/>
      <c r="K42" s="8"/>
      <c r="L42" s="152"/>
      <c r="M42" s="49"/>
      <c r="N42" s="174"/>
      <c r="O42" s="308"/>
      <c r="P42" s="308"/>
      <c r="Q42" s="308"/>
    </row>
    <row r="43" spans="2:17" x14ac:dyDescent="0.25">
      <c r="D43" s="8"/>
      <c r="E43" s="49"/>
      <c r="F43" s="274"/>
      <c r="G43" s="300"/>
      <c r="H43" s="268"/>
      <c r="I43" s="268"/>
      <c r="J43" s="268"/>
      <c r="K43" s="8"/>
      <c r="L43" s="49"/>
      <c r="M43" s="49"/>
      <c r="N43" s="174"/>
      <c r="O43" s="308"/>
      <c r="P43" s="308"/>
      <c r="Q43" s="308"/>
    </row>
    <row r="44" spans="2:17" x14ac:dyDescent="0.25">
      <c r="D44" s="8"/>
      <c r="E44" s="8"/>
      <c r="F44" s="274"/>
      <c r="G44" s="300"/>
      <c r="H44" s="268"/>
      <c r="I44" s="268"/>
      <c r="J44" s="268"/>
      <c r="K44" s="8"/>
      <c r="L44" s="49"/>
      <c r="M44" s="49"/>
      <c r="N44" s="174"/>
      <c r="O44" s="308"/>
      <c r="P44" s="308"/>
      <c r="Q44" s="308"/>
    </row>
    <row r="45" spans="2:17" x14ac:dyDescent="0.25">
      <c r="D45" s="8"/>
      <c r="E45" s="8"/>
      <c r="F45" s="87"/>
      <c r="G45" s="87"/>
      <c r="H45" s="87"/>
      <c r="J45" s="8"/>
      <c r="K45" s="8"/>
      <c r="L45" s="49"/>
      <c r="M45" s="49"/>
      <c r="N45" s="49"/>
    </row>
  </sheetData>
  <pageMargins left="0.7" right="0.7" top="0.75" bottom="0.75" header="0.3" footer="0.3"/>
  <pageSetup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EF967-9893-4C24-9902-E3B112D5E747}">
  <sheetPr codeName="Sheet15"/>
  <dimension ref="A1:Q45"/>
  <sheetViews>
    <sheetView showGridLines="0" zoomScaleNormal="100" workbookViewId="0"/>
  </sheetViews>
  <sheetFormatPr defaultColWidth="9.140625" defaultRowHeight="15" x14ac:dyDescent="0.25"/>
  <cols>
    <col min="1" max="1" width="2.140625" style="4" bestFit="1" customWidth="1"/>
    <col min="2" max="2" width="22.7109375" style="4" bestFit="1" customWidth="1"/>
    <col min="3" max="3" width="14.42578125" style="4" bestFit="1" customWidth="1"/>
    <col min="4" max="4" width="12.42578125" style="4" customWidth="1"/>
    <col min="5" max="5" width="12.140625" style="4" bestFit="1" customWidth="1"/>
    <col min="6" max="6" width="11.28515625" style="4" customWidth="1"/>
    <col min="7" max="7" width="12.140625" style="4" customWidth="1"/>
    <col min="8" max="8" width="12.140625" style="4" bestFit="1" customWidth="1"/>
    <col min="9" max="9" width="12.28515625" style="4" bestFit="1" customWidth="1"/>
    <col min="10" max="10" width="12.140625" style="4" bestFit="1" customWidth="1"/>
    <col min="11" max="11" width="10.42578125" style="4" bestFit="1" customWidth="1"/>
    <col min="12" max="12" width="12" style="4" customWidth="1"/>
    <col min="13" max="13" width="10.42578125" style="4" bestFit="1" customWidth="1"/>
    <col min="14" max="17" width="11.42578125" style="4" bestFit="1" customWidth="1"/>
    <col min="18" max="16384" width="9.140625" style="4"/>
  </cols>
  <sheetData>
    <row r="1" spans="1:17" ht="19.5" x14ac:dyDescent="0.3">
      <c r="A1" s="317" t="str">
        <f>CoName</f>
        <v>Berkshire Hathaway Non-Insurance</v>
      </c>
    </row>
    <row r="2" spans="1:17" ht="30" x14ac:dyDescent="0.25">
      <c r="A2" s="4" t="s">
        <v>119</v>
      </c>
      <c r="B2" s="243"/>
      <c r="C2" s="242" t="s">
        <v>174</v>
      </c>
      <c r="D2" s="242" t="s">
        <v>168</v>
      </c>
      <c r="E2" s="242" t="s">
        <v>175</v>
      </c>
      <c r="F2" s="242" t="s">
        <v>169</v>
      </c>
      <c r="G2" s="242" t="s">
        <v>172</v>
      </c>
      <c r="H2" s="244" t="s">
        <v>178</v>
      </c>
      <c r="I2" s="244" t="s">
        <v>173</v>
      </c>
      <c r="J2" s="244" t="s">
        <v>176</v>
      </c>
      <c r="K2" s="244" t="s">
        <v>177</v>
      </c>
      <c r="L2" s="244" t="s">
        <v>179</v>
      </c>
      <c r="M2" s="244" t="s">
        <v>180</v>
      </c>
      <c r="N2" s="244" t="s">
        <v>181</v>
      </c>
    </row>
    <row r="3" spans="1:17" x14ac:dyDescent="0.25">
      <c r="A3" s="29"/>
      <c r="D3" s="245"/>
      <c r="E3" s="208"/>
      <c r="F3" s="87"/>
      <c r="G3" s="87"/>
      <c r="H3" s="87"/>
      <c r="I3" s="87"/>
      <c r="J3" s="87"/>
      <c r="K3" s="87"/>
      <c r="L3" s="87"/>
      <c r="M3" s="251"/>
    </row>
    <row r="4" spans="1:17" x14ac:dyDescent="0.25">
      <c r="A4" s="29"/>
      <c r="D4" s="245"/>
      <c r="E4" s="208"/>
      <c r="F4" s="87"/>
      <c r="G4" s="87"/>
      <c r="H4" s="87"/>
      <c r="I4" s="87"/>
      <c r="J4" s="87"/>
      <c r="K4" s="87"/>
      <c r="L4" s="87"/>
      <c r="M4" s="251"/>
    </row>
    <row r="5" spans="1:17" x14ac:dyDescent="0.25">
      <c r="A5" s="29"/>
      <c r="D5" s="245"/>
      <c r="E5" s="208"/>
      <c r="F5" s="87"/>
      <c r="G5" s="87"/>
      <c r="H5" s="87"/>
      <c r="I5" s="87"/>
      <c r="J5" s="87"/>
      <c r="K5" s="87"/>
      <c r="L5" s="87"/>
      <c r="M5" s="251"/>
    </row>
    <row r="6" spans="1:17" x14ac:dyDescent="0.25">
      <c r="A6" s="29"/>
      <c r="D6" s="245"/>
      <c r="E6" s="208"/>
      <c r="F6" s="87"/>
      <c r="G6" s="87"/>
      <c r="H6" s="87"/>
      <c r="I6" s="87"/>
      <c r="J6" s="87"/>
      <c r="K6" s="87"/>
      <c r="L6" s="87"/>
      <c r="M6" s="251"/>
    </row>
    <row r="7" spans="1:17" x14ac:dyDescent="0.25">
      <c r="A7" s="29"/>
      <c r="D7" s="245"/>
      <c r="E7" s="208"/>
      <c r="F7" s="87"/>
      <c r="G7" s="87"/>
      <c r="H7" s="87"/>
      <c r="I7" s="255"/>
      <c r="J7" s="255"/>
      <c r="K7" s="255"/>
      <c r="L7" s="255"/>
      <c r="M7" s="252"/>
    </row>
    <row r="8" spans="1:17" x14ac:dyDescent="0.25">
      <c r="A8" s="29" t="s">
        <v>119</v>
      </c>
      <c r="B8" s="239" t="s">
        <v>170</v>
      </c>
      <c r="C8" s="239"/>
      <c r="D8" s="246"/>
      <c r="E8" s="248"/>
      <c r="F8" s="257"/>
      <c r="G8" s="257"/>
      <c r="H8" s="257"/>
      <c r="I8" s="258"/>
      <c r="J8" s="258"/>
      <c r="K8" s="258"/>
      <c r="L8" s="258"/>
      <c r="M8" s="259"/>
    </row>
    <row r="9" spans="1:17" x14ac:dyDescent="0.25">
      <c r="B9" s="68"/>
      <c r="C9" s="238"/>
      <c r="D9" s="247"/>
      <c r="E9" s="209"/>
      <c r="F9" s="238"/>
      <c r="G9" s="68"/>
      <c r="H9" s="68"/>
      <c r="I9" s="68"/>
      <c r="J9" s="68"/>
      <c r="K9" s="68"/>
      <c r="L9" s="68"/>
      <c r="M9" s="68"/>
    </row>
    <row r="10" spans="1:17" x14ac:dyDescent="0.25">
      <c r="A10" s="4" t="s">
        <v>119</v>
      </c>
      <c r="B10" s="11" t="s">
        <v>188</v>
      </c>
      <c r="C10" s="87"/>
      <c r="D10" s="245"/>
      <c r="E10" s="208"/>
      <c r="F10" s="87"/>
      <c r="G10" s="87"/>
      <c r="H10" s="87"/>
      <c r="I10" s="87"/>
      <c r="J10" s="87"/>
      <c r="K10" s="87"/>
      <c r="L10" s="87"/>
      <c r="M10" s="87"/>
      <c r="N10" s="177"/>
      <c r="O10" s="177"/>
      <c r="P10" s="177"/>
      <c r="Q10" s="177"/>
    </row>
    <row r="11" spans="1:17" x14ac:dyDescent="0.25">
      <c r="A11" s="65"/>
      <c r="B11" s="239" t="s">
        <v>171</v>
      </c>
      <c r="C11" s="239"/>
      <c r="D11" s="249"/>
      <c r="E11" s="249"/>
      <c r="F11" s="249"/>
      <c r="G11" s="249"/>
      <c r="H11" s="249"/>
      <c r="I11" s="256"/>
      <c r="J11" s="256"/>
      <c r="K11" s="256"/>
      <c r="L11" s="256"/>
      <c r="M11" s="250"/>
      <c r="N11" s="261"/>
    </row>
    <row r="12" spans="1:17" x14ac:dyDescent="0.25">
      <c r="A12" s="152"/>
      <c r="B12" s="240"/>
      <c r="C12" s="241"/>
      <c r="D12" s="241"/>
      <c r="E12" s="241"/>
      <c r="F12" s="241"/>
      <c r="G12" s="68"/>
      <c r="H12" s="68"/>
      <c r="I12" s="68"/>
      <c r="J12" s="68"/>
      <c r="K12" s="68"/>
      <c r="L12" s="68"/>
      <c r="M12" s="68"/>
      <c r="N12" s="260"/>
    </row>
    <row r="13" spans="1:17" x14ac:dyDescent="0.25">
      <c r="B13" s="11"/>
      <c r="C13" s="309"/>
      <c r="D13" s="310"/>
      <c r="E13" s="311"/>
      <c r="F13" s="184"/>
      <c r="G13" s="184"/>
      <c r="H13" s="184"/>
      <c r="I13" s="184"/>
      <c r="J13" s="184"/>
      <c r="K13" s="184"/>
      <c r="L13" s="184"/>
      <c r="M13" s="184"/>
      <c r="N13" s="8"/>
    </row>
    <row r="14" spans="1:17" x14ac:dyDescent="0.25">
      <c r="A14" s="152"/>
      <c r="D14" s="8"/>
      <c r="E14" s="8"/>
      <c r="F14" s="8"/>
      <c r="G14" s="8"/>
      <c r="H14" s="8"/>
      <c r="I14" s="8"/>
      <c r="J14" s="8"/>
      <c r="K14" s="8"/>
      <c r="L14" s="8"/>
      <c r="M14" s="8"/>
      <c r="N14" s="12"/>
    </row>
    <row r="15" spans="1:17" x14ac:dyDescent="0.25">
      <c r="A15" s="152"/>
      <c r="B15" s="152"/>
      <c r="C15" s="152"/>
      <c r="D15" s="152"/>
      <c r="E15" s="152"/>
      <c r="F15" s="152"/>
      <c r="N15" s="8"/>
    </row>
    <row r="16" spans="1:17" x14ac:dyDescent="0.25">
      <c r="B16" s="12"/>
      <c r="C16" s="8"/>
      <c r="D16" s="310"/>
      <c r="E16" s="311"/>
      <c r="F16" s="312"/>
      <c r="G16" s="312"/>
      <c r="H16" s="312"/>
      <c r="I16" s="312"/>
      <c r="J16" s="312"/>
      <c r="K16" s="312"/>
      <c r="L16" s="312"/>
      <c r="M16" s="312"/>
      <c r="N16" s="8"/>
    </row>
    <row r="17" spans="1:14" x14ac:dyDescent="0.25">
      <c r="D17" s="8"/>
      <c r="E17" s="8"/>
      <c r="F17" s="8"/>
      <c r="G17" s="8"/>
      <c r="H17" s="8"/>
      <c r="I17" s="8"/>
      <c r="J17" s="8"/>
      <c r="K17" s="8"/>
      <c r="L17" s="8"/>
      <c r="M17" s="8"/>
      <c r="N17" s="12"/>
    </row>
    <row r="18" spans="1:14" x14ac:dyDescent="0.25">
      <c r="D18" s="178"/>
    </row>
    <row r="20" spans="1:14" x14ac:dyDescent="0.25">
      <c r="D20" s="313"/>
      <c r="E20" s="313"/>
      <c r="F20" s="313"/>
    </row>
    <row r="21" spans="1:14" x14ac:dyDescent="0.25">
      <c r="C21" s="313"/>
      <c r="E21" s="313"/>
    </row>
    <row r="22" spans="1:14" x14ac:dyDescent="0.25">
      <c r="C22" s="313"/>
      <c r="D22" s="313"/>
      <c r="E22" s="313"/>
      <c r="G22" s="313"/>
    </row>
    <row r="23" spans="1:14" x14ac:dyDescent="0.25">
      <c r="C23" s="313"/>
      <c r="D23" s="313"/>
      <c r="E23" s="313"/>
      <c r="G23" s="313"/>
    </row>
    <row r="24" spans="1:14" x14ac:dyDescent="0.25">
      <c r="C24" s="313"/>
      <c r="D24" s="313"/>
      <c r="E24" s="313"/>
      <c r="G24" s="313"/>
    </row>
    <row r="25" spans="1:14" x14ac:dyDescent="0.25">
      <c r="C25" s="313"/>
      <c r="D25" s="313"/>
      <c r="E25" s="313"/>
      <c r="H25" s="313"/>
    </row>
    <row r="26" spans="1:14" x14ac:dyDescent="0.25">
      <c r="C26" s="313"/>
      <c r="D26" s="313"/>
    </row>
    <row r="28" spans="1:14" x14ac:dyDescent="0.25">
      <c r="A28" s="32"/>
      <c r="D28" s="313"/>
    </row>
    <row r="29" spans="1:14" x14ac:dyDescent="0.25">
      <c r="C29" s="314"/>
      <c r="D29" s="314"/>
    </row>
    <row r="30" spans="1:14" x14ac:dyDescent="0.25">
      <c r="C30" s="314"/>
      <c r="D30" s="314"/>
    </row>
    <row r="31" spans="1:14" x14ac:dyDescent="0.25">
      <c r="C31" s="314"/>
      <c r="D31" s="314"/>
    </row>
    <row r="32" spans="1:14" x14ac:dyDescent="0.25">
      <c r="C32" s="314"/>
      <c r="D32" s="314"/>
    </row>
    <row r="33" spans="2:7" x14ac:dyDescent="0.25">
      <c r="C33" s="314"/>
      <c r="D33" s="314"/>
    </row>
    <row r="34" spans="2:7" x14ac:dyDescent="0.25">
      <c r="C34" s="314"/>
      <c r="D34" s="314"/>
      <c r="E34" s="314"/>
    </row>
    <row r="36" spans="2:7" x14ac:dyDescent="0.25">
      <c r="B36" s="11"/>
    </row>
    <row r="45" spans="2:7" x14ac:dyDescent="0.25">
      <c r="G45" s="263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7B6C6-A523-4E35-8D77-94DE15CE59A2}">
  <sheetPr codeName="Sheet16"/>
  <dimension ref="A1:R58"/>
  <sheetViews>
    <sheetView showGridLines="0" zoomScaleNormal="100" workbookViewId="0"/>
  </sheetViews>
  <sheetFormatPr defaultColWidth="9.140625" defaultRowHeight="15" x14ac:dyDescent="0.25"/>
  <cols>
    <col min="1" max="1" width="3.42578125" style="4" customWidth="1"/>
    <col min="2" max="2" width="9.140625" style="4"/>
    <col min="3" max="3" width="12.140625" style="4" customWidth="1"/>
    <col min="4" max="4" width="12.28515625" style="4" bestFit="1" customWidth="1"/>
    <col min="5" max="5" width="9.140625" style="4"/>
    <col min="6" max="10" width="12.42578125" style="4" customWidth="1"/>
    <col min="11" max="11" width="22.42578125" style="4" customWidth="1"/>
    <col min="12" max="12" width="13.28515625" style="4" customWidth="1"/>
    <col min="13" max="13" width="12.42578125" style="4" customWidth="1"/>
    <col min="14" max="14" width="12.28515625" style="4" bestFit="1" customWidth="1"/>
    <col min="15" max="15" width="11" style="4" bestFit="1" customWidth="1"/>
    <col min="16" max="18" width="12.42578125" style="4" customWidth="1"/>
    <col min="19" max="16384" width="9.140625" style="4"/>
  </cols>
  <sheetData>
    <row r="1" spans="1:18" ht="19.5" x14ac:dyDescent="0.3">
      <c r="A1" s="317" t="str">
        <f>CoName</f>
        <v>Berkshire Hathaway Non-Insurance</v>
      </c>
    </row>
    <row r="2" spans="1:18" x14ac:dyDescent="0.25">
      <c r="A2" s="11" t="s">
        <v>182</v>
      </c>
    </row>
    <row r="3" spans="1:18" x14ac:dyDescent="0.25">
      <c r="A3" s="109" t="s">
        <v>183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</row>
    <row r="4" spans="1:18" x14ac:dyDescent="0.25">
      <c r="A4" s="169"/>
      <c r="F4" s="254"/>
    </row>
    <row r="5" spans="1:18" x14ac:dyDescent="0.25">
      <c r="F5" s="265"/>
    </row>
    <row r="6" spans="1:18" ht="11.85" customHeight="1" x14ac:dyDescent="0.25">
      <c r="A6" s="169"/>
    </row>
    <row r="7" spans="1:18" x14ac:dyDescent="0.25">
      <c r="K7" s="269"/>
      <c r="L7" s="270"/>
      <c r="M7" s="270"/>
      <c r="N7" s="270"/>
    </row>
    <row r="8" spans="1:18" x14ac:dyDescent="0.25">
      <c r="B8" s="181"/>
      <c r="C8" s="181"/>
      <c r="D8" s="181"/>
      <c r="E8" s="181"/>
      <c r="F8" s="181"/>
      <c r="G8" s="181"/>
      <c r="H8" s="181"/>
      <c r="I8" s="181"/>
      <c r="J8" s="181"/>
      <c r="L8" s="271"/>
      <c r="M8" s="268"/>
      <c r="P8" s="169"/>
      <c r="Q8" s="169"/>
      <c r="R8" s="169"/>
    </row>
    <row r="9" spans="1:18" x14ac:dyDescent="0.25">
      <c r="B9" s="88"/>
      <c r="C9" s="88"/>
      <c r="D9" s="88"/>
      <c r="E9" s="88"/>
      <c r="F9" s="88"/>
      <c r="G9" s="88"/>
      <c r="H9" s="88"/>
      <c r="I9" s="88"/>
      <c r="J9" s="88"/>
      <c r="L9" s="271"/>
      <c r="M9" s="268"/>
      <c r="R9" s="8"/>
    </row>
    <row r="10" spans="1:18" x14ac:dyDescent="0.25">
      <c r="B10" s="163"/>
      <c r="C10" s="163"/>
      <c r="D10" s="163"/>
      <c r="E10" s="163"/>
      <c r="F10" s="163"/>
      <c r="G10" s="163"/>
      <c r="H10" s="163"/>
      <c r="I10" s="163"/>
      <c r="J10" s="163"/>
      <c r="L10" s="271"/>
      <c r="M10" s="268"/>
      <c r="R10" s="8"/>
    </row>
    <row r="11" spans="1:18" x14ac:dyDescent="0.25">
      <c r="L11" s="271"/>
      <c r="M11" s="268"/>
    </row>
    <row r="12" spans="1:18" x14ac:dyDescent="0.25">
      <c r="L12" s="271"/>
      <c r="M12" s="268"/>
      <c r="R12" s="8"/>
    </row>
    <row r="13" spans="1:18" x14ac:dyDescent="0.25">
      <c r="L13" s="271"/>
      <c r="M13" s="268"/>
      <c r="R13" s="8"/>
    </row>
    <row r="14" spans="1:18" x14ac:dyDescent="0.25">
      <c r="L14" s="11"/>
      <c r="N14" s="11"/>
      <c r="R14" s="8"/>
    </row>
    <row r="15" spans="1:18" x14ac:dyDescent="0.25">
      <c r="N15" s="11"/>
      <c r="R15" s="8"/>
    </row>
    <row r="16" spans="1:18" x14ac:dyDescent="0.25">
      <c r="N16" s="272"/>
      <c r="P16" s="169"/>
      <c r="Q16" s="169"/>
      <c r="R16" s="163"/>
    </row>
    <row r="17" spans="1:18" x14ac:dyDescent="0.25">
      <c r="P17" s="169"/>
      <c r="Q17" s="169"/>
      <c r="R17" s="174"/>
    </row>
    <row r="20" spans="1:18" x14ac:dyDescent="0.25">
      <c r="A20" s="169"/>
    </row>
    <row r="21" spans="1:18" x14ac:dyDescent="0.25">
      <c r="A21" s="109" t="s">
        <v>185</v>
      </c>
      <c r="B21" s="266"/>
      <c r="C21" s="266"/>
      <c r="D21" s="266"/>
      <c r="E21" s="266"/>
      <c r="F21" s="266"/>
      <c r="G21" s="266"/>
      <c r="H21" s="266"/>
      <c r="I21" s="266"/>
      <c r="J21" s="266"/>
      <c r="K21" s="266"/>
      <c r="L21" s="266"/>
      <c r="M21" s="266"/>
      <c r="N21" s="266"/>
      <c r="O21" s="266"/>
      <c r="P21" s="266"/>
    </row>
    <row r="22" spans="1:18" x14ac:dyDescent="0.25">
      <c r="B22" s="178"/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  <c r="N22" s="178"/>
      <c r="O22" s="178"/>
      <c r="P22" s="178"/>
      <c r="R22" s="182"/>
    </row>
    <row r="23" spans="1:18" x14ac:dyDescent="0.25">
      <c r="B23" s="178"/>
      <c r="C23" s="273"/>
      <c r="D23" s="273"/>
      <c r="E23" s="178"/>
      <c r="F23" s="273"/>
      <c r="G23" s="178"/>
      <c r="H23" s="178"/>
      <c r="I23" s="178"/>
      <c r="J23" s="178"/>
      <c r="K23" s="178"/>
      <c r="L23" s="178"/>
      <c r="M23" s="178"/>
      <c r="N23" s="178"/>
      <c r="O23" s="178"/>
      <c r="P23" s="178"/>
    </row>
    <row r="24" spans="1:18" x14ac:dyDescent="0.25">
      <c r="B24" s="178"/>
      <c r="C24" s="273"/>
      <c r="D24" s="273"/>
      <c r="E24" s="273"/>
      <c r="F24" s="178"/>
      <c r="G24" s="273"/>
      <c r="H24" s="273"/>
      <c r="I24" s="178"/>
      <c r="J24" s="178"/>
      <c r="K24" s="178"/>
      <c r="L24" s="178"/>
      <c r="M24" s="178"/>
      <c r="N24" s="178"/>
      <c r="O24" s="178"/>
      <c r="P24" s="178"/>
      <c r="R24" s="87"/>
    </row>
    <row r="25" spans="1:18" x14ac:dyDescent="0.25">
      <c r="B25" s="178"/>
      <c r="C25" s="273"/>
      <c r="D25" s="274"/>
      <c r="E25" s="274"/>
      <c r="F25" s="274"/>
      <c r="G25" s="178"/>
      <c r="H25" s="178"/>
      <c r="I25" s="178"/>
      <c r="J25" s="178"/>
      <c r="K25" s="178"/>
      <c r="L25" s="152"/>
      <c r="M25" s="178"/>
      <c r="N25" s="178"/>
      <c r="O25" s="178"/>
      <c r="P25" s="178"/>
      <c r="R25" s="87"/>
    </row>
    <row r="26" spans="1:18" x14ac:dyDescent="0.25">
      <c r="B26" s="178"/>
      <c r="C26" s="275"/>
      <c r="D26" s="178"/>
      <c r="E26" s="178"/>
      <c r="F26" s="274"/>
      <c r="G26" s="274"/>
      <c r="H26" s="274"/>
      <c r="I26" s="178"/>
      <c r="J26" s="178"/>
      <c r="K26" s="178"/>
      <c r="L26" s="152"/>
      <c r="M26" s="268"/>
      <c r="N26" s="268"/>
      <c r="O26" s="268"/>
      <c r="P26" s="178"/>
      <c r="R26" s="87"/>
    </row>
    <row r="27" spans="1:18" x14ac:dyDescent="0.25">
      <c r="B27" s="178"/>
      <c r="C27" s="178"/>
      <c r="D27" s="178"/>
      <c r="E27" s="276"/>
      <c r="F27" s="277"/>
      <c r="G27" s="277"/>
      <c r="H27" s="277"/>
      <c r="I27" s="274"/>
      <c r="J27" s="178"/>
      <c r="K27" s="178"/>
      <c r="L27" s="276"/>
      <c r="M27" s="277"/>
      <c r="N27" s="277"/>
      <c r="O27" s="277"/>
      <c r="P27" s="178"/>
    </row>
    <row r="28" spans="1:18" x14ac:dyDescent="0.25">
      <c r="B28" s="178"/>
      <c r="C28" s="178"/>
      <c r="D28" s="178"/>
      <c r="E28" s="276"/>
      <c r="F28" s="277"/>
      <c r="G28" s="277"/>
      <c r="H28" s="277"/>
      <c r="I28" s="274"/>
      <c r="J28" s="178"/>
      <c r="K28" s="178"/>
      <c r="L28" s="276"/>
      <c r="M28" s="277"/>
      <c r="N28" s="277"/>
      <c r="O28" s="277"/>
      <c r="P28" s="178"/>
      <c r="R28" s="182"/>
    </row>
    <row r="29" spans="1:18" x14ac:dyDescent="0.25">
      <c r="B29" s="178"/>
      <c r="C29" s="178"/>
      <c r="D29" s="178"/>
      <c r="E29" s="276"/>
      <c r="F29" s="277"/>
      <c r="G29" s="277"/>
      <c r="H29" s="277"/>
      <c r="I29" s="274"/>
      <c r="J29" s="178"/>
      <c r="K29" s="178"/>
      <c r="L29" s="276"/>
      <c r="M29" s="277"/>
      <c r="N29" s="277"/>
      <c r="O29" s="277"/>
      <c r="P29" s="178"/>
    </row>
    <row r="30" spans="1:18" x14ac:dyDescent="0.25">
      <c r="B30" s="178"/>
      <c r="C30" s="274"/>
      <c r="D30" s="178"/>
      <c r="E30" s="276"/>
      <c r="F30" s="277"/>
      <c r="G30" s="277"/>
      <c r="H30" s="277"/>
      <c r="I30" s="274"/>
      <c r="J30" s="178"/>
      <c r="K30" s="178"/>
      <c r="L30" s="276"/>
      <c r="M30" s="277"/>
      <c r="N30" s="277"/>
      <c r="O30" s="277"/>
      <c r="P30" s="178"/>
      <c r="R30" s="87"/>
    </row>
    <row r="31" spans="1:18" x14ac:dyDescent="0.25">
      <c r="B31" s="178"/>
      <c r="C31" s="274"/>
      <c r="D31" s="178"/>
      <c r="E31" s="276"/>
      <c r="F31" s="277"/>
      <c r="G31" s="277"/>
      <c r="H31" s="277"/>
      <c r="I31" s="274"/>
      <c r="J31" s="178"/>
      <c r="K31" s="178"/>
      <c r="L31" s="276"/>
      <c r="M31" s="277"/>
      <c r="N31" s="277"/>
      <c r="O31" s="277"/>
      <c r="P31" s="178"/>
      <c r="R31" s="87"/>
    </row>
    <row r="32" spans="1:18" x14ac:dyDescent="0.25">
      <c r="B32" s="178"/>
      <c r="C32" s="278"/>
      <c r="D32" s="178"/>
      <c r="E32" s="279"/>
      <c r="F32" s="178"/>
      <c r="G32" s="178"/>
      <c r="H32" s="178"/>
      <c r="I32" s="178"/>
      <c r="J32" s="178"/>
      <c r="K32" s="178"/>
      <c r="P32" s="178"/>
      <c r="R32" s="87"/>
    </row>
    <row r="33" spans="1:18" x14ac:dyDescent="0.25">
      <c r="B33" s="178"/>
      <c r="C33" s="273"/>
      <c r="D33" s="178"/>
      <c r="E33" s="280"/>
      <c r="F33" s="273"/>
      <c r="G33" s="178"/>
      <c r="H33" s="178"/>
      <c r="I33" s="178"/>
      <c r="J33" s="178"/>
      <c r="K33" s="178"/>
      <c r="L33" s="274"/>
      <c r="M33" s="178"/>
      <c r="N33" s="178"/>
      <c r="O33" s="178"/>
      <c r="P33" s="178"/>
      <c r="R33" s="87"/>
    </row>
    <row r="34" spans="1:18" x14ac:dyDescent="0.25">
      <c r="B34" s="178"/>
      <c r="C34" s="178"/>
      <c r="D34" s="178"/>
      <c r="E34" s="180"/>
      <c r="F34" s="274"/>
      <c r="G34" s="274"/>
      <c r="H34" s="274"/>
      <c r="I34" s="178"/>
      <c r="J34" s="178"/>
      <c r="K34" s="178"/>
      <c r="L34" s="178"/>
      <c r="M34" s="274"/>
      <c r="N34" s="274"/>
      <c r="O34" s="274"/>
      <c r="P34" s="178"/>
    </row>
    <row r="35" spans="1:18" x14ac:dyDescent="0.25">
      <c r="B35" s="178"/>
      <c r="C35" s="274"/>
      <c r="D35" s="178"/>
      <c r="E35" s="276"/>
      <c r="F35" s="268"/>
      <c r="G35" s="268"/>
      <c r="H35" s="268"/>
      <c r="I35" s="274"/>
      <c r="J35" s="178"/>
      <c r="K35" s="178"/>
      <c r="L35" s="276"/>
      <c r="M35" s="268"/>
      <c r="N35" s="268"/>
      <c r="O35" s="268"/>
      <c r="P35" s="178"/>
    </row>
    <row r="36" spans="1:18" x14ac:dyDescent="0.25">
      <c r="A36" s="169"/>
      <c r="B36" s="178"/>
      <c r="C36" s="274"/>
      <c r="D36" s="178"/>
      <c r="E36" s="276"/>
      <c r="F36" s="268"/>
      <c r="G36" s="268"/>
      <c r="H36" s="268"/>
      <c r="I36" s="281"/>
      <c r="J36" s="274"/>
      <c r="K36" s="178"/>
      <c r="L36" s="276"/>
      <c r="M36" s="268"/>
      <c r="N36" s="268"/>
      <c r="O36" s="268"/>
      <c r="P36" s="178"/>
    </row>
    <row r="37" spans="1:18" x14ac:dyDescent="0.25">
      <c r="B37" s="178"/>
      <c r="C37" s="178"/>
      <c r="D37" s="178"/>
      <c r="E37" s="276"/>
      <c r="F37" s="268"/>
      <c r="G37" s="268"/>
      <c r="H37" s="268"/>
      <c r="I37" s="281"/>
      <c r="J37" s="178"/>
      <c r="K37" s="178"/>
      <c r="L37" s="276"/>
      <c r="M37" s="268"/>
      <c r="N37" s="268"/>
      <c r="O37" s="268"/>
      <c r="P37" s="178"/>
    </row>
    <row r="38" spans="1:18" x14ac:dyDescent="0.25">
      <c r="A38" s="179"/>
      <c r="B38" s="178"/>
      <c r="C38" s="274"/>
      <c r="D38" s="178"/>
      <c r="E38" s="276"/>
      <c r="F38" s="268"/>
      <c r="G38" s="268"/>
      <c r="H38" s="268"/>
      <c r="I38" s="281"/>
      <c r="J38" s="274"/>
      <c r="K38" s="178"/>
      <c r="L38" s="276"/>
      <c r="M38" s="268"/>
      <c r="N38" s="268"/>
      <c r="O38" s="268"/>
      <c r="P38" s="178"/>
    </row>
    <row r="39" spans="1:18" x14ac:dyDescent="0.25">
      <c r="B39" s="282"/>
      <c r="C39" s="281"/>
      <c r="D39" s="178"/>
      <c r="E39" s="276"/>
      <c r="F39" s="268"/>
      <c r="G39" s="268"/>
      <c r="H39" s="268"/>
      <c r="I39" s="281"/>
      <c r="J39" s="274"/>
      <c r="K39" s="178"/>
      <c r="L39" s="276"/>
      <c r="M39" s="268"/>
      <c r="N39" s="268"/>
      <c r="O39" s="268"/>
      <c r="P39" s="178"/>
    </row>
    <row r="41" spans="1:18" x14ac:dyDescent="0.25">
      <c r="A41" s="109" t="s">
        <v>186</v>
      </c>
      <c r="B41" s="266"/>
      <c r="C41" s="266"/>
      <c r="D41" s="266"/>
      <c r="E41" s="266"/>
      <c r="F41" s="266"/>
      <c r="G41" s="266"/>
      <c r="H41" s="266"/>
      <c r="I41" s="266"/>
      <c r="J41" s="266"/>
      <c r="K41" s="266"/>
      <c r="L41" s="266"/>
      <c r="M41" s="266"/>
      <c r="N41" s="266"/>
      <c r="O41" s="266"/>
      <c r="P41" s="266"/>
      <c r="Q41" s="49"/>
      <c r="R41" s="49"/>
    </row>
    <row r="42" spans="1:18" x14ac:dyDescent="0.25">
      <c r="E42" s="8"/>
      <c r="F42" s="264"/>
      <c r="G42" s="264"/>
      <c r="H42" s="264"/>
      <c r="I42" s="183"/>
      <c r="J42" s="183"/>
      <c r="K42" s="183"/>
      <c r="P42" s="87"/>
      <c r="Q42" s="184"/>
      <c r="R42" s="87"/>
    </row>
    <row r="43" spans="1:18" x14ac:dyDescent="0.25">
      <c r="E43" s="8"/>
      <c r="F43" s="264"/>
      <c r="G43" s="264"/>
      <c r="H43" s="264"/>
      <c r="I43" s="183"/>
      <c r="J43" s="183"/>
      <c r="K43" s="183"/>
      <c r="P43" s="87"/>
      <c r="Q43" s="184"/>
      <c r="R43" s="87"/>
    </row>
    <row r="44" spans="1:18" x14ac:dyDescent="0.25">
      <c r="D44" s="178"/>
      <c r="E44" s="8"/>
      <c r="F44" s="183"/>
      <c r="G44" s="183"/>
      <c r="H44" s="183"/>
      <c r="I44" s="183"/>
      <c r="J44" s="183"/>
      <c r="K44" s="183"/>
      <c r="P44" s="184"/>
      <c r="Q44" s="184"/>
      <c r="R44" s="184"/>
    </row>
    <row r="45" spans="1:18" x14ac:dyDescent="0.25">
      <c r="E45" s="8"/>
      <c r="F45" s="264"/>
      <c r="G45" s="264"/>
      <c r="H45" s="264"/>
      <c r="I45" s="183"/>
      <c r="J45" s="183"/>
      <c r="K45" s="183"/>
      <c r="P45" s="87"/>
      <c r="Q45" s="184"/>
      <c r="R45" s="87"/>
    </row>
    <row r="46" spans="1:18" x14ac:dyDescent="0.25">
      <c r="E46" s="8"/>
      <c r="F46" s="264"/>
      <c r="G46" s="264"/>
      <c r="H46" s="264"/>
      <c r="I46" s="183"/>
      <c r="J46" s="183"/>
      <c r="K46" s="183"/>
      <c r="P46" s="87"/>
      <c r="Q46" s="184"/>
      <c r="R46" s="87"/>
    </row>
    <row r="48" spans="1:18" x14ac:dyDescent="0.25">
      <c r="A48" s="179"/>
    </row>
    <row r="49" spans="2:18" x14ac:dyDescent="0.25">
      <c r="B49" s="185"/>
    </row>
    <row r="51" spans="2:18" x14ac:dyDescent="0.25">
      <c r="I51" s="178"/>
      <c r="J51" s="178"/>
      <c r="K51" s="178"/>
      <c r="Q51" s="178"/>
    </row>
    <row r="52" spans="2:18" x14ac:dyDescent="0.25">
      <c r="F52" s="87"/>
      <c r="G52" s="87"/>
      <c r="H52" s="87"/>
      <c r="I52" s="87"/>
      <c r="J52" s="87"/>
      <c r="K52" s="87"/>
      <c r="L52" s="87"/>
      <c r="P52" s="87"/>
      <c r="Q52" s="87"/>
      <c r="R52" s="87"/>
    </row>
    <row r="53" spans="2:18" x14ac:dyDescent="0.25">
      <c r="E53" s="8"/>
      <c r="F53" s="148"/>
      <c r="G53" s="148"/>
      <c r="H53" s="148"/>
      <c r="I53" s="186"/>
      <c r="J53" s="186"/>
      <c r="K53" s="186"/>
      <c r="L53" s="148"/>
      <c r="O53" s="49"/>
      <c r="P53" s="49"/>
      <c r="Q53" s="187"/>
      <c r="R53" s="49"/>
    </row>
    <row r="54" spans="2:18" x14ac:dyDescent="0.25">
      <c r="E54" s="8"/>
      <c r="F54" s="148"/>
      <c r="G54" s="148"/>
      <c r="H54" s="148"/>
      <c r="I54" s="186"/>
      <c r="J54" s="186"/>
      <c r="K54" s="186"/>
      <c r="L54" s="148"/>
      <c r="O54" s="49"/>
      <c r="P54" s="49"/>
      <c r="Q54" s="187"/>
      <c r="R54" s="49"/>
    </row>
    <row r="55" spans="2:18" x14ac:dyDescent="0.25">
      <c r="E55" s="8"/>
      <c r="F55" s="186"/>
      <c r="G55" s="186"/>
      <c r="H55" s="186"/>
      <c r="I55" s="186"/>
      <c r="J55" s="186"/>
      <c r="K55" s="186"/>
      <c r="L55" s="186"/>
      <c r="O55" s="49"/>
      <c r="P55" s="187"/>
      <c r="Q55" s="187"/>
      <c r="R55" s="187"/>
    </row>
    <row r="56" spans="2:18" x14ac:dyDescent="0.25">
      <c r="E56" s="8"/>
      <c r="F56" s="148"/>
      <c r="G56" s="148"/>
      <c r="H56" s="148"/>
      <c r="I56" s="186"/>
      <c r="J56" s="186"/>
      <c r="K56" s="186"/>
      <c r="L56" s="148"/>
      <c r="O56" s="49"/>
      <c r="P56" s="49"/>
      <c r="Q56" s="187"/>
      <c r="R56" s="49"/>
    </row>
    <row r="57" spans="2:18" x14ac:dyDescent="0.25">
      <c r="E57" s="8"/>
      <c r="F57" s="148"/>
      <c r="G57" s="148"/>
      <c r="H57" s="148"/>
      <c r="I57" s="186"/>
      <c r="J57" s="186"/>
      <c r="K57" s="186"/>
      <c r="L57" s="148"/>
      <c r="O57" s="49"/>
      <c r="P57" s="49"/>
      <c r="Q57" s="187"/>
      <c r="R57" s="49"/>
    </row>
    <row r="58" spans="2:18" x14ac:dyDescent="0.25">
      <c r="O58" s="49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8a26cf8-717e-46a4-ac0d-03f11284dc6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D67CCE9C46594A83EA9A0A36DAF059" ma:contentTypeVersion="5" ma:contentTypeDescription="Create a new document." ma:contentTypeScope="" ma:versionID="5fd8b8fd27f650b6dd5d0d1126d790d5">
  <xsd:schema xmlns:xsd="http://www.w3.org/2001/XMLSchema" xmlns:xs="http://www.w3.org/2001/XMLSchema" xmlns:p="http://schemas.microsoft.com/office/2006/metadata/properties" xmlns:ns3="88a26cf8-717e-46a4-ac0d-03f11284dc6b" targetNamespace="http://schemas.microsoft.com/office/2006/metadata/properties" ma:root="true" ma:fieldsID="dfdbcf1abf95335456703ce8a00489ec" ns3:_="">
    <xsd:import namespace="88a26cf8-717e-46a4-ac0d-03f11284dc6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a26cf8-717e-46a4-ac0d-03f11284dc6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9B163E-8FD9-4F0C-B1E1-F38F6A6548CE}">
  <ds:schemaRefs>
    <ds:schemaRef ds:uri="88a26cf8-717e-46a4-ac0d-03f11284dc6b"/>
    <ds:schemaRef ds:uri="http://purl.org/dc/terms/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E2CEB71-5BFB-4E6E-B188-5D9054FB6C0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E718D7-04AA-4DF9-97B6-37DAC0AD128C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8a26cf8-717e-46a4-ac0d-03f11284dc6b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MAIN</vt:lpstr>
      <vt:lpstr>Assumptions</vt:lpstr>
      <vt:lpstr>Revenue</vt:lpstr>
      <vt:lpstr>Calcs</vt:lpstr>
      <vt:lpstr>Debt</vt:lpstr>
      <vt:lpstr>IncState</vt:lpstr>
      <vt:lpstr>BalSheet</vt:lpstr>
      <vt:lpstr>CashFlow</vt:lpstr>
      <vt:lpstr>Free Cash Flow</vt:lpstr>
      <vt:lpstr>WACC</vt:lpstr>
      <vt:lpstr>DCF Model</vt:lpstr>
      <vt:lpstr>COMPS</vt:lpstr>
      <vt:lpstr>Presentation</vt:lpstr>
      <vt:lpstr>Ccy</vt:lpstr>
      <vt:lpstr>circ</vt:lpstr>
      <vt:lpstr>CoName</vt:lpstr>
      <vt:lpstr>g</vt:lpstr>
      <vt:lpstr>ScenarioREV</vt:lpstr>
      <vt:lpstr>Units</vt:lpstr>
    </vt:vector>
  </TitlesOfParts>
  <Company>AMT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Chen</dc:creator>
  <dc:description>AMTX-V1/2765</dc:description>
  <cp:lastModifiedBy>Alan Chen</cp:lastModifiedBy>
  <cp:lastPrinted>2017-12-06T12:46:42Z</cp:lastPrinted>
  <dcterms:created xsi:type="dcterms:W3CDTF">2008-02-13T09:24:48Z</dcterms:created>
  <dcterms:modified xsi:type="dcterms:W3CDTF">2025-11-02T20:22:34Z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0x01010001D67CCE9C46594A83EA9A0A36DAF059</vt:lpwstr>
  </property>
  <property fmtid="{D5CDD505-2E9C-101B-9397-08002B2CF9AE}" pid="3" name="MSIP_Label_a73fd474-4f3c-44ed-88fb-5cc4bd2471bf_Enabled">
    <vt:lpwstr>true</vt:lpwstr>
  </property>
  <property fmtid="{D5CDD505-2E9C-101B-9397-08002B2CF9AE}" pid="4" name="MSIP_Label_a73fd474-4f3c-44ed-88fb-5cc4bd2471bf_SetDate">
    <vt:lpwstr>2025-09-20T21:06:41Z</vt:lpwstr>
  </property>
  <property fmtid="{D5CDD505-2E9C-101B-9397-08002B2CF9AE}" pid="5" name="MSIP_Label_a73fd474-4f3c-44ed-88fb-5cc4bd2471bf_Method">
    <vt:lpwstr>Standard</vt:lpwstr>
  </property>
  <property fmtid="{D5CDD505-2E9C-101B-9397-08002B2CF9AE}" pid="6" name="MSIP_Label_a73fd474-4f3c-44ed-88fb-5cc4bd2471bf_Name">
    <vt:lpwstr>defa4170-0d19-0005-0004-bc88714345d2</vt:lpwstr>
  </property>
  <property fmtid="{D5CDD505-2E9C-101B-9397-08002B2CF9AE}" pid="7" name="MSIP_Label_a73fd474-4f3c-44ed-88fb-5cc4bd2471bf_SiteId">
    <vt:lpwstr>8d1a69ec-03b5-4345-ae21-dad112f5fb4f</vt:lpwstr>
  </property>
  <property fmtid="{D5CDD505-2E9C-101B-9397-08002B2CF9AE}" pid="8" name="MSIP_Label_a73fd474-4f3c-44ed-88fb-5cc4bd2471bf_ActionId">
    <vt:lpwstr>ea478097-4d4f-4597-be52-84b7b54bb9e8</vt:lpwstr>
  </property>
  <property fmtid="{D5CDD505-2E9C-101B-9397-08002B2CF9AE}" pid="9" name="MSIP_Label_a73fd474-4f3c-44ed-88fb-5cc4bd2471bf_ContentBits">
    <vt:lpwstr>0</vt:lpwstr>
  </property>
  <property fmtid="{D5CDD505-2E9C-101B-9397-08002B2CF9AE}" pid="10" name="MSIP_Label_a73fd474-4f3c-44ed-88fb-5cc4bd2471bf_Tag">
    <vt:lpwstr>10, 3, 0, 1</vt:lpwstr>
  </property>
</Properties>
</file>