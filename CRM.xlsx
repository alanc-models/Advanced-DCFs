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915" documentId="8_{15C47B48-8965-4702-A002-29063B6B4012}" xr6:coauthVersionLast="47" xr6:coauthVersionMax="47" xr10:uidLastSave="{B6ED9048-77ED-41AA-A183-FF286B36CDE1}"/>
  <bookViews>
    <workbookView xWindow="-120" yWindow="-120" windowWidth="38640" windowHeight="21840" tabRatio="808" xr2:uid="{00000000-000D-0000-FFFF-FFFF00000000}"/>
  </bookViews>
  <sheets>
    <sheet name="MAIN" sheetId="3" r:id="rId1"/>
    <sheet name="Quarter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12" l="1"/>
  <c r="I5" i="3" s="1"/>
  <c r="I6" i="3" s="1"/>
  <c r="R14" i="12"/>
  <c r="R13" i="12"/>
  <c r="R11" i="12"/>
  <c r="R10" i="12"/>
  <c r="R12" i="12"/>
  <c r="U9" i="12"/>
  <c r="S9" i="12"/>
  <c r="N17" i="12"/>
  <c r="J5" i="3" s="1"/>
  <c r="K5" i="3" s="1"/>
  <c r="L14" i="12"/>
  <c r="L13" i="12"/>
  <c r="L10" i="12"/>
  <c r="L11" i="12"/>
  <c r="M9" i="12"/>
  <c r="O9" i="12"/>
  <c r="G17" i="12"/>
  <c r="G14" i="12"/>
  <c r="G13" i="12"/>
  <c r="G12" i="12"/>
  <c r="G13" i="13"/>
  <c r="H13" i="13"/>
  <c r="I13" i="13"/>
  <c r="J13" i="13"/>
  <c r="K13" i="13"/>
  <c r="L13" i="13"/>
  <c r="M13" i="13"/>
  <c r="F13" i="13"/>
  <c r="C17" i="12"/>
  <c r="C13" i="12"/>
  <c r="C12" i="12"/>
  <c r="E3" i="12"/>
  <c r="F3" i="12"/>
  <c r="G3" i="12"/>
  <c r="H3" i="12"/>
  <c r="I3" i="12"/>
  <c r="J3" i="12"/>
  <c r="K3" i="12"/>
  <c r="G8" i="12" s="1"/>
  <c r="D3" i="12"/>
  <c r="O3" i="12"/>
  <c r="E7" i="11"/>
  <c r="J6" i="3" l="1"/>
  <c r="K6" i="3" s="1"/>
  <c r="I6" i="11"/>
  <c r="J6" i="11"/>
  <c r="J5" i="11"/>
  <c r="I5" i="11"/>
  <c r="K5" i="11" s="1"/>
  <c r="J4" i="11"/>
  <c r="I4" i="11"/>
  <c r="K4" i="11" s="1"/>
  <c r="E10" i="11"/>
  <c r="E9" i="11" s="1"/>
  <c r="G3" i="10"/>
  <c r="H3" i="10"/>
  <c r="I3" i="10"/>
  <c r="J3" i="10"/>
  <c r="K3" i="10"/>
  <c r="L3" i="10"/>
  <c r="M3" i="10"/>
  <c r="G5" i="10"/>
  <c r="H5" i="10"/>
  <c r="I5" i="10"/>
  <c r="J5" i="10"/>
  <c r="K5" i="10"/>
  <c r="L5" i="10"/>
  <c r="M5" i="10"/>
  <c r="G8" i="10"/>
  <c r="H8" i="10"/>
  <c r="I8" i="10"/>
  <c r="J8" i="10"/>
  <c r="K8" i="10"/>
  <c r="L8" i="10"/>
  <c r="M8" i="10"/>
  <c r="G9" i="10"/>
  <c r="H9" i="10"/>
  <c r="I9" i="10"/>
  <c r="J9" i="10"/>
  <c r="K9" i="10"/>
  <c r="L9" i="10"/>
  <c r="M9" i="10"/>
  <c r="G10" i="10"/>
  <c r="H10" i="10"/>
  <c r="I10" i="10"/>
  <c r="J10" i="10"/>
  <c r="K10" i="10"/>
  <c r="L10" i="10"/>
  <c r="M10" i="10"/>
  <c r="G11" i="10"/>
  <c r="H11" i="10"/>
  <c r="I11" i="10"/>
  <c r="J11" i="10"/>
  <c r="K11" i="10"/>
  <c r="L11" i="10"/>
  <c r="M11" i="10"/>
  <c r="G12" i="10"/>
  <c r="H12" i="10"/>
  <c r="I12" i="10"/>
  <c r="J12" i="10"/>
  <c r="K12" i="10"/>
  <c r="L12" i="10"/>
  <c r="M12" i="10"/>
  <c r="G13" i="10"/>
  <c r="H13" i="10"/>
  <c r="I13" i="10"/>
  <c r="J13" i="10"/>
  <c r="K13" i="10"/>
  <c r="L13" i="10"/>
  <c r="M13" i="10"/>
  <c r="F13" i="10"/>
  <c r="F9" i="10"/>
  <c r="F10" i="10"/>
  <c r="F11" i="10"/>
  <c r="F12" i="10"/>
  <c r="F8" i="10"/>
  <c r="F5" i="10"/>
  <c r="F3" i="10"/>
  <c r="G4" i="9"/>
  <c r="H4" i="9"/>
  <c r="I4" i="9"/>
  <c r="J4" i="9"/>
  <c r="K4" i="9"/>
  <c r="L4" i="9"/>
  <c r="M4" i="9"/>
  <c r="G5" i="9"/>
  <c r="H5" i="9"/>
  <c r="I5" i="9"/>
  <c r="J5" i="9"/>
  <c r="K5" i="9"/>
  <c r="L5" i="9"/>
  <c r="M5" i="9"/>
  <c r="G6" i="9"/>
  <c r="H6" i="9"/>
  <c r="I6" i="9"/>
  <c r="J6" i="9"/>
  <c r="K6" i="9"/>
  <c r="L6" i="9"/>
  <c r="M6" i="9"/>
  <c r="G7" i="9"/>
  <c r="H7" i="9"/>
  <c r="I7" i="9"/>
  <c r="J7" i="9"/>
  <c r="K7" i="9"/>
  <c r="L7" i="9"/>
  <c r="M7" i="9"/>
  <c r="G8" i="9"/>
  <c r="H8" i="9"/>
  <c r="I8" i="9"/>
  <c r="J8" i="9"/>
  <c r="K8" i="9"/>
  <c r="L8" i="9"/>
  <c r="M8" i="9"/>
  <c r="G11" i="9"/>
  <c r="H11" i="9"/>
  <c r="I11" i="9"/>
  <c r="J11" i="9"/>
  <c r="K11" i="9"/>
  <c r="L11" i="9"/>
  <c r="M11" i="9"/>
  <c r="G12" i="9"/>
  <c r="H12" i="9"/>
  <c r="I12" i="9"/>
  <c r="J12" i="9"/>
  <c r="K12" i="9"/>
  <c r="L12" i="9"/>
  <c r="M12" i="9"/>
  <c r="G14" i="9"/>
  <c r="G17" i="9" s="1"/>
  <c r="H14" i="9"/>
  <c r="H17" i="9" s="1"/>
  <c r="I14" i="9"/>
  <c r="I17" i="9" s="1"/>
  <c r="J14" i="9"/>
  <c r="J17" i="9" s="1"/>
  <c r="K14" i="9"/>
  <c r="K17" i="9" s="1"/>
  <c r="L14" i="9"/>
  <c r="L17" i="9" s="1"/>
  <c r="M14" i="9"/>
  <c r="M17" i="9" s="1"/>
  <c r="G15" i="9"/>
  <c r="H15" i="9"/>
  <c r="I15" i="9"/>
  <c r="J15" i="9"/>
  <c r="K15" i="9"/>
  <c r="L15" i="9"/>
  <c r="M15" i="9"/>
  <c r="G16" i="9"/>
  <c r="H16" i="9"/>
  <c r="I16" i="9"/>
  <c r="J16" i="9"/>
  <c r="K16" i="9"/>
  <c r="L16" i="9"/>
  <c r="M16" i="9"/>
  <c r="G15" i="8"/>
  <c r="G19" i="5" s="1"/>
  <c r="H15" i="8"/>
  <c r="I15" i="8"/>
  <c r="I19" i="5" s="1"/>
  <c r="J15" i="8"/>
  <c r="K15" i="8"/>
  <c r="L15" i="8"/>
  <c r="M15" i="8"/>
  <c r="G17" i="8"/>
  <c r="G20" i="5" s="1"/>
  <c r="H17" i="8"/>
  <c r="H20" i="5" s="1"/>
  <c r="I17" i="8"/>
  <c r="I20" i="5" s="1"/>
  <c r="J17" i="8"/>
  <c r="K17" i="8"/>
  <c r="L17" i="8"/>
  <c r="M17" i="8"/>
  <c r="G18" i="8"/>
  <c r="H18" i="8"/>
  <c r="I18" i="8"/>
  <c r="J18" i="8"/>
  <c r="K18" i="8"/>
  <c r="L18" i="8"/>
  <c r="M18" i="8"/>
  <c r="G21" i="8"/>
  <c r="H21" i="8"/>
  <c r="I21" i="8"/>
  <c r="J21" i="8"/>
  <c r="K21" i="8"/>
  <c r="K25" i="8" s="1"/>
  <c r="L21" i="8"/>
  <c r="L25" i="8" s="1"/>
  <c r="M21" i="8"/>
  <c r="G22" i="8"/>
  <c r="G25" i="8" s="1"/>
  <c r="H22" i="8"/>
  <c r="H25" i="8" s="1"/>
  <c r="I22" i="8"/>
  <c r="I25" i="8" s="1"/>
  <c r="J22" i="8"/>
  <c r="J25" i="8" s="1"/>
  <c r="K22" i="8"/>
  <c r="L22" i="8"/>
  <c r="M22" i="8" s="1"/>
  <c r="G23" i="8"/>
  <c r="H23" i="8"/>
  <c r="I23" i="8"/>
  <c r="J23" i="8"/>
  <c r="K23" i="8"/>
  <c r="L23" i="8"/>
  <c r="M23" i="8"/>
  <c r="G24" i="8"/>
  <c r="H24" i="8"/>
  <c r="I24" i="8"/>
  <c r="J24" i="8"/>
  <c r="K24" i="8"/>
  <c r="L24" i="8"/>
  <c r="M24" i="8"/>
  <c r="G30" i="8"/>
  <c r="G22" i="5" s="1"/>
  <c r="H30" i="8"/>
  <c r="H22" i="5" s="1"/>
  <c r="I30" i="8"/>
  <c r="I22" i="5" s="1"/>
  <c r="J30" i="8"/>
  <c r="J22" i="5" s="1"/>
  <c r="K30" i="8"/>
  <c r="K22" i="5" s="1"/>
  <c r="L30" i="8"/>
  <c r="L22" i="5" s="1"/>
  <c r="M30" i="8"/>
  <c r="M22" i="5" s="1"/>
  <c r="G31" i="8"/>
  <c r="G23" i="5" s="1"/>
  <c r="H31" i="8"/>
  <c r="H23" i="5" s="1"/>
  <c r="I31" i="8"/>
  <c r="I23" i="5" s="1"/>
  <c r="J31" i="8"/>
  <c r="J23" i="5" s="1"/>
  <c r="K31" i="8"/>
  <c r="K23" i="5" s="1"/>
  <c r="L31" i="8"/>
  <c r="L23" i="5" s="1"/>
  <c r="M31" i="8"/>
  <c r="M23" i="5" s="1"/>
  <c r="G34" i="8"/>
  <c r="G36" i="8" s="1"/>
  <c r="H34" i="8"/>
  <c r="H36" i="8" s="1"/>
  <c r="I34" i="8"/>
  <c r="I36" i="8" s="1"/>
  <c r="J34" i="8"/>
  <c r="J36" i="8" s="1"/>
  <c r="K34" i="8"/>
  <c r="K36" i="8" s="1"/>
  <c r="L34" i="8"/>
  <c r="L36" i="8" s="1"/>
  <c r="M34" i="8"/>
  <c r="M36" i="8" s="1"/>
  <c r="G35" i="8"/>
  <c r="H35" i="8"/>
  <c r="I35" i="8"/>
  <c r="J35" i="8"/>
  <c r="K35" i="8"/>
  <c r="L35" i="8"/>
  <c r="M35" i="8"/>
  <c r="G17" i="7"/>
  <c r="H17" i="7"/>
  <c r="I17" i="7" s="1"/>
  <c r="G18" i="7"/>
  <c r="H18" i="7"/>
  <c r="G19" i="7"/>
  <c r="H19" i="7"/>
  <c r="G23" i="7"/>
  <c r="G24" i="7"/>
  <c r="H24" i="7"/>
  <c r="I24" i="7"/>
  <c r="J24" i="7"/>
  <c r="K24" i="7"/>
  <c r="L24" i="7"/>
  <c r="M24" i="7"/>
  <c r="G27" i="7"/>
  <c r="H27" i="7"/>
  <c r="I27" i="7"/>
  <c r="J27" i="7"/>
  <c r="K27" i="7"/>
  <c r="L27" i="7"/>
  <c r="M27" i="7"/>
  <c r="G28" i="7"/>
  <c r="H28" i="7"/>
  <c r="I28" i="7"/>
  <c r="J28" i="7"/>
  <c r="K28" i="7"/>
  <c r="L28" i="7"/>
  <c r="M28" i="7"/>
  <c r="G30" i="7"/>
  <c r="H30" i="7"/>
  <c r="I30" i="7"/>
  <c r="J30" i="7"/>
  <c r="K30" i="7"/>
  <c r="L30" i="7"/>
  <c r="M30" i="7"/>
  <c r="G31" i="7"/>
  <c r="H31" i="7"/>
  <c r="I31" i="7"/>
  <c r="J31" i="7"/>
  <c r="K31" i="7"/>
  <c r="L31" i="7"/>
  <c r="M31" i="7"/>
  <c r="G37" i="7"/>
  <c r="H37" i="7"/>
  <c r="I37" i="7"/>
  <c r="J37" i="7"/>
  <c r="K37" i="7"/>
  <c r="L37" i="7"/>
  <c r="M37" i="7"/>
  <c r="G38" i="7"/>
  <c r="H38" i="7"/>
  <c r="I38" i="7"/>
  <c r="J38" i="7"/>
  <c r="K38" i="7"/>
  <c r="K15" i="5" s="1"/>
  <c r="L38" i="7"/>
  <c r="L15" i="5" s="1"/>
  <c r="M38" i="7"/>
  <c r="M15" i="5" s="1"/>
  <c r="G39" i="7"/>
  <c r="H39" i="7"/>
  <c r="I39" i="7"/>
  <c r="J39" i="7"/>
  <c r="K39" i="7"/>
  <c r="L39" i="7"/>
  <c r="M39" i="7"/>
  <c r="F31" i="7"/>
  <c r="G17" i="6"/>
  <c r="G18" i="6"/>
  <c r="H18" i="6"/>
  <c r="I18" i="6"/>
  <c r="J18" i="6"/>
  <c r="K18" i="6"/>
  <c r="L18" i="6"/>
  <c r="M18" i="6"/>
  <c r="G19" i="6"/>
  <c r="H19" i="6"/>
  <c r="I19" i="6"/>
  <c r="J19" i="6"/>
  <c r="K19" i="6"/>
  <c r="L19" i="6"/>
  <c r="M19" i="6"/>
  <c r="G20" i="6"/>
  <c r="G22" i="6" s="1"/>
  <c r="G28" i="6" s="1"/>
  <c r="G21" i="6"/>
  <c r="H21" i="6"/>
  <c r="I21" i="6"/>
  <c r="J21" i="6"/>
  <c r="K21" i="6"/>
  <c r="L21" i="6"/>
  <c r="M21" i="6"/>
  <c r="G32" i="6"/>
  <c r="H32" i="6"/>
  <c r="I32" i="6"/>
  <c r="J32" i="6"/>
  <c r="K32" i="6"/>
  <c r="L32" i="6"/>
  <c r="M32" i="6"/>
  <c r="J19" i="5"/>
  <c r="K19" i="5"/>
  <c r="L19" i="5"/>
  <c r="M19" i="5"/>
  <c r="J20" i="5"/>
  <c r="K20" i="5"/>
  <c r="L20" i="5"/>
  <c r="M20" i="5"/>
  <c r="G21" i="5"/>
  <c r="H21" i="5"/>
  <c r="I21" i="5"/>
  <c r="J21" i="5"/>
  <c r="K21" i="5"/>
  <c r="L21" i="5"/>
  <c r="M21" i="5"/>
  <c r="G15" i="5"/>
  <c r="H15" i="5"/>
  <c r="I15" i="5"/>
  <c r="J15" i="5"/>
  <c r="G16" i="5"/>
  <c r="H16" i="5"/>
  <c r="I16" i="5"/>
  <c r="J16" i="5"/>
  <c r="K16" i="5"/>
  <c r="L16" i="5"/>
  <c r="M16" i="5"/>
  <c r="G6" i="5"/>
  <c r="G7" i="5"/>
  <c r="H7" i="5"/>
  <c r="G8" i="5"/>
  <c r="G9" i="5"/>
  <c r="H6" i="5" s="1"/>
  <c r="F30" i="7"/>
  <c r="F32" i="6"/>
  <c r="F21" i="9"/>
  <c r="F12" i="9"/>
  <c r="F11" i="9"/>
  <c r="F17" i="9"/>
  <c r="F16" i="9"/>
  <c r="F15" i="9"/>
  <c r="F14" i="9"/>
  <c r="F8" i="9"/>
  <c r="F7" i="9"/>
  <c r="F6" i="9"/>
  <c r="F5" i="9"/>
  <c r="F4" i="9"/>
  <c r="F25" i="5"/>
  <c r="F19" i="5"/>
  <c r="F20" i="5"/>
  <c r="F21" i="5"/>
  <c r="F22" i="5"/>
  <c r="F23" i="5"/>
  <c r="F24" i="5"/>
  <c r="E24" i="5"/>
  <c r="E23" i="5"/>
  <c r="E22" i="5"/>
  <c r="E21" i="5"/>
  <c r="E20" i="5"/>
  <c r="E19" i="5"/>
  <c r="F15" i="5"/>
  <c r="E17" i="5"/>
  <c r="F13" i="5" s="1"/>
  <c r="F35" i="8"/>
  <c r="F34" i="8"/>
  <c r="F28" i="6"/>
  <c r="F27" i="6"/>
  <c r="F26" i="6"/>
  <c r="F22" i="6"/>
  <c r="F21" i="6"/>
  <c r="F20" i="6"/>
  <c r="F19" i="6"/>
  <c r="F18" i="6"/>
  <c r="F17" i="6"/>
  <c r="E20" i="6"/>
  <c r="F31" i="8"/>
  <c r="F30" i="8"/>
  <c r="F24" i="8"/>
  <c r="F23" i="8"/>
  <c r="F22" i="8"/>
  <c r="E23" i="7"/>
  <c r="D23" i="7"/>
  <c r="D34" i="13" s="1"/>
  <c r="C23" i="7"/>
  <c r="F7" i="5"/>
  <c r="E9" i="5"/>
  <c r="F6" i="5" s="1"/>
  <c r="F18" i="8"/>
  <c r="F17" i="8"/>
  <c r="F15" i="8"/>
  <c r="F38" i="7"/>
  <c r="F37" i="7"/>
  <c r="F28" i="7"/>
  <c r="F27" i="7"/>
  <c r="F24" i="7"/>
  <c r="F19" i="7"/>
  <c r="F18" i="7"/>
  <c r="F17" i="7"/>
  <c r="G6" i="13"/>
  <c r="H6" i="13"/>
  <c r="I6" i="13"/>
  <c r="J6" i="13"/>
  <c r="K6" i="13"/>
  <c r="L6" i="13"/>
  <c r="M6" i="13"/>
  <c r="F6" i="13"/>
  <c r="E55" i="13"/>
  <c r="D55" i="13"/>
  <c r="C55" i="13"/>
  <c r="E54" i="13"/>
  <c r="D54" i="13"/>
  <c r="C54" i="13"/>
  <c r="E53" i="13"/>
  <c r="D53" i="13"/>
  <c r="C53" i="13"/>
  <c r="E49" i="13"/>
  <c r="D49" i="13"/>
  <c r="C49" i="13"/>
  <c r="E48" i="13"/>
  <c r="D48" i="13"/>
  <c r="C48" i="13"/>
  <c r="E47" i="13"/>
  <c r="D47" i="13"/>
  <c r="C47" i="13"/>
  <c r="E46" i="13"/>
  <c r="D46" i="13"/>
  <c r="C46" i="13"/>
  <c r="E45" i="13"/>
  <c r="D45" i="13"/>
  <c r="C45" i="13"/>
  <c r="E20" i="13"/>
  <c r="E41" i="13" s="1"/>
  <c r="D20" i="13"/>
  <c r="D41" i="13" s="1"/>
  <c r="C20" i="13"/>
  <c r="C41" i="13" s="1"/>
  <c r="E19" i="13"/>
  <c r="E40" i="13" s="1"/>
  <c r="D19" i="13"/>
  <c r="D40" i="13" s="1"/>
  <c r="C19" i="13"/>
  <c r="C40" i="13" s="1"/>
  <c r="E34" i="13"/>
  <c r="E33" i="13"/>
  <c r="D33" i="13"/>
  <c r="C33" i="13"/>
  <c r="E18" i="13"/>
  <c r="E39" i="13" s="1"/>
  <c r="F39" i="13" s="1"/>
  <c r="G39" i="13" s="1"/>
  <c r="H39" i="13" s="1"/>
  <c r="I39" i="13" s="1"/>
  <c r="J39" i="13" s="1"/>
  <c r="K39" i="13" s="1"/>
  <c r="L39" i="13" s="1"/>
  <c r="M39" i="13" s="1"/>
  <c r="D18" i="13"/>
  <c r="C18" i="13"/>
  <c r="E17" i="13"/>
  <c r="G17" i="13" s="1"/>
  <c r="D17" i="13"/>
  <c r="C17" i="13"/>
  <c r="E13" i="13"/>
  <c r="D13" i="13"/>
  <c r="C13" i="13"/>
  <c r="E12" i="13"/>
  <c r="D12" i="13"/>
  <c r="C12" i="13"/>
  <c r="D11" i="13"/>
  <c r="C11" i="13"/>
  <c r="E11" i="13"/>
  <c r="G21" i="32"/>
  <c r="C10" i="13"/>
  <c r="D10" i="13"/>
  <c r="E10" i="13"/>
  <c r="C35" i="8"/>
  <c r="C36" i="8" s="1"/>
  <c r="C31" i="8"/>
  <c r="C24" i="8"/>
  <c r="C25" i="8" s="1"/>
  <c r="C22" i="8"/>
  <c r="C21" i="8"/>
  <c r="C18" i="8"/>
  <c r="C17" i="8"/>
  <c r="C16" i="8"/>
  <c r="D35" i="8"/>
  <c r="E35" i="8"/>
  <c r="D31" i="8"/>
  <c r="D32" i="8" s="1"/>
  <c r="E31" i="8"/>
  <c r="D21" i="8"/>
  <c r="D24" i="8"/>
  <c r="D25" i="8" s="1"/>
  <c r="D22" i="8"/>
  <c r="E24" i="8"/>
  <c r="E22" i="8"/>
  <c r="E21" i="8"/>
  <c r="D18" i="8"/>
  <c r="E18" i="8"/>
  <c r="D15" i="8"/>
  <c r="D16" i="8" s="1"/>
  <c r="D19" i="8" s="1"/>
  <c r="C15" i="8"/>
  <c r="E15" i="8"/>
  <c r="E16" i="8" s="1"/>
  <c r="E19" i="8" s="1"/>
  <c r="D37" i="7"/>
  <c r="C37" i="7"/>
  <c r="E37" i="7"/>
  <c r="D42" i="7"/>
  <c r="E42" i="7"/>
  <c r="D43" i="7"/>
  <c r="E43" i="7"/>
  <c r="C43" i="7"/>
  <c r="C42" i="7"/>
  <c r="X5" i="32"/>
  <c r="X10" i="32" s="1"/>
  <c r="Y5" i="32"/>
  <c r="Z5" i="32" s="1"/>
  <c r="W14" i="32"/>
  <c r="W13" i="32"/>
  <c r="W10" i="32"/>
  <c r="W5" i="32"/>
  <c r="X21" i="32"/>
  <c r="Y21" i="32"/>
  <c r="Z21" i="32"/>
  <c r="AA21" i="32" s="1"/>
  <c r="AB21" i="32" s="1"/>
  <c r="AC21" i="32" s="1"/>
  <c r="X22" i="32"/>
  <c r="Y22" i="32" s="1"/>
  <c r="Z22" i="32" s="1"/>
  <c r="AA22" i="32" s="1"/>
  <c r="AB22" i="32" s="1"/>
  <c r="AC22" i="32" s="1"/>
  <c r="X23" i="32"/>
  <c r="Y23" i="32"/>
  <c r="Z23" i="32"/>
  <c r="AA23" i="32"/>
  <c r="AB23" i="32"/>
  <c r="AC23" i="32"/>
  <c r="W22" i="32"/>
  <c r="W23" i="32"/>
  <c r="W21" i="32"/>
  <c r="E28" i="7"/>
  <c r="C28" i="7"/>
  <c r="D28" i="7"/>
  <c r="E27" i="7"/>
  <c r="D27" i="7"/>
  <c r="C27" i="7"/>
  <c r="C20" i="7"/>
  <c r="D20" i="7"/>
  <c r="E20" i="7"/>
  <c r="C19" i="7"/>
  <c r="D19" i="7"/>
  <c r="E19" i="7"/>
  <c r="D18" i="7"/>
  <c r="E18" i="7"/>
  <c r="C18" i="7"/>
  <c r="C17" i="7"/>
  <c r="D17" i="7"/>
  <c r="E17" i="7"/>
  <c r="U12" i="32"/>
  <c r="T12" i="32"/>
  <c r="V22" i="32"/>
  <c r="V21" i="32"/>
  <c r="U14" i="32"/>
  <c r="T14" i="32"/>
  <c r="U13" i="32"/>
  <c r="T13" i="32"/>
  <c r="U23" i="32"/>
  <c r="T23" i="32"/>
  <c r="U10" i="32"/>
  <c r="T10" i="32"/>
  <c r="U22" i="32"/>
  <c r="T22" i="32"/>
  <c r="U21" i="32"/>
  <c r="T21" i="32"/>
  <c r="L21" i="32"/>
  <c r="L20" i="32"/>
  <c r="L19" i="32"/>
  <c r="Q20" i="32"/>
  <c r="Q21" i="32"/>
  <c r="Q19" i="32"/>
  <c r="S20" i="32"/>
  <c r="R20" i="32"/>
  <c r="S19" i="32"/>
  <c r="R19" i="32"/>
  <c r="P20" i="32"/>
  <c r="O20" i="32"/>
  <c r="N20" i="32"/>
  <c r="M20" i="32"/>
  <c r="P19" i="32"/>
  <c r="O19" i="32"/>
  <c r="N19" i="32"/>
  <c r="M19" i="32"/>
  <c r="H20" i="32"/>
  <c r="I20" i="32"/>
  <c r="J20" i="32"/>
  <c r="K20" i="32"/>
  <c r="J19" i="32"/>
  <c r="I19" i="32"/>
  <c r="H19" i="32"/>
  <c r="K19" i="32"/>
  <c r="S21" i="32"/>
  <c r="R21" i="32"/>
  <c r="P21" i="32"/>
  <c r="O21" i="32"/>
  <c r="N21" i="32"/>
  <c r="M21" i="32"/>
  <c r="J21" i="32"/>
  <c r="I21" i="32"/>
  <c r="H21" i="32"/>
  <c r="K21" i="32"/>
  <c r="V13" i="32"/>
  <c r="V9" i="32"/>
  <c r="V7" i="32"/>
  <c r="V6" i="32"/>
  <c r="V4" i="32"/>
  <c r="V3" i="32"/>
  <c r="Q13" i="32"/>
  <c r="Q9" i="32"/>
  <c r="Q7" i="32"/>
  <c r="Q6" i="32"/>
  <c r="Q4" i="32"/>
  <c r="Q3" i="32"/>
  <c r="L13" i="32"/>
  <c r="L9" i="32"/>
  <c r="L7" i="32"/>
  <c r="L6" i="32"/>
  <c r="L4" i="32"/>
  <c r="L3" i="32"/>
  <c r="G13" i="32"/>
  <c r="G9" i="32"/>
  <c r="G7" i="32"/>
  <c r="G6" i="32"/>
  <c r="G4" i="32"/>
  <c r="G3" i="32"/>
  <c r="F8" i="32"/>
  <c r="F5" i="32"/>
  <c r="K11" i="32"/>
  <c r="K8" i="32"/>
  <c r="K5" i="32"/>
  <c r="P11" i="32"/>
  <c r="P8" i="32"/>
  <c r="P5" i="32"/>
  <c r="W2" i="32"/>
  <c r="X2" i="32" s="1"/>
  <c r="Y2" i="32" s="1"/>
  <c r="Z2" i="32" s="1"/>
  <c r="AA2" i="32" s="1"/>
  <c r="AB2" i="32" s="1"/>
  <c r="AC2" i="32" s="1"/>
  <c r="E11" i="32"/>
  <c r="E8" i="32"/>
  <c r="E5" i="32"/>
  <c r="E10" i="32" s="1"/>
  <c r="E12" i="32" s="1"/>
  <c r="E14" i="32" s="1"/>
  <c r="C11" i="32"/>
  <c r="C8" i="32"/>
  <c r="H11" i="32"/>
  <c r="H8" i="32"/>
  <c r="C5" i="32"/>
  <c r="C10" i="32" s="1"/>
  <c r="C12" i="32" s="1"/>
  <c r="C14" i="32" s="1"/>
  <c r="D5" i="32"/>
  <c r="D8" i="32"/>
  <c r="D10" i="32" s="1"/>
  <c r="D22" i="32" s="1"/>
  <c r="D11" i="32"/>
  <c r="H5" i="32"/>
  <c r="I11" i="32"/>
  <c r="I8" i="32"/>
  <c r="I5" i="32"/>
  <c r="I10" i="32" s="1"/>
  <c r="I22" i="32" s="1"/>
  <c r="J11" i="32"/>
  <c r="J8" i="32"/>
  <c r="J5" i="32"/>
  <c r="O11" i="32"/>
  <c r="O8" i="32"/>
  <c r="O5" i="32"/>
  <c r="M11" i="32"/>
  <c r="M8" i="32"/>
  <c r="R11" i="32"/>
  <c r="R8" i="32"/>
  <c r="N11" i="32"/>
  <c r="N8" i="32"/>
  <c r="N5" i="32"/>
  <c r="S11" i="32"/>
  <c r="V11" i="32" s="1"/>
  <c r="S8" i="32"/>
  <c r="S5" i="32"/>
  <c r="M5" i="32"/>
  <c r="R5" i="32"/>
  <c r="V5" i="32" s="1"/>
  <c r="A1" i="32"/>
  <c r="D14" i="8"/>
  <c r="E14" i="8" s="1"/>
  <c r="F14" i="8" s="1"/>
  <c r="G14" i="8" s="1"/>
  <c r="H14" i="8" s="1"/>
  <c r="I14" i="8" s="1"/>
  <c r="J14" i="8" s="1"/>
  <c r="K14" i="8" s="1"/>
  <c r="L14" i="8" s="1"/>
  <c r="M14" i="8" s="1"/>
  <c r="D2" i="8"/>
  <c r="E2" i="8" s="1"/>
  <c r="F2" i="8" s="1"/>
  <c r="G2" i="8" s="1"/>
  <c r="H2" i="8" s="1"/>
  <c r="I2" i="8" s="1"/>
  <c r="J2" i="8" s="1"/>
  <c r="K2" i="8" s="1"/>
  <c r="L2" i="8" s="1"/>
  <c r="M2" i="8" s="1"/>
  <c r="D2" i="7"/>
  <c r="E2" i="7" s="1"/>
  <c r="F2" i="7" s="1"/>
  <c r="G2" i="7" s="1"/>
  <c r="H2" i="7" s="1"/>
  <c r="I2" i="7" s="1"/>
  <c r="J2" i="7" s="1"/>
  <c r="K2" i="7" s="1"/>
  <c r="L2" i="7" s="1"/>
  <c r="M2" i="7" s="1"/>
  <c r="D39" i="7"/>
  <c r="E39" i="7" s="1"/>
  <c r="F39" i="7" s="1"/>
  <c r="D16" i="7"/>
  <c r="E16" i="7" s="1"/>
  <c r="F16" i="7" s="1"/>
  <c r="G16" i="7" s="1"/>
  <c r="H16" i="7" s="1"/>
  <c r="I16" i="7" s="1"/>
  <c r="J16" i="7" s="1"/>
  <c r="K16" i="7" s="1"/>
  <c r="L16" i="7" s="1"/>
  <c r="M16" i="7" s="1"/>
  <c r="D30" i="6"/>
  <c r="E30" i="6" s="1"/>
  <c r="F30" i="6" s="1"/>
  <c r="G30" i="6" s="1"/>
  <c r="H30" i="6" s="1"/>
  <c r="I30" i="6" s="1"/>
  <c r="J30" i="6" s="1"/>
  <c r="K30" i="6" s="1"/>
  <c r="L30" i="6" s="1"/>
  <c r="M30" i="6" s="1"/>
  <c r="D24" i="6"/>
  <c r="E24" i="6" s="1"/>
  <c r="F24" i="6" s="1"/>
  <c r="G24" i="6" s="1"/>
  <c r="H24" i="6" s="1"/>
  <c r="I24" i="6" s="1"/>
  <c r="J24" i="6" s="1"/>
  <c r="K24" i="6" s="1"/>
  <c r="L24" i="6" s="1"/>
  <c r="M24" i="6" s="1"/>
  <c r="D16" i="6"/>
  <c r="E16" i="6" s="1"/>
  <c r="F16" i="6" s="1"/>
  <c r="G16" i="6" s="1"/>
  <c r="H16" i="6" s="1"/>
  <c r="I16" i="6" s="1"/>
  <c r="J16" i="6" s="1"/>
  <c r="K16" i="6" s="1"/>
  <c r="L16" i="6" s="1"/>
  <c r="M16" i="6" s="1"/>
  <c r="E11" i="6"/>
  <c r="F11" i="6" s="1"/>
  <c r="D11" i="6"/>
  <c r="E2" i="6"/>
  <c r="F2" i="6"/>
  <c r="D2" i="6"/>
  <c r="D51" i="13"/>
  <c r="E51" i="13" s="1"/>
  <c r="F51" i="13" s="1"/>
  <c r="G51" i="13" s="1"/>
  <c r="H51" i="13" s="1"/>
  <c r="I51" i="13" s="1"/>
  <c r="J51" i="13" s="1"/>
  <c r="K51" i="13" s="1"/>
  <c r="L51" i="13" s="1"/>
  <c r="M51" i="13" s="1"/>
  <c r="D43" i="13"/>
  <c r="E43" i="13" s="1"/>
  <c r="F43" i="13" s="1"/>
  <c r="G43" i="13" s="1"/>
  <c r="H43" i="13" s="1"/>
  <c r="I43" i="13" s="1"/>
  <c r="J43" i="13" s="1"/>
  <c r="K43" i="13" s="1"/>
  <c r="L43" i="13" s="1"/>
  <c r="M43" i="13" s="1"/>
  <c r="D37" i="13"/>
  <c r="E37" i="13" s="1"/>
  <c r="F37" i="13" s="1"/>
  <c r="G37" i="13" s="1"/>
  <c r="H37" i="13" s="1"/>
  <c r="I37" i="13" s="1"/>
  <c r="J37" i="13" s="1"/>
  <c r="K37" i="13" s="1"/>
  <c r="L37" i="13" s="1"/>
  <c r="M37" i="13" s="1"/>
  <c r="D31" i="13"/>
  <c r="E31" i="13" s="1"/>
  <c r="F31" i="13" s="1"/>
  <c r="G31" i="13" s="1"/>
  <c r="H31" i="13" s="1"/>
  <c r="I31" i="13" s="1"/>
  <c r="J31" i="13" s="1"/>
  <c r="K31" i="13" s="1"/>
  <c r="L31" i="13" s="1"/>
  <c r="M31" i="13" s="1"/>
  <c r="D22" i="13"/>
  <c r="E22" i="13" s="1"/>
  <c r="F22" i="13" s="1"/>
  <c r="G22" i="13" s="1"/>
  <c r="H22" i="13" s="1"/>
  <c r="I22" i="13" s="1"/>
  <c r="J22" i="13" s="1"/>
  <c r="K22" i="13" s="1"/>
  <c r="L22" i="13" s="1"/>
  <c r="M22" i="13" s="1"/>
  <c r="D2" i="13"/>
  <c r="E2" i="13" s="1"/>
  <c r="F2" i="13" s="1"/>
  <c r="G2" i="13" s="1"/>
  <c r="H2" i="13" s="1"/>
  <c r="I2" i="13" s="1"/>
  <c r="J2" i="13" s="1"/>
  <c r="K2" i="13" s="1"/>
  <c r="L2" i="13" s="1"/>
  <c r="M2" i="13" s="1"/>
  <c r="F7" i="3"/>
  <c r="G9" i="7"/>
  <c r="H9" i="7"/>
  <c r="I9" i="7"/>
  <c r="J9" i="7"/>
  <c r="K9" i="7"/>
  <c r="L9" i="7"/>
  <c r="M9" i="7"/>
  <c r="G10" i="7"/>
  <c r="H10" i="7"/>
  <c r="I10" i="7"/>
  <c r="J10" i="7"/>
  <c r="K10" i="7"/>
  <c r="L10" i="7"/>
  <c r="M10" i="7"/>
  <c r="A1" i="10"/>
  <c r="E32" i="8"/>
  <c r="C32" i="8"/>
  <c r="D36" i="8"/>
  <c r="E36" i="8"/>
  <c r="C10" i="5"/>
  <c r="C18" i="5" s="1"/>
  <c r="D2" i="5"/>
  <c r="E2" i="5" s="1"/>
  <c r="F6" i="3"/>
  <c r="F9" i="3" s="1"/>
  <c r="G10" i="13"/>
  <c r="G4" i="7" s="1"/>
  <c r="H10" i="13"/>
  <c r="H4" i="7" s="1"/>
  <c r="I10" i="13"/>
  <c r="I4" i="7" s="1"/>
  <c r="J10" i="13"/>
  <c r="J4" i="7" s="1"/>
  <c r="K10" i="13"/>
  <c r="K4" i="7" s="1"/>
  <c r="L10" i="13"/>
  <c r="L4" i="7" s="1"/>
  <c r="M10" i="13"/>
  <c r="M4" i="7" s="1"/>
  <c r="F8" i="7"/>
  <c r="F18" i="13"/>
  <c r="F12" i="7" s="1"/>
  <c r="F34" i="13"/>
  <c r="G34" i="13" s="1"/>
  <c r="H34" i="13" s="1"/>
  <c r="I34" i="13" s="1"/>
  <c r="J34" i="13" s="1"/>
  <c r="K34" i="13" s="1"/>
  <c r="L34" i="13" s="1"/>
  <c r="M34" i="13" s="1"/>
  <c r="F33" i="13"/>
  <c r="F3" i="5" s="1"/>
  <c r="K8" i="6"/>
  <c r="L8" i="6"/>
  <c r="M8" i="6"/>
  <c r="K9" i="6"/>
  <c r="L9" i="6"/>
  <c r="M9" i="6"/>
  <c r="K11" i="5"/>
  <c r="L11" i="5"/>
  <c r="M11" i="5"/>
  <c r="F25" i="13"/>
  <c r="G25" i="13" s="1"/>
  <c r="F24" i="13"/>
  <c r="F4" i="6" s="1"/>
  <c r="F26" i="13"/>
  <c r="F6" i="6" s="1"/>
  <c r="F48" i="13"/>
  <c r="G48" i="13" s="1"/>
  <c r="D2" i="10"/>
  <c r="E2" i="10" s="1"/>
  <c r="F2" i="10" s="1"/>
  <c r="G2" i="10" s="1"/>
  <c r="H2" i="10" s="1"/>
  <c r="I2" i="10" s="1"/>
  <c r="J2" i="10" s="1"/>
  <c r="K2" i="10" s="1"/>
  <c r="L2" i="10" s="1"/>
  <c r="M2" i="10" s="1"/>
  <c r="D2" i="9"/>
  <c r="E2" i="9" s="1"/>
  <c r="F2" i="9" s="1"/>
  <c r="G2" i="9" s="1"/>
  <c r="H2" i="9" s="1"/>
  <c r="I2" i="9" s="1"/>
  <c r="J2" i="9" s="1"/>
  <c r="K2" i="9" s="1"/>
  <c r="L2" i="9" s="1"/>
  <c r="M2" i="9" s="1"/>
  <c r="F10" i="7"/>
  <c r="F53" i="13"/>
  <c r="F10" i="8" s="1"/>
  <c r="A1" i="3"/>
  <c r="A1" i="13"/>
  <c r="A1" i="5"/>
  <c r="A1" i="6"/>
  <c r="A1" i="7"/>
  <c r="A1" i="8"/>
  <c r="A1" i="9"/>
  <c r="A1" i="11"/>
  <c r="A1" i="12"/>
  <c r="F47" i="13"/>
  <c r="F8" i="6"/>
  <c r="F11" i="5"/>
  <c r="F16" i="5" s="1"/>
  <c r="B20" i="5"/>
  <c r="F9" i="6"/>
  <c r="G9" i="6"/>
  <c r="H9" i="6"/>
  <c r="J9" i="6"/>
  <c r="J8" i="6"/>
  <c r="I8" i="6"/>
  <c r="H8" i="6"/>
  <c r="G8" i="6"/>
  <c r="J11" i="5"/>
  <c r="I11" i="5"/>
  <c r="H11" i="5"/>
  <c r="E2" i="12"/>
  <c r="F2" i="12"/>
  <c r="G2" i="12"/>
  <c r="H2" i="12"/>
  <c r="I2" i="12"/>
  <c r="J2" i="12"/>
  <c r="K2" i="12"/>
  <c r="F9" i="7"/>
  <c r="G11" i="5"/>
  <c r="K6" i="11" l="1"/>
  <c r="G24" i="5"/>
  <c r="G25" i="5" s="1"/>
  <c r="M25" i="8"/>
  <c r="I24" i="5"/>
  <c r="L24" i="5"/>
  <c r="M25" i="5" s="1"/>
  <c r="K24" i="5"/>
  <c r="L25" i="5" s="1"/>
  <c r="M24" i="5"/>
  <c r="J24" i="5"/>
  <c r="K25" i="5" s="1"/>
  <c r="H19" i="5"/>
  <c r="H24" i="5" s="1"/>
  <c r="I25" i="5" s="1"/>
  <c r="I19" i="7"/>
  <c r="J17" i="7"/>
  <c r="I18" i="7"/>
  <c r="I7" i="5"/>
  <c r="G26" i="6"/>
  <c r="G27" i="6" s="1"/>
  <c r="H17" i="6"/>
  <c r="H20" i="6" s="1"/>
  <c r="H8" i="5"/>
  <c r="H23" i="7" s="1"/>
  <c r="C39" i="8"/>
  <c r="C19" i="8"/>
  <c r="D39" i="8"/>
  <c r="E25" i="8"/>
  <c r="C21" i="7"/>
  <c r="C33" i="7" s="1"/>
  <c r="C36" i="7" s="1"/>
  <c r="D21" i="7"/>
  <c r="X13" i="32"/>
  <c r="X14" i="32"/>
  <c r="AA5" i="32"/>
  <c r="Z10" i="32"/>
  <c r="Y10" i="32"/>
  <c r="D33" i="7"/>
  <c r="D36" i="7" s="1"/>
  <c r="D25" i="7"/>
  <c r="V8" i="32"/>
  <c r="L5" i="32"/>
  <c r="L8" i="32"/>
  <c r="G8" i="32"/>
  <c r="G11" i="32"/>
  <c r="Q5" i="32"/>
  <c r="S10" i="32"/>
  <c r="S12" i="32" s="1"/>
  <c r="S14" i="32" s="1"/>
  <c r="S18" i="32" s="1"/>
  <c r="L11" i="32"/>
  <c r="E22" i="32"/>
  <c r="C23" i="32"/>
  <c r="S23" i="32"/>
  <c r="G5" i="32"/>
  <c r="Q8" i="32"/>
  <c r="Q11" i="32"/>
  <c r="I12" i="32"/>
  <c r="C22" i="32"/>
  <c r="E23" i="32"/>
  <c r="S22" i="32"/>
  <c r="D12" i="32"/>
  <c r="D23" i="32" s="1"/>
  <c r="K10" i="32"/>
  <c r="K22" i="32" s="1"/>
  <c r="O10" i="32"/>
  <c r="F10" i="32"/>
  <c r="K12" i="32"/>
  <c r="P10" i="32"/>
  <c r="H10" i="32"/>
  <c r="H22" i="32" s="1"/>
  <c r="J10" i="32"/>
  <c r="M10" i="32"/>
  <c r="M22" i="32" s="1"/>
  <c r="N10" i="32"/>
  <c r="E18" i="32"/>
  <c r="E17" i="32"/>
  <c r="C18" i="32"/>
  <c r="C17" i="32"/>
  <c r="R10" i="32"/>
  <c r="R22" i="32" s="1"/>
  <c r="G11" i="6"/>
  <c r="G2" i="6"/>
  <c r="F5" i="6"/>
  <c r="F8" i="8"/>
  <c r="M8" i="13"/>
  <c r="G11" i="7"/>
  <c r="H17" i="13"/>
  <c r="G5" i="6"/>
  <c r="H25" i="13"/>
  <c r="G26" i="13"/>
  <c r="G6" i="6" s="1"/>
  <c r="G18" i="13"/>
  <c r="H18" i="13" s="1"/>
  <c r="I18" i="13" s="1"/>
  <c r="H12" i="7"/>
  <c r="G53" i="13"/>
  <c r="G12" i="7"/>
  <c r="G24" i="13"/>
  <c r="G4" i="6" s="1"/>
  <c r="D10" i="5"/>
  <c r="D18" i="5" s="1"/>
  <c r="E10" i="5"/>
  <c r="E18" i="5" s="1"/>
  <c r="F2" i="5"/>
  <c r="D27" i="8"/>
  <c r="E39" i="8"/>
  <c r="E27" i="8"/>
  <c r="C27" i="8"/>
  <c r="G8" i="8"/>
  <c r="H48" i="13"/>
  <c r="H8" i="8" s="1"/>
  <c r="M7" i="13"/>
  <c r="L7" i="13"/>
  <c r="L8" i="13"/>
  <c r="G33" i="13"/>
  <c r="F4" i="5"/>
  <c r="K8" i="13"/>
  <c r="J8" i="13"/>
  <c r="I8" i="13"/>
  <c r="H8" i="13"/>
  <c r="G8" i="13"/>
  <c r="K7" i="13"/>
  <c r="I7" i="13"/>
  <c r="J7" i="13"/>
  <c r="G7" i="13"/>
  <c r="H7" i="13"/>
  <c r="F6" i="8"/>
  <c r="G47" i="13"/>
  <c r="F12" i="13"/>
  <c r="G12" i="13" s="1"/>
  <c r="F45" i="13"/>
  <c r="F54" i="13"/>
  <c r="F46" i="13"/>
  <c r="E21" i="7"/>
  <c r="F49" i="13"/>
  <c r="F55" i="13"/>
  <c r="J25" i="5" l="1"/>
  <c r="H25" i="5"/>
  <c r="H9" i="5"/>
  <c r="I6" i="5" s="1"/>
  <c r="J18" i="7"/>
  <c r="J19" i="7"/>
  <c r="K17" i="7"/>
  <c r="J7" i="5"/>
  <c r="I17" i="6"/>
  <c r="I20" i="6" s="1"/>
  <c r="H22" i="6"/>
  <c r="H28" i="6" s="1"/>
  <c r="H26" i="6"/>
  <c r="H27" i="6" s="1"/>
  <c r="I8" i="5"/>
  <c r="G4" i="5"/>
  <c r="H4" i="5" s="1"/>
  <c r="I4" i="5" s="1"/>
  <c r="J4" i="5" s="1"/>
  <c r="K4" i="5" s="1"/>
  <c r="L4" i="5" s="1"/>
  <c r="M4" i="5" s="1"/>
  <c r="F8" i="5"/>
  <c r="C41" i="8"/>
  <c r="D41" i="8"/>
  <c r="E41" i="8"/>
  <c r="C25" i="7"/>
  <c r="Y13" i="32"/>
  <c r="Y14" i="32"/>
  <c r="Z13" i="32"/>
  <c r="Z14" i="32"/>
  <c r="AB5" i="32"/>
  <c r="AA10" i="32"/>
  <c r="S17" i="32"/>
  <c r="N12" i="32"/>
  <c r="N22" i="32"/>
  <c r="J12" i="32"/>
  <c r="J22" i="32"/>
  <c r="P12" i="32"/>
  <c r="P22" i="32"/>
  <c r="K14" i="32"/>
  <c r="K18" i="32" s="1"/>
  <c r="K23" i="32"/>
  <c r="F12" i="32"/>
  <c r="F22" i="32"/>
  <c r="O12" i="32"/>
  <c r="O22" i="32"/>
  <c r="I14" i="32"/>
  <c r="I23" i="32"/>
  <c r="R12" i="32"/>
  <c r="R23" i="32" s="1"/>
  <c r="V10" i="32"/>
  <c r="M12" i="32"/>
  <c r="M23" i="32" s="1"/>
  <c r="Q10" i="32"/>
  <c r="Q22" i="32" s="1"/>
  <c r="H12" i="32"/>
  <c r="H23" i="32" s="1"/>
  <c r="L10" i="32"/>
  <c r="L22" i="32" s="1"/>
  <c r="G10" i="32"/>
  <c r="G22" i="32" s="1"/>
  <c r="G12" i="32"/>
  <c r="G23" i="32" s="1"/>
  <c r="D14" i="32"/>
  <c r="K17" i="32"/>
  <c r="H11" i="6"/>
  <c r="H2" i="6"/>
  <c r="H26" i="13"/>
  <c r="I26" i="13" s="1"/>
  <c r="H11" i="7"/>
  <c r="I17" i="13"/>
  <c r="H5" i="6"/>
  <c r="I25" i="13"/>
  <c r="H12" i="13"/>
  <c r="G6" i="7"/>
  <c r="I48" i="13"/>
  <c r="H24" i="13"/>
  <c r="G8" i="7"/>
  <c r="G10" i="8"/>
  <c r="H53" i="13"/>
  <c r="J18" i="13"/>
  <c r="I12" i="7"/>
  <c r="G2" i="5"/>
  <c r="F10" i="5"/>
  <c r="F18" i="5" s="1"/>
  <c r="H33" i="13"/>
  <c r="G3" i="5"/>
  <c r="H4" i="6"/>
  <c r="I24" i="13"/>
  <c r="J48" i="13"/>
  <c r="I8" i="8"/>
  <c r="F5" i="8"/>
  <c r="G46" i="13"/>
  <c r="G45" i="13"/>
  <c r="H45" i="13" s="1"/>
  <c r="I45" i="13" s="1"/>
  <c r="J45" i="13" s="1"/>
  <c r="K45" i="13" s="1"/>
  <c r="L45" i="13" s="1"/>
  <c r="M45" i="13" s="1"/>
  <c r="F4" i="8"/>
  <c r="F6" i="7"/>
  <c r="F12" i="8"/>
  <c r="G55" i="13"/>
  <c r="G49" i="13"/>
  <c r="F7" i="8"/>
  <c r="F11" i="13"/>
  <c r="G11" i="13" s="1"/>
  <c r="E33" i="7"/>
  <c r="E36" i="7" s="1"/>
  <c r="E25" i="7"/>
  <c r="F11" i="8"/>
  <c r="G54" i="13"/>
  <c r="G6" i="8"/>
  <c r="H47" i="13"/>
  <c r="K18" i="7" l="1"/>
  <c r="K7" i="5"/>
  <c r="K19" i="7"/>
  <c r="L17" i="7"/>
  <c r="I9" i="5"/>
  <c r="J6" i="5" s="1"/>
  <c r="I23" i="7"/>
  <c r="J17" i="6"/>
  <c r="J20" i="6" s="1"/>
  <c r="I22" i="6"/>
  <c r="I28" i="6" s="1"/>
  <c r="I26" i="6"/>
  <c r="I27" i="6" s="1"/>
  <c r="J8" i="5"/>
  <c r="J23" i="7" s="1"/>
  <c r="J9" i="5"/>
  <c r="K6" i="5" s="1"/>
  <c r="F23" i="7"/>
  <c r="F9" i="5"/>
  <c r="F21" i="8" s="1"/>
  <c r="F25" i="8" s="1"/>
  <c r="AA13" i="32"/>
  <c r="AA14" i="32"/>
  <c r="AC5" i="32"/>
  <c r="AC10" i="32" s="1"/>
  <c r="AB10" i="32"/>
  <c r="F14" i="32"/>
  <c r="G14" i="32" s="1"/>
  <c r="F23" i="32"/>
  <c r="I18" i="32"/>
  <c r="I17" i="32"/>
  <c r="O14" i="32"/>
  <c r="O23" i="32"/>
  <c r="P14" i="32"/>
  <c r="P23" i="32"/>
  <c r="J14" i="32"/>
  <c r="J23" i="32"/>
  <c r="N14" i="32"/>
  <c r="N23" i="32"/>
  <c r="R14" i="32"/>
  <c r="V12" i="32"/>
  <c r="V23" i="32" s="1"/>
  <c r="D17" i="32"/>
  <c r="D18" i="32"/>
  <c r="H14" i="32"/>
  <c r="L12" i="32"/>
  <c r="L23" i="32" s="1"/>
  <c r="M14" i="32"/>
  <c r="Q12" i="32"/>
  <c r="Q23" i="32" s="1"/>
  <c r="I11" i="6"/>
  <c r="I2" i="6"/>
  <c r="H6" i="6"/>
  <c r="I11" i="7"/>
  <c r="J17" i="13"/>
  <c r="J25" i="13"/>
  <c r="I5" i="6"/>
  <c r="H10" i="8"/>
  <c r="I53" i="13"/>
  <c r="G5" i="7"/>
  <c r="H11" i="13"/>
  <c r="H8" i="7"/>
  <c r="K18" i="13"/>
  <c r="J12" i="7"/>
  <c r="G7" i="7"/>
  <c r="G20" i="7" s="1"/>
  <c r="G21" i="7" s="1"/>
  <c r="I12" i="13"/>
  <c r="H6" i="7"/>
  <c r="H2" i="5"/>
  <c r="G10" i="5"/>
  <c r="G18" i="5" s="1"/>
  <c r="I4" i="6"/>
  <c r="J24" i="13"/>
  <c r="I33" i="13"/>
  <c r="H3" i="5"/>
  <c r="K48" i="13"/>
  <c r="J8" i="8"/>
  <c r="J26" i="13"/>
  <c r="I6" i="6"/>
  <c r="H54" i="13"/>
  <c r="G11" i="8"/>
  <c r="F5" i="7"/>
  <c r="H49" i="13"/>
  <c r="G7" i="8"/>
  <c r="H55" i="13"/>
  <c r="G12" i="8"/>
  <c r="F36" i="8"/>
  <c r="I47" i="13"/>
  <c r="H6" i="8"/>
  <c r="F7" i="7"/>
  <c r="F20" i="7" s="1"/>
  <c r="F21" i="7" s="1"/>
  <c r="G4" i="8"/>
  <c r="H46" i="13"/>
  <c r="G5" i="8"/>
  <c r="F4" i="10" l="1"/>
  <c r="F33" i="7"/>
  <c r="F35" i="7" s="1"/>
  <c r="F36" i="7" s="1"/>
  <c r="F25" i="7"/>
  <c r="G25" i="7"/>
  <c r="G4" i="10"/>
  <c r="G7" i="10" s="1"/>
  <c r="G15" i="10" s="1"/>
  <c r="E4" i="12" s="1"/>
  <c r="G33" i="7"/>
  <c r="G35" i="7" s="1"/>
  <c r="G36" i="7" s="1"/>
  <c r="L18" i="7"/>
  <c r="L7" i="5"/>
  <c r="M17" i="7"/>
  <c r="L19" i="7"/>
  <c r="K17" i="6"/>
  <c r="K20" i="6" s="1"/>
  <c r="J22" i="6"/>
  <c r="J28" i="6" s="1"/>
  <c r="J26" i="6"/>
  <c r="J27" i="6" s="1"/>
  <c r="K8" i="5"/>
  <c r="AB13" i="32"/>
  <c r="AB14" i="32"/>
  <c r="AC13" i="32"/>
  <c r="AC14" i="32"/>
  <c r="N18" i="32"/>
  <c r="N17" i="32"/>
  <c r="J18" i="32"/>
  <c r="J17" i="32"/>
  <c r="P17" i="32"/>
  <c r="P18" i="32"/>
  <c r="O17" i="32"/>
  <c r="O18" i="32"/>
  <c r="F18" i="32"/>
  <c r="F17" i="32"/>
  <c r="M18" i="32"/>
  <c r="Q14" i="32"/>
  <c r="M17" i="32"/>
  <c r="H18" i="32"/>
  <c r="L14" i="32"/>
  <c r="H17" i="32"/>
  <c r="G18" i="32"/>
  <c r="G17" i="32"/>
  <c r="R17" i="32"/>
  <c r="V14" i="32"/>
  <c r="R18" i="32"/>
  <c r="J11" i="6"/>
  <c r="J2" i="6"/>
  <c r="J11" i="7"/>
  <c r="K17" i="13"/>
  <c r="K25" i="13"/>
  <c r="J5" i="6"/>
  <c r="J12" i="13"/>
  <c r="I6" i="7"/>
  <c r="H7" i="7"/>
  <c r="H20" i="7" s="1"/>
  <c r="H21" i="7" s="1"/>
  <c r="L18" i="13"/>
  <c r="K12" i="7"/>
  <c r="I8" i="7"/>
  <c r="I11" i="13"/>
  <c r="H5" i="7"/>
  <c r="J53" i="13"/>
  <c r="I10" i="8"/>
  <c r="I2" i="5"/>
  <c r="H10" i="5"/>
  <c r="H18" i="5" s="1"/>
  <c r="I3" i="5"/>
  <c r="J33" i="13"/>
  <c r="J4" i="6"/>
  <c r="K24" i="13"/>
  <c r="L48" i="13"/>
  <c r="K8" i="8"/>
  <c r="J6" i="6"/>
  <c r="K26" i="13"/>
  <c r="F19" i="13"/>
  <c r="G19" i="13" s="1"/>
  <c r="J47" i="13"/>
  <c r="I6" i="8"/>
  <c r="H12" i="8"/>
  <c r="I55" i="13"/>
  <c r="I49" i="13"/>
  <c r="H7" i="8"/>
  <c r="I46" i="13"/>
  <c r="H5" i="8"/>
  <c r="H4" i="8"/>
  <c r="L4" i="11"/>
  <c r="L5" i="11" s="1"/>
  <c r="L6" i="11" s="1"/>
  <c r="I54" i="13"/>
  <c r="H11" i="8"/>
  <c r="H4" i="10" l="1"/>
  <c r="H7" i="10" s="1"/>
  <c r="H15" i="10" s="1"/>
  <c r="F4" i="12" s="1"/>
  <c r="H33" i="7"/>
  <c r="H25" i="7"/>
  <c r="G43" i="7"/>
  <c r="G14" i="5"/>
  <c r="G42" i="7"/>
  <c r="F42" i="7"/>
  <c r="F43" i="7"/>
  <c r="F14" i="5"/>
  <c r="F17" i="5" s="1"/>
  <c r="K9" i="5"/>
  <c r="L6" i="5" s="1"/>
  <c r="K23" i="7"/>
  <c r="M7" i="5"/>
  <c r="M18" i="7"/>
  <c r="M19" i="7"/>
  <c r="L17" i="6"/>
  <c r="L20" i="6" s="1"/>
  <c r="K26" i="6"/>
  <c r="K27" i="6" s="1"/>
  <c r="K22" i="6"/>
  <c r="K28" i="6" s="1"/>
  <c r="L8" i="5"/>
  <c r="L18" i="32"/>
  <c r="L17" i="32"/>
  <c r="K11" i="6"/>
  <c r="K2" i="6"/>
  <c r="K11" i="7"/>
  <c r="L17" i="13"/>
  <c r="L25" i="13"/>
  <c r="K5" i="6"/>
  <c r="H19" i="13"/>
  <c r="G13" i="7"/>
  <c r="J10" i="8"/>
  <c r="K53" i="13"/>
  <c r="J11" i="13"/>
  <c r="I5" i="7"/>
  <c r="J8" i="7"/>
  <c r="M18" i="13"/>
  <c r="M12" i="7" s="1"/>
  <c r="L12" i="7"/>
  <c r="I7" i="7"/>
  <c r="I20" i="7" s="1"/>
  <c r="I21" i="7" s="1"/>
  <c r="K12" i="13"/>
  <c r="J6" i="7"/>
  <c r="J2" i="5"/>
  <c r="I10" i="5"/>
  <c r="I18" i="5" s="1"/>
  <c r="K33" i="13"/>
  <c r="J3" i="5"/>
  <c r="L24" i="13"/>
  <c r="K4" i="6"/>
  <c r="M48" i="13"/>
  <c r="M8" i="8" s="1"/>
  <c r="L8" i="8"/>
  <c r="K6" i="6"/>
  <c r="L26" i="13"/>
  <c r="I4" i="8"/>
  <c r="F20" i="13"/>
  <c r="G20" i="13" s="1"/>
  <c r="I5" i="8"/>
  <c r="J46" i="13"/>
  <c r="J49" i="13"/>
  <c r="I7" i="8"/>
  <c r="I12" i="8"/>
  <c r="J55" i="13"/>
  <c r="J6" i="8"/>
  <c r="K47" i="13"/>
  <c r="J54" i="13"/>
  <c r="I11" i="8"/>
  <c r="F11" i="7"/>
  <c r="E12" i="11"/>
  <c r="F40" i="13"/>
  <c r="F13" i="7"/>
  <c r="I4" i="10" l="1"/>
  <c r="I7" i="10" s="1"/>
  <c r="I15" i="10" s="1"/>
  <c r="G4" i="12" s="1"/>
  <c r="I33" i="7"/>
  <c r="I35" i="7" s="1"/>
  <c r="I36" i="7" s="1"/>
  <c r="I25" i="7"/>
  <c r="G13" i="5"/>
  <c r="G17" i="5" s="1"/>
  <c r="F38" i="8"/>
  <c r="H35" i="7"/>
  <c r="H36" i="7" s="1"/>
  <c r="L9" i="5"/>
  <c r="M6" i="5" s="1"/>
  <c r="L23" i="7"/>
  <c r="M17" i="6"/>
  <c r="M20" i="6" s="1"/>
  <c r="L22" i="6"/>
  <c r="L28" i="6" s="1"/>
  <c r="L26" i="6"/>
  <c r="L27" i="6" s="1"/>
  <c r="M8" i="5"/>
  <c r="L11" i="6"/>
  <c r="L2" i="6"/>
  <c r="L11" i="7"/>
  <c r="M17" i="13"/>
  <c r="M11" i="7" s="1"/>
  <c r="M25" i="13"/>
  <c r="M5" i="6" s="1"/>
  <c r="L5" i="6"/>
  <c r="G14" i="7"/>
  <c r="H20" i="13"/>
  <c r="L12" i="13"/>
  <c r="K6" i="7"/>
  <c r="J7" i="7"/>
  <c r="J20" i="7" s="1"/>
  <c r="J21" i="7" s="1"/>
  <c r="L53" i="13"/>
  <c r="K10" i="8"/>
  <c r="K8" i="7"/>
  <c r="K11" i="13"/>
  <c r="J5" i="7"/>
  <c r="I19" i="13"/>
  <c r="H13" i="7"/>
  <c r="K2" i="5"/>
  <c r="J10" i="5"/>
  <c r="J18" i="5" s="1"/>
  <c r="L4" i="6"/>
  <c r="M24" i="13"/>
  <c r="M4" i="6" s="1"/>
  <c r="L33" i="13"/>
  <c r="K3" i="5"/>
  <c r="M26" i="13"/>
  <c r="M6" i="6" s="1"/>
  <c r="L6" i="6"/>
  <c r="K49" i="13"/>
  <c r="J7" i="8"/>
  <c r="G40" i="13"/>
  <c r="M4" i="11"/>
  <c r="J12" i="8"/>
  <c r="K55" i="13"/>
  <c r="K54" i="13"/>
  <c r="J11" i="8"/>
  <c r="L47" i="13"/>
  <c r="K6" i="8"/>
  <c r="F7" i="10"/>
  <c r="F15" i="10" s="1"/>
  <c r="D4" i="12" s="1"/>
  <c r="J5" i="8"/>
  <c r="K46" i="13"/>
  <c r="F41" i="13"/>
  <c r="F14" i="7"/>
  <c r="J4" i="8"/>
  <c r="H43" i="7" l="1"/>
  <c r="H42" i="7"/>
  <c r="H14" i="5"/>
  <c r="I42" i="7"/>
  <c r="I43" i="7"/>
  <c r="I14" i="5"/>
  <c r="G38" i="8"/>
  <c r="H13" i="5"/>
  <c r="H17" i="5" s="1"/>
  <c r="J4" i="10"/>
  <c r="J7" i="10" s="1"/>
  <c r="J15" i="10" s="1"/>
  <c r="H4" i="12" s="1"/>
  <c r="J33" i="7"/>
  <c r="J35" i="7" s="1"/>
  <c r="J36" i="7" s="1"/>
  <c r="J25" i="7"/>
  <c r="M9" i="5"/>
  <c r="M23" i="7"/>
  <c r="M22" i="6"/>
  <c r="M28" i="6" s="1"/>
  <c r="M26" i="6"/>
  <c r="M27" i="6" s="1"/>
  <c r="M11" i="6"/>
  <c r="M2" i="6"/>
  <c r="H14" i="7"/>
  <c r="I20" i="13"/>
  <c r="J19" i="13"/>
  <c r="I13" i="7"/>
  <c r="L11" i="13"/>
  <c r="K5" i="7"/>
  <c r="M14" i="13"/>
  <c r="M8" i="7" s="1"/>
  <c r="L8" i="7"/>
  <c r="M53" i="13"/>
  <c r="M10" i="8" s="1"/>
  <c r="L10" i="8"/>
  <c r="K7" i="7"/>
  <c r="K20" i="7" s="1"/>
  <c r="K21" i="7" s="1"/>
  <c r="M12" i="13"/>
  <c r="M6" i="7" s="1"/>
  <c r="L6" i="7"/>
  <c r="L2" i="5"/>
  <c r="K10" i="5"/>
  <c r="K18" i="5" s="1"/>
  <c r="M33" i="13"/>
  <c r="M3" i="5" s="1"/>
  <c r="L3" i="5"/>
  <c r="L46" i="13"/>
  <c r="K5" i="8"/>
  <c r="F3" i="9"/>
  <c r="F9" i="9" s="1"/>
  <c r="F19" i="9" s="1"/>
  <c r="F22" i="9" s="1"/>
  <c r="F23" i="9" s="1"/>
  <c r="M5" i="11"/>
  <c r="H40" i="13"/>
  <c r="K12" i="8"/>
  <c r="L55" i="13"/>
  <c r="G41" i="13"/>
  <c r="L6" i="8"/>
  <c r="M47" i="13"/>
  <c r="M6" i="8" s="1"/>
  <c r="K11" i="8"/>
  <c r="L54" i="13"/>
  <c r="K7" i="8"/>
  <c r="L49" i="13"/>
  <c r="K4" i="8"/>
  <c r="H38" i="8" l="1"/>
  <c r="I13" i="5"/>
  <c r="I17" i="5" s="1"/>
  <c r="J42" i="7"/>
  <c r="J14" i="5"/>
  <c r="J43" i="7"/>
  <c r="K4" i="10"/>
  <c r="K7" i="10" s="1"/>
  <c r="K15" i="10" s="1"/>
  <c r="I4" i="12" s="1"/>
  <c r="K33" i="7"/>
  <c r="K35" i="7" s="1"/>
  <c r="K36" i="7" s="1"/>
  <c r="K25" i="7"/>
  <c r="F16" i="8"/>
  <c r="F29" i="8"/>
  <c r="M7" i="7"/>
  <c r="M20" i="7" s="1"/>
  <c r="M21" i="7" s="1"/>
  <c r="M25" i="7" s="1"/>
  <c r="L7" i="7"/>
  <c r="L20" i="7" s="1"/>
  <c r="L21" i="7" s="1"/>
  <c r="K19" i="13"/>
  <c r="J13" i="7"/>
  <c r="M11" i="13"/>
  <c r="M5" i="7" s="1"/>
  <c r="L5" i="7"/>
  <c r="J20" i="13"/>
  <c r="I14" i="7"/>
  <c r="M2" i="5"/>
  <c r="M10" i="5" s="1"/>
  <c r="M18" i="5" s="1"/>
  <c r="L10" i="5"/>
  <c r="L18" i="5" s="1"/>
  <c r="G3" i="9"/>
  <c r="G9" i="9" s="1"/>
  <c r="G19" i="9" s="1"/>
  <c r="G22" i="9" s="1"/>
  <c r="H41" i="13"/>
  <c r="L5" i="8"/>
  <c r="M46" i="13"/>
  <c r="M5" i="8" s="1"/>
  <c r="L4" i="8"/>
  <c r="M55" i="13"/>
  <c r="M12" i="8" s="1"/>
  <c r="L12" i="8"/>
  <c r="L7" i="8"/>
  <c r="M49" i="13"/>
  <c r="M7" i="8" s="1"/>
  <c r="M6" i="11"/>
  <c r="M54" i="13"/>
  <c r="M11" i="8" s="1"/>
  <c r="L11" i="8"/>
  <c r="I40" i="13"/>
  <c r="F31" i="6" l="1"/>
  <c r="F33" i="6" s="1"/>
  <c r="G21" i="9"/>
  <c r="G23" i="9" s="1"/>
  <c r="L4" i="10"/>
  <c r="L7" i="10" s="1"/>
  <c r="L15" i="10" s="1"/>
  <c r="J4" i="12" s="1"/>
  <c r="L33" i="7"/>
  <c r="L25" i="7"/>
  <c r="M4" i="10"/>
  <c r="M7" i="10" s="1"/>
  <c r="M15" i="10" s="1"/>
  <c r="K4" i="12" s="1"/>
  <c r="K5" i="12" s="1"/>
  <c r="C8" i="12" s="1"/>
  <c r="M33" i="7"/>
  <c r="K43" i="7"/>
  <c r="K42" i="7"/>
  <c r="K14" i="5"/>
  <c r="I38" i="8"/>
  <c r="J13" i="5"/>
  <c r="J17" i="5" s="1"/>
  <c r="K20" i="13"/>
  <c r="J14" i="7"/>
  <c r="L19" i="13"/>
  <c r="K13" i="7"/>
  <c r="M8" i="11"/>
  <c r="M10" i="11" s="1"/>
  <c r="E8" i="11" s="1"/>
  <c r="E13" i="11" s="1"/>
  <c r="M4" i="8"/>
  <c r="I41" i="13"/>
  <c r="H3" i="9"/>
  <c r="H9" i="9" s="1"/>
  <c r="H19" i="9" s="1"/>
  <c r="H22" i="9" s="1"/>
  <c r="F19" i="8"/>
  <c r="F27" i="8" s="1"/>
  <c r="F32" i="8"/>
  <c r="J40" i="13"/>
  <c r="G29" i="8" l="1"/>
  <c r="G32" i="8" s="1"/>
  <c r="G39" i="8" s="1"/>
  <c r="G16" i="8"/>
  <c r="H21" i="9" s="1"/>
  <c r="H23" i="9" s="1"/>
  <c r="K13" i="5"/>
  <c r="K17" i="5" s="1"/>
  <c r="J38" i="8"/>
  <c r="M35" i="7"/>
  <c r="M36" i="7" s="1"/>
  <c r="L35" i="7"/>
  <c r="L36" i="7" s="1"/>
  <c r="C7" i="12"/>
  <c r="M19" i="13"/>
  <c r="M13" i="7" s="1"/>
  <c r="L13" i="7"/>
  <c r="L20" i="13"/>
  <c r="K14" i="7"/>
  <c r="F39" i="8"/>
  <c r="F41" i="8" s="1"/>
  <c r="J3" i="9"/>
  <c r="J9" i="9" s="1"/>
  <c r="J19" i="9" s="1"/>
  <c r="J22" i="9" s="1"/>
  <c r="K40" i="13"/>
  <c r="J41" i="13"/>
  <c r="I3" i="9"/>
  <c r="I9" i="9" s="1"/>
  <c r="I19" i="9" s="1"/>
  <c r="I22" i="9" s="1"/>
  <c r="C9" i="12" l="1"/>
  <c r="C15" i="12" s="1"/>
  <c r="C18" i="12" s="1"/>
  <c r="L9" i="12" s="1"/>
  <c r="G7" i="12"/>
  <c r="G9" i="12" s="1"/>
  <c r="G15" i="12" s="1"/>
  <c r="G18" i="12" s="1"/>
  <c r="R9" i="12" s="1"/>
  <c r="G31" i="6"/>
  <c r="G33" i="6" s="1"/>
  <c r="G19" i="8"/>
  <c r="G27" i="8" s="1"/>
  <c r="G41" i="8" s="1"/>
  <c r="M43" i="7"/>
  <c r="M14" i="5"/>
  <c r="M42" i="7"/>
  <c r="K38" i="8"/>
  <c r="L13" i="5"/>
  <c r="L43" i="7"/>
  <c r="L42" i="7"/>
  <c r="L14" i="5"/>
  <c r="H29" i="8"/>
  <c r="H32" i="8" s="1"/>
  <c r="H39" i="8" s="1"/>
  <c r="H16" i="8"/>
  <c r="M20" i="13"/>
  <c r="M14" i="7" s="1"/>
  <c r="L14" i="7"/>
  <c r="K3" i="9"/>
  <c r="K9" i="9" s="1"/>
  <c r="K19" i="9" s="1"/>
  <c r="K22" i="9" s="1"/>
  <c r="K41" i="13"/>
  <c r="L40" i="13"/>
  <c r="L17" i="5" l="1"/>
  <c r="H31" i="6"/>
  <c r="H33" i="6" s="1"/>
  <c r="I21" i="9"/>
  <c r="I23" i="9" s="1"/>
  <c r="H19" i="8"/>
  <c r="H27" i="8" s="1"/>
  <c r="H41" i="8" s="1"/>
  <c r="M40" i="13"/>
  <c r="L41" i="13"/>
  <c r="L3" i="9"/>
  <c r="L9" i="9" s="1"/>
  <c r="L19" i="9" s="1"/>
  <c r="L22" i="9" s="1"/>
  <c r="M13" i="5" l="1"/>
  <c r="M17" i="5" s="1"/>
  <c r="M38" i="8" s="1"/>
  <c r="L38" i="8"/>
  <c r="I29" i="8"/>
  <c r="I32" i="8" s="1"/>
  <c r="I39" i="8" s="1"/>
  <c r="I16" i="8"/>
  <c r="M3" i="9"/>
  <c r="M9" i="9" s="1"/>
  <c r="M19" i="9" s="1"/>
  <c r="M22" i="9" s="1"/>
  <c r="M41" i="13"/>
  <c r="I31" i="6" l="1"/>
  <c r="I33" i="6" s="1"/>
  <c r="I19" i="8"/>
  <c r="I27" i="8" s="1"/>
  <c r="I41" i="8" s="1"/>
  <c r="J21" i="9"/>
  <c r="J23" i="9" s="1"/>
  <c r="J29" i="8" l="1"/>
  <c r="J32" i="8" s="1"/>
  <c r="J39" i="8" s="1"/>
  <c r="J16" i="8"/>
  <c r="J31" i="6" l="1"/>
  <c r="J33" i="6" s="1"/>
  <c r="K21" i="9"/>
  <c r="K23" i="9" s="1"/>
  <c r="J19" i="8"/>
  <c r="J27" i="8" s="1"/>
  <c r="J41" i="8" s="1"/>
  <c r="K29" i="8" l="1"/>
  <c r="K32" i="8" s="1"/>
  <c r="K39" i="8" s="1"/>
  <c r="K16" i="8"/>
  <c r="F10" i="13"/>
  <c r="F8" i="13" s="1"/>
  <c r="K19" i="8" l="1"/>
  <c r="K27" i="8" s="1"/>
  <c r="L21" i="9"/>
  <c r="L23" i="9" s="1"/>
  <c r="K31" i="6"/>
  <c r="K33" i="6" s="1"/>
  <c r="K41" i="8"/>
  <c r="F4" i="7"/>
  <c r="F7" i="13"/>
  <c r="L29" i="8" l="1"/>
  <c r="L32" i="8" s="1"/>
  <c r="L39" i="8" s="1"/>
  <c r="L16" i="8"/>
  <c r="L19" i="8" l="1"/>
  <c r="L27" i="8" s="1"/>
  <c r="M21" i="9"/>
  <c r="M23" i="9" s="1"/>
  <c r="L31" i="6"/>
  <c r="L33" i="6" s="1"/>
  <c r="L41" i="8"/>
  <c r="M29" i="8" l="1"/>
  <c r="M32" i="8" s="1"/>
  <c r="M39" i="8" s="1"/>
  <c r="M16" i="8"/>
  <c r="M31" i="6" l="1"/>
  <c r="M33" i="6" s="1"/>
  <c r="M19" i="8"/>
  <c r="M27" i="8" s="1"/>
  <c r="M4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<sst xmlns="http://schemas.openxmlformats.org/spreadsheetml/2006/main" count="432" uniqueCount="241">
  <si>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</si>
  <si>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</si>
  <si>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</si>
  <si>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</si>
  <si>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</si>
  <si>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</si>
  <si>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</si>
  <si>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</si>
  <si>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</si>
  <si>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</si>
  <si>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</si>
  <si>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</si>
  <si>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</si>
  <si>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</si>
  <si>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</si>
  <si>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</si>
  <si>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</si>
  <si>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</si>
  <si>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</si>
  <si>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</si>
  <si>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</si>
  <si>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</si>
  <si>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</si>
  <si>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</si>
  <si>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</si>
  <si>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</si>
  <si>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</si>
  <si>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</si>
  <si>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</si>
  <si>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</si>
  <si>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</si>
  <si>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</si>
  <si>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</si>
  <si>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</si>
  <si>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</si>
  <si>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</si>
  <si>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</si>
  <si>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</si>
  <si>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</si>
  <si>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</si>
  <si>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</si>
  <si>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</si>
  <si>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</si>
  <si>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</si>
  <si>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</si>
  <si>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</si>
  <si>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</si>
  <si>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</si>
  <si>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</si>
  <si>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</si>
  <si>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</si>
  <si>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</si>
  <si>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</si>
  <si>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</si>
  <si>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</si>
  <si>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</si>
  <si>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</si>
  <si>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</si>
  <si>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</si>
  <si>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</si>
  <si>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Shareholder information</t>
  </si>
  <si>
    <t>Basic earnings per share</t>
  </si>
  <si>
    <t>Diluted earnings per share</t>
  </si>
  <si>
    <t>Balance sheet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</si>
  <si>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</si>
  <si>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</si>
  <si>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</si>
  <si>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</si>
  <si>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</si>
  <si>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</si>
  <si>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</si>
  <si>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</si>
  <si>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</si>
  <si>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</si>
  <si>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</si>
  <si>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</si>
  <si>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</si>
  <si>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</si>
  <si>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</si>
  <si>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</si>
  <si>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</si>
  <si>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</si>
  <si>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</si>
  <si>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</si>
  <si>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</si>
  <si>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</si>
  <si>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</si>
  <si>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</si>
  <si>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</si>
  <si>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</si>
  <si>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</si>
  <si>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</si>
  <si>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</si>
  <si>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</si>
  <si>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</si>
  <si>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</si>
  <si>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</si>
  <si>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</si>
  <si>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</si>
  <si>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</si>
  <si>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</si>
  <si>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</si>
  <si>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</si>
  <si>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</si>
  <si>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</si>
  <si>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</si>
  <si>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</si>
  <si>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</si>
  <si>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</si>
  <si>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</si>
  <si>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</si>
  <si>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</si>
  <si>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</si>
  <si>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</si>
  <si>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</si>
  <si>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</si>
  <si>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</si>
  <si>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</si>
  <si>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</si>
  <si>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</si>
  <si>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</si>
  <si>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</si>
  <si>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</si>
  <si>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</si>
  <si>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</si>
  <si>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</si>
  <si>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</si>
  <si>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</si>
  <si>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Dividend payout ratio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</si>
  <si>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</si>
  <si>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</si>
  <si>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</si>
  <si>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</si>
  <si>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</si>
  <si>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</si>
  <si>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</si>
  <si>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</si>
  <si>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</si>
  <si>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</si>
  <si>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</si>
  <si>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</si>
  <si>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</si>
  <si>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</si>
  <si>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</si>
  <si>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</si>
  <si>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</si>
  <si>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</si>
  <si>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</si>
  <si>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</si>
  <si>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</si>
  <si>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</si>
  <si>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</si>
  <si>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</si>
  <si>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</si>
  <si>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</si>
  <si>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</si>
  <si>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</si>
  <si>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</si>
  <si>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</si>
  <si>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</si>
  <si>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</si>
  <si>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</si>
  <si>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</si>
  <si>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</si>
  <si>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</si>
  <si>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</si>
  <si>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</si>
  <si>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</si>
  <si>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</si>
  <si>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</si>
  <si>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</si>
  <si>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</si>
  <si>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</si>
  <si>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</si>
  <si>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DCF tables</t>
  </si>
  <si>
    <t>Cash</t>
  </si>
  <si>
    <t>Implied Price</t>
  </si>
  <si>
    <t>Difference</t>
  </si>
  <si>
    <t>R&amp;D</t>
  </si>
  <si>
    <t>R&amp;D % of sales</t>
  </si>
  <si>
    <t>Investments in unconsolidated entities</t>
  </si>
  <si>
    <t>Dividend payout rate</t>
  </si>
  <si>
    <t>Cost of debt</t>
  </si>
  <si>
    <t>Perpetuity</t>
  </si>
  <si>
    <t>Terminal Mult</t>
  </si>
  <si>
    <t>Model Details</t>
  </si>
  <si>
    <t>Operating Case One</t>
  </si>
  <si>
    <t>Salesforce Inc.</t>
  </si>
  <si>
    <t>S/O</t>
  </si>
  <si>
    <t>Quarterly Data</t>
  </si>
  <si>
    <t>Subscription and support</t>
  </si>
  <si>
    <t>Professional Services and other</t>
  </si>
  <si>
    <t>Revenues</t>
  </si>
  <si>
    <t>Q123</t>
  </si>
  <si>
    <t>Q223</t>
  </si>
  <si>
    <t>Q323</t>
  </si>
  <si>
    <t>Q424</t>
  </si>
  <si>
    <t>Q423</t>
  </si>
  <si>
    <t>Q124</t>
  </si>
  <si>
    <t>Q224</t>
  </si>
  <si>
    <t>Q324</t>
  </si>
  <si>
    <t>Q125</t>
  </si>
  <si>
    <t>Q225</t>
  </si>
  <si>
    <t>Q325</t>
  </si>
  <si>
    <t>Q425</t>
  </si>
  <si>
    <t>Q126</t>
  </si>
  <si>
    <t>Q226</t>
  </si>
  <si>
    <t>Q326</t>
  </si>
  <si>
    <t>Q426</t>
  </si>
  <si>
    <t>Restructuring (non-recurring)</t>
  </si>
  <si>
    <t>Other income (expenses)</t>
  </si>
  <si>
    <t>Pretax income</t>
  </si>
  <si>
    <t>Taxes</t>
  </si>
  <si>
    <t>WASO</t>
  </si>
  <si>
    <t>EPS</t>
  </si>
  <si>
    <t>Diluted EPS</t>
  </si>
  <si>
    <t>Revenue y/y</t>
  </si>
  <si>
    <t>Operating Margin no restructuring</t>
  </si>
  <si>
    <t>Tax rate</t>
  </si>
  <si>
    <t>Subscription y/y</t>
  </si>
  <si>
    <t>Other y/y</t>
  </si>
  <si>
    <t>Diviends</t>
  </si>
  <si>
    <t>NO REVOLVER</t>
  </si>
  <si>
    <t>(inc) / dec in LT assets</t>
  </si>
  <si>
    <t>inc / (dec) in LT liabilities</t>
  </si>
  <si>
    <t>Cash Flow From Operations</t>
  </si>
  <si>
    <t>Cash Flow From Investing</t>
  </si>
  <si>
    <t>Debt Issuance / (repayment)</t>
  </si>
  <si>
    <t>Cash Flow From Financing</t>
  </si>
  <si>
    <t>Net changes in cash</t>
  </si>
  <si>
    <t>Beginning cash</t>
  </si>
  <si>
    <t>Changes</t>
  </si>
  <si>
    <t>Ending cash</t>
  </si>
  <si>
    <t>MSFT</t>
  </si>
  <si>
    <t>ADBE</t>
  </si>
  <si>
    <t>NOW</t>
  </si>
  <si>
    <t>PV FCF</t>
  </si>
  <si>
    <t>Discount Rate</t>
  </si>
  <si>
    <t>LTGR</t>
  </si>
  <si>
    <t>Average</t>
  </si>
  <si>
    <t>Exit Mult.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</si>
</sst>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  <numFmt numFmtId="184" formatCode="0;[Red]0"/>
    <numFmt numFmtId="187" formatCode="&quot;$&quot;#,##0"/>
    <numFmt numFmtId="188" formatCode="0.0"/>
  </numFmts>
  <fonts count="7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sz val="8"/>
      <name val="Arial"/>
      <family val="2"/>
    </font>
    <font>
      <b/>
      <i/>
      <sz val="11"/>
      <color rgb="FF34A853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323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66" fontId="39" fillId="35" borderId="0" xfId="59" applyFont="1" applyFill="1" applyProtection="1"/>
    <xf numFmtId="172" fontId="37" fillId="35" borderId="0" xfId="3" applyNumberFormat="1" applyFont="1" applyFill="1" applyBorder="1" applyProtection="1"/>
    <xf numFmtId="166" fontId="33" fillId="35" borderId="0" xfId="59" applyFont="1" applyFill="1" applyProtection="1"/>
    <xf numFmtId="179" fontId="40" fillId="0" borderId="18" xfId="0" applyNumberFormat="1" applyFont="1" applyBorder="1"/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67" fontId="39" fillId="35" borderId="15" xfId="0" applyFont="1" applyFill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79" fontId="39" fillId="0" borderId="0" xfId="4" applyNumberFormat="1" applyFont="1" applyBorder="1"/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69" fontId="40" fillId="0" borderId="0" xfId="4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7" fontId="30" fillId="40" borderId="1" xfId="0" applyFont="1" applyFill="1" applyBorder="1"/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3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3" fillId="0" borderId="0" xfId="0" applyNumberFormat="1" applyFont="1"/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9" fontId="39" fillId="0" borderId="0" xfId="59" applyNumberFormat="1" applyFont="1" applyAlignment="1" applyProtection="1">
      <alignment horizontal="right"/>
    </xf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73" fontId="56" fillId="40" borderId="16" xfId="0" applyNumberFormat="1" applyFont="1" applyFill="1" applyBorder="1"/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84" fontId="33" fillId="35" borderId="0" xfId="0" applyNumberFormat="1" applyFont="1" applyFill="1"/>
    <xf numFmtId="1" fontId="33" fillId="35" borderId="0" xfId="0" applyNumberFormat="1" applyFont="1" applyFill="1"/>
    <xf numFmtId="1" fontId="33" fillId="35" borderId="0" xfId="52" applyNumberFormat="1" applyFont="1" applyFill="1" applyBorder="1" applyAlignment="1">
      <alignment horizontal="right" vertical="center"/>
    </xf>
    <xf numFmtId="1" fontId="33" fillId="35" borderId="0" xfId="0" applyNumberFormat="1" applyFont="1" applyFill="1" applyAlignment="1">
      <alignment horizontal="right"/>
    </xf>
    <xf numFmtId="1" fontId="33" fillId="34" borderId="0" xfId="0" applyNumberFormat="1" applyFont="1" applyFill="1" applyAlignment="1">
      <alignment horizontal="right"/>
    </xf>
    <xf numFmtId="1" fontId="33" fillId="42" borderId="0" xfId="0" applyNumberFormat="1" applyFont="1" applyFill="1"/>
    <xf numFmtId="1" fontId="33" fillId="42" borderId="0" xfId="0" applyNumberFormat="1" applyFont="1" applyFill="1" applyAlignment="1">
      <alignment horizontal="right"/>
    </xf>
    <xf numFmtId="3" fontId="69" fillId="0" borderId="0" xfId="0" applyNumberFormat="1" applyFont="1"/>
    <xf numFmtId="3" fontId="39" fillId="0" borderId="0" xfId="0" applyNumberFormat="1" applyFont="1"/>
    <xf numFmtId="3" fontId="34" fillId="0" borderId="0" xfId="52" applyNumberFormat="1" applyFont="1" applyFill="1" applyBorder="1" applyAlignment="1">
      <alignment horizontal="right"/>
    </xf>
    <xf numFmtId="3" fontId="45" fillId="0" borderId="0" xfId="0" applyNumberFormat="1" applyFont="1"/>
    <xf numFmtId="4" fontId="39" fillId="0" borderId="0" xfId="0" applyNumberFormat="1" applyFont="1"/>
    <xf numFmtId="3" fontId="39" fillId="0" borderId="15" xfId="0" applyNumberFormat="1" applyFont="1" applyBorder="1"/>
    <xf numFmtId="1" fontId="33" fillId="0" borderId="0" xfId="0" applyNumberFormat="1" applyFont="1" applyFill="1"/>
    <xf numFmtId="3" fontId="39" fillId="0" borderId="0" xfId="0" applyNumberFormat="1" applyFont="1" applyBorder="1"/>
    <xf numFmtId="3" fontId="39" fillId="0" borderId="16" xfId="0" applyNumberFormat="1" applyFont="1" applyBorder="1"/>
    <xf numFmtId="3" fontId="39" fillId="0" borderId="18" xfId="0" applyNumberFormat="1" applyFont="1" applyBorder="1"/>
    <xf numFmtId="3" fontId="45" fillId="0" borderId="18" xfId="0" applyNumberFormat="1" applyFont="1" applyBorder="1"/>
    <xf numFmtId="4" fontId="39" fillId="0" borderId="18" xfId="0" applyNumberFormat="1" applyFont="1" applyBorder="1"/>
    <xf numFmtId="3" fontId="39" fillId="0" borderId="21" xfId="0" applyNumberFormat="1" applyFont="1" applyBorder="1"/>
    <xf numFmtId="3" fontId="45" fillId="0" borderId="21" xfId="0" applyNumberFormat="1" applyFont="1" applyBorder="1"/>
    <xf numFmtId="3" fontId="39" fillId="0" borderId="19" xfId="0" applyNumberFormat="1" applyFont="1" applyBorder="1"/>
    <xf numFmtId="4" fontId="39" fillId="0" borderId="21" xfId="0" applyNumberFormat="1" applyFont="1" applyBorder="1"/>
    <xf numFmtId="1" fontId="33" fillId="42" borderId="18" xfId="0" applyNumberFormat="1" applyFont="1" applyFill="1" applyBorder="1" applyAlignment="1">
      <alignment horizontal="right"/>
    </xf>
    <xf numFmtId="1" fontId="33" fillId="42" borderId="21" xfId="0" applyNumberFormat="1" applyFont="1" applyFill="1" applyBorder="1" applyAlignment="1">
      <alignment horizontal="right"/>
    </xf>
    <xf numFmtId="1" fontId="33" fillId="42" borderId="21" xfId="0" applyNumberFormat="1" applyFont="1" applyFill="1" applyBorder="1"/>
    <xf numFmtId="9" fontId="39" fillId="0" borderId="15" xfId="0" applyNumberFormat="1" applyFont="1" applyBorder="1"/>
    <xf numFmtId="9" fontId="39" fillId="0" borderId="0" xfId="0" applyNumberFormat="1" applyFont="1" applyBorder="1"/>
    <xf numFmtId="1" fontId="33" fillId="42" borderId="18" xfId="0" applyNumberFormat="1" applyFont="1" applyFill="1" applyBorder="1"/>
    <xf numFmtId="4" fontId="39" fillId="0" borderId="17" xfId="0" applyNumberFormat="1" applyFont="1" applyBorder="1"/>
    <xf numFmtId="9" fontId="45" fillId="0" borderId="0" xfId="0" applyNumberFormat="1" applyFont="1" applyBorder="1"/>
    <xf numFmtId="9" fontId="39" fillId="0" borderId="16" xfId="0" applyNumberFormat="1" applyFont="1" applyBorder="1"/>
    <xf numFmtId="9" fontId="39" fillId="0" borderId="18" xfId="0" applyNumberFormat="1" applyFont="1" applyBorder="1"/>
    <xf numFmtId="9" fontId="39" fillId="0" borderId="21" xfId="0" applyNumberFormat="1" applyFont="1" applyBorder="1"/>
    <xf numFmtId="9" fontId="39" fillId="0" borderId="22" xfId="0" applyNumberFormat="1" applyFont="1" applyBorder="1"/>
    <xf numFmtId="9" fontId="39" fillId="0" borderId="19" xfId="0" applyNumberFormat="1" applyFont="1" applyBorder="1"/>
    <xf numFmtId="9" fontId="37" fillId="43" borderId="15" xfId="0" applyNumberFormat="1" applyFont="1" applyFill="1" applyBorder="1"/>
    <xf numFmtId="9" fontId="37" fillId="43" borderId="0" xfId="0" applyNumberFormat="1" applyFont="1" applyFill="1" applyBorder="1"/>
    <xf numFmtId="187" fontId="45" fillId="0" borderId="0" xfId="0" applyNumberFormat="1" applyFont="1"/>
    <xf numFmtId="187" fontId="45" fillId="0" borderId="18" xfId="0" applyNumberFormat="1" applyFont="1" applyBorder="1"/>
    <xf numFmtId="187" fontId="45" fillId="0" borderId="21" xfId="0" applyNumberFormat="1" applyFont="1" applyBorder="1"/>
    <xf numFmtId="9" fontId="65" fillId="43" borderId="0" xfId="0" applyNumberFormat="1" applyFont="1" applyFill="1" applyBorder="1"/>
    <xf numFmtId="3" fontId="45" fillId="0" borderId="17" xfId="0" applyNumberFormat="1" applyFont="1" applyBorder="1"/>
    <xf numFmtId="166" fontId="38" fillId="0" borderId="15" xfId="57" applyFont="1" applyBorder="1"/>
    <xf numFmtId="166" fontId="37" fillId="0" borderId="0" xfId="0" applyNumberFormat="1" applyFont="1" applyBorder="1"/>
    <xf numFmtId="188" fontId="39" fillId="0" borderId="0" xfId="0" applyNumberFormat="1" applyFont="1"/>
    <xf numFmtId="188" fontId="56" fillId="33" borderId="1" xfId="3" applyNumberFormat="1" applyFont="1"/>
    <xf numFmtId="166" fontId="38" fillId="44" borderId="0" xfId="57" applyFont="1" applyFill="1"/>
    <xf numFmtId="188" fontId="67" fillId="33" borderId="1" xfId="3" applyNumberFormat="1" applyFont="1"/>
    <xf numFmtId="179" fontId="37" fillId="0" borderId="0" xfId="0" applyNumberFormat="1" applyFont="1" applyBorder="1"/>
    <xf numFmtId="167" fontId="37" fillId="0" borderId="0" xfId="0" applyFont="1" applyBorder="1"/>
    <xf numFmtId="167" fontId="39" fillId="0" borderId="0" xfId="0" applyFont="1" applyFill="1"/>
    <xf numFmtId="180" fontId="39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0" fontId="71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0000FF"/>
      <color rgb="FF4472C4"/>
      <color rgb="FF44546A"/>
      <color rgb="FFEA4335"/>
      <color rgb="FF5F6368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zoomScaleNormal="100" workbookViewId="0">
      <selection activeCell="M4" sqref="M4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60" t="str">
        <f>CoName</f>
        <v>Salesforce Inc.</v>
      </c>
      <c r="B1" s="2"/>
      <c r="C1" s="2"/>
      <c r="D1" s="153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5" customFormat="1" x14ac:dyDescent="0.25">
      <c r="A2" s="64" t="s">
        <v>185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4" spans="1:15" x14ac:dyDescent="0.25">
      <c r="B4" s="4" t="s">
        <v>3</v>
      </c>
      <c r="C4" s="51" t="s">
        <v>187</v>
      </c>
      <c r="E4" s="4" t="s">
        <v>169</v>
      </c>
      <c r="F4" s="226">
        <v>243.62</v>
      </c>
      <c r="H4" s="170" t="s">
        <v>186</v>
      </c>
      <c r="I4" s="169" t="s">
        <v>184</v>
      </c>
      <c r="J4" s="169" t="s">
        <v>183</v>
      </c>
      <c r="K4" s="169" t="s">
        <v>239</v>
      </c>
    </row>
    <row r="5" spans="1:15" x14ac:dyDescent="0.25">
      <c r="B5" s="4" t="s">
        <v>4</v>
      </c>
      <c r="C5" s="52">
        <v>247.43</v>
      </c>
      <c r="E5" s="4" t="s">
        <v>188</v>
      </c>
      <c r="F5" s="160">
        <v>952</v>
      </c>
      <c r="H5" s="169" t="s">
        <v>176</v>
      </c>
      <c r="I5" s="233">
        <f>'DCF Model'!T17</f>
        <v>252.88476210459163</v>
      </c>
      <c r="J5" s="232">
        <f>'DCF Model'!N17</f>
        <v>236.34150959030967</v>
      </c>
      <c r="K5" s="233">
        <f>AVERAGE(I5:J5)</f>
        <v>244.61313584745065</v>
      </c>
    </row>
    <row r="6" spans="1:15" x14ac:dyDescent="0.25">
      <c r="B6" s="4" t="s">
        <v>5</v>
      </c>
      <c r="C6" s="51" t="s">
        <v>9</v>
      </c>
      <c r="E6" s="4" t="s">
        <v>101</v>
      </c>
      <c r="F6" s="160">
        <f>F5*F4</f>
        <v>231926.24</v>
      </c>
      <c r="H6" s="169" t="s">
        <v>177</v>
      </c>
      <c r="I6" s="322">
        <f>I5/$F$4-1</f>
        <v>3.8029562862620603E-2</v>
      </c>
      <c r="J6" s="227">
        <f>J5/$F$4-1</f>
        <v>-2.9876407559684459E-2</v>
      </c>
      <c r="K6" s="322">
        <f>AVERAGE(I6:J6)</f>
        <v>4.0765776514680718E-3</v>
      </c>
    </row>
    <row r="7" spans="1:15" x14ac:dyDescent="0.25">
      <c r="B7" s="4" t="s">
        <v>6</v>
      </c>
      <c r="C7" s="51" t="s">
        <v>8</v>
      </c>
      <c r="E7" s="4" t="s">
        <v>175</v>
      </c>
      <c r="F7" s="51">
        <f>10365+5007</f>
        <v>15372</v>
      </c>
    </row>
    <row r="8" spans="1:15" x14ac:dyDescent="0.25">
      <c r="B8" s="4" t="s">
        <v>2</v>
      </c>
      <c r="C8" s="51" t="s">
        <v>84</v>
      </c>
      <c r="E8" s="4" t="s">
        <v>144</v>
      </c>
      <c r="F8" s="51">
        <v>8436</v>
      </c>
    </row>
    <row r="9" spans="1:15" x14ac:dyDescent="0.25">
      <c r="B9" s="4" t="s">
        <v>7</v>
      </c>
      <c r="C9" s="51">
        <v>0</v>
      </c>
      <c r="E9" s="4" t="s">
        <v>115</v>
      </c>
      <c r="F9" s="51">
        <f>F6-F7+F8</f>
        <v>224990.24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AC27"/>
  <sheetViews>
    <sheetView showGridLines="0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G22" sqref="G22"/>
    </sheetView>
  </sheetViews>
  <sheetFormatPr defaultColWidth="11.7109375" defaultRowHeight="15" x14ac:dyDescent="0.25"/>
  <cols>
    <col min="1" max="1" width="2" style="276" bestFit="1" customWidth="1"/>
    <col min="2" max="2" width="31.7109375" style="276" bestFit="1" customWidth="1"/>
    <col min="3" max="21" width="12.7109375" style="276" customWidth="1"/>
    <col min="22" max="16384" width="11.7109375" style="276"/>
  </cols>
  <sheetData>
    <row r="1" spans="1:29" ht="19.5" x14ac:dyDescent="0.3">
      <c r="A1" s="275" t="str">
        <f>CoName</f>
        <v>Salesforce Inc.</v>
      </c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</row>
    <row r="2" spans="1:29" s="281" customFormat="1" x14ac:dyDescent="0.25">
      <c r="A2" s="273" t="s">
        <v>189</v>
      </c>
      <c r="B2" s="273"/>
      <c r="C2" s="274" t="s">
        <v>193</v>
      </c>
      <c r="D2" s="274" t="s">
        <v>194</v>
      </c>
      <c r="E2" s="274" t="s">
        <v>195</v>
      </c>
      <c r="F2" s="274" t="s">
        <v>197</v>
      </c>
      <c r="G2" s="274">
        <v>2023</v>
      </c>
      <c r="H2" s="274" t="s">
        <v>198</v>
      </c>
      <c r="I2" s="274" t="s">
        <v>199</v>
      </c>
      <c r="J2" s="274" t="s">
        <v>200</v>
      </c>
      <c r="K2" s="274" t="s">
        <v>196</v>
      </c>
      <c r="L2" s="291">
        <v>2024</v>
      </c>
      <c r="M2" s="274" t="s">
        <v>201</v>
      </c>
      <c r="N2" s="274" t="s">
        <v>202</v>
      </c>
      <c r="O2" s="274" t="s">
        <v>203</v>
      </c>
      <c r="P2" s="291" t="s">
        <v>204</v>
      </c>
      <c r="Q2" s="292">
        <v>2025</v>
      </c>
      <c r="R2" s="274" t="s">
        <v>205</v>
      </c>
      <c r="S2" s="274" t="s">
        <v>206</v>
      </c>
      <c r="T2" s="274" t="s">
        <v>207</v>
      </c>
      <c r="U2" s="291" t="s">
        <v>208</v>
      </c>
      <c r="V2" s="293">
        <v>2026</v>
      </c>
      <c r="W2" s="273">
        <f>V2+1</f>
        <v>2027</v>
      </c>
      <c r="X2" s="273">
        <f t="shared" ref="X2:AC2" si="0">W2+1</f>
        <v>2028</v>
      </c>
      <c r="Y2" s="273">
        <f t="shared" si="0"/>
        <v>2029</v>
      </c>
      <c r="Z2" s="273">
        <f t="shared" si="0"/>
        <v>2030</v>
      </c>
      <c r="AA2" s="273">
        <f t="shared" si="0"/>
        <v>2031</v>
      </c>
      <c r="AB2" s="273">
        <f t="shared" si="0"/>
        <v>2032</v>
      </c>
      <c r="AC2" s="296">
        <f t="shared" si="0"/>
        <v>2033</v>
      </c>
    </row>
    <row r="3" spans="1:29" x14ac:dyDescent="0.25">
      <c r="B3" s="276" t="s">
        <v>190</v>
      </c>
      <c r="C3" s="276">
        <v>6856</v>
      </c>
      <c r="D3" s="276">
        <v>7143</v>
      </c>
      <c r="E3" s="276">
        <v>7233</v>
      </c>
      <c r="F3" s="283">
        <v>7789</v>
      </c>
      <c r="G3" s="287">
        <f>SUM(C3:F3)</f>
        <v>29021</v>
      </c>
      <c r="H3" s="276">
        <v>7642</v>
      </c>
      <c r="I3" s="276">
        <v>8006</v>
      </c>
      <c r="J3" s="276">
        <v>8141</v>
      </c>
      <c r="K3" s="284">
        <v>8748</v>
      </c>
      <c r="L3" s="284">
        <f>SUM(H3:K3)</f>
        <v>32537</v>
      </c>
      <c r="M3" s="276">
        <v>8585</v>
      </c>
      <c r="N3" s="276">
        <v>8764</v>
      </c>
      <c r="O3" s="276">
        <v>8879</v>
      </c>
      <c r="P3" s="284">
        <v>9451</v>
      </c>
      <c r="Q3" s="287">
        <f>SUM(M3:P3)</f>
        <v>35679</v>
      </c>
      <c r="R3" s="276">
        <v>9297</v>
      </c>
      <c r="S3" s="276">
        <v>9690</v>
      </c>
      <c r="U3" s="284"/>
      <c r="V3" s="287">
        <f>SUM(R3:U3)</f>
        <v>18987</v>
      </c>
      <c r="AC3" s="284"/>
    </row>
    <row r="4" spans="1:29" x14ac:dyDescent="0.25">
      <c r="B4" s="276" t="s">
        <v>191</v>
      </c>
      <c r="C4" s="276">
        <v>555</v>
      </c>
      <c r="D4" s="276">
        <v>577</v>
      </c>
      <c r="E4" s="276">
        <v>604</v>
      </c>
      <c r="F4" s="284">
        <v>595</v>
      </c>
      <c r="G4" s="287">
        <f t="shared" ref="G4:G14" si="1">SUM(C4:F4)</f>
        <v>2331</v>
      </c>
      <c r="H4" s="276">
        <v>605</v>
      </c>
      <c r="I4" s="276">
        <v>597</v>
      </c>
      <c r="J4" s="276">
        <v>579</v>
      </c>
      <c r="K4" s="284">
        <v>539</v>
      </c>
      <c r="L4" s="284">
        <f t="shared" ref="L4:L14" si="2">SUM(H4:K4)</f>
        <v>2320</v>
      </c>
      <c r="M4" s="276">
        <v>548</v>
      </c>
      <c r="N4" s="276">
        <v>561</v>
      </c>
      <c r="O4" s="276">
        <v>565</v>
      </c>
      <c r="P4" s="284">
        <v>542</v>
      </c>
      <c r="Q4" s="287">
        <f t="shared" ref="Q4:Q14" si="3">SUM(M4:P4)</f>
        <v>2216</v>
      </c>
      <c r="R4" s="276">
        <v>532</v>
      </c>
      <c r="S4" s="276">
        <v>546</v>
      </c>
      <c r="U4" s="284"/>
      <c r="V4" s="287">
        <f t="shared" ref="V4:V14" si="4">SUM(R4:U4)</f>
        <v>1078</v>
      </c>
      <c r="AC4" s="284"/>
    </row>
    <row r="5" spans="1:29" s="306" customFormat="1" x14ac:dyDescent="0.25">
      <c r="A5" s="306" t="s">
        <v>123</v>
      </c>
      <c r="B5" s="306" t="s">
        <v>192</v>
      </c>
      <c r="C5" s="306">
        <f>SUM(C3:C4)</f>
        <v>7411</v>
      </c>
      <c r="D5" s="306">
        <f>SUM(D3:D4)</f>
        <v>7720</v>
      </c>
      <c r="E5" s="306">
        <f>SUM(E3:E4)</f>
        <v>7837</v>
      </c>
      <c r="F5" s="307">
        <f>SUM(F3:F4)</f>
        <v>8384</v>
      </c>
      <c r="G5" s="308">
        <f t="shared" si="1"/>
        <v>31352</v>
      </c>
      <c r="H5" s="306">
        <f>SUM(H3:H4)</f>
        <v>8247</v>
      </c>
      <c r="I5" s="306">
        <f>SUM(I3:I4)</f>
        <v>8603</v>
      </c>
      <c r="J5" s="306">
        <f>SUM(J3:J4)</f>
        <v>8720</v>
      </c>
      <c r="K5" s="307">
        <f>SUM(K3:K4)</f>
        <v>9287</v>
      </c>
      <c r="L5" s="307">
        <f t="shared" si="2"/>
        <v>34857</v>
      </c>
      <c r="M5" s="306">
        <f>SUM(M3:M4)</f>
        <v>9133</v>
      </c>
      <c r="N5" s="306">
        <f>SUM(N3:N4)</f>
        <v>9325</v>
      </c>
      <c r="O5" s="306">
        <f>SUM(O3:O4)</f>
        <v>9444</v>
      </c>
      <c r="P5" s="307">
        <f>SUM(P3:P4)</f>
        <v>9993</v>
      </c>
      <c r="Q5" s="308">
        <f t="shared" si="3"/>
        <v>37895</v>
      </c>
      <c r="R5" s="306">
        <f>SUM(R3:R4)</f>
        <v>9829</v>
      </c>
      <c r="S5" s="306">
        <f>SUM(S3:S4)</f>
        <v>10236</v>
      </c>
      <c r="T5" s="306">
        <v>10250</v>
      </c>
      <c r="U5" s="307">
        <v>12000</v>
      </c>
      <c r="V5" s="308">
        <f t="shared" si="4"/>
        <v>42315</v>
      </c>
      <c r="W5" s="306">
        <f>V5*(1+W21)</f>
        <v>47250.540308747855</v>
      </c>
      <c r="X5" s="306">
        <f t="shared" ref="X5:AC5" si="5">W5*(1+X21)</f>
        <v>52761.752557452579</v>
      </c>
      <c r="Y5" s="306">
        <f t="shared" si="5"/>
        <v>58915.782015268662</v>
      </c>
      <c r="Z5" s="306">
        <f t="shared" si="5"/>
        <v>65787.60564655214</v>
      </c>
      <c r="AA5" s="306">
        <f t="shared" si="5"/>
        <v>73460.945584743473</v>
      </c>
      <c r="AB5" s="306">
        <f t="shared" si="5"/>
        <v>82029.289152089201</v>
      </c>
      <c r="AC5" s="307">
        <f t="shared" si="5"/>
        <v>91597.027852504412</v>
      </c>
    </row>
    <row r="6" spans="1:29" x14ac:dyDescent="0.25">
      <c r="B6" s="276" t="s">
        <v>157</v>
      </c>
      <c r="C6" s="276">
        <v>2045</v>
      </c>
      <c r="D6" s="276">
        <v>2127</v>
      </c>
      <c r="E6" s="276">
        <v>2088</v>
      </c>
      <c r="F6" s="284">
        <v>2100</v>
      </c>
      <c r="G6" s="287">
        <f t="shared" si="1"/>
        <v>8360</v>
      </c>
      <c r="H6" s="276">
        <v>2125</v>
      </c>
      <c r="I6" s="276">
        <v>2113</v>
      </c>
      <c r="J6" s="276">
        <v>2155</v>
      </c>
      <c r="K6" s="284">
        <v>2148</v>
      </c>
      <c r="L6" s="284">
        <f t="shared" si="2"/>
        <v>8541</v>
      </c>
      <c r="M6" s="276">
        <v>2162</v>
      </c>
      <c r="N6" s="276">
        <v>2159</v>
      </c>
      <c r="O6" s="276">
        <v>2105</v>
      </c>
      <c r="P6" s="284">
        <v>2217</v>
      </c>
      <c r="Q6" s="287">
        <f t="shared" si="3"/>
        <v>8643</v>
      </c>
      <c r="R6" s="276">
        <v>2265</v>
      </c>
      <c r="S6" s="276">
        <v>2242</v>
      </c>
      <c r="U6" s="284"/>
      <c r="V6" s="287">
        <f t="shared" si="4"/>
        <v>4507</v>
      </c>
      <c r="AC6" s="284"/>
    </row>
    <row r="7" spans="1:29" x14ac:dyDescent="0.25">
      <c r="B7" s="276" t="s">
        <v>178</v>
      </c>
      <c r="C7" s="276">
        <v>1318</v>
      </c>
      <c r="D7" s="276">
        <v>1329</v>
      </c>
      <c r="E7" s="276">
        <v>1280</v>
      </c>
      <c r="F7" s="284">
        <v>1128</v>
      </c>
      <c r="G7" s="287">
        <f t="shared" si="1"/>
        <v>5055</v>
      </c>
      <c r="H7" s="276">
        <v>1207</v>
      </c>
      <c r="I7" s="276">
        <v>1220</v>
      </c>
      <c r="J7" s="276">
        <v>1204</v>
      </c>
      <c r="K7" s="284">
        <v>1275</v>
      </c>
      <c r="L7" s="284">
        <f t="shared" si="2"/>
        <v>4906</v>
      </c>
      <c r="M7" s="276">
        <v>1368</v>
      </c>
      <c r="N7" s="276">
        <v>1349</v>
      </c>
      <c r="O7" s="276">
        <v>1356</v>
      </c>
      <c r="P7" s="284">
        <v>1420</v>
      </c>
      <c r="Q7" s="287">
        <f t="shared" si="3"/>
        <v>5493</v>
      </c>
      <c r="R7" s="276">
        <v>1460</v>
      </c>
      <c r="S7" s="276">
        <v>1481</v>
      </c>
      <c r="U7" s="284"/>
      <c r="V7" s="287">
        <f t="shared" si="4"/>
        <v>2941</v>
      </c>
      <c r="AC7" s="284"/>
    </row>
    <row r="8" spans="1:29" x14ac:dyDescent="0.25">
      <c r="B8" s="276" t="s">
        <v>52</v>
      </c>
      <c r="C8" s="276">
        <f>3372+656</f>
        <v>4028</v>
      </c>
      <c r="D8" s="276">
        <f>3424+647</f>
        <v>4071</v>
      </c>
      <c r="E8" s="276">
        <f>3345+664</f>
        <v>4009</v>
      </c>
      <c r="F8" s="284">
        <f>3385+586</f>
        <v>3971</v>
      </c>
      <c r="G8" s="287">
        <f t="shared" si="1"/>
        <v>16079</v>
      </c>
      <c r="H8" s="276">
        <f>3154+638</f>
        <v>3792</v>
      </c>
      <c r="I8" s="276">
        <f>3113+632</f>
        <v>3745</v>
      </c>
      <c r="J8" s="276">
        <f>3173+632</f>
        <v>3805</v>
      </c>
      <c r="K8" s="284">
        <f>3437+632</f>
        <v>4069</v>
      </c>
      <c r="L8" s="284">
        <f t="shared" si="2"/>
        <v>15411</v>
      </c>
      <c r="M8" s="276">
        <f>3239+647</f>
        <v>3886</v>
      </c>
      <c r="N8" s="276">
        <f>3224+711</f>
        <v>3935</v>
      </c>
      <c r="O8" s="276">
        <f>3323+711</f>
        <v>4034</v>
      </c>
      <c r="P8" s="284">
        <f>3471+767</f>
        <v>4238</v>
      </c>
      <c r="Q8" s="287">
        <f t="shared" si="3"/>
        <v>16093</v>
      </c>
      <c r="R8" s="276">
        <f>3429+697</f>
        <v>4126</v>
      </c>
      <c r="S8" s="276">
        <f>3443+734</f>
        <v>4177</v>
      </c>
      <c r="U8" s="284"/>
      <c r="V8" s="287">
        <f t="shared" si="4"/>
        <v>8303</v>
      </c>
      <c r="AC8" s="284"/>
    </row>
    <row r="9" spans="1:29" x14ac:dyDescent="0.25">
      <c r="B9" s="276" t="s">
        <v>209</v>
      </c>
      <c r="C9" s="276">
        <v>0</v>
      </c>
      <c r="D9" s="276">
        <v>0</v>
      </c>
      <c r="E9" s="276">
        <v>0</v>
      </c>
      <c r="F9" s="284">
        <v>828</v>
      </c>
      <c r="G9" s="287">
        <f t="shared" si="1"/>
        <v>828</v>
      </c>
      <c r="H9" s="276">
        <v>711</v>
      </c>
      <c r="I9" s="276">
        <v>49</v>
      </c>
      <c r="J9" s="276">
        <v>55</v>
      </c>
      <c r="K9" s="284">
        <v>173</v>
      </c>
      <c r="L9" s="284">
        <f t="shared" si="2"/>
        <v>988</v>
      </c>
      <c r="M9" s="276">
        <v>8</v>
      </c>
      <c r="N9" s="276">
        <v>99</v>
      </c>
      <c r="O9" s="276">
        <v>56</v>
      </c>
      <c r="P9" s="284">
        <v>298</v>
      </c>
      <c r="Q9" s="287">
        <f t="shared" si="3"/>
        <v>461</v>
      </c>
      <c r="R9" s="276">
        <v>36</v>
      </c>
      <c r="S9" s="276">
        <v>4</v>
      </c>
      <c r="U9" s="284"/>
      <c r="V9" s="287">
        <f t="shared" si="4"/>
        <v>40</v>
      </c>
      <c r="AC9" s="284"/>
    </row>
    <row r="10" spans="1:29" s="278" customFormat="1" x14ac:dyDescent="0.25">
      <c r="A10" s="278" t="s">
        <v>123</v>
      </c>
      <c r="B10" s="278" t="s">
        <v>55</v>
      </c>
      <c r="C10" s="278">
        <f>C5-SUM(C6:C9)</f>
        <v>20</v>
      </c>
      <c r="D10" s="278">
        <f>D5-SUM(D6:D9)</f>
        <v>193</v>
      </c>
      <c r="E10" s="278">
        <f>E5-SUM(E6:E9)</f>
        <v>460</v>
      </c>
      <c r="F10" s="285">
        <f>F5-SUM(F6:F9)</f>
        <v>357</v>
      </c>
      <c r="G10" s="288">
        <f t="shared" si="1"/>
        <v>1030</v>
      </c>
      <c r="H10" s="278">
        <f>H5-SUM(H6:H9)</f>
        <v>412</v>
      </c>
      <c r="I10" s="278">
        <f>I5-SUM(I6:I9)</f>
        <v>1476</v>
      </c>
      <c r="J10" s="278">
        <f>J5-SUM(J6:J9)</f>
        <v>1501</v>
      </c>
      <c r="K10" s="285">
        <f>K5-SUM(K6:K9)</f>
        <v>1622</v>
      </c>
      <c r="L10" s="284">
        <f t="shared" si="2"/>
        <v>5011</v>
      </c>
      <c r="M10" s="278">
        <f>M5-SUM(M6:M9)</f>
        <v>1709</v>
      </c>
      <c r="N10" s="278">
        <f>N5-SUM(N6:N9)</f>
        <v>1783</v>
      </c>
      <c r="O10" s="278">
        <f>O5-SUM(O6:O9)</f>
        <v>1893</v>
      </c>
      <c r="P10" s="285">
        <f>P5-SUM(P6:P9)</f>
        <v>1820</v>
      </c>
      <c r="Q10" s="287">
        <f t="shared" si="3"/>
        <v>7205</v>
      </c>
      <c r="R10" s="278">
        <f>R5-SUM(R6:R9)</f>
        <v>1942</v>
      </c>
      <c r="S10" s="278">
        <f>S5-SUM(S6:S9)</f>
        <v>2332</v>
      </c>
      <c r="T10" s="278">
        <f>T5*T22</f>
        <v>2334.27734375</v>
      </c>
      <c r="U10" s="278">
        <f>U5*U22</f>
        <v>2732.8125</v>
      </c>
      <c r="V10" s="288">
        <f t="shared" si="4"/>
        <v>9341.08984375</v>
      </c>
      <c r="W10" s="278">
        <f>W5*W22</f>
        <v>10420.765958912632</v>
      </c>
      <c r="X10" s="278">
        <f t="shared" ref="X10:AC10" si="6">X5*X22</f>
        <v>11636.224081049955</v>
      </c>
      <c r="Y10" s="278">
        <f t="shared" si="6"/>
        <v>12993.450903539488</v>
      </c>
      <c r="Z10" s="278">
        <f t="shared" si="6"/>
        <v>14508.982055238776</v>
      </c>
      <c r="AA10" s="278">
        <f t="shared" si="6"/>
        <v>16201.281848988752</v>
      </c>
      <c r="AB10" s="278">
        <f t="shared" si="6"/>
        <v>18090.96823960837</v>
      </c>
      <c r="AC10" s="285">
        <f t="shared" si="6"/>
        <v>20201.064020557544</v>
      </c>
    </row>
    <row r="11" spans="1:29" x14ac:dyDescent="0.25">
      <c r="B11" s="276" t="s">
        <v>210</v>
      </c>
      <c r="C11" s="276">
        <f>7-56</f>
        <v>-49</v>
      </c>
      <c r="D11" s="276">
        <f>45-57</f>
        <v>-12</v>
      </c>
      <c r="E11" s="276">
        <f>23-8</f>
        <v>15</v>
      </c>
      <c r="F11" s="284">
        <v>-324</v>
      </c>
      <c r="G11" s="287">
        <f t="shared" si="1"/>
        <v>-370</v>
      </c>
      <c r="H11" s="276">
        <f>55-141</f>
        <v>-86</v>
      </c>
      <c r="I11" s="276">
        <f>45-29</f>
        <v>16</v>
      </c>
      <c r="J11" s="276">
        <f>58-72</f>
        <v>-14</v>
      </c>
      <c r="K11" s="284">
        <f>58-35</f>
        <v>23</v>
      </c>
      <c r="L11" s="284">
        <f t="shared" si="2"/>
        <v>-61</v>
      </c>
      <c r="M11" s="276">
        <f>37+121</f>
        <v>158</v>
      </c>
      <c r="N11" s="276">
        <f>91-37</f>
        <v>54</v>
      </c>
      <c r="O11" s="276">
        <f>70-217</f>
        <v>-147</v>
      </c>
      <c r="P11" s="284">
        <f>96+72</f>
        <v>168</v>
      </c>
      <c r="Q11" s="287">
        <f t="shared" si="3"/>
        <v>233</v>
      </c>
      <c r="R11" s="276">
        <f>95-63</f>
        <v>32</v>
      </c>
      <c r="S11" s="276">
        <f>6+68</f>
        <v>74</v>
      </c>
      <c r="U11" s="284"/>
      <c r="V11" s="287">
        <f t="shared" si="4"/>
        <v>106</v>
      </c>
      <c r="AC11" s="284"/>
    </row>
    <row r="12" spans="1:29" x14ac:dyDescent="0.25">
      <c r="B12" s="276" t="s">
        <v>211</v>
      </c>
      <c r="C12" s="276">
        <f>SUM(C10:C11)</f>
        <v>-29</v>
      </c>
      <c r="D12" s="276">
        <f>SUM(D10:D11)</f>
        <v>181</v>
      </c>
      <c r="E12" s="276">
        <f>SUM(E10:E11)</f>
        <v>475</v>
      </c>
      <c r="F12" s="284">
        <f>SUM(F10:F11)</f>
        <v>33</v>
      </c>
      <c r="G12" s="287">
        <f t="shared" si="1"/>
        <v>660</v>
      </c>
      <c r="H12" s="276">
        <f>SUM(H10:H11)</f>
        <v>326</v>
      </c>
      <c r="I12" s="276">
        <f>SUM(I10:I11)</f>
        <v>1492</v>
      </c>
      <c r="J12" s="276">
        <f>SUM(J10:J11)</f>
        <v>1487</v>
      </c>
      <c r="K12" s="284">
        <f>SUM(K10:K11)</f>
        <v>1645</v>
      </c>
      <c r="L12" s="284">
        <f t="shared" si="2"/>
        <v>4950</v>
      </c>
      <c r="M12" s="276">
        <f>SUM(M10:M11)</f>
        <v>1867</v>
      </c>
      <c r="N12" s="276">
        <f>SUM(N10:N11)</f>
        <v>1837</v>
      </c>
      <c r="O12" s="276">
        <f>SUM(O10:O11)</f>
        <v>1746</v>
      </c>
      <c r="P12" s="284">
        <f>SUM(P10:P11)</f>
        <v>1988</v>
      </c>
      <c r="Q12" s="287">
        <f t="shared" si="3"/>
        <v>7438</v>
      </c>
      <c r="R12" s="276">
        <f>SUM(R10:R11)</f>
        <v>1974</v>
      </c>
      <c r="S12" s="276">
        <f>SUM(S10:S11)</f>
        <v>2406</v>
      </c>
      <c r="T12" s="276">
        <f>T10</f>
        <v>2334.27734375</v>
      </c>
      <c r="U12" s="276">
        <f>U10</f>
        <v>2732.8125</v>
      </c>
      <c r="V12" s="287">
        <f t="shared" si="4"/>
        <v>9447.08984375</v>
      </c>
      <c r="AC12" s="284"/>
    </row>
    <row r="13" spans="1:29" x14ac:dyDescent="0.25">
      <c r="B13" s="276" t="s">
        <v>212</v>
      </c>
      <c r="C13" s="276">
        <v>57</v>
      </c>
      <c r="D13" s="276">
        <v>-113</v>
      </c>
      <c r="E13" s="276">
        <v>-265</v>
      </c>
      <c r="F13" s="284">
        <v>-131</v>
      </c>
      <c r="G13" s="287">
        <f t="shared" si="1"/>
        <v>-452</v>
      </c>
      <c r="H13" s="276">
        <v>-127</v>
      </c>
      <c r="I13" s="276">
        <v>-225</v>
      </c>
      <c r="J13" s="276">
        <v>-263</v>
      </c>
      <c r="K13" s="284">
        <v>-199</v>
      </c>
      <c r="L13" s="284">
        <f t="shared" si="2"/>
        <v>-814</v>
      </c>
      <c r="M13" s="276">
        <v>-334</v>
      </c>
      <c r="N13" s="276">
        <v>-408</v>
      </c>
      <c r="O13" s="276">
        <v>-219</v>
      </c>
      <c r="P13" s="284">
        <v>-280</v>
      </c>
      <c r="Q13" s="287">
        <f t="shared" si="3"/>
        <v>-1241</v>
      </c>
      <c r="R13" s="276">
        <v>-433</v>
      </c>
      <c r="S13" s="276">
        <v>-519</v>
      </c>
      <c r="T13" s="276">
        <f>T10*T23*-1</f>
        <v>-503.52865395105982</v>
      </c>
      <c r="U13" s="276">
        <f>U10*U23*-1</f>
        <v>-589.49696072319205</v>
      </c>
      <c r="V13" s="287">
        <f t="shared" si="4"/>
        <v>-2045.0256146742518</v>
      </c>
      <c r="W13" s="276">
        <f>W10*W23</f>
        <v>2255.798734104404</v>
      </c>
      <c r="X13" s="276">
        <f t="shared" ref="X13:AC13" si="7">X10*X23</f>
        <v>2518.9107648404242</v>
      </c>
      <c r="Y13" s="276">
        <f t="shared" si="7"/>
        <v>2812.7116773775579</v>
      </c>
      <c r="Z13" s="276">
        <f t="shared" si="7"/>
        <v>3140.7809639327443</v>
      </c>
      <c r="AA13" s="276">
        <f t="shared" si="7"/>
        <v>3507.1156218185533</v>
      </c>
      <c r="AB13" s="276">
        <f t="shared" si="7"/>
        <v>3916.1788504354695</v>
      </c>
      <c r="AC13" s="284">
        <f t="shared" si="7"/>
        <v>4372.9544281878052</v>
      </c>
    </row>
    <row r="14" spans="1:29" s="278" customFormat="1" x14ac:dyDescent="0.25">
      <c r="A14" s="278" t="s">
        <v>123</v>
      </c>
      <c r="B14" s="278" t="s">
        <v>20</v>
      </c>
      <c r="C14" s="278">
        <f>SUM(C12:C13)</f>
        <v>28</v>
      </c>
      <c r="D14" s="278">
        <f>SUM(D12:D13)</f>
        <v>68</v>
      </c>
      <c r="E14" s="278">
        <f>SUM(E12:E13)</f>
        <v>210</v>
      </c>
      <c r="F14" s="285">
        <f>SUM(F12:F13)</f>
        <v>-98</v>
      </c>
      <c r="G14" s="288">
        <f t="shared" si="1"/>
        <v>208</v>
      </c>
      <c r="H14" s="278">
        <f>SUM(H12:H13)</f>
        <v>199</v>
      </c>
      <c r="I14" s="278">
        <f>SUM(I12:I13)</f>
        <v>1267</v>
      </c>
      <c r="J14" s="278">
        <f>SUM(J12:J13)</f>
        <v>1224</v>
      </c>
      <c r="K14" s="285">
        <f>SUM(K12:K13)</f>
        <v>1446</v>
      </c>
      <c r="L14" s="284">
        <f t="shared" si="2"/>
        <v>4136</v>
      </c>
      <c r="M14" s="278">
        <f>SUM(M12:M13)</f>
        <v>1533</v>
      </c>
      <c r="N14" s="278">
        <f>SUM(N12:N13)</f>
        <v>1429</v>
      </c>
      <c r="O14" s="278">
        <f>SUM(O12:O13)</f>
        <v>1527</v>
      </c>
      <c r="P14" s="285">
        <f>SUM(P12:P13)</f>
        <v>1708</v>
      </c>
      <c r="Q14" s="287">
        <f t="shared" si="3"/>
        <v>6197</v>
      </c>
      <c r="R14" s="278">
        <f>SUM(R12:R13)</f>
        <v>1541</v>
      </c>
      <c r="S14" s="278">
        <f>SUM(S12:S13)</f>
        <v>1887</v>
      </c>
      <c r="T14" s="278">
        <f>SUM(T13,T10)</f>
        <v>1830.7486897989402</v>
      </c>
      <c r="U14" s="278">
        <f>SUM(U13,U10)</f>
        <v>2143.3155392768081</v>
      </c>
      <c r="V14" s="288">
        <f t="shared" si="4"/>
        <v>7402.0642290757478</v>
      </c>
      <c r="W14" s="278">
        <f>W10-W13</f>
        <v>8164.9672248082279</v>
      </c>
      <c r="X14" s="278">
        <f t="shared" ref="X14:AC14" si="8">X10-X13</f>
        <v>9117.313316209531</v>
      </c>
      <c r="Y14" s="278">
        <f t="shared" si="8"/>
        <v>10180.73922616193</v>
      </c>
      <c r="Z14" s="278">
        <f t="shared" si="8"/>
        <v>11368.201091306031</v>
      </c>
      <c r="AA14" s="278">
        <f t="shared" si="8"/>
        <v>12694.166227170199</v>
      </c>
      <c r="AB14" s="278">
        <f t="shared" si="8"/>
        <v>14174.7893891729</v>
      </c>
      <c r="AC14" s="310">
        <f t="shared" si="8"/>
        <v>15828.109592369739</v>
      </c>
    </row>
    <row r="15" spans="1:29" s="282" customFormat="1" x14ac:dyDescent="0.25">
      <c r="A15" s="280"/>
      <c r="B15" s="280" t="s">
        <v>213</v>
      </c>
      <c r="C15" s="280">
        <v>991</v>
      </c>
      <c r="D15" s="280">
        <v>997</v>
      </c>
      <c r="E15" s="280">
        <v>997</v>
      </c>
      <c r="F15" s="283">
        <v>984</v>
      </c>
      <c r="G15" s="289">
        <v>984</v>
      </c>
      <c r="H15" s="280">
        <v>980</v>
      </c>
      <c r="I15" s="280">
        <v>975</v>
      </c>
      <c r="J15" s="280">
        <v>972</v>
      </c>
      <c r="K15" s="283">
        <v>970</v>
      </c>
      <c r="L15" s="283">
        <v>970</v>
      </c>
      <c r="M15" s="280">
        <v>970</v>
      </c>
      <c r="N15" s="280">
        <v>956</v>
      </c>
      <c r="O15" s="280">
        <v>956</v>
      </c>
      <c r="P15" s="283">
        <v>959</v>
      </c>
      <c r="Q15" s="289"/>
      <c r="R15" s="280">
        <v>960</v>
      </c>
      <c r="S15" s="280">
        <v>956</v>
      </c>
      <c r="T15" s="280"/>
      <c r="U15" s="283"/>
      <c r="V15" s="289"/>
      <c r="W15" s="280"/>
      <c r="X15" s="280"/>
      <c r="Y15" s="280"/>
      <c r="Z15" s="280"/>
      <c r="AA15" s="280"/>
      <c r="AB15" s="280"/>
      <c r="AC15" s="283"/>
    </row>
    <row r="16" spans="1:29" x14ac:dyDescent="0.25">
      <c r="B16" s="276" t="s">
        <v>50</v>
      </c>
      <c r="C16" s="276">
        <v>1001</v>
      </c>
      <c r="D16" s="276">
        <v>1001</v>
      </c>
      <c r="E16" s="276">
        <v>1000</v>
      </c>
      <c r="F16" s="284">
        <v>984</v>
      </c>
      <c r="G16" s="287">
        <v>984</v>
      </c>
      <c r="H16" s="276">
        <v>988</v>
      </c>
      <c r="I16" s="276">
        <v>986</v>
      </c>
      <c r="J16" s="276">
        <v>981</v>
      </c>
      <c r="K16" s="284">
        <v>983</v>
      </c>
      <c r="L16" s="284">
        <v>983</v>
      </c>
      <c r="M16" s="276">
        <v>985</v>
      </c>
      <c r="N16" s="276">
        <v>962</v>
      </c>
      <c r="O16" s="276">
        <v>965</v>
      </c>
      <c r="P16" s="284">
        <v>974</v>
      </c>
      <c r="Q16" s="287"/>
      <c r="R16" s="276">
        <v>970</v>
      </c>
      <c r="S16" s="276">
        <v>962</v>
      </c>
      <c r="U16" s="284"/>
      <c r="V16" s="287"/>
      <c r="AC16" s="284"/>
    </row>
    <row r="17" spans="1:29" s="279" customFormat="1" x14ac:dyDescent="0.25">
      <c r="B17" s="279" t="s">
        <v>214</v>
      </c>
      <c r="C17" s="279">
        <f>C14/C15</f>
        <v>2.8254288597376387E-2</v>
      </c>
      <c r="D17" s="279">
        <f>D14/D15</f>
        <v>6.820461384152457E-2</v>
      </c>
      <c r="E17" s="279">
        <f>E14/E15</f>
        <v>0.21063189568706117</v>
      </c>
      <c r="F17" s="286">
        <f>F14/F15</f>
        <v>-9.959349593495935E-2</v>
      </c>
      <c r="G17" s="290">
        <f>G14/G15</f>
        <v>0.21138211382113822</v>
      </c>
      <c r="H17" s="279">
        <f>H14/H15</f>
        <v>0.20306122448979591</v>
      </c>
      <c r="I17" s="279">
        <f>I14/I15</f>
        <v>1.2994871794871794</v>
      </c>
      <c r="J17" s="279">
        <f>J14/J15</f>
        <v>1.2592592592592593</v>
      </c>
      <c r="K17" s="286">
        <f>K14/K15</f>
        <v>1.4907216494845361</v>
      </c>
      <c r="L17" s="286">
        <f>L14/L15</f>
        <v>4.2639175257731958</v>
      </c>
      <c r="M17" s="279">
        <f>M14/M15</f>
        <v>1.5804123711340206</v>
      </c>
      <c r="N17" s="279">
        <f>N14/N15</f>
        <v>1.4947698744769875</v>
      </c>
      <c r="O17" s="279">
        <f>O14/O15</f>
        <v>1.5972803347280335</v>
      </c>
      <c r="P17" s="286">
        <f>P14/P15</f>
        <v>1.781021897810219</v>
      </c>
      <c r="Q17" s="290"/>
      <c r="R17" s="279">
        <f>R14/R15</f>
        <v>1.6052083333333333</v>
      </c>
      <c r="S17" s="279">
        <f>S14/S15</f>
        <v>1.9738493723849373</v>
      </c>
      <c r="U17" s="286"/>
      <c r="V17" s="290"/>
      <c r="AC17" s="286"/>
    </row>
    <row r="18" spans="1:29" s="279" customFormat="1" x14ac:dyDescent="0.25">
      <c r="B18" s="279" t="s">
        <v>215</v>
      </c>
      <c r="C18" s="279">
        <f>C14/C16</f>
        <v>2.7972027972027972E-2</v>
      </c>
      <c r="D18" s="279">
        <f>D14/D16</f>
        <v>6.7932067932067935E-2</v>
      </c>
      <c r="E18" s="279">
        <f>E14/E16</f>
        <v>0.21</v>
      </c>
      <c r="F18" s="286">
        <f>F14/F16</f>
        <v>-9.959349593495935E-2</v>
      </c>
      <c r="G18" s="290">
        <f>G14/G16</f>
        <v>0.21138211382113822</v>
      </c>
      <c r="H18" s="279">
        <f>H14/H16</f>
        <v>0.20141700404858301</v>
      </c>
      <c r="I18" s="279">
        <f>I14/I16</f>
        <v>1.2849898580121704</v>
      </c>
      <c r="J18" s="279">
        <f>J14/J16</f>
        <v>1.2477064220183487</v>
      </c>
      <c r="K18" s="286">
        <f>K14/K16</f>
        <v>1.4710071210579858</v>
      </c>
      <c r="L18" s="286">
        <f>L14/L16</f>
        <v>4.2075279755849442</v>
      </c>
      <c r="M18" s="279">
        <f>M14/M16</f>
        <v>1.5563451776649746</v>
      </c>
      <c r="N18" s="279">
        <f>N14/N16</f>
        <v>1.4854469854469854</v>
      </c>
      <c r="O18" s="279">
        <f>O14/O16</f>
        <v>1.5823834196891191</v>
      </c>
      <c r="P18" s="286">
        <f>P14/P16</f>
        <v>1.7535934291581108</v>
      </c>
      <c r="Q18" s="290"/>
      <c r="R18" s="279">
        <f>R14/R16</f>
        <v>1.5886597938144329</v>
      </c>
      <c r="S18" s="279">
        <f>S14/S16</f>
        <v>1.9615384615384615</v>
      </c>
      <c r="U18" s="286"/>
      <c r="V18" s="290"/>
      <c r="AC18" s="297"/>
    </row>
    <row r="19" spans="1:29" s="191" customFormat="1" x14ac:dyDescent="0.25">
      <c r="A19" s="294"/>
      <c r="B19" s="294" t="s">
        <v>219</v>
      </c>
      <c r="C19" s="294"/>
      <c r="D19" s="294"/>
      <c r="E19" s="294"/>
      <c r="F19" s="299"/>
      <c r="G19" s="303"/>
      <c r="H19" s="294">
        <f t="shared" ref="H19:J19" si="9">H3/C3-1</f>
        <v>0.11464410735122521</v>
      </c>
      <c r="I19" s="294">
        <f t="shared" si="9"/>
        <v>0.12081758364832695</v>
      </c>
      <c r="J19" s="294">
        <f t="shared" si="9"/>
        <v>0.12553573897414627</v>
      </c>
      <c r="K19" s="299">
        <f>K3/F3-1</f>
        <v>0.12312235203492095</v>
      </c>
      <c r="L19" s="303">
        <f>L3/G3-1</f>
        <v>0.12115364735880907</v>
      </c>
      <c r="M19" s="294">
        <f t="shared" ref="M19:M20" si="10">M3/H3-1</f>
        <v>0.12339701648783041</v>
      </c>
      <c r="N19" s="294">
        <f t="shared" ref="N19:N20" si="11">N3/I3-1</f>
        <v>9.4678990756932313E-2</v>
      </c>
      <c r="O19" s="294">
        <f t="shared" ref="O19:O20" si="12">O3/J3-1</f>
        <v>9.0652254022847378E-2</v>
      </c>
      <c r="P19" s="299">
        <f>P3/K3-1</f>
        <v>8.0361225422953764E-2</v>
      </c>
      <c r="Q19" s="303">
        <f>Q3/L3-1</f>
        <v>9.6566985278298656E-2</v>
      </c>
      <c r="R19" s="294">
        <f t="shared" ref="R19:R20" si="13">R3/M3-1</f>
        <v>8.2935352358765257E-2</v>
      </c>
      <c r="S19" s="294">
        <f t="shared" ref="S19:S20" si="14">S3/N3-1</f>
        <v>0.10565951620264724</v>
      </c>
      <c r="T19" s="304"/>
      <c r="U19" s="304"/>
      <c r="V19" s="304"/>
      <c r="W19" s="304"/>
      <c r="X19" s="304"/>
      <c r="Y19" s="304"/>
      <c r="Z19" s="304"/>
      <c r="AA19" s="304"/>
      <c r="AB19" s="304"/>
      <c r="AC19" s="304"/>
    </row>
    <row r="20" spans="1:29" s="295" customFormat="1" x14ac:dyDescent="0.25">
      <c r="A20" s="298"/>
      <c r="B20" s="295" t="s">
        <v>220</v>
      </c>
      <c r="F20" s="300"/>
      <c r="G20" s="301"/>
      <c r="H20" s="295">
        <f t="shared" ref="H20" si="15">H4/C4-1</f>
        <v>9.0090090090090058E-2</v>
      </c>
      <c r="I20" s="295">
        <f t="shared" ref="I20" si="16">I4/D4-1</f>
        <v>3.4662045060658508E-2</v>
      </c>
      <c r="J20" s="295">
        <f t="shared" ref="J20" si="17">J4/E4-1</f>
        <v>-4.1390728476821237E-2</v>
      </c>
      <c r="K20" s="300">
        <f>K4/F4-1</f>
        <v>-9.4117647058823528E-2</v>
      </c>
      <c r="L20" s="301">
        <f t="shared" ref="L20:L21" si="18">L4/G4-1</f>
        <v>-4.7190047190047713E-3</v>
      </c>
      <c r="M20" s="295">
        <f t="shared" si="10"/>
        <v>-9.4214876033057893E-2</v>
      </c>
      <c r="N20" s="295">
        <f t="shared" si="11"/>
        <v>-6.0301507537688481E-2</v>
      </c>
      <c r="O20" s="295">
        <f t="shared" si="12"/>
        <v>-2.4179620034542326E-2</v>
      </c>
      <c r="P20" s="300">
        <f>P4/K4-1</f>
        <v>5.5658627087198376E-3</v>
      </c>
      <c r="Q20" s="301">
        <f t="shared" ref="Q20:Q21" si="19">Q4/L4-1</f>
        <v>-4.482758620689653E-2</v>
      </c>
      <c r="R20" s="295">
        <f t="shared" si="13"/>
        <v>-2.9197080291970767E-2</v>
      </c>
      <c r="S20" s="295">
        <f t="shared" si="14"/>
        <v>-2.6737967914438499E-2</v>
      </c>
      <c r="T20" s="305"/>
      <c r="U20" s="305"/>
      <c r="V20" s="305"/>
      <c r="W20" s="305"/>
      <c r="X20" s="305"/>
      <c r="Y20" s="305"/>
      <c r="Z20" s="305"/>
      <c r="AA20" s="305"/>
      <c r="AB20" s="305"/>
      <c r="AC20" s="305"/>
    </row>
    <row r="21" spans="1:29" s="295" customFormat="1" x14ac:dyDescent="0.25">
      <c r="A21" s="278" t="s">
        <v>123</v>
      </c>
      <c r="B21" s="295" t="s">
        <v>216</v>
      </c>
      <c r="F21" s="300"/>
      <c r="G21" s="301">
        <f>G5/26492-1</f>
        <v>0.18345160803261362</v>
      </c>
      <c r="H21" s="295">
        <f>H3/C3-1</f>
        <v>0.11464410735122521</v>
      </c>
      <c r="I21" s="295">
        <f>I3/D3-1</f>
        <v>0.12081758364832695</v>
      </c>
      <c r="J21" s="295">
        <f>J3/E3-1</f>
        <v>0.12553573897414627</v>
      </c>
      <c r="K21" s="300">
        <f>K3/F3-1</f>
        <v>0.12312235203492095</v>
      </c>
      <c r="L21" s="301">
        <f t="shared" si="18"/>
        <v>0.11179510079101806</v>
      </c>
      <c r="M21" s="295">
        <f>M3/H3-1</f>
        <v>0.12339701648783041</v>
      </c>
      <c r="N21" s="295">
        <f>N3/I3-1</f>
        <v>9.4678990756932313E-2</v>
      </c>
      <c r="O21" s="295">
        <f>O3/J3-1</f>
        <v>9.0652254022847378E-2</v>
      </c>
      <c r="P21" s="300">
        <f>P3/K3-1</f>
        <v>8.0361225422953764E-2</v>
      </c>
      <c r="Q21" s="301">
        <f t="shared" si="19"/>
        <v>8.7156094902028247E-2</v>
      </c>
      <c r="R21" s="295">
        <f>R3/M3-1</f>
        <v>8.2935352358765257E-2</v>
      </c>
      <c r="S21" s="295">
        <f>S3/N3-1</f>
        <v>0.10565951620264724</v>
      </c>
      <c r="T21" s="305">
        <f>T5/O5-1</f>
        <v>8.5345192714951335E-2</v>
      </c>
      <c r="U21" s="305">
        <f>U5/P5-1</f>
        <v>0.20084058841188823</v>
      </c>
      <c r="V21" s="309">
        <f t="shared" ref="V21" si="20">V5/Q5-1</f>
        <v>0.11663807890222988</v>
      </c>
      <c r="W21" s="309">
        <f>V21</f>
        <v>0.11663807890222988</v>
      </c>
      <c r="X21" s="309">
        <f t="shared" ref="X21:AC21" si="21">W21</f>
        <v>0.11663807890222988</v>
      </c>
      <c r="Y21" s="309">
        <f t="shared" si="21"/>
        <v>0.11663807890222988</v>
      </c>
      <c r="Z21" s="309">
        <f t="shared" si="21"/>
        <v>0.11663807890222988</v>
      </c>
      <c r="AA21" s="309">
        <f t="shared" si="21"/>
        <v>0.11663807890222988</v>
      </c>
      <c r="AB21" s="309">
        <f t="shared" si="21"/>
        <v>0.11663807890222988</v>
      </c>
      <c r="AC21" s="309">
        <f t="shared" si="21"/>
        <v>0.11663807890222988</v>
      </c>
    </row>
    <row r="22" spans="1:29" s="191" customFormat="1" x14ac:dyDescent="0.25">
      <c r="B22" s="191" t="s">
        <v>217</v>
      </c>
      <c r="C22" s="191">
        <f>C10/(C5+C9)</f>
        <v>2.698691134799622E-3</v>
      </c>
      <c r="D22" s="191">
        <f t="shared" ref="D22:S22" si="22">D10/(D5+D9)</f>
        <v>2.5000000000000001E-2</v>
      </c>
      <c r="E22" s="191">
        <f t="shared" si="22"/>
        <v>5.8695929564884522E-2</v>
      </c>
      <c r="F22" s="300">
        <f t="shared" si="22"/>
        <v>3.8753799392097263E-2</v>
      </c>
      <c r="G22" s="301">
        <f t="shared" si="22"/>
        <v>3.2007458048477315E-2</v>
      </c>
      <c r="H22" s="191">
        <f t="shared" si="22"/>
        <v>4.5992409019870506E-2</v>
      </c>
      <c r="I22" s="191">
        <f t="shared" si="22"/>
        <v>0.17059639389736478</v>
      </c>
      <c r="J22" s="191">
        <f t="shared" si="22"/>
        <v>0.17105413105413106</v>
      </c>
      <c r="K22" s="300">
        <f t="shared" si="22"/>
        <v>0.17145877378435517</v>
      </c>
      <c r="L22" s="301">
        <f t="shared" si="22"/>
        <v>0.13979634537592411</v>
      </c>
      <c r="M22" s="191">
        <f t="shared" si="22"/>
        <v>0.18695985121977901</v>
      </c>
      <c r="N22" s="191">
        <f t="shared" si="22"/>
        <v>0.18919779286926994</v>
      </c>
      <c r="O22" s="191">
        <f t="shared" si="22"/>
        <v>0.19926315789473684</v>
      </c>
      <c r="P22" s="300">
        <f t="shared" si="22"/>
        <v>0.17685356136429889</v>
      </c>
      <c r="Q22" s="301">
        <f t="shared" si="22"/>
        <v>0.18784544790906246</v>
      </c>
      <c r="R22" s="191">
        <f t="shared" si="22"/>
        <v>0.19685757729346173</v>
      </c>
      <c r="S22" s="191">
        <f t="shared" si="22"/>
        <v>0.22773437499999999</v>
      </c>
      <c r="T22" s="305">
        <f>S22</f>
        <v>0.22773437499999999</v>
      </c>
      <c r="U22" s="305">
        <f>T22</f>
        <v>0.22773437499999999</v>
      </c>
      <c r="V22" s="309">
        <f t="shared" ref="V22" si="23">V10/(V5+V9)</f>
        <v>0.22054278936961397</v>
      </c>
      <c r="W22" s="305">
        <f t="shared" ref="W22:AC23" si="24">V22</f>
        <v>0.22054278936961397</v>
      </c>
      <c r="X22" s="305">
        <f t="shared" si="24"/>
        <v>0.22054278936961397</v>
      </c>
      <c r="Y22" s="305">
        <f t="shared" si="24"/>
        <v>0.22054278936961397</v>
      </c>
      <c r="Z22" s="305">
        <f t="shared" si="24"/>
        <v>0.22054278936961397</v>
      </c>
      <c r="AA22" s="305">
        <f t="shared" si="24"/>
        <v>0.22054278936961397</v>
      </c>
      <c r="AB22" s="305">
        <f t="shared" si="24"/>
        <v>0.22054278936961397</v>
      </c>
      <c r="AC22" s="305">
        <f t="shared" si="24"/>
        <v>0.22054278936961397</v>
      </c>
    </row>
    <row r="23" spans="1:29" x14ac:dyDescent="0.25">
      <c r="B23" s="276" t="s">
        <v>218</v>
      </c>
      <c r="C23" s="191">
        <f>C13/C12*-1</f>
        <v>1.9655172413793103</v>
      </c>
      <c r="D23" s="191">
        <f t="shared" ref="D23:S23" si="25">D13/D12*-1</f>
        <v>0.62430939226519333</v>
      </c>
      <c r="E23" s="191">
        <f t="shared" si="25"/>
        <v>0.55789473684210522</v>
      </c>
      <c r="F23" s="300">
        <f t="shared" si="25"/>
        <v>3.9696969696969697</v>
      </c>
      <c r="G23" s="301">
        <f t="shared" si="25"/>
        <v>0.68484848484848482</v>
      </c>
      <c r="H23" s="191">
        <f t="shared" si="25"/>
        <v>0.38957055214723929</v>
      </c>
      <c r="I23" s="191">
        <f t="shared" si="25"/>
        <v>0.15080428954423591</v>
      </c>
      <c r="J23" s="191">
        <f t="shared" si="25"/>
        <v>0.17686617350369871</v>
      </c>
      <c r="K23" s="300">
        <f t="shared" si="25"/>
        <v>0.1209726443768997</v>
      </c>
      <c r="L23" s="302">
        <f t="shared" si="25"/>
        <v>0.16444444444444445</v>
      </c>
      <c r="M23" s="191">
        <f t="shared" si="25"/>
        <v>0.17889662560257097</v>
      </c>
      <c r="N23" s="191">
        <f t="shared" si="25"/>
        <v>0.22210125204137179</v>
      </c>
      <c r="O23" s="191">
        <f t="shared" si="25"/>
        <v>0.12542955326460481</v>
      </c>
      <c r="P23" s="300">
        <f t="shared" si="25"/>
        <v>0.14084507042253522</v>
      </c>
      <c r="Q23" s="301">
        <f t="shared" si="25"/>
        <v>0.16684592632428072</v>
      </c>
      <c r="R23" s="191">
        <f t="shared" si="25"/>
        <v>0.21935157041540021</v>
      </c>
      <c r="S23" s="191">
        <f t="shared" si="25"/>
        <v>0.21571072319201995</v>
      </c>
      <c r="T23" s="305">
        <f>S23</f>
        <v>0.21571072319201995</v>
      </c>
      <c r="U23" s="305">
        <f>T23</f>
        <v>0.21571072319201995</v>
      </c>
      <c r="V23" s="309">
        <f t="shared" ref="V23" si="26">V13/V12*-1</f>
        <v>0.21647149000358015</v>
      </c>
      <c r="W23" s="305">
        <f t="shared" si="24"/>
        <v>0.21647149000358015</v>
      </c>
      <c r="X23" s="305">
        <f t="shared" si="24"/>
        <v>0.21647149000358015</v>
      </c>
      <c r="Y23" s="305">
        <f t="shared" si="24"/>
        <v>0.21647149000358015</v>
      </c>
      <c r="Z23" s="305">
        <f t="shared" si="24"/>
        <v>0.21647149000358015</v>
      </c>
      <c r="AA23" s="305">
        <f t="shared" si="24"/>
        <v>0.21647149000358015</v>
      </c>
      <c r="AB23" s="305">
        <f t="shared" si="24"/>
        <v>0.21647149000358015</v>
      </c>
      <c r="AC23" s="305">
        <f t="shared" si="24"/>
        <v>0.21647149000358015</v>
      </c>
    </row>
    <row r="24" spans="1:29" x14ac:dyDescent="0.25">
      <c r="G24" s="280"/>
      <c r="L24" s="280"/>
      <c r="Q24" s="280"/>
    </row>
    <row r="27" spans="1:29" x14ac:dyDescent="0.25">
      <c r="U27" s="278"/>
    </row>
  </sheetData>
  <dataConsolidate/>
  <phoneticPr fontId="7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W58"/>
  <sheetViews>
    <sheetView showGridLines="0" zoomScaleNormal="100" workbookViewId="0">
      <selection activeCell="F12" sqref="F12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3" width="11.7109375" style="4" customWidth="1"/>
    <col min="14" max="14" width="11.42578125" style="4" customWidth="1"/>
    <col min="15" max="15" width="21.42578125" style="4" bestFit="1" customWidth="1"/>
    <col min="16" max="23" width="11.42578125" style="4" customWidth="1"/>
    <col min="24" max="16384" width="9" style="4"/>
  </cols>
  <sheetData>
    <row r="1" spans="1:23" ht="19.5" x14ac:dyDescent="0.3">
      <c r="A1" s="260" t="str">
        <f>CoName</f>
        <v>Salesforce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/>
      <c r="O1" s="41"/>
    </row>
    <row r="2" spans="1:23" x14ac:dyDescent="0.25">
      <c r="A2" s="63" t="s">
        <v>123</v>
      </c>
      <c r="B2" s="104" t="s">
        <v>124</v>
      </c>
      <c r="C2" s="268">
        <v>2023</v>
      </c>
      <c r="D2" s="268">
        <f>C2+1</f>
        <v>2024</v>
      </c>
      <c r="E2" s="268">
        <f t="shared" ref="E2:M2" si="0">D2+1</f>
        <v>2025</v>
      </c>
      <c r="F2" s="268">
        <f t="shared" si="0"/>
        <v>2026</v>
      </c>
      <c r="G2" s="268">
        <f t="shared" si="0"/>
        <v>2027</v>
      </c>
      <c r="H2" s="268">
        <f t="shared" si="0"/>
        <v>2028</v>
      </c>
      <c r="I2" s="268">
        <f t="shared" si="0"/>
        <v>2029</v>
      </c>
      <c r="J2" s="268">
        <f t="shared" si="0"/>
        <v>2030</v>
      </c>
      <c r="K2" s="268">
        <f t="shared" si="0"/>
        <v>2031</v>
      </c>
      <c r="L2" s="268">
        <f t="shared" si="0"/>
        <v>2032</v>
      </c>
      <c r="M2" s="268">
        <f t="shared" si="0"/>
        <v>2033</v>
      </c>
      <c r="N2" s="197"/>
      <c r="O2" s="197"/>
    </row>
    <row r="3" spans="1:23" x14ac:dyDescent="0.25">
      <c r="A3" s="83"/>
      <c r="B3" s="159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</row>
    <row r="4" spans="1:23" x14ac:dyDescent="0.25">
      <c r="B4" s="91" t="s">
        <v>131</v>
      </c>
      <c r="C4"/>
      <c r="D4" s="265">
        <v>1</v>
      </c>
      <c r="E4"/>
      <c r="F4"/>
      <c r="G4" s="86"/>
      <c r="H4" s="86"/>
      <c r="I4" s="86"/>
      <c r="J4" s="86"/>
      <c r="K4" s="86"/>
      <c r="L4" s="86"/>
      <c r="M4" s="86"/>
      <c r="N4" s="86"/>
      <c r="P4" s="234"/>
      <c r="Q4" s="235"/>
      <c r="R4" s="235"/>
    </row>
    <row r="5" spans="1:23" x14ac:dyDescent="0.25">
      <c r="B5" s="85"/>
      <c r="C5" s="87"/>
      <c r="D5" s="110" t="s">
        <v>125</v>
      </c>
      <c r="E5" s="88"/>
      <c r="N5" s="86"/>
      <c r="P5" s="236"/>
      <c r="Q5" s="237"/>
      <c r="R5" s="237"/>
    </row>
    <row r="6" spans="1:23" x14ac:dyDescent="0.25">
      <c r="B6" s="89" t="s">
        <v>132</v>
      </c>
      <c r="D6" s="98">
        <v>0</v>
      </c>
      <c r="E6" s="90"/>
      <c r="F6" s="98">
        <f>Quarters!V21</f>
        <v>0.11663807890222988</v>
      </c>
      <c r="G6" s="98">
        <f>Quarters!W21</f>
        <v>0.11663807890222988</v>
      </c>
      <c r="H6" s="98">
        <f>Quarters!X21</f>
        <v>0.11663807890222988</v>
      </c>
      <c r="I6" s="98">
        <f>Quarters!Y21</f>
        <v>0.11663807890222988</v>
      </c>
      <c r="J6" s="98">
        <f>Quarters!Z21</f>
        <v>0.11663807890222988</v>
      </c>
      <c r="K6" s="98">
        <f>Quarters!AA21</f>
        <v>0.11663807890222988</v>
      </c>
      <c r="L6" s="98">
        <f>Quarters!AB21</f>
        <v>0.11663807890222988</v>
      </c>
      <c r="M6" s="98">
        <f>Quarters!AC21</f>
        <v>0.11663807890222988</v>
      </c>
      <c r="N6" s="171"/>
      <c r="P6" s="171"/>
      <c r="Q6" s="238"/>
      <c r="R6" s="238"/>
      <c r="S6" s="238"/>
      <c r="T6" s="238"/>
      <c r="U6" s="238"/>
      <c r="V6" s="238"/>
      <c r="W6" s="238"/>
    </row>
    <row r="7" spans="1:23" x14ac:dyDescent="0.25">
      <c r="B7" s="4" t="s">
        <v>127</v>
      </c>
      <c r="D7" s="98">
        <v>2.5000000000000001E-2</v>
      </c>
      <c r="E7" s="90"/>
      <c r="F7" s="98">
        <f>F10+$D$7</f>
        <v>0.14163807890222987</v>
      </c>
      <c r="G7" s="98">
        <f t="shared" ref="G7:M7" si="1">G10+$D$7</f>
        <v>0.14163807890222987</v>
      </c>
      <c r="H7" s="98">
        <f t="shared" si="1"/>
        <v>0.14163807890222987</v>
      </c>
      <c r="I7" s="98">
        <f t="shared" si="1"/>
        <v>0.14163807890222987</v>
      </c>
      <c r="J7" s="98">
        <f t="shared" si="1"/>
        <v>0.14163807890222987</v>
      </c>
      <c r="K7" s="98">
        <f t="shared" si="1"/>
        <v>0.14163807890222987</v>
      </c>
      <c r="L7" s="98">
        <f t="shared" si="1"/>
        <v>0.14163807890222987</v>
      </c>
      <c r="M7" s="98">
        <f t="shared" si="1"/>
        <v>0.14163807890222987</v>
      </c>
      <c r="N7" s="171"/>
      <c r="P7" s="171"/>
      <c r="Q7" s="171"/>
      <c r="R7" s="171"/>
      <c r="S7" s="171"/>
      <c r="T7" s="171"/>
      <c r="U7" s="171"/>
      <c r="V7" s="171"/>
      <c r="W7" s="171"/>
    </row>
    <row r="8" spans="1:23" x14ac:dyDescent="0.25">
      <c r="B8" s="4" t="s">
        <v>126</v>
      </c>
      <c r="D8" s="98">
        <v>-2.5000000000000001E-2</v>
      </c>
      <c r="E8" s="90"/>
      <c r="F8" s="98">
        <f>F10+$D$8</f>
        <v>9.1638078902229886E-2</v>
      </c>
      <c r="G8" s="98">
        <f t="shared" ref="G8:M8" si="2">G10+$D$8</f>
        <v>9.1638078902229886E-2</v>
      </c>
      <c r="H8" s="98">
        <f t="shared" si="2"/>
        <v>9.1638078902229886E-2</v>
      </c>
      <c r="I8" s="98">
        <f t="shared" si="2"/>
        <v>9.1638078902229886E-2</v>
      </c>
      <c r="J8" s="98">
        <f t="shared" si="2"/>
        <v>9.1638078902229886E-2</v>
      </c>
      <c r="K8" s="98">
        <f t="shared" si="2"/>
        <v>9.1638078902229886E-2</v>
      </c>
      <c r="L8" s="98">
        <f t="shared" si="2"/>
        <v>9.1638078902229886E-2</v>
      </c>
      <c r="M8" s="98">
        <f t="shared" si="2"/>
        <v>9.1638078902229886E-2</v>
      </c>
      <c r="N8" s="171"/>
    </row>
    <row r="9" spans="1:23" x14ac:dyDescent="0.25">
      <c r="N9" s="30"/>
      <c r="O9" s="30"/>
      <c r="P9" s="171"/>
      <c r="Q9" s="171"/>
    </row>
    <row r="10" spans="1:23" x14ac:dyDescent="0.25">
      <c r="B10" s="115" t="s">
        <v>149</v>
      </c>
      <c r="C10" s="191">
        <f>Quarters!G21</f>
        <v>0.18345160803261362</v>
      </c>
      <c r="D10" s="191">
        <f>Quarters!L21</f>
        <v>0.11179510079101806</v>
      </c>
      <c r="E10" s="192">
        <f>Quarters!Q21</f>
        <v>8.7156094902028247E-2</v>
      </c>
      <c r="F10" s="102">
        <f t="shared" ref="F10" si="3">CHOOSE(ScenarioREV,F6,F7,F8)</f>
        <v>0.11663807890222988</v>
      </c>
      <c r="G10" s="102">
        <f t="shared" ref="G10:M10" si="4">CHOOSE(ScenarioREV,G6,G7,G8)</f>
        <v>0.11663807890222988</v>
      </c>
      <c r="H10" s="102">
        <f t="shared" si="4"/>
        <v>0.11663807890222988</v>
      </c>
      <c r="I10" s="102">
        <f t="shared" si="4"/>
        <v>0.11663807890222988</v>
      </c>
      <c r="J10" s="102">
        <f t="shared" si="4"/>
        <v>0.11663807890222988</v>
      </c>
      <c r="K10" s="102">
        <f t="shared" si="4"/>
        <v>0.11663807890222988</v>
      </c>
      <c r="L10" s="102">
        <f t="shared" si="4"/>
        <v>0.11663807890222988</v>
      </c>
      <c r="M10" s="102">
        <f t="shared" si="4"/>
        <v>0.11663807890222988</v>
      </c>
      <c r="N10" s="29"/>
      <c r="O10" s="29"/>
      <c r="P10" s="171"/>
      <c r="Q10" s="171"/>
    </row>
    <row r="11" spans="1:23" x14ac:dyDescent="0.25">
      <c r="B11" s="4" t="s">
        <v>133</v>
      </c>
      <c r="C11" s="8">
        <f>IncState!C18/IncState!C17</f>
        <v>0.26664965552436848</v>
      </c>
      <c r="D11" s="8">
        <f>IncState!D18/IncState!D17</f>
        <v>0.2450296927446424</v>
      </c>
      <c r="E11" s="8">
        <f>IncState!E18/IncState!E17</f>
        <v>0.22807758279456392</v>
      </c>
      <c r="F11" s="98">
        <f>E11</f>
        <v>0.22807758279456392</v>
      </c>
      <c r="G11" s="98">
        <f t="shared" ref="G11:M11" si="5">F11</f>
        <v>0.22807758279456392</v>
      </c>
      <c r="H11" s="98">
        <f t="shared" si="5"/>
        <v>0.22807758279456392</v>
      </c>
      <c r="I11" s="98">
        <f t="shared" si="5"/>
        <v>0.22807758279456392</v>
      </c>
      <c r="J11" s="98">
        <f t="shared" si="5"/>
        <v>0.22807758279456392</v>
      </c>
      <c r="K11" s="98">
        <f t="shared" si="5"/>
        <v>0.22807758279456392</v>
      </c>
      <c r="L11" s="98">
        <f t="shared" si="5"/>
        <v>0.22807758279456392</v>
      </c>
      <c r="M11" s="98">
        <f t="shared" si="5"/>
        <v>0.22807758279456392</v>
      </c>
      <c r="N11" s="171"/>
      <c r="O11" s="171"/>
      <c r="P11" s="171"/>
      <c r="Q11" s="171"/>
    </row>
    <row r="12" spans="1:23" x14ac:dyDescent="0.25">
      <c r="B12" s="4" t="s">
        <v>179</v>
      </c>
      <c r="C12" s="8">
        <f>IncState!C19/IncState!C17</f>
        <v>0.16123373309517733</v>
      </c>
      <c r="D12" s="8">
        <f>IncState!D19/IncState!D17</f>
        <v>0.14074647846917404</v>
      </c>
      <c r="E12" s="8">
        <f>IncState!E19/IncState!E17</f>
        <v>0.14495316004749967</v>
      </c>
      <c r="F12" s="98">
        <f>E12</f>
        <v>0.14495316004749967</v>
      </c>
      <c r="G12" s="98">
        <f t="shared" ref="G12:M12" si="6">F12</f>
        <v>0.14495316004749967</v>
      </c>
      <c r="H12" s="98">
        <f t="shared" si="6"/>
        <v>0.14495316004749967</v>
      </c>
      <c r="I12" s="98">
        <f t="shared" si="6"/>
        <v>0.14495316004749967</v>
      </c>
      <c r="J12" s="98">
        <f t="shared" si="6"/>
        <v>0.14495316004749967</v>
      </c>
      <c r="K12" s="98">
        <f t="shared" si="6"/>
        <v>0.14495316004749967</v>
      </c>
      <c r="L12" s="98">
        <f t="shared" si="6"/>
        <v>0.14495316004749967</v>
      </c>
      <c r="M12" s="98">
        <f t="shared" si="6"/>
        <v>0.14495316004749967</v>
      </c>
      <c r="N12" s="171"/>
      <c r="O12" s="171"/>
      <c r="P12" s="171"/>
      <c r="Q12" s="171"/>
    </row>
    <row r="13" spans="1:23" x14ac:dyDescent="0.25">
      <c r="B13" s="4" t="s">
        <v>45</v>
      </c>
      <c r="C13" s="8">
        <f>IncState!C20/IncState!C17</f>
        <v>0.51285404439908144</v>
      </c>
      <c r="D13" s="8">
        <f>IncState!D20/IncState!D17</f>
        <v>0.44212066442895259</v>
      </c>
      <c r="E13" s="8">
        <f>IncState!E20/IncState!E17</f>
        <v>0.42467343976777938</v>
      </c>
      <c r="F13" s="98">
        <f>E13-0.01</f>
        <v>0.41467343976777937</v>
      </c>
      <c r="G13" s="98">
        <f t="shared" ref="G13:M13" si="7">F13-0.01</f>
        <v>0.40467343976777936</v>
      </c>
      <c r="H13" s="98">
        <f t="shared" si="7"/>
        <v>0.39467343976777935</v>
      </c>
      <c r="I13" s="98">
        <f t="shared" si="7"/>
        <v>0.38467343976777935</v>
      </c>
      <c r="J13" s="98">
        <f t="shared" si="7"/>
        <v>0.37467343976777934</v>
      </c>
      <c r="K13" s="98">
        <f t="shared" si="7"/>
        <v>0.36467343976777933</v>
      </c>
      <c r="L13" s="98">
        <f t="shared" si="7"/>
        <v>0.35467343976777932</v>
      </c>
      <c r="M13" s="98">
        <f t="shared" si="7"/>
        <v>0.34467343976777931</v>
      </c>
      <c r="N13" s="171"/>
      <c r="O13" s="171"/>
    </row>
    <row r="14" spans="1:23" x14ac:dyDescent="0.25">
      <c r="B14" s="4" t="s">
        <v>135</v>
      </c>
      <c r="F14" s="99">
        <v>1522</v>
      </c>
      <c r="G14" s="99">
        <v>1147</v>
      </c>
      <c r="H14" s="99">
        <v>745</v>
      </c>
      <c r="I14" s="99">
        <v>578</v>
      </c>
      <c r="J14" s="99">
        <v>294</v>
      </c>
      <c r="K14" s="99">
        <v>142</v>
      </c>
      <c r="L14" s="99">
        <v>0</v>
      </c>
      <c r="M14" s="99">
        <f t="shared" ref="M14" si="8">L14</f>
        <v>0</v>
      </c>
      <c r="N14" s="198"/>
      <c r="O14" s="198"/>
    </row>
    <row r="15" spans="1:23" x14ac:dyDescent="0.25">
      <c r="B15" s="4" t="s">
        <v>136</v>
      </c>
      <c r="F15" s="99">
        <v>0</v>
      </c>
      <c r="G15" s="99">
        <v>0</v>
      </c>
      <c r="H15" s="99">
        <v>0</v>
      </c>
      <c r="I15" s="99">
        <v>0</v>
      </c>
      <c r="J15" s="99">
        <v>0</v>
      </c>
      <c r="K15" s="99">
        <v>0</v>
      </c>
      <c r="L15" s="99">
        <v>0</v>
      </c>
      <c r="M15" s="99">
        <v>0</v>
      </c>
      <c r="N15" s="198"/>
      <c r="O15" s="198"/>
    </row>
    <row r="16" spans="1:23" x14ac:dyDescent="0.25">
      <c r="B16" s="4" t="s">
        <v>138</v>
      </c>
      <c r="F16" s="99">
        <v>0</v>
      </c>
      <c r="G16" s="99">
        <v>0</v>
      </c>
      <c r="H16" s="99">
        <v>0</v>
      </c>
      <c r="I16" s="99">
        <v>0</v>
      </c>
      <c r="J16" s="99">
        <v>0</v>
      </c>
      <c r="K16" s="99">
        <v>0</v>
      </c>
      <c r="L16" s="99">
        <v>0</v>
      </c>
      <c r="M16" s="99">
        <v>0</v>
      </c>
      <c r="N16" s="198"/>
      <c r="O16" s="198"/>
    </row>
    <row r="17" spans="1:15" x14ac:dyDescent="0.25">
      <c r="B17" s="4" t="s">
        <v>48</v>
      </c>
      <c r="C17" s="8">
        <f>IncState!C35/IncState!C33</f>
        <v>0.30376344086021506</v>
      </c>
      <c r="D17" s="8">
        <f>IncState!D35/IncState!D33</f>
        <v>0.13708319299427416</v>
      </c>
      <c r="E17" s="8">
        <f>IncState!E35/IncState!E33</f>
        <v>0.14844497607655502</v>
      </c>
      <c r="F17" s="98">
        <v>0.17</v>
      </c>
      <c r="G17" s="98">
        <f t="shared" ref="G17:M17" si="9">F17</f>
        <v>0.17</v>
      </c>
      <c r="H17" s="98">
        <f t="shared" si="9"/>
        <v>0.17</v>
      </c>
      <c r="I17" s="98">
        <f t="shared" si="9"/>
        <v>0.17</v>
      </c>
      <c r="J17" s="98">
        <f t="shared" si="9"/>
        <v>0.17</v>
      </c>
      <c r="K17" s="98">
        <f t="shared" si="9"/>
        <v>0.17</v>
      </c>
      <c r="L17" s="98">
        <f t="shared" si="9"/>
        <v>0.17</v>
      </c>
      <c r="M17" s="98">
        <f t="shared" si="9"/>
        <v>0.17</v>
      </c>
      <c r="N17" s="171"/>
      <c r="O17" s="171"/>
    </row>
    <row r="18" spans="1:15" x14ac:dyDescent="0.25">
      <c r="B18" s="4" t="s">
        <v>139</v>
      </c>
      <c r="C18" s="313">
        <f>IncState!C37</f>
        <v>0</v>
      </c>
      <c r="D18" s="313">
        <f>IncState!D37</f>
        <v>0</v>
      </c>
      <c r="E18" s="313">
        <f>IncState!E37</f>
        <v>1.5977130977130978</v>
      </c>
      <c r="F18" s="314">
        <f>E18</f>
        <v>1.5977130977130978</v>
      </c>
      <c r="G18" s="314">
        <f t="shared" ref="G18:M18" si="10">F18</f>
        <v>1.5977130977130978</v>
      </c>
      <c r="H18" s="314">
        <f t="shared" si="10"/>
        <v>1.5977130977130978</v>
      </c>
      <c r="I18" s="314">
        <f t="shared" si="10"/>
        <v>1.5977130977130978</v>
      </c>
      <c r="J18" s="314">
        <f t="shared" si="10"/>
        <v>1.5977130977130978</v>
      </c>
      <c r="K18" s="314">
        <f t="shared" si="10"/>
        <v>1.5977130977130978</v>
      </c>
      <c r="L18" s="314">
        <f t="shared" si="10"/>
        <v>1.5977130977130978</v>
      </c>
      <c r="M18" s="314">
        <f t="shared" si="10"/>
        <v>1.5977130977130978</v>
      </c>
      <c r="N18" s="171"/>
      <c r="O18" s="171"/>
    </row>
    <row r="19" spans="1:15" x14ac:dyDescent="0.25">
      <c r="B19" s="4" t="s">
        <v>49</v>
      </c>
      <c r="C19" s="4">
        <f>IncState!C40</f>
        <v>992</v>
      </c>
      <c r="D19" s="4">
        <f>IncState!D40</f>
        <v>974</v>
      </c>
      <c r="E19" s="4">
        <f>IncState!E40</f>
        <v>962</v>
      </c>
      <c r="F19" s="99">
        <f>E19</f>
        <v>962</v>
      </c>
      <c r="G19" s="99">
        <f t="shared" ref="G19:M19" si="11">F19</f>
        <v>962</v>
      </c>
      <c r="H19" s="99">
        <f t="shared" si="11"/>
        <v>962</v>
      </c>
      <c r="I19" s="99">
        <f t="shared" si="11"/>
        <v>962</v>
      </c>
      <c r="J19" s="99">
        <f t="shared" si="11"/>
        <v>962</v>
      </c>
      <c r="K19" s="99">
        <f t="shared" si="11"/>
        <v>962</v>
      </c>
      <c r="L19" s="99">
        <f t="shared" si="11"/>
        <v>962</v>
      </c>
      <c r="M19" s="99">
        <f t="shared" si="11"/>
        <v>962</v>
      </c>
      <c r="N19" s="198"/>
      <c r="O19" s="198"/>
    </row>
    <row r="20" spans="1:15" x14ac:dyDescent="0.25">
      <c r="B20" s="4" t="s">
        <v>50</v>
      </c>
      <c r="C20" s="4">
        <f>IncState!C41</f>
        <v>997</v>
      </c>
      <c r="D20" s="4">
        <f>IncState!D41</f>
        <v>984</v>
      </c>
      <c r="E20" s="4">
        <f>IncState!E41</f>
        <v>974</v>
      </c>
      <c r="F20" s="99">
        <f>E20</f>
        <v>974</v>
      </c>
      <c r="G20" s="99">
        <f t="shared" ref="G20:M20" si="12">F20</f>
        <v>974</v>
      </c>
      <c r="H20" s="99">
        <f t="shared" si="12"/>
        <v>974</v>
      </c>
      <c r="I20" s="99">
        <f t="shared" si="12"/>
        <v>974</v>
      </c>
      <c r="J20" s="99">
        <f t="shared" si="12"/>
        <v>974</v>
      </c>
      <c r="K20" s="99">
        <f t="shared" si="12"/>
        <v>974</v>
      </c>
      <c r="L20" s="99">
        <f t="shared" si="12"/>
        <v>974</v>
      </c>
      <c r="M20" s="99">
        <f t="shared" si="12"/>
        <v>974</v>
      </c>
      <c r="N20" s="198"/>
      <c r="O20" s="198"/>
    </row>
    <row r="21" spans="1:15" x14ac:dyDescent="0.25">
      <c r="F21" s="101"/>
      <c r="G21" s="101"/>
      <c r="H21" s="101"/>
      <c r="I21" s="101"/>
      <c r="J21" s="101"/>
      <c r="K21" s="101"/>
      <c r="L21" s="101"/>
      <c r="M21" s="101"/>
      <c r="N21" s="171"/>
      <c r="O21" s="171"/>
    </row>
    <row r="22" spans="1:15" x14ac:dyDescent="0.25">
      <c r="A22" s="63" t="s">
        <v>123</v>
      </c>
      <c r="B22" s="104" t="s">
        <v>144</v>
      </c>
      <c r="C22" s="268">
        <v>2023</v>
      </c>
      <c r="D22" s="268">
        <f>C22+1</f>
        <v>2024</v>
      </c>
      <c r="E22" s="268">
        <f t="shared" ref="E22:M22" si="13">D22+1</f>
        <v>2025</v>
      </c>
      <c r="F22" s="268">
        <f t="shared" si="13"/>
        <v>2026</v>
      </c>
      <c r="G22" s="268">
        <f t="shared" si="13"/>
        <v>2027</v>
      </c>
      <c r="H22" s="268">
        <f t="shared" si="13"/>
        <v>2028</v>
      </c>
      <c r="I22" s="268">
        <f t="shared" si="13"/>
        <v>2029</v>
      </c>
      <c r="J22" s="268">
        <f t="shared" si="13"/>
        <v>2030</v>
      </c>
      <c r="K22" s="268">
        <f t="shared" si="13"/>
        <v>2031</v>
      </c>
      <c r="L22" s="268">
        <f t="shared" si="13"/>
        <v>2032</v>
      </c>
      <c r="M22" s="268">
        <f t="shared" si="13"/>
        <v>2033</v>
      </c>
      <c r="N22" s="199"/>
      <c r="O22" s="199"/>
    </row>
    <row r="23" spans="1:15" x14ac:dyDescent="0.25">
      <c r="A23" s="83"/>
      <c r="B23" s="159"/>
      <c r="C23" s="197"/>
      <c r="D23" s="197"/>
      <c r="E23" s="197"/>
      <c r="F23" s="199"/>
      <c r="G23" s="199"/>
      <c r="H23" s="199"/>
      <c r="I23" s="199"/>
      <c r="J23" s="199"/>
      <c r="K23" s="199"/>
      <c r="L23" s="199"/>
      <c r="M23" s="199"/>
      <c r="N23" s="199"/>
      <c r="O23" s="199"/>
    </row>
    <row r="24" spans="1:15" x14ac:dyDescent="0.25">
      <c r="B24" s="4" t="s">
        <v>137</v>
      </c>
      <c r="E24" s="8"/>
      <c r="F24" s="98">
        <f>E24</f>
        <v>0</v>
      </c>
      <c r="G24" s="98">
        <f t="shared" ref="G24:M24" si="14">F24</f>
        <v>0</v>
      </c>
      <c r="H24" s="98">
        <f t="shared" si="14"/>
        <v>0</v>
      </c>
      <c r="I24" s="98">
        <f t="shared" si="14"/>
        <v>0</v>
      </c>
      <c r="J24" s="98">
        <f t="shared" si="14"/>
        <v>0</v>
      </c>
      <c r="K24" s="98">
        <f t="shared" si="14"/>
        <v>0</v>
      </c>
      <c r="L24" s="98">
        <f t="shared" si="14"/>
        <v>0</v>
      </c>
      <c r="M24" s="98">
        <f t="shared" si="14"/>
        <v>0</v>
      </c>
      <c r="N24" s="171"/>
      <c r="O24" s="171"/>
    </row>
    <row r="25" spans="1:15" x14ac:dyDescent="0.25">
      <c r="B25" s="4" t="s">
        <v>26</v>
      </c>
      <c r="E25" s="8">
        <v>0.03</v>
      </c>
      <c r="F25" s="98">
        <f>E25</f>
        <v>0.03</v>
      </c>
      <c r="G25" s="98">
        <f t="shared" ref="G25:M25" si="15">F25</f>
        <v>0.03</v>
      </c>
      <c r="H25" s="98">
        <f t="shared" si="15"/>
        <v>0.03</v>
      </c>
      <c r="I25" s="98">
        <f t="shared" si="15"/>
        <v>0.03</v>
      </c>
      <c r="J25" s="98">
        <f t="shared" si="15"/>
        <v>0.03</v>
      </c>
      <c r="K25" s="98">
        <f t="shared" si="15"/>
        <v>0.03</v>
      </c>
      <c r="L25" s="98">
        <f t="shared" si="15"/>
        <v>0.03</v>
      </c>
      <c r="M25" s="98">
        <f t="shared" si="15"/>
        <v>0.03</v>
      </c>
      <c r="N25" s="171"/>
      <c r="O25" s="171"/>
    </row>
    <row r="26" spans="1:15" x14ac:dyDescent="0.25">
      <c r="B26" s="4" t="s">
        <v>27</v>
      </c>
      <c r="C26" s="8"/>
      <c r="D26" s="8"/>
      <c r="E26" s="8">
        <v>0.05</v>
      </c>
      <c r="F26" s="124">
        <f>E26</f>
        <v>0.05</v>
      </c>
      <c r="G26" s="124">
        <f t="shared" ref="G26:M26" si="16">F26</f>
        <v>0.05</v>
      </c>
      <c r="H26" s="124">
        <f t="shared" si="16"/>
        <v>0.05</v>
      </c>
      <c r="I26" s="124">
        <f t="shared" si="16"/>
        <v>0.05</v>
      </c>
      <c r="J26" s="124">
        <f t="shared" si="16"/>
        <v>0.05</v>
      </c>
      <c r="K26" s="124">
        <f t="shared" si="16"/>
        <v>0.05</v>
      </c>
      <c r="L26" s="124">
        <f t="shared" si="16"/>
        <v>0.05</v>
      </c>
      <c r="M26" s="98">
        <f t="shared" si="16"/>
        <v>0.05</v>
      </c>
      <c r="N26" s="171"/>
      <c r="O26" s="171"/>
    </row>
    <row r="27" spans="1:15" x14ac:dyDescent="0.25">
      <c r="F27" s="101"/>
      <c r="G27" s="101"/>
      <c r="H27" s="101"/>
      <c r="I27" s="101"/>
      <c r="J27" s="101"/>
      <c r="K27" s="101"/>
      <c r="L27" s="101"/>
      <c r="M27" s="101"/>
      <c r="N27" s="171"/>
      <c r="O27" s="171"/>
    </row>
    <row r="28" spans="1:15" x14ac:dyDescent="0.25">
      <c r="B28" s="4" t="s">
        <v>28</v>
      </c>
      <c r="F28" s="99">
        <v>0</v>
      </c>
      <c r="G28" s="99">
        <v>0</v>
      </c>
      <c r="H28" s="99">
        <v>0</v>
      </c>
      <c r="I28" s="99">
        <v>0</v>
      </c>
      <c r="J28" s="99">
        <v>0</v>
      </c>
      <c r="K28" s="99">
        <v>0</v>
      </c>
      <c r="L28" s="99">
        <v>0</v>
      </c>
      <c r="M28" s="99">
        <v>0</v>
      </c>
      <c r="N28" s="198"/>
      <c r="O28" s="198"/>
    </row>
    <row r="29" spans="1:15" x14ac:dyDescent="0.25">
      <c r="B29" s="4" t="s">
        <v>29</v>
      </c>
      <c r="F29" s="99">
        <v>0</v>
      </c>
      <c r="G29" s="99">
        <v>0</v>
      </c>
      <c r="H29" s="99">
        <v>-2500</v>
      </c>
      <c r="I29" s="99">
        <v>0</v>
      </c>
      <c r="J29" s="99">
        <v>-6000</v>
      </c>
      <c r="K29" s="99">
        <v>0</v>
      </c>
      <c r="L29" s="99">
        <v>0</v>
      </c>
      <c r="M29" s="99">
        <v>0</v>
      </c>
      <c r="N29" s="198"/>
      <c r="O29" s="198"/>
    </row>
    <row r="30" spans="1:15" x14ac:dyDescent="0.25">
      <c r="F30" s="101"/>
      <c r="G30" s="101"/>
      <c r="H30" s="101"/>
      <c r="I30" s="101"/>
      <c r="J30" s="101"/>
      <c r="K30" s="101"/>
      <c r="L30" s="101"/>
      <c r="M30" s="101"/>
      <c r="N30" s="171"/>
      <c r="O30" s="171"/>
    </row>
    <row r="31" spans="1:15" x14ac:dyDescent="0.25">
      <c r="A31" s="63" t="s">
        <v>123</v>
      </c>
      <c r="B31" s="104" t="s">
        <v>141</v>
      </c>
      <c r="C31" s="268">
        <v>2023</v>
      </c>
      <c r="D31" s="268">
        <f>C31+1</f>
        <v>2024</v>
      </c>
      <c r="E31" s="268">
        <f t="shared" ref="E31:M31" si="17">D31+1</f>
        <v>2025</v>
      </c>
      <c r="F31" s="268">
        <f t="shared" si="17"/>
        <v>2026</v>
      </c>
      <c r="G31" s="268">
        <f t="shared" si="17"/>
        <v>2027</v>
      </c>
      <c r="H31" s="268">
        <f t="shared" si="17"/>
        <v>2028</v>
      </c>
      <c r="I31" s="268">
        <f t="shared" si="17"/>
        <v>2029</v>
      </c>
      <c r="J31" s="268">
        <f t="shared" si="17"/>
        <v>2030</v>
      </c>
      <c r="K31" s="268">
        <f t="shared" si="17"/>
        <v>2031</v>
      </c>
      <c r="L31" s="268">
        <f t="shared" si="17"/>
        <v>2032</v>
      </c>
      <c r="M31" s="268">
        <f t="shared" si="17"/>
        <v>2033</v>
      </c>
      <c r="N31" s="200"/>
      <c r="O31" s="200"/>
    </row>
    <row r="32" spans="1:15" x14ac:dyDescent="0.25">
      <c r="A32" s="83"/>
      <c r="B32" s="159"/>
      <c r="C32" s="197"/>
      <c r="D32" s="197"/>
      <c r="E32" s="197"/>
      <c r="F32" s="199"/>
      <c r="G32" s="199"/>
      <c r="H32" s="199"/>
      <c r="I32" s="199"/>
      <c r="J32" s="199"/>
      <c r="K32" s="200"/>
      <c r="L32" s="200"/>
      <c r="M32" s="200"/>
      <c r="N32" s="200"/>
      <c r="O32" s="200"/>
    </row>
    <row r="33" spans="1:15" x14ac:dyDescent="0.25">
      <c r="B33" s="4" t="s">
        <v>142</v>
      </c>
      <c r="C33" s="8">
        <f>658/IncState!C17</f>
        <v>2.098749681041082E-2</v>
      </c>
      <c r="D33" s="8">
        <f>736/IncState!D17</f>
        <v>2.1114840634592763E-2</v>
      </c>
      <c r="E33" s="8">
        <f>798/IncState!E17</f>
        <v>2.1058187095922946E-2</v>
      </c>
      <c r="F33" s="224">
        <f>E33</f>
        <v>2.1058187095922946E-2</v>
      </c>
      <c r="G33" s="224">
        <f t="shared" ref="G33:M33" si="18">F33</f>
        <v>2.1058187095922946E-2</v>
      </c>
      <c r="H33" s="224">
        <f t="shared" si="18"/>
        <v>2.1058187095922946E-2</v>
      </c>
      <c r="I33" s="224">
        <f t="shared" si="18"/>
        <v>2.1058187095922946E-2</v>
      </c>
      <c r="J33" s="224">
        <f t="shared" si="18"/>
        <v>2.1058187095922946E-2</v>
      </c>
      <c r="K33" s="224">
        <f t="shared" si="18"/>
        <v>2.1058187095922946E-2</v>
      </c>
      <c r="L33" s="224">
        <f t="shared" si="18"/>
        <v>2.1058187095922946E-2</v>
      </c>
      <c r="M33" s="224">
        <f t="shared" si="18"/>
        <v>2.1058187095922946E-2</v>
      </c>
      <c r="N33" s="171"/>
      <c r="O33" s="171"/>
    </row>
    <row r="34" spans="1:15" x14ac:dyDescent="0.25">
      <c r="B34" s="4" t="s">
        <v>155</v>
      </c>
      <c r="D34" s="8">
        <f>IncState!D23/BalSheet!C21</f>
        <v>0.36969053398058255</v>
      </c>
      <c r="E34" s="8">
        <f>IncState!E23/BalSheet!D21</f>
        <v>0.32287365813377372</v>
      </c>
      <c r="F34" s="98">
        <f>E34</f>
        <v>0.32287365813377372</v>
      </c>
      <c r="G34" s="98">
        <f t="shared" ref="G34:M34" si="19">F34</f>
        <v>0.32287365813377372</v>
      </c>
      <c r="H34" s="98">
        <f t="shared" si="19"/>
        <v>0.32287365813377372</v>
      </c>
      <c r="I34" s="98">
        <f t="shared" si="19"/>
        <v>0.32287365813377372</v>
      </c>
      <c r="J34" s="98">
        <f t="shared" si="19"/>
        <v>0.32287365813377372</v>
      </c>
      <c r="K34" s="98">
        <f t="shared" si="19"/>
        <v>0.32287365813377372</v>
      </c>
      <c r="L34" s="98">
        <f t="shared" si="19"/>
        <v>0.32287365813377372</v>
      </c>
      <c r="M34" s="98">
        <f t="shared" si="19"/>
        <v>0.32287365813377372</v>
      </c>
      <c r="N34" s="171"/>
      <c r="O34" s="171"/>
    </row>
    <row r="35" spans="1:15" x14ac:dyDescent="0.25">
      <c r="B35" s="4" t="s">
        <v>143</v>
      </c>
      <c r="F35" s="103">
        <v>-3400</v>
      </c>
      <c r="G35" s="103">
        <v>0</v>
      </c>
      <c r="H35" s="103">
        <v>0</v>
      </c>
      <c r="I35" s="103">
        <v>0</v>
      </c>
      <c r="J35" s="103">
        <v>0</v>
      </c>
      <c r="K35" s="103">
        <v>0</v>
      </c>
      <c r="L35" s="103">
        <v>0</v>
      </c>
      <c r="M35" s="103">
        <v>0</v>
      </c>
      <c r="N35" s="201"/>
      <c r="O35" s="201"/>
    </row>
    <row r="36" spans="1:15" x14ac:dyDescent="0.25">
      <c r="F36" s="30"/>
      <c r="G36" s="30"/>
      <c r="H36" s="30"/>
      <c r="I36" s="30"/>
      <c r="J36" s="30"/>
      <c r="K36" s="30"/>
      <c r="L36" s="30"/>
      <c r="M36" s="30"/>
      <c r="N36" s="30"/>
      <c r="O36" s="30"/>
    </row>
    <row r="37" spans="1:15" x14ac:dyDescent="0.25">
      <c r="A37" s="63" t="s">
        <v>123</v>
      </c>
      <c r="B37" s="104" t="s">
        <v>60</v>
      </c>
      <c r="C37" s="268">
        <v>2023</v>
      </c>
      <c r="D37" s="268">
        <f>C37+1</f>
        <v>2024</v>
      </c>
      <c r="E37" s="268">
        <f t="shared" ref="E37:M37" si="20">D37+1</f>
        <v>2025</v>
      </c>
      <c r="F37" s="268">
        <f t="shared" si="20"/>
        <v>2026</v>
      </c>
      <c r="G37" s="268">
        <f t="shared" si="20"/>
        <v>2027</v>
      </c>
      <c r="H37" s="268">
        <f t="shared" si="20"/>
        <v>2028</v>
      </c>
      <c r="I37" s="268">
        <f t="shared" si="20"/>
        <v>2029</v>
      </c>
      <c r="J37" s="268">
        <f t="shared" si="20"/>
        <v>2030</v>
      </c>
      <c r="K37" s="268">
        <f t="shared" si="20"/>
        <v>2031</v>
      </c>
      <c r="L37" s="268">
        <f t="shared" si="20"/>
        <v>2032</v>
      </c>
      <c r="M37" s="268">
        <f t="shared" si="20"/>
        <v>2033</v>
      </c>
      <c r="N37" s="200"/>
      <c r="O37" s="200"/>
    </row>
    <row r="38" spans="1:15" x14ac:dyDescent="0.25">
      <c r="A38" s="83"/>
      <c r="B38" s="159"/>
      <c r="C38" s="197"/>
      <c r="D38" s="197"/>
      <c r="E38" s="197"/>
      <c r="F38" s="266"/>
      <c r="G38" s="266"/>
      <c r="H38" s="266"/>
      <c r="I38" s="266"/>
      <c r="J38" s="266"/>
      <c r="K38" s="200"/>
      <c r="L38" s="200"/>
      <c r="M38" s="200"/>
      <c r="N38" s="200"/>
      <c r="O38" s="200"/>
    </row>
    <row r="39" spans="1:15" x14ac:dyDescent="0.25">
      <c r="B39" s="4" t="s">
        <v>128</v>
      </c>
      <c r="C39" s="313"/>
      <c r="D39" s="313"/>
      <c r="E39" s="313">
        <f>E18</f>
        <v>1.5977130977130978</v>
      </c>
      <c r="F39" s="314">
        <f>E39</f>
        <v>1.5977130977130978</v>
      </c>
      <c r="G39" s="314">
        <f t="shared" ref="G39:M39" si="21">F39</f>
        <v>1.5977130977130978</v>
      </c>
      <c r="H39" s="314">
        <f t="shared" si="21"/>
        <v>1.5977130977130978</v>
      </c>
      <c r="I39" s="314">
        <f t="shared" si="21"/>
        <v>1.5977130977130978</v>
      </c>
      <c r="J39" s="314">
        <f t="shared" si="21"/>
        <v>1.5977130977130978</v>
      </c>
      <c r="K39" s="314">
        <f t="shared" si="21"/>
        <v>1.5977130977130978</v>
      </c>
      <c r="L39" s="314">
        <f t="shared" si="21"/>
        <v>1.5977130977130978</v>
      </c>
      <c r="M39" s="314">
        <f t="shared" si="21"/>
        <v>1.5977130977130978</v>
      </c>
      <c r="N39" s="171"/>
      <c r="O39" s="171"/>
    </row>
    <row r="40" spans="1:15" x14ac:dyDescent="0.25">
      <c r="B40" s="4" t="s">
        <v>49</v>
      </c>
      <c r="C40" s="4">
        <f>C19</f>
        <v>992</v>
      </c>
      <c r="D40" s="4">
        <f t="shared" ref="D40:E40" si="22">D19</f>
        <v>974</v>
      </c>
      <c r="E40" s="4">
        <f t="shared" si="22"/>
        <v>962</v>
      </c>
      <c r="F40" s="99">
        <f t="shared" ref="F40:M41" si="23">F19</f>
        <v>962</v>
      </c>
      <c r="G40" s="99">
        <f t="shared" si="23"/>
        <v>962</v>
      </c>
      <c r="H40" s="99">
        <f t="shared" si="23"/>
        <v>962</v>
      </c>
      <c r="I40" s="99">
        <f t="shared" si="23"/>
        <v>962</v>
      </c>
      <c r="J40" s="99">
        <f t="shared" si="23"/>
        <v>962</v>
      </c>
      <c r="K40" s="99">
        <f t="shared" si="23"/>
        <v>962</v>
      </c>
      <c r="L40" s="99">
        <f t="shared" si="23"/>
        <v>962</v>
      </c>
      <c r="M40" s="99">
        <f t="shared" si="23"/>
        <v>962</v>
      </c>
      <c r="N40" s="198"/>
      <c r="O40" s="198"/>
    </row>
    <row r="41" spans="1:15" x14ac:dyDescent="0.25">
      <c r="B41" s="4" t="s">
        <v>50</v>
      </c>
      <c r="C41" s="4">
        <f t="shared" ref="C41:E41" si="24">C20</f>
        <v>997</v>
      </c>
      <c r="D41" s="4">
        <f t="shared" si="24"/>
        <v>984</v>
      </c>
      <c r="E41" s="4">
        <f t="shared" si="24"/>
        <v>974</v>
      </c>
      <c r="F41" s="99">
        <f t="shared" si="23"/>
        <v>974</v>
      </c>
      <c r="G41" s="99">
        <f t="shared" si="23"/>
        <v>974</v>
      </c>
      <c r="H41" s="99">
        <f t="shared" si="23"/>
        <v>974</v>
      </c>
      <c r="I41" s="99">
        <f t="shared" si="23"/>
        <v>974</v>
      </c>
      <c r="J41" s="99">
        <f t="shared" si="23"/>
        <v>974</v>
      </c>
      <c r="K41" s="99">
        <f t="shared" si="23"/>
        <v>974</v>
      </c>
      <c r="L41" s="99">
        <f t="shared" si="23"/>
        <v>974</v>
      </c>
      <c r="M41" s="99">
        <f t="shared" si="23"/>
        <v>974</v>
      </c>
      <c r="N41" s="198"/>
      <c r="O41" s="198"/>
    </row>
    <row r="42" spans="1:15" x14ac:dyDescent="0.25">
      <c r="F42" s="30"/>
      <c r="G42" s="30"/>
      <c r="H42" s="30"/>
      <c r="I42" s="30"/>
      <c r="J42" s="30"/>
      <c r="K42" s="30"/>
      <c r="L42" s="30"/>
      <c r="M42" s="30"/>
      <c r="N42" s="30"/>
      <c r="O42" s="30"/>
    </row>
    <row r="43" spans="1:15" x14ac:dyDescent="0.25">
      <c r="A43" s="63" t="s">
        <v>123</v>
      </c>
      <c r="B43" s="104" t="s">
        <v>129</v>
      </c>
      <c r="C43" s="268">
        <v>2023</v>
      </c>
      <c r="D43" s="268">
        <f>C43+1</f>
        <v>2024</v>
      </c>
      <c r="E43" s="268">
        <f t="shared" ref="E43:M43" si="25">D43+1</f>
        <v>2025</v>
      </c>
      <c r="F43" s="268">
        <f t="shared" si="25"/>
        <v>2026</v>
      </c>
      <c r="G43" s="268">
        <f t="shared" si="25"/>
        <v>2027</v>
      </c>
      <c r="H43" s="268">
        <f t="shared" si="25"/>
        <v>2028</v>
      </c>
      <c r="I43" s="268">
        <f t="shared" si="25"/>
        <v>2029</v>
      </c>
      <c r="J43" s="268">
        <f t="shared" si="25"/>
        <v>2030</v>
      </c>
      <c r="K43" s="268">
        <f t="shared" si="25"/>
        <v>2031</v>
      </c>
      <c r="L43" s="268">
        <f t="shared" si="25"/>
        <v>2032</v>
      </c>
      <c r="M43" s="268">
        <f t="shared" si="25"/>
        <v>2033</v>
      </c>
      <c r="N43" s="200"/>
      <c r="O43" s="200"/>
    </row>
    <row r="44" spans="1:15" x14ac:dyDescent="0.25">
      <c r="A44" s="83"/>
      <c r="B44" s="159"/>
      <c r="C44" s="197"/>
      <c r="D44" s="197"/>
      <c r="E44" s="197"/>
      <c r="F44" s="266"/>
      <c r="G44" s="266"/>
      <c r="H44" s="266"/>
      <c r="I44" s="266"/>
      <c r="J44" s="266"/>
      <c r="K44" s="200"/>
      <c r="L44" s="200"/>
      <c r="M44" s="200"/>
      <c r="N44" s="200"/>
      <c r="O44" s="200"/>
    </row>
    <row r="45" spans="1:15" x14ac:dyDescent="0.25">
      <c r="B45" s="4" t="s">
        <v>140</v>
      </c>
      <c r="C45" s="8">
        <f>BalSheet!C15/IncState!C17</f>
        <v>0.05</v>
      </c>
      <c r="D45" s="8">
        <f>BalSheet!D15/IncState!D17</f>
        <v>0.05</v>
      </c>
      <c r="E45" s="8">
        <f>BalSheet!E15/IncState!E17</f>
        <v>0.05</v>
      </c>
      <c r="F45" s="98">
        <f>E45</f>
        <v>0.05</v>
      </c>
      <c r="G45" s="98">
        <f t="shared" ref="G45:M45" si="26">F45</f>
        <v>0.05</v>
      </c>
      <c r="H45" s="98">
        <f t="shared" si="26"/>
        <v>0.05</v>
      </c>
      <c r="I45" s="98">
        <f t="shared" si="26"/>
        <v>0.05</v>
      </c>
      <c r="J45" s="98">
        <f t="shared" si="26"/>
        <v>0.05</v>
      </c>
      <c r="K45" s="98">
        <f t="shared" si="26"/>
        <v>0.05</v>
      </c>
      <c r="L45" s="98">
        <f t="shared" si="26"/>
        <v>0.05</v>
      </c>
      <c r="M45" s="98">
        <f t="shared" si="26"/>
        <v>0.05</v>
      </c>
      <c r="N45" s="171"/>
      <c r="O45" s="171"/>
    </row>
    <row r="46" spans="1:15" x14ac:dyDescent="0.25">
      <c r="B46" s="4" t="s">
        <v>153</v>
      </c>
      <c r="C46" s="8">
        <f>BalSheet!C17/IncState!C17</f>
        <v>0.34304031640724675</v>
      </c>
      <c r="D46" s="8">
        <f>BalSheet!D17/IncState!D17</f>
        <v>0.32745216168918723</v>
      </c>
      <c r="E46" s="8">
        <f>BalSheet!E17/IncState!E17</f>
        <v>0.31521308879799448</v>
      </c>
      <c r="F46" s="98">
        <f>E46</f>
        <v>0.31521308879799448</v>
      </c>
      <c r="G46" s="98">
        <f t="shared" ref="G46:M46" si="27">F46</f>
        <v>0.31521308879799448</v>
      </c>
      <c r="H46" s="98">
        <f t="shared" si="27"/>
        <v>0.31521308879799448</v>
      </c>
      <c r="I46" s="98">
        <f t="shared" si="27"/>
        <v>0.31521308879799448</v>
      </c>
      <c r="J46" s="98">
        <f t="shared" si="27"/>
        <v>0.31521308879799448</v>
      </c>
      <c r="K46" s="98">
        <f t="shared" si="27"/>
        <v>0.31521308879799448</v>
      </c>
      <c r="L46" s="98">
        <f t="shared" si="27"/>
        <v>0.31521308879799448</v>
      </c>
      <c r="M46" s="98">
        <f t="shared" si="27"/>
        <v>0.31521308879799448</v>
      </c>
      <c r="N46" s="171"/>
      <c r="O46" s="171"/>
    </row>
    <row r="47" spans="1:15" x14ac:dyDescent="0.25">
      <c r="B47" s="4" t="s">
        <v>64</v>
      </c>
      <c r="C47" s="8">
        <f>BalSheet!C18/IncState!C17</f>
        <v>0.27507017096198011</v>
      </c>
      <c r="D47" s="8">
        <f>BalSheet!D18/IncState!D17</f>
        <v>0.26359124422641078</v>
      </c>
      <c r="E47" s="8">
        <f>BalSheet!E18/IncState!E17</f>
        <v>0.23575669613405462</v>
      </c>
      <c r="F47" s="98">
        <f t="shared" ref="F47:M47" si="28">E47</f>
        <v>0.23575669613405462</v>
      </c>
      <c r="G47" s="98">
        <f t="shared" si="28"/>
        <v>0.23575669613405462</v>
      </c>
      <c r="H47" s="98">
        <f t="shared" si="28"/>
        <v>0.23575669613405462</v>
      </c>
      <c r="I47" s="98">
        <f t="shared" si="28"/>
        <v>0.23575669613405462</v>
      </c>
      <c r="J47" s="98">
        <f t="shared" si="28"/>
        <v>0.23575669613405462</v>
      </c>
      <c r="K47" s="98">
        <f t="shared" si="28"/>
        <v>0.23575669613405462</v>
      </c>
      <c r="L47" s="98">
        <f t="shared" si="28"/>
        <v>0.23575669613405462</v>
      </c>
      <c r="M47" s="98">
        <f t="shared" si="28"/>
        <v>0.23575669613405462</v>
      </c>
      <c r="N47" s="171"/>
      <c r="O47" s="171"/>
    </row>
    <row r="48" spans="1:15" x14ac:dyDescent="0.25">
      <c r="B48" s="4" t="s">
        <v>180</v>
      </c>
      <c r="C48" s="4">
        <f>BalSheet!C23</f>
        <v>4672</v>
      </c>
      <c r="D48" s="4">
        <f>BalSheet!D23</f>
        <v>4848</v>
      </c>
      <c r="E48" s="4">
        <f>BalSheet!E23</f>
        <v>4852</v>
      </c>
      <c r="F48" s="99">
        <f>E48</f>
        <v>4852</v>
      </c>
      <c r="G48" s="99">
        <f t="shared" ref="G48:M48" si="29">F48</f>
        <v>4852</v>
      </c>
      <c r="H48" s="99">
        <f t="shared" si="29"/>
        <v>4852</v>
      </c>
      <c r="I48" s="99">
        <f t="shared" si="29"/>
        <v>4852</v>
      </c>
      <c r="J48" s="99">
        <f t="shared" si="29"/>
        <v>4852</v>
      </c>
      <c r="K48" s="99">
        <f t="shared" si="29"/>
        <v>4852</v>
      </c>
      <c r="L48" s="99">
        <f t="shared" si="29"/>
        <v>4852</v>
      </c>
      <c r="M48" s="99">
        <f t="shared" si="29"/>
        <v>4852</v>
      </c>
      <c r="N48" s="198"/>
      <c r="O48" s="198"/>
    </row>
    <row r="49" spans="1:15" x14ac:dyDescent="0.25">
      <c r="B49" s="4" t="s">
        <v>65</v>
      </c>
      <c r="C49" s="8">
        <f>BalSheet!C24/IncState!C17</f>
        <v>0.175331717274815</v>
      </c>
      <c r="D49" s="8">
        <f>BalSheet!D24/IncState!D17</f>
        <v>0.1706400436067361</v>
      </c>
      <c r="E49" s="8">
        <f>BalSheet!E24/IncState!E17</f>
        <v>0.19118617231824778</v>
      </c>
      <c r="F49" s="98">
        <f>E49</f>
        <v>0.19118617231824778</v>
      </c>
      <c r="G49" s="98">
        <f t="shared" ref="G49:M49" si="30">F49</f>
        <v>0.19118617231824778</v>
      </c>
      <c r="H49" s="98">
        <f t="shared" si="30"/>
        <v>0.19118617231824778</v>
      </c>
      <c r="I49" s="98">
        <f t="shared" si="30"/>
        <v>0.19118617231824778</v>
      </c>
      <c r="J49" s="98">
        <f t="shared" si="30"/>
        <v>0.19118617231824778</v>
      </c>
      <c r="K49" s="98">
        <f t="shared" si="30"/>
        <v>0.19118617231824778</v>
      </c>
      <c r="L49" s="98">
        <f t="shared" si="30"/>
        <v>0.19118617231824778</v>
      </c>
      <c r="M49" s="98">
        <f t="shared" si="30"/>
        <v>0.19118617231824778</v>
      </c>
      <c r="N49" s="171"/>
      <c r="O49" s="171"/>
    </row>
    <row r="50" spans="1:15" x14ac:dyDescent="0.25"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spans="1:15" x14ac:dyDescent="0.25">
      <c r="A51" s="63" t="s">
        <v>123</v>
      </c>
      <c r="B51" s="104" t="s">
        <v>130</v>
      </c>
      <c r="C51" s="268">
        <v>2023</v>
      </c>
      <c r="D51" s="268">
        <f>C51+1</f>
        <v>2024</v>
      </c>
      <c r="E51" s="268">
        <f t="shared" ref="E51:M51" si="31">D51+1</f>
        <v>2025</v>
      </c>
      <c r="F51" s="268">
        <f t="shared" si="31"/>
        <v>2026</v>
      </c>
      <c r="G51" s="268">
        <f t="shared" si="31"/>
        <v>2027</v>
      </c>
      <c r="H51" s="268">
        <f t="shared" si="31"/>
        <v>2028</v>
      </c>
      <c r="I51" s="268">
        <f t="shared" si="31"/>
        <v>2029</v>
      </c>
      <c r="J51" s="268">
        <f t="shared" si="31"/>
        <v>2030</v>
      </c>
      <c r="K51" s="268">
        <f t="shared" si="31"/>
        <v>2031</v>
      </c>
      <c r="L51" s="268">
        <f t="shared" si="31"/>
        <v>2032</v>
      </c>
      <c r="M51" s="268">
        <f t="shared" si="31"/>
        <v>2033</v>
      </c>
      <c r="N51" s="200"/>
      <c r="O51" s="200"/>
    </row>
    <row r="52" spans="1:15" x14ac:dyDescent="0.25">
      <c r="A52" s="83"/>
      <c r="B52" s="159"/>
      <c r="C52" s="197"/>
      <c r="D52" s="197"/>
      <c r="E52" s="197"/>
      <c r="F52" s="266"/>
      <c r="G52" s="266"/>
      <c r="H52" s="266"/>
      <c r="I52" s="266"/>
      <c r="J52" s="266"/>
      <c r="K52" s="200"/>
      <c r="L52" s="200"/>
      <c r="M52" s="200"/>
      <c r="N52" s="200"/>
      <c r="O52" s="200"/>
    </row>
    <row r="53" spans="1:15" x14ac:dyDescent="0.25">
      <c r="B53" s="4" t="s">
        <v>154</v>
      </c>
      <c r="C53" s="8">
        <f>BalSheet!C30/IncState!C18</f>
        <v>0.80657894736842106</v>
      </c>
      <c r="D53" s="8">
        <f>BalSheet!D30/IncState!D18</f>
        <v>0.71548998946259224</v>
      </c>
      <c r="E53" s="8">
        <f>BalSheet!E30/IncState!E18</f>
        <v>0.77033437463843568</v>
      </c>
      <c r="F53" s="98">
        <f t="shared" ref="F53:M53" si="32">E53</f>
        <v>0.77033437463843568</v>
      </c>
      <c r="G53" s="98">
        <f t="shared" si="32"/>
        <v>0.77033437463843568</v>
      </c>
      <c r="H53" s="98">
        <f t="shared" si="32"/>
        <v>0.77033437463843568</v>
      </c>
      <c r="I53" s="98">
        <f t="shared" si="32"/>
        <v>0.77033437463843568</v>
      </c>
      <c r="J53" s="98">
        <f t="shared" si="32"/>
        <v>0.77033437463843568</v>
      </c>
      <c r="K53" s="98">
        <f t="shared" si="32"/>
        <v>0.77033437463843568</v>
      </c>
      <c r="L53" s="98">
        <f t="shared" si="32"/>
        <v>0.77033437463843568</v>
      </c>
      <c r="M53" s="98">
        <f t="shared" si="32"/>
        <v>0.77033437463843568</v>
      </c>
      <c r="N53" s="171"/>
      <c r="O53" s="171"/>
    </row>
    <row r="54" spans="1:15" x14ac:dyDescent="0.25">
      <c r="B54" s="4" t="s">
        <v>66</v>
      </c>
      <c r="C54" s="8">
        <f>BalSheet!C31/IncState!C17</f>
        <v>0.57304159224291906</v>
      </c>
      <c r="D54" s="8">
        <f>BalSheet!D31/IncState!D17</f>
        <v>0.56003098373353988</v>
      </c>
      <c r="E54" s="8">
        <f>BalSheet!E31/IncState!E17</f>
        <v>0.56265998152790608</v>
      </c>
      <c r="F54" s="98">
        <f t="shared" ref="F54:M54" si="33">E54</f>
        <v>0.56265998152790608</v>
      </c>
      <c r="G54" s="98">
        <f t="shared" si="33"/>
        <v>0.56265998152790608</v>
      </c>
      <c r="H54" s="98">
        <f t="shared" si="33"/>
        <v>0.56265998152790608</v>
      </c>
      <c r="I54" s="98">
        <f t="shared" si="33"/>
        <v>0.56265998152790608</v>
      </c>
      <c r="J54" s="98">
        <f t="shared" si="33"/>
        <v>0.56265998152790608</v>
      </c>
      <c r="K54" s="98">
        <f t="shared" si="33"/>
        <v>0.56265998152790608</v>
      </c>
      <c r="L54" s="98">
        <f t="shared" si="33"/>
        <v>0.56265998152790608</v>
      </c>
      <c r="M54" s="98">
        <f t="shared" si="33"/>
        <v>0.56265998152790608</v>
      </c>
      <c r="N54" s="171"/>
      <c r="O54" s="171"/>
    </row>
    <row r="55" spans="1:15" x14ac:dyDescent="0.25">
      <c r="B55" s="4" t="s">
        <v>67</v>
      </c>
      <c r="C55" s="8">
        <f>BalSheet!C35/IncState!C17</f>
        <v>0.1652207195713192</v>
      </c>
      <c r="D55" s="8">
        <f>BalSheet!D35/IncState!D17</f>
        <v>0.14685715925065268</v>
      </c>
      <c r="E55" s="8">
        <f>BalSheet!E35/IncState!E17</f>
        <v>0.14096846549676739</v>
      </c>
      <c r="F55" s="98">
        <f t="shared" ref="F55:M55" si="34">E55</f>
        <v>0.14096846549676739</v>
      </c>
      <c r="G55" s="98">
        <f t="shared" si="34"/>
        <v>0.14096846549676739</v>
      </c>
      <c r="H55" s="98">
        <f t="shared" si="34"/>
        <v>0.14096846549676739</v>
      </c>
      <c r="I55" s="98">
        <f t="shared" si="34"/>
        <v>0.14096846549676739</v>
      </c>
      <c r="J55" s="98">
        <f t="shared" si="34"/>
        <v>0.14096846549676739</v>
      </c>
      <c r="K55" s="98">
        <f t="shared" si="34"/>
        <v>0.14096846549676739</v>
      </c>
      <c r="L55" s="98">
        <f t="shared" si="34"/>
        <v>0.14096846549676739</v>
      </c>
      <c r="M55" s="98">
        <f t="shared" si="34"/>
        <v>0.14096846549676739</v>
      </c>
      <c r="N55" s="171"/>
      <c r="O55" s="171"/>
    </row>
    <row r="56" spans="1:15" x14ac:dyDescent="0.25">
      <c r="F56" s="119"/>
      <c r="G56" s="30"/>
      <c r="H56" s="30"/>
      <c r="I56" s="30"/>
      <c r="J56" s="30"/>
    </row>
    <row r="57" spans="1:15" x14ac:dyDescent="0.25">
      <c r="F57" s="120"/>
      <c r="G57" s="92"/>
      <c r="H57" s="92"/>
      <c r="I57" s="92"/>
      <c r="J57" s="92"/>
    </row>
    <row r="58" spans="1:15" x14ac:dyDescent="0.25">
      <c r="F58" s="92"/>
      <c r="G58" s="92"/>
      <c r="H58" s="92"/>
      <c r="I58" s="92"/>
      <c r="J58" s="92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P6:P7 Q7:W7 D7:D8 P9:Q12 F39:O41 F53:O55 F57:J58 F23:O30 N22:O22 F32:O35 N31:O31 F45:O49 F6:N8 F11:O21">
    <cfRule type="expression" dxfId="7" priority="14">
      <formula>$E$10&gt;1</formula>
    </cfRule>
  </conditionalFormatting>
  <conditionalFormatting sqref="E7">
    <cfRule type="expression" dxfId="6" priority="32">
      <formula>$E$10&lt;&gt;2</formula>
    </cfRule>
  </conditionalFormatting>
  <conditionalFormatting sqref="E8">
    <cfRule type="expression" dxfId="5" priority="33">
      <formula>$E$10&lt;&gt;3</formula>
    </cfRule>
  </conditionalFormatting>
  <conditionalFormatting sqref="K38:O38 N37:O37">
    <cfRule type="expression" dxfId="4" priority="3">
      <formula>$E$10&gt;1</formula>
    </cfRule>
  </conditionalFormatting>
  <conditionalFormatting sqref="K44:O44 N43:O43">
    <cfRule type="expression" dxfId="3" priority="2">
      <formula>$E$10&gt;1</formula>
    </cfRule>
  </conditionalFormatting>
  <conditionalFormatting sqref="K52:O52 N51:O51">
    <cfRule type="expression" dxfId="2" priority="1">
      <formula>$E$10&gt;1</formula>
    </cfRule>
  </conditionalFormatting>
  <dataValidations count="1">
    <dataValidation type="list" allowBlank="1" showInputMessage="1" showErrorMessage="1" sqref="D4 P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P39"/>
  <sheetViews>
    <sheetView showGridLines="0" topLeftCell="C1" zoomScaleNormal="100" workbookViewId="0">
      <selection activeCell="F19" sqref="F19:M2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3" width="11.7109375" style="4" customWidth="1"/>
    <col min="14" max="15" width="11.42578125" style="4" customWidth="1"/>
    <col min="16" max="256" width="8.85546875" style="4"/>
    <col min="257" max="257" width="1.7109375" style="4" customWidth="1"/>
    <col min="258" max="258" width="40.7109375" style="4" customWidth="1"/>
    <col min="259" max="266" width="10.7109375" style="4" customWidth="1"/>
    <col min="267" max="512" width="8.85546875" style="4"/>
    <col min="513" max="513" width="1.7109375" style="4" customWidth="1"/>
    <col min="514" max="514" width="40.7109375" style="4" customWidth="1"/>
    <col min="515" max="522" width="10.7109375" style="4" customWidth="1"/>
    <col min="523" max="768" width="8.85546875" style="4"/>
    <col min="769" max="769" width="1.7109375" style="4" customWidth="1"/>
    <col min="770" max="770" width="40.7109375" style="4" customWidth="1"/>
    <col min="771" max="778" width="10.7109375" style="4" customWidth="1"/>
    <col min="779" max="1024" width="8.85546875" style="4"/>
    <col min="1025" max="1025" width="1.7109375" style="4" customWidth="1"/>
    <col min="1026" max="1026" width="40.7109375" style="4" customWidth="1"/>
    <col min="1027" max="1034" width="10.7109375" style="4" customWidth="1"/>
    <col min="1035" max="1280" width="8.85546875" style="4"/>
    <col min="1281" max="1281" width="1.7109375" style="4" customWidth="1"/>
    <col min="1282" max="1282" width="40.7109375" style="4" customWidth="1"/>
    <col min="1283" max="1290" width="10.7109375" style="4" customWidth="1"/>
    <col min="1291" max="1536" width="8.85546875" style="4"/>
    <col min="1537" max="1537" width="1.7109375" style="4" customWidth="1"/>
    <col min="1538" max="1538" width="40.7109375" style="4" customWidth="1"/>
    <col min="1539" max="1546" width="10.7109375" style="4" customWidth="1"/>
    <col min="1547" max="1792" width="8.85546875" style="4"/>
    <col min="1793" max="1793" width="1.7109375" style="4" customWidth="1"/>
    <col min="1794" max="1794" width="40.7109375" style="4" customWidth="1"/>
    <col min="1795" max="1802" width="10.7109375" style="4" customWidth="1"/>
    <col min="1803" max="2048" width="8.85546875" style="4"/>
    <col min="2049" max="2049" width="1.7109375" style="4" customWidth="1"/>
    <col min="2050" max="2050" width="40.7109375" style="4" customWidth="1"/>
    <col min="2051" max="2058" width="10.7109375" style="4" customWidth="1"/>
    <col min="2059" max="2304" width="8.85546875" style="4"/>
    <col min="2305" max="2305" width="1.7109375" style="4" customWidth="1"/>
    <col min="2306" max="2306" width="40.7109375" style="4" customWidth="1"/>
    <col min="2307" max="2314" width="10.7109375" style="4" customWidth="1"/>
    <col min="2315" max="2560" width="8.85546875" style="4"/>
    <col min="2561" max="2561" width="1.7109375" style="4" customWidth="1"/>
    <col min="2562" max="2562" width="40.7109375" style="4" customWidth="1"/>
    <col min="2563" max="2570" width="10.7109375" style="4" customWidth="1"/>
    <col min="2571" max="2816" width="8.85546875" style="4"/>
    <col min="2817" max="2817" width="1.7109375" style="4" customWidth="1"/>
    <col min="2818" max="2818" width="40.7109375" style="4" customWidth="1"/>
    <col min="2819" max="2826" width="10.7109375" style="4" customWidth="1"/>
    <col min="2827" max="3072" width="8.85546875" style="4"/>
    <col min="3073" max="3073" width="1.7109375" style="4" customWidth="1"/>
    <col min="3074" max="3074" width="40.7109375" style="4" customWidth="1"/>
    <col min="3075" max="3082" width="10.7109375" style="4" customWidth="1"/>
    <col min="3083" max="3328" width="8.85546875" style="4"/>
    <col min="3329" max="3329" width="1.7109375" style="4" customWidth="1"/>
    <col min="3330" max="3330" width="40.7109375" style="4" customWidth="1"/>
    <col min="3331" max="3338" width="10.7109375" style="4" customWidth="1"/>
    <col min="3339" max="3584" width="8.85546875" style="4"/>
    <col min="3585" max="3585" width="1.7109375" style="4" customWidth="1"/>
    <col min="3586" max="3586" width="40.7109375" style="4" customWidth="1"/>
    <col min="3587" max="3594" width="10.7109375" style="4" customWidth="1"/>
    <col min="3595" max="3840" width="8.85546875" style="4"/>
    <col min="3841" max="3841" width="1.7109375" style="4" customWidth="1"/>
    <col min="3842" max="3842" width="40.7109375" style="4" customWidth="1"/>
    <col min="3843" max="3850" width="10.7109375" style="4" customWidth="1"/>
    <col min="3851" max="4096" width="8.85546875" style="4"/>
    <col min="4097" max="4097" width="1.7109375" style="4" customWidth="1"/>
    <col min="4098" max="4098" width="40.7109375" style="4" customWidth="1"/>
    <col min="4099" max="4106" width="10.7109375" style="4" customWidth="1"/>
    <col min="4107" max="4352" width="8.85546875" style="4"/>
    <col min="4353" max="4353" width="1.7109375" style="4" customWidth="1"/>
    <col min="4354" max="4354" width="40.7109375" style="4" customWidth="1"/>
    <col min="4355" max="4362" width="10.7109375" style="4" customWidth="1"/>
    <col min="4363" max="4608" width="8.85546875" style="4"/>
    <col min="4609" max="4609" width="1.7109375" style="4" customWidth="1"/>
    <col min="4610" max="4610" width="40.7109375" style="4" customWidth="1"/>
    <col min="4611" max="4618" width="10.7109375" style="4" customWidth="1"/>
    <col min="4619" max="4864" width="8.85546875" style="4"/>
    <col min="4865" max="4865" width="1.7109375" style="4" customWidth="1"/>
    <col min="4866" max="4866" width="40.7109375" style="4" customWidth="1"/>
    <col min="4867" max="4874" width="10.7109375" style="4" customWidth="1"/>
    <col min="4875" max="5120" width="8.85546875" style="4"/>
    <col min="5121" max="5121" width="1.7109375" style="4" customWidth="1"/>
    <col min="5122" max="5122" width="40.7109375" style="4" customWidth="1"/>
    <col min="5123" max="5130" width="10.7109375" style="4" customWidth="1"/>
    <col min="5131" max="5376" width="8.85546875" style="4"/>
    <col min="5377" max="5377" width="1.7109375" style="4" customWidth="1"/>
    <col min="5378" max="5378" width="40.7109375" style="4" customWidth="1"/>
    <col min="5379" max="5386" width="10.7109375" style="4" customWidth="1"/>
    <col min="5387" max="5632" width="8.85546875" style="4"/>
    <col min="5633" max="5633" width="1.7109375" style="4" customWidth="1"/>
    <col min="5634" max="5634" width="40.7109375" style="4" customWidth="1"/>
    <col min="5635" max="5642" width="10.7109375" style="4" customWidth="1"/>
    <col min="5643" max="5888" width="8.85546875" style="4"/>
    <col min="5889" max="5889" width="1.7109375" style="4" customWidth="1"/>
    <col min="5890" max="5890" width="40.7109375" style="4" customWidth="1"/>
    <col min="5891" max="5898" width="10.7109375" style="4" customWidth="1"/>
    <col min="5899" max="6144" width="8.85546875" style="4"/>
    <col min="6145" max="6145" width="1.7109375" style="4" customWidth="1"/>
    <col min="6146" max="6146" width="40.7109375" style="4" customWidth="1"/>
    <col min="6147" max="6154" width="10.7109375" style="4" customWidth="1"/>
    <col min="6155" max="6400" width="8.85546875" style="4"/>
    <col min="6401" max="6401" width="1.7109375" style="4" customWidth="1"/>
    <col min="6402" max="6402" width="40.7109375" style="4" customWidth="1"/>
    <col min="6403" max="6410" width="10.7109375" style="4" customWidth="1"/>
    <col min="6411" max="6656" width="8.85546875" style="4"/>
    <col min="6657" max="6657" width="1.7109375" style="4" customWidth="1"/>
    <col min="6658" max="6658" width="40.7109375" style="4" customWidth="1"/>
    <col min="6659" max="6666" width="10.7109375" style="4" customWidth="1"/>
    <col min="6667" max="6912" width="8.85546875" style="4"/>
    <col min="6913" max="6913" width="1.7109375" style="4" customWidth="1"/>
    <col min="6914" max="6914" width="40.7109375" style="4" customWidth="1"/>
    <col min="6915" max="6922" width="10.7109375" style="4" customWidth="1"/>
    <col min="6923" max="7168" width="8.85546875" style="4"/>
    <col min="7169" max="7169" width="1.7109375" style="4" customWidth="1"/>
    <col min="7170" max="7170" width="40.7109375" style="4" customWidth="1"/>
    <col min="7171" max="7178" width="10.7109375" style="4" customWidth="1"/>
    <col min="7179" max="7424" width="8.85546875" style="4"/>
    <col min="7425" max="7425" width="1.7109375" style="4" customWidth="1"/>
    <col min="7426" max="7426" width="40.7109375" style="4" customWidth="1"/>
    <col min="7427" max="7434" width="10.7109375" style="4" customWidth="1"/>
    <col min="7435" max="7680" width="8.85546875" style="4"/>
    <col min="7681" max="7681" width="1.7109375" style="4" customWidth="1"/>
    <col min="7682" max="7682" width="40.7109375" style="4" customWidth="1"/>
    <col min="7683" max="7690" width="10.7109375" style="4" customWidth="1"/>
    <col min="7691" max="7936" width="8.85546875" style="4"/>
    <col min="7937" max="7937" width="1.7109375" style="4" customWidth="1"/>
    <col min="7938" max="7938" width="40.7109375" style="4" customWidth="1"/>
    <col min="7939" max="7946" width="10.7109375" style="4" customWidth="1"/>
    <col min="7947" max="8192" width="8.85546875" style="4"/>
    <col min="8193" max="8193" width="1.7109375" style="4" customWidth="1"/>
    <col min="8194" max="8194" width="40.7109375" style="4" customWidth="1"/>
    <col min="8195" max="8202" width="10.7109375" style="4" customWidth="1"/>
    <col min="8203" max="8448" width="8.85546875" style="4"/>
    <col min="8449" max="8449" width="1.7109375" style="4" customWidth="1"/>
    <col min="8450" max="8450" width="40.7109375" style="4" customWidth="1"/>
    <col min="8451" max="8458" width="10.7109375" style="4" customWidth="1"/>
    <col min="8459" max="8704" width="8.85546875" style="4"/>
    <col min="8705" max="8705" width="1.7109375" style="4" customWidth="1"/>
    <col min="8706" max="8706" width="40.7109375" style="4" customWidth="1"/>
    <col min="8707" max="8714" width="10.7109375" style="4" customWidth="1"/>
    <col min="8715" max="8960" width="8.85546875" style="4"/>
    <col min="8961" max="8961" width="1.7109375" style="4" customWidth="1"/>
    <col min="8962" max="8962" width="40.7109375" style="4" customWidth="1"/>
    <col min="8963" max="8970" width="10.7109375" style="4" customWidth="1"/>
    <col min="8971" max="9216" width="8.85546875" style="4"/>
    <col min="9217" max="9217" width="1.7109375" style="4" customWidth="1"/>
    <col min="9218" max="9218" width="40.7109375" style="4" customWidth="1"/>
    <col min="9219" max="9226" width="10.7109375" style="4" customWidth="1"/>
    <col min="9227" max="9472" width="8.85546875" style="4"/>
    <col min="9473" max="9473" width="1.7109375" style="4" customWidth="1"/>
    <col min="9474" max="9474" width="40.7109375" style="4" customWidth="1"/>
    <col min="9475" max="9482" width="10.7109375" style="4" customWidth="1"/>
    <col min="9483" max="9728" width="8.85546875" style="4"/>
    <col min="9729" max="9729" width="1.7109375" style="4" customWidth="1"/>
    <col min="9730" max="9730" width="40.7109375" style="4" customWidth="1"/>
    <col min="9731" max="9738" width="10.7109375" style="4" customWidth="1"/>
    <col min="9739" max="9984" width="8.85546875" style="4"/>
    <col min="9985" max="9985" width="1.7109375" style="4" customWidth="1"/>
    <col min="9986" max="9986" width="40.7109375" style="4" customWidth="1"/>
    <col min="9987" max="9994" width="10.7109375" style="4" customWidth="1"/>
    <col min="9995" max="10240" width="8.85546875" style="4"/>
    <col min="10241" max="10241" width="1.7109375" style="4" customWidth="1"/>
    <col min="10242" max="10242" width="40.7109375" style="4" customWidth="1"/>
    <col min="10243" max="10250" width="10.7109375" style="4" customWidth="1"/>
    <col min="10251" max="10496" width="8.85546875" style="4"/>
    <col min="10497" max="10497" width="1.7109375" style="4" customWidth="1"/>
    <col min="10498" max="10498" width="40.7109375" style="4" customWidth="1"/>
    <col min="10499" max="10506" width="10.7109375" style="4" customWidth="1"/>
    <col min="10507" max="10752" width="8.85546875" style="4"/>
    <col min="10753" max="10753" width="1.7109375" style="4" customWidth="1"/>
    <col min="10754" max="10754" width="40.7109375" style="4" customWidth="1"/>
    <col min="10755" max="10762" width="10.7109375" style="4" customWidth="1"/>
    <col min="10763" max="11008" width="8.85546875" style="4"/>
    <col min="11009" max="11009" width="1.7109375" style="4" customWidth="1"/>
    <col min="11010" max="11010" width="40.7109375" style="4" customWidth="1"/>
    <col min="11011" max="11018" width="10.7109375" style="4" customWidth="1"/>
    <col min="11019" max="11264" width="8.85546875" style="4"/>
    <col min="11265" max="11265" width="1.7109375" style="4" customWidth="1"/>
    <col min="11266" max="11266" width="40.7109375" style="4" customWidth="1"/>
    <col min="11267" max="11274" width="10.7109375" style="4" customWidth="1"/>
    <col min="11275" max="11520" width="8.85546875" style="4"/>
    <col min="11521" max="11521" width="1.7109375" style="4" customWidth="1"/>
    <col min="11522" max="11522" width="40.7109375" style="4" customWidth="1"/>
    <col min="11523" max="11530" width="10.7109375" style="4" customWidth="1"/>
    <col min="11531" max="11776" width="8.85546875" style="4"/>
    <col min="11777" max="11777" width="1.7109375" style="4" customWidth="1"/>
    <col min="11778" max="11778" width="40.7109375" style="4" customWidth="1"/>
    <col min="11779" max="11786" width="10.7109375" style="4" customWidth="1"/>
    <col min="11787" max="12032" width="8.85546875" style="4"/>
    <col min="12033" max="12033" width="1.7109375" style="4" customWidth="1"/>
    <col min="12034" max="12034" width="40.7109375" style="4" customWidth="1"/>
    <col min="12035" max="12042" width="10.7109375" style="4" customWidth="1"/>
    <col min="12043" max="12288" width="8.85546875" style="4"/>
    <col min="12289" max="12289" width="1.7109375" style="4" customWidth="1"/>
    <col min="12290" max="12290" width="40.7109375" style="4" customWidth="1"/>
    <col min="12291" max="12298" width="10.7109375" style="4" customWidth="1"/>
    <col min="12299" max="12544" width="8.85546875" style="4"/>
    <col min="12545" max="12545" width="1.7109375" style="4" customWidth="1"/>
    <col min="12546" max="12546" width="40.7109375" style="4" customWidth="1"/>
    <col min="12547" max="12554" width="10.7109375" style="4" customWidth="1"/>
    <col min="12555" max="12800" width="8.85546875" style="4"/>
    <col min="12801" max="12801" width="1.7109375" style="4" customWidth="1"/>
    <col min="12802" max="12802" width="40.7109375" style="4" customWidth="1"/>
    <col min="12803" max="12810" width="10.7109375" style="4" customWidth="1"/>
    <col min="12811" max="13056" width="8.85546875" style="4"/>
    <col min="13057" max="13057" width="1.7109375" style="4" customWidth="1"/>
    <col min="13058" max="13058" width="40.7109375" style="4" customWidth="1"/>
    <col min="13059" max="13066" width="10.7109375" style="4" customWidth="1"/>
    <col min="13067" max="13312" width="8.85546875" style="4"/>
    <col min="13313" max="13313" width="1.7109375" style="4" customWidth="1"/>
    <col min="13314" max="13314" width="40.7109375" style="4" customWidth="1"/>
    <col min="13315" max="13322" width="10.7109375" style="4" customWidth="1"/>
    <col min="13323" max="13568" width="8.85546875" style="4"/>
    <col min="13569" max="13569" width="1.7109375" style="4" customWidth="1"/>
    <col min="13570" max="13570" width="40.7109375" style="4" customWidth="1"/>
    <col min="13571" max="13578" width="10.7109375" style="4" customWidth="1"/>
    <col min="13579" max="13824" width="8.85546875" style="4"/>
    <col min="13825" max="13825" width="1.7109375" style="4" customWidth="1"/>
    <col min="13826" max="13826" width="40.7109375" style="4" customWidth="1"/>
    <col min="13827" max="13834" width="10.7109375" style="4" customWidth="1"/>
    <col min="13835" max="14080" width="8.85546875" style="4"/>
    <col min="14081" max="14081" width="1.7109375" style="4" customWidth="1"/>
    <col min="14082" max="14082" width="40.7109375" style="4" customWidth="1"/>
    <col min="14083" max="14090" width="10.7109375" style="4" customWidth="1"/>
    <col min="14091" max="14336" width="8.85546875" style="4"/>
    <col min="14337" max="14337" width="1.7109375" style="4" customWidth="1"/>
    <col min="14338" max="14338" width="40.7109375" style="4" customWidth="1"/>
    <col min="14339" max="14346" width="10.7109375" style="4" customWidth="1"/>
    <col min="14347" max="14592" width="8.85546875" style="4"/>
    <col min="14593" max="14593" width="1.7109375" style="4" customWidth="1"/>
    <col min="14594" max="14594" width="40.7109375" style="4" customWidth="1"/>
    <col min="14595" max="14602" width="10.7109375" style="4" customWidth="1"/>
    <col min="14603" max="14848" width="8.85546875" style="4"/>
    <col min="14849" max="14849" width="1.7109375" style="4" customWidth="1"/>
    <col min="14850" max="14850" width="40.7109375" style="4" customWidth="1"/>
    <col min="14851" max="14858" width="10.7109375" style="4" customWidth="1"/>
    <col min="14859" max="15104" width="8.85546875" style="4"/>
    <col min="15105" max="15105" width="1.7109375" style="4" customWidth="1"/>
    <col min="15106" max="15106" width="40.7109375" style="4" customWidth="1"/>
    <col min="15107" max="15114" width="10.7109375" style="4" customWidth="1"/>
    <col min="15115" max="15360" width="8.85546875" style="4"/>
    <col min="15361" max="15361" width="1.7109375" style="4" customWidth="1"/>
    <col min="15362" max="15362" width="40.7109375" style="4" customWidth="1"/>
    <col min="15363" max="15370" width="10.7109375" style="4" customWidth="1"/>
    <col min="15371" max="15616" width="8.85546875" style="4"/>
    <col min="15617" max="15617" width="1.7109375" style="4" customWidth="1"/>
    <col min="15618" max="15618" width="40.7109375" style="4" customWidth="1"/>
    <col min="15619" max="15626" width="10.7109375" style="4" customWidth="1"/>
    <col min="15627" max="15872" width="8.85546875" style="4"/>
    <col min="15873" max="15873" width="1.7109375" style="4" customWidth="1"/>
    <col min="15874" max="15874" width="40.7109375" style="4" customWidth="1"/>
    <col min="15875" max="15882" width="10.7109375" style="4" customWidth="1"/>
    <col min="15883" max="16128" width="8.85546875" style="4"/>
    <col min="16129" max="16129" width="1.7109375" style="4" customWidth="1"/>
    <col min="16130" max="16130" width="40.7109375" style="4" customWidth="1"/>
    <col min="16131" max="16138" width="10.7109375" style="4" customWidth="1"/>
    <col min="16139" max="16384" width="8.85546875" style="4"/>
  </cols>
  <sheetData>
    <row r="1" spans="1:16" s="2" customFormat="1" ht="19.5" x14ac:dyDescent="0.3">
      <c r="A1" s="260" t="str">
        <f>CoName</f>
        <v>Salesforce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/>
      <c r="O1" s="41"/>
    </row>
    <row r="2" spans="1:16" x14ac:dyDescent="0.25">
      <c r="A2" s="20" t="s">
        <v>11</v>
      </c>
      <c r="B2" s="19"/>
      <c r="C2" s="194">
        <v>2023</v>
      </c>
      <c r="D2" s="258">
        <f>C2+1</f>
        <v>2024</v>
      </c>
      <c r="E2" s="258">
        <f t="shared" ref="E2:M2" si="0">D2+1</f>
        <v>2025</v>
      </c>
      <c r="F2" s="258">
        <f t="shared" si="0"/>
        <v>2026</v>
      </c>
      <c r="G2" s="258">
        <f t="shared" si="0"/>
        <v>2027</v>
      </c>
      <c r="H2" s="258">
        <f t="shared" si="0"/>
        <v>2028</v>
      </c>
      <c r="I2" s="258">
        <f t="shared" si="0"/>
        <v>2029</v>
      </c>
      <c r="J2" s="258">
        <f t="shared" si="0"/>
        <v>2030</v>
      </c>
      <c r="K2" s="258">
        <f t="shared" si="0"/>
        <v>2031</v>
      </c>
      <c r="L2" s="258">
        <f t="shared" si="0"/>
        <v>2032</v>
      </c>
      <c r="M2" s="258">
        <f t="shared" si="0"/>
        <v>2033</v>
      </c>
      <c r="N2" s="195"/>
      <c r="O2" s="195"/>
      <c r="P2" s="195"/>
    </row>
    <row r="3" spans="1:16" x14ac:dyDescent="0.25">
      <c r="B3" s="4" t="s">
        <v>12</v>
      </c>
      <c r="C3" s="29"/>
      <c r="D3" s="29"/>
      <c r="E3" s="40"/>
      <c r="F3" s="204">
        <f>Assumptions!F33</f>
        <v>2.1058187095922946E-2</v>
      </c>
      <c r="G3" s="204">
        <f>Assumptions!G33</f>
        <v>2.1058187095922946E-2</v>
      </c>
      <c r="H3" s="204">
        <f>Assumptions!H33</f>
        <v>2.1058187095922946E-2</v>
      </c>
      <c r="I3" s="204">
        <f>Assumptions!I33</f>
        <v>2.1058187095922946E-2</v>
      </c>
      <c r="J3" s="204">
        <f>Assumptions!J33</f>
        <v>2.1058187095922946E-2</v>
      </c>
      <c r="K3" s="204">
        <f>Assumptions!K33</f>
        <v>2.1058187095922946E-2</v>
      </c>
      <c r="L3" s="204">
        <f>Assumptions!L33</f>
        <v>2.1058187095922946E-2</v>
      </c>
      <c r="M3" s="259">
        <f>Assumptions!M33</f>
        <v>2.1058187095922946E-2</v>
      </c>
      <c r="N3" s="202"/>
      <c r="O3" s="202"/>
    </row>
    <row r="4" spans="1:16" x14ac:dyDescent="0.25">
      <c r="B4" s="4" t="s">
        <v>134</v>
      </c>
      <c r="C4" s="29"/>
      <c r="D4" s="29"/>
      <c r="E4" s="40"/>
      <c r="F4" s="204">
        <f>Assumptions!F34</f>
        <v>0.32287365813377372</v>
      </c>
      <c r="G4" s="204">
        <f>F4</f>
        <v>0.32287365813377372</v>
      </c>
      <c r="H4" s="204">
        <f t="shared" ref="H4:J4" si="1">G4</f>
        <v>0.32287365813377372</v>
      </c>
      <c r="I4" s="204">
        <f t="shared" si="1"/>
        <v>0.32287365813377372</v>
      </c>
      <c r="J4" s="204">
        <f t="shared" si="1"/>
        <v>0.32287365813377372</v>
      </c>
      <c r="K4" s="204">
        <f t="shared" ref="K4" si="2">J4</f>
        <v>0.32287365813377372</v>
      </c>
      <c r="L4" s="204">
        <f t="shared" ref="L4" si="3">K4</f>
        <v>0.32287365813377372</v>
      </c>
      <c r="M4" s="204">
        <f t="shared" ref="M4" si="4">L4</f>
        <v>0.32287365813377372</v>
      </c>
      <c r="N4" s="202"/>
      <c r="O4" s="202"/>
    </row>
    <row r="5" spans="1:16" x14ac:dyDescent="0.25">
      <c r="E5" s="27"/>
      <c r="F5" s="77"/>
      <c r="G5" s="65"/>
      <c r="H5" s="81"/>
      <c r="I5" s="65"/>
      <c r="J5" s="65"/>
      <c r="K5" s="65"/>
      <c r="L5" s="65"/>
      <c r="M5" s="65"/>
    </row>
    <row r="6" spans="1:16" x14ac:dyDescent="0.25">
      <c r="B6" s="4" t="s">
        <v>13</v>
      </c>
      <c r="E6" s="27"/>
      <c r="F6" s="4">
        <f>E9</f>
        <v>5393</v>
      </c>
      <c r="G6" s="4">
        <f t="shared" ref="G6:M6" si="5">F9</f>
        <v>4542.8195486485374</v>
      </c>
      <c r="H6" s="4">
        <f t="shared" si="5"/>
        <v>4071.0735009398259</v>
      </c>
      <c r="I6" s="4">
        <f t="shared" si="5"/>
        <v>3867.6979640235427</v>
      </c>
      <c r="J6" s="4">
        <f t="shared" si="5"/>
        <v>3859.5797344028524</v>
      </c>
      <c r="K6" s="4">
        <f t="shared" si="5"/>
        <v>3998.7908149951168</v>
      </c>
      <c r="L6" s="4">
        <f t="shared" si="5"/>
        <v>4254.640932812852</v>
      </c>
      <c r="M6" s="4">
        <f t="shared" si="5"/>
        <v>4608.3175691001315</v>
      </c>
    </row>
    <row r="7" spans="1:16" x14ac:dyDescent="0.25">
      <c r="B7" s="4" t="s">
        <v>14</v>
      </c>
      <c r="C7" s="12"/>
      <c r="D7" s="12"/>
      <c r="E7" s="125"/>
      <c r="F7" s="4">
        <f>F3*IncState!F17</f>
        <v>891.07718696397944</v>
      </c>
      <c r="G7" s="4">
        <f>G3*IncState!G17</f>
        <v>995.01071820506104</v>
      </c>
      <c r="H7" s="4">
        <f>H3*IncState!H17</f>
        <v>1111.0668568636274</v>
      </c>
      <c r="I7" s="4">
        <f>I3*IncState!I17</f>
        <v>1240.6595605801397</v>
      </c>
      <c r="J7" s="4">
        <f>J3*IncState!J17</f>
        <v>1385.3677082978918</v>
      </c>
      <c r="K7" s="4">
        <f>K3*IncState!K17</f>
        <v>1546.9543363669427</v>
      </c>
      <c r="L7" s="4">
        <f>L3*IncState!L17</f>
        <v>1727.3881183102569</v>
      </c>
      <c r="M7" s="4">
        <f>M3*IncState!M17</f>
        <v>1928.867349948503</v>
      </c>
    </row>
    <row r="8" spans="1:16" x14ac:dyDescent="0.25">
      <c r="B8" s="4" t="s">
        <v>15</v>
      </c>
      <c r="E8" s="27"/>
      <c r="F8" s="4">
        <f>F4*F6</f>
        <v>1741.2576383154417</v>
      </c>
      <c r="G8" s="4">
        <f t="shared" ref="G8:M8" si="6">G4*G6</f>
        <v>1466.7567659137721</v>
      </c>
      <c r="H8" s="4">
        <f t="shared" si="6"/>
        <v>1314.4423937799106</v>
      </c>
      <c r="I8" s="4">
        <f t="shared" si="6"/>
        <v>1248.7777902008299</v>
      </c>
      <c r="J8" s="4">
        <f t="shared" si="6"/>
        <v>1246.1566277056277</v>
      </c>
      <c r="K8" s="4">
        <f t="shared" si="6"/>
        <v>1291.1042185492076</v>
      </c>
      <c r="L8" s="4">
        <f t="shared" si="6"/>
        <v>1373.711482022977</v>
      </c>
      <c r="M8" s="4">
        <f t="shared" si="6"/>
        <v>1487.9043513774991</v>
      </c>
    </row>
    <row r="9" spans="1:16" x14ac:dyDescent="0.25">
      <c r="B9" s="4" t="s">
        <v>16</v>
      </c>
      <c r="E9" s="27">
        <f>BalSheet!E21</f>
        <v>5393</v>
      </c>
      <c r="F9" s="4">
        <f>F6+F7-F8</f>
        <v>4542.8195486485374</v>
      </c>
      <c r="G9" s="4">
        <f t="shared" ref="G9:M9" si="7">G6+G7-G8</f>
        <v>4071.0735009398259</v>
      </c>
      <c r="H9" s="4">
        <f t="shared" si="7"/>
        <v>3867.6979640235427</v>
      </c>
      <c r="I9" s="4">
        <f t="shared" si="7"/>
        <v>3859.5797344028524</v>
      </c>
      <c r="J9" s="4">
        <f t="shared" si="7"/>
        <v>3998.7908149951168</v>
      </c>
      <c r="K9" s="4">
        <f t="shared" si="7"/>
        <v>4254.640932812852</v>
      </c>
      <c r="L9" s="4">
        <f t="shared" si="7"/>
        <v>4608.3175691001315</v>
      </c>
      <c r="M9" s="4">
        <f t="shared" si="7"/>
        <v>5049.2805676711359</v>
      </c>
    </row>
    <row r="10" spans="1:16" x14ac:dyDescent="0.25">
      <c r="A10" s="20" t="s">
        <v>17</v>
      </c>
      <c r="B10" s="42"/>
      <c r="C10" s="239">
        <f t="shared" ref="C10:M10" si="8">C2</f>
        <v>2023</v>
      </c>
      <c r="D10" s="239">
        <f t="shared" si="8"/>
        <v>2024</v>
      </c>
      <c r="E10" s="239">
        <f t="shared" si="8"/>
        <v>2025</v>
      </c>
      <c r="F10" s="239">
        <f t="shared" si="8"/>
        <v>2026</v>
      </c>
      <c r="G10" s="239">
        <f t="shared" si="8"/>
        <v>2027</v>
      </c>
      <c r="H10" s="239">
        <f t="shared" si="8"/>
        <v>2028</v>
      </c>
      <c r="I10" s="239">
        <f t="shared" si="8"/>
        <v>2029</v>
      </c>
      <c r="J10" s="239">
        <f t="shared" si="8"/>
        <v>2030</v>
      </c>
      <c r="K10" s="239">
        <f t="shared" si="8"/>
        <v>2031</v>
      </c>
      <c r="L10" s="239">
        <f t="shared" si="8"/>
        <v>2032</v>
      </c>
      <c r="M10" s="239">
        <f t="shared" si="8"/>
        <v>2033</v>
      </c>
      <c r="N10" s="197"/>
      <c r="O10" s="197"/>
    </row>
    <row r="11" spans="1:16" x14ac:dyDescent="0.25">
      <c r="B11" s="4" t="s">
        <v>18</v>
      </c>
      <c r="E11" s="27"/>
      <c r="F11" s="261">
        <f>Assumptions!F35</f>
        <v>-3400</v>
      </c>
      <c r="G11" s="261">
        <f>Assumptions!G35</f>
        <v>0</v>
      </c>
      <c r="H11" s="261">
        <f>Assumptions!H35</f>
        <v>0</v>
      </c>
      <c r="I11" s="261">
        <f>Assumptions!I35</f>
        <v>0</v>
      </c>
      <c r="J11" s="261">
        <f>Assumptions!J35</f>
        <v>0</v>
      </c>
      <c r="K11" s="261">
        <f>Assumptions!K35</f>
        <v>0</v>
      </c>
      <c r="L11" s="261">
        <f>Assumptions!L35</f>
        <v>0</v>
      </c>
      <c r="M11" s="261">
        <f>Assumptions!M35</f>
        <v>0</v>
      </c>
      <c r="N11" s="203"/>
      <c r="O11" s="203"/>
    </row>
    <row r="12" spans="1:16" x14ac:dyDescent="0.25">
      <c r="E12" s="27"/>
      <c r="F12" s="77"/>
      <c r="G12" s="65"/>
      <c r="H12" s="81"/>
      <c r="I12" s="65"/>
      <c r="J12" s="65"/>
      <c r="K12" s="65"/>
      <c r="L12" s="65"/>
      <c r="M12" s="65"/>
    </row>
    <row r="13" spans="1:16" x14ac:dyDescent="0.25">
      <c r="B13" s="4" t="s">
        <v>19</v>
      </c>
      <c r="E13" s="27"/>
      <c r="F13" s="4">
        <f>E17</f>
        <v>61173</v>
      </c>
      <c r="G13" s="4">
        <f t="shared" ref="G13:M13" si="9">F17</f>
        <v>63692.136935677539</v>
      </c>
      <c r="H13" s="4">
        <f t="shared" si="9"/>
        <v>70873.122844127065</v>
      </c>
      <c r="I13" s="4">
        <f t="shared" si="9"/>
        <v>79508.880427061711</v>
      </c>
      <c r="J13" s="4">
        <f t="shared" si="9"/>
        <v>89820.169902334674</v>
      </c>
      <c r="K13" s="4">
        <f t="shared" si="9"/>
        <v>102059.45822714736</v>
      </c>
      <c r="L13" s="4">
        <f t="shared" si="9"/>
        <v>116515.3122049228</v>
      </c>
      <c r="M13" s="4">
        <f t="shared" si="9"/>
        <v>133517.38504679219</v>
      </c>
    </row>
    <row r="14" spans="1:16" x14ac:dyDescent="0.25">
      <c r="B14" s="4" t="s">
        <v>20</v>
      </c>
      <c r="E14" s="27"/>
      <c r="F14" s="4">
        <f>IncState!F36</f>
        <v>7456.1369356775331</v>
      </c>
      <c r="G14" s="4">
        <f>IncState!G36</f>
        <v>8717.9859084495238</v>
      </c>
      <c r="H14" s="4">
        <f>IncState!H36</f>
        <v>10172.757582934644</v>
      </c>
      <c r="I14" s="4">
        <f>IncState!I36</f>
        <v>11848.289475272964</v>
      </c>
      <c r="J14" s="4">
        <f>IncState!J36</f>
        <v>13776.288324812693</v>
      </c>
      <c r="K14" s="4">
        <f>IncState!K36</f>
        <v>15992.853977775438</v>
      </c>
      <c r="L14" s="4">
        <f>IncState!L36</f>
        <v>18539.072841869387</v>
      </c>
      <c r="M14" s="4">
        <f>IncState!M36</f>
        <v>21461.690013949323</v>
      </c>
    </row>
    <row r="15" spans="1:16" x14ac:dyDescent="0.25">
      <c r="B15" s="4" t="s">
        <v>21</v>
      </c>
      <c r="E15" s="27"/>
      <c r="F15" s="4">
        <f>-IncState!F38</f>
        <v>-1537</v>
      </c>
      <c r="G15" s="4">
        <f>-IncState!G38</f>
        <v>-1537</v>
      </c>
      <c r="H15" s="4">
        <f>-IncState!H38</f>
        <v>-1537</v>
      </c>
      <c r="I15" s="4">
        <f>-IncState!I38</f>
        <v>-1537</v>
      </c>
      <c r="J15" s="4">
        <f>-IncState!J38</f>
        <v>-1537</v>
      </c>
      <c r="K15" s="4">
        <f>-IncState!K38</f>
        <v>-1537</v>
      </c>
      <c r="L15" s="4">
        <f>-IncState!L38</f>
        <v>-1537</v>
      </c>
      <c r="M15" s="4">
        <f>-IncState!M38</f>
        <v>-1537</v>
      </c>
    </row>
    <row r="16" spans="1:16" x14ac:dyDescent="0.25">
      <c r="B16" s="4" t="s">
        <v>22</v>
      </c>
      <c r="E16" s="27"/>
      <c r="F16" s="4">
        <f>F11</f>
        <v>-3400</v>
      </c>
      <c r="G16" s="4">
        <f t="shared" ref="G16:M16" si="10">G11</f>
        <v>0</v>
      </c>
      <c r="H16" s="4">
        <f t="shared" si="10"/>
        <v>0</v>
      </c>
      <c r="I16" s="4">
        <f t="shared" si="10"/>
        <v>0</v>
      </c>
      <c r="J16" s="4">
        <f t="shared" si="10"/>
        <v>0</v>
      </c>
      <c r="K16" s="4">
        <f t="shared" si="10"/>
        <v>0</v>
      </c>
      <c r="L16" s="4">
        <f t="shared" si="10"/>
        <v>0</v>
      </c>
      <c r="M16" s="4">
        <f t="shared" si="10"/>
        <v>0</v>
      </c>
    </row>
    <row r="17" spans="1:15" x14ac:dyDescent="0.25">
      <c r="B17" s="4" t="s">
        <v>23</v>
      </c>
      <c r="E17" s="27">
        <f>BalSheet!E38</f>
        <v>61173</v>
      </c>
      <c r="F17" s="4">
        <f>SUM(F13:F16)</f>
        <v>63692.136935677539</v>
      </c>
      <c r="G17" s="4">
        <f t="shared" ref="G17:M17" si="11">SUM(G13:G16)</f>
        <v>70873.122844127065</v>
      </c>
      <c r="H17" s="4">
        <f t="shared" si="11"/>
        <v>79508.880427061711</v>
      </c>
      <c r="I17" s="4">
        <f t="shared" si="11"/>
        <v>89820.169902334674</v>
      </c>
      <c r="J17" s="4">
        <f t="shared" si="11"/>
        <v>102059.45822714736</v>
      </c>
      <c r="K17" s="4">
        <f t="shared" si="11"/>
        <v>116515.3122049228</v>
      </c>
      <c r="L17" s="4">
        <f t="shared" si="11"/>
        <v>133517.38504679219</v>
      </c>
      <c r="M17" s="4">
        <f t="shared" si="11"/>
        <v>153442.07506074151</v>
      </c>
    </row>
    <row r="18" spans="1:15" x14ac:dyDescent="0.25">
      <c r="A18" s="20" t="s">
        <v>24</v>
      </c>
      <c r="B18" s="42"/>
      <c r="C18" s="239">
        <f>C10</f>
        <v>2023</v>
      </c>
      <c r="D18" s="239">
        <f t="shared" ref="D18:M18" si="12">D10</f>
        <v>2024</v>
      </c>
      <c r="E18" s="239">
        <f t="shared" si="12"/>
        <v>2025</v>
      </c>
      <c r="F18" s="239">
        <f t="shared" si="12"/>
        <v>2026</v>
      </c>
      <c r="G18" s="239">
        <f t="shared" si="12"/>
        <v>2027</v>
      </c>
      <c r="H18" s="239">
        <f t="shared" si="12"/>
        <v>2028</v>
      </c>
      <c r="I18" s="239">
        <f t="shared" si="12"/>
        <v>2029</v>
      </c>
      <c r="J18" s="239">
        <f t="shared" si="12"/>
        <v>2030</v>
      </c>
      <c r="K18" s="239">
        <f t="shared" si="12"/>
        <v>2031</v>
      </c>
      <c r="L18" s="239">
        <f t="shared" si="12"/>
        <v>2032</v>
      </c>
      <c r="M18" s="239">
        <f t="shared" si="12"/>
        <v>2033</v>
      </c>
      <c r="N18" s="197"/>
      <c r="O18" s="197"/>
    </row>
    <row r="19" spans="1:15" x14ac:dyDescent="0.25">
      <c r="A19" s="84"/>
      <c r="B19" s="173" t="s">
        <v>158</v>
      </c>
      <c r="C19" s="197"/>
      <c r="D19" s="197"/>
      <c r="E19" s="220">
        <f>BalSheet!E15</f>
        <v>1894.75</v>
      </c>
      <c r="F19" s="317">
        <f>BalSheet!F15</f>
        <v>2115.75</v>
      </c>
      <c r="G19" s="317">
        <f>BalSheet!G15</f>
        <v>2362.5270154373929</v>
      </c>
      <c r="H19" s="317">
        <f>BalSheet!H15</f>
        <v>2638.0876278726291</v>
      </c>
      <c r="I19" s="317">
        <f>BalSheet!I15</f>
        <v>2945.7891007634335</v>
      </c>
      <c r="J19" s="317">
        <f>BalSheet!J15</f>
        <v>3289.3802823276073</v>
      </c>
      <c r="K19" s="317">
        <f>BalSheet!K15</f>
        <v>3673.0472792371738</v>
      </c>
      <c r="L19" s="317">
        <f>BalSheet!L15</f>
        <v>4101.4644576044602</v>
      </c>
      <c r="M19" s="317">
        <f>BalSheet!M15</f>
        <v>4579.8513926252208</v>
      </c>
      <c r="N19" s="197"/>
      <c r="O19" s="197"/>
    </row>
    <row r="20" spans="1:15" x14ac:dyDescent="0.25">
      <c r="B20" s="4" t="str">
        <f>BalSheet!B17</f>
        <v>Accounts receivable</v>
      </c>
      <c r="C20" s="95"/>
      <c r="D20" s="95"/>
      <c r="E20" s="96">
        <f>BalSheet!E17</f>
        <v>11945</v>
      </c>
      <c r="F20" s="318">
        <f>BalSheet!F17</f>
        <v>13338.241852487135</v>
      </c>
      <c r="G20" s="318">
        <f>BalSheet!G17</f>
        <v>14893.988758094556</v>
      </c>
      <c r="H20" s="318">
        <f>BalSheet!H17</f>
        <v>16631.194994030113</v>
      </c>
      <c r="I20" s="318">
        <f>BalSheet!I17</f>
        <v>18571.025627982166</v>
      </c>
      <c r="J20" s="318">
        <f>BalSheet!J17</f>
        <v>20737.114380474082</v>
      </c>
      <c r="K20" s="318">
        <f>BalSheet!K17</f>
        <v>23155.851563788383</v>
      </c>
      <c r="L20" s="318">
        <f>BalSheet!L17</f>
        <v>25856.705605533858</v>
      </c>
      <c r="M20" s="318">
        <f>BalSheet!M17</f>
        <v>28872.582074103848</v>
      </c>
      <c r="N20" s="95"/>
      <c r="O20" s="95"/>
    </row>
    <row r="21" spans="1:15" x14ac:dyDescent="0.25">
      <c r="B21" s="4" t="s">
        <v>69</v>
      </c>
      <c r="C21" s="95"/>
      <c r="D21" s="95"/>
      <c r="E21" s="96">
        <f>BalSheet!E18</f>
        <v>8934</v>
      </c>
      <c r="F21" s="318">
        <f>BalSheet!F18</f>
        <v>9976.0445969125212</v>
      </c>
      <c r="G21" s="318">
        <f>BalSheet!G18</f>
        <v>11139.631273739367</v>
      </c>
      <c r="H21" s="318">
        <f>BalSheet!H18</f>
        <v>12438.936465187528</v>
      </c>
      <c r="I21" s="318">
        <f>BalSheet!I18</f>
        <v>13889.790118073894</v>
      </c>
      <c r="J21" s="318">
        <f>BalSheet!J18</f>
        <v>15509.868553801209</v>
      </c>
      <c r="K21" s="318">
        <f>BalSheet!K18</f>
        <v>17318.909825942686</v>
      </c>
      <c r="L21" s="318">
        <f>BalSheet!L18</f>
        <v>19338.954196721596</v>
      </c>
      <c r="M21" s="318">
        <f>BalSheet!M18</f>
        <v>21594.612662205422</v>
      </c>
      <c r="N21" s="95"/>
      <c r="O21" s="95"/>
    </row>
    <row r="22" spans="1:15" x14ac:dyDescent="0.25">
      <c r="B22" s="4" t="s">
        <v>164</v>
      </c>
      <c r="C22" s="95"/>
      <c r="D22" s="95"/>
      <c r="E22" s="96">
        <f>BalSheet!E30</f>
        <v>6658</v>
      </c>
      <c r="F22" s="318">
        <f>BalSheet!F30</f>
        <v>7434.5763293310447</v>
      </c>
      <c r="G22" s="318">
        <f>BalSheet!G30</f>
        <v>8301.7310298362099</v>
      </c>
      <c r="H22" s="318">
        <f>BalSheet!H30</f>
        <v>9270.0289887193358</v>
      </c>
      <c r="I22" s="318">
        <f>BalSheet!I30</f>
        <v>10351.26736133154</v>
      </c>
      <c r="J22" s="318">
        <f>BalSheet!J30</f>
        <v>11558.619300560606</v>
      </c>
      <c r="K22" s="318">
        <f>BalSheet!K30</f>
        <v>12906.79445054023</v>
      </c>
      <c r="L22" s="318">
        <f>BalSheet!L30</f>
        <v>14412.218160037204</v>
      </c>
      <c r="M22" s="318">
        <f>BalSheet!M30</f>
        <v>16093.231598943774</v>
      </c>
      <c r="N22" s="95"/>
      <c r="O22" s="95"/>
    </row>
    <row r="23" spans="1:15" x14ac:dyDescent="0.25">
      <c r="B23" s="4" t="s">
        <v>75</v>
      </c>
      <c r="C23" s="95"/>
      <c r="D23" s="95"/>
      <c r="E23" s="96">
        <f>BalSheet!E31</f>
        <v>21322</v>
      </c>
      <c r="F23" s="318">
        <f>BalSheet!F31</f>
        <v>23808.957118353344</v>
      </c>
      <c r="G23" s="318">
        <f>BalSheet!G31</f>
        <v>26585.988137303651</v>
      </c>
      <c r="H23" s="318">
        <f>BalSheet!H31</f>
        <v>29686.926719356219</v>
      </c>
      <c r="I23" s="318">
        <f>BalSheet!I31</f>
        <v>33149.552820413206</v>
      </c>
      <c r="J23" s="318">
        <f>BalSheet!J31</f>
        <v>37016.052977854197</v>
      </c>
      <c r="K23" s="318">
        <f>BalSheet!K31</f>
        <v>41333.534285734277</v>
      </c>
      <c r="L23" s="318">
        <f>BalSheet!L31</f>
        <v>46154.598319061777</v>
      </c>
      <c r="M23" s="318">
        <f>BalSheet!M31</f>
        <v>51537.981999501229</v>
      </c>
      <c r="N23" s="95"/>
      <c r="O23" s="95"/>
    </row>
    <row r="24" spans="1:15" x14ac:dyDescent="0.25">
      <c r="A24" s="11" t="s">
        <v>123</v>
      </c>
      <c r="B24" s="17" t="s">
        <v>24</v>
      </c>
      <c r="C24" s="18"/>
      <c r="D24" s="18"/>
      <c r="E24" s="18">
        <f>SUM(E19:E21)-SUM(E22:E23)</f>
        <v>-5206.25</v>
      </c>
      <c r="F24" s="18">
        <f>SUM(F19:F21)-SUM(F22:F23)</f>
        <v>-5813.4969982847324</v>
      </c>
      <c r="G24" s="18">
        <f t="shared" ref="G24:M24" si="13">SUM(G19:G21)-SUM(G22:G23)</f>
        <v>-6491.572119868546</v>
      </c>
      <c r="H24" s="18">
        <f t="shared" si="13"/>
        <v>-7248.7366209852844</v>
      </c>
      <c r="I24" s="18">
        <f t="shared" si="13"/>
        <v>-8094.2153349252549</v>
      </c>
      <c r="J24" s="18">
        <f t="shared" si="13"/>
        <v>-9038.3090618119022</v>
      </c>
      <c r="K24" s="18">
        <f t="shared" si="13"/>
        <v>-10092.520067306265</v>
      </c>
      <c r="L24" s="18">
        <f t="shared" si="13"/>
        <v>-11269.69221923907</v>
      </c>
      <c r="M24" s="18">
        <f t="shared" si="13"/>
        <v>-12584.16746951051</v>
      </c>
      <c r="N24" s="11"/>
      <c r="O24" s="11"/>
    </row>
    <row r="25" spans="1:15" s="11" customFormat="1" x14ac:dyDescent="0.25">
      <c r="A25" s="24"/>
      <c r="B25" s="11" t="s">
        <v>150</v>
      </c>
      <c r="F25" s="11">
        <f>E24-F24</f>
        <v>607.2469982847324</v>
      </c>
      <c r="G25" s="11">
        <f t="shared" ref="G25:M25" si="14">F24-G24</f>
        <v>678.0751215838136</v>
      </c>
      <c r="H25" s="11">
        <f t="shared" si="14"/>
        <v>757.16450111673839</v>
      </c>
      <c r="I25" s="11">
        <f t="shared" si="14"/>
        <v>845.47871393997048</v>
      </c>
      <c r="J25" s="11">
        <f t="shared" si="14"/>
        <v>944.09372688664735</v>
      </c>
      <c r="K25" s="11">
        <f t="shared" si="14"/>
        <v>1054.2110054943623</v>
      </c>
      <c r="L25" s="11">
        <f t="shared" si="14"/>
        <v>1177.1721519328057</v>
      </c>
      <c r="M25" s="11">
        <f t="shared" si="14"/>
        <v>1314.47525027144</v>
      </c>
    </row>
    <row r="26" spans="1:15" x14ac:dyDescent="0.25">
      <c r="B26" s="65"/>
      <c r="C26" s="65"/>
      <c r="D26" s="65"/>
      <c r="E26" s="65"/>
      <c r="F26" s="65"/>
      <c r="G26" s="65"/>
      <c r="H26" s="81"/>
      <c r="I26" s="65"/>
      <c r="J26" s="65"/>
      <c r="K26" s="65"/>
      <c r="L26" s="65"/>
      <c r="M26" s="65"/>
    </row>
    <row r="27" spans="1:15" x14ac:dyDescent="0.25">
      <c r="H27" s="6"/>
      <c r="I27" s="4"/>
      <c r="J27" s="4"/>
    </row>
    <row r="28" spans="1:15" x14ac:dyDescent="0.25">
      <c r="H28" s="6"/>
      <c r="I28" s="4"/>
      <c r="J28" s="4"/>
    </row>
    <row r="29" spans="1:15" x14ac:dyDescent="0.25">
      <c r="H29" s="6"/>
      <c r="I29" s="4"/>
      <c r="J29" s="4"/>
    </row>
    <row r="30" spans="1:15" x14ac:dyDescent="0.25">
      <c r="H30" s="6"/>
      <c r="I30" s="4"/>
      <c r="J30" s="4"/>
    </row>
    <row r="31" spans="1:15" x14ac:dyDescent="0.25">
      <c r="H31" s="6"/>
      <c r="I31" s="4"/>
      <c r="J31" s="4"/>
    </row>
    <row r="32" spans="1:15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P34"/>
  <sheetViews>
    <sheetView showGridLines="0" zoomScaleNormal="100" workbookViewId="0">
      <selection activeCell="F22" sqref="F22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3" width="11.7109375" style="4" customWidth="1"/>
    <col min="14" max="15" width="11.42578125" style="4" customWidth="1"/>
    <col min="16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6" s="2" customFormat="1" ht="19.5" x14ac:dyDescent="0.3">
      <c r="A1" s="260" t="str">
        <f>CoName</f>
        <v>Salesforce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/>
      <c r="O1" s="41"/>
    </row>
    <row r="2" spans="1:16" s="2" customFormat="1" x14ac:dyDescent="0.25">
      <c r="A2" s="16" t="s">
        <v>10</v>
      </c>
      <c r="B2" s="196"/>
      <c r="C2" s="269">
        <v>2023</v>
      </c>
      <c r="D2" s="269">
        <f>C2+1</f>
        <v>2024</v>
      </c>
      <c r="E2" s="269">
        <f t="shared" ref="E2:M2" si="0">D2+1</f>
        <v>2025</v>
      </c>
      <c r="F2" s="269">
        <f t="shared" si="0"/>
        <v>2026</v>
      </c>
      <c r="G2" s="269">
        <f t="shared" si="0"/>
        <v>2027</v>
      </c>
      <c r="H2" s="269">
        <f t="shared" si="0"/>
        <v>2028</v>
      </c>
      <c r="I2" s="269">
        <f t="shared" si="0"/>
        <v>2029</v>
      </c>
      <c r="J2" s="269">
        <f t="shared" si="0"/>
        <v>2030</v>
      </c>
      <c r="K2" s="269">
        <f t="shared" si="0"/>
        <v>2031</v>
      </c>
      <c r="L2" s="269">
        <f t="shared" si="0"/>
        <v>2032</v>
      </c>
      <c r="M2" s="269">
        <f t="shared" si="0"/>
        <v>2033</v>
      </c>
      <c r="N2" s="205"/>
      <c r="O2" s="205"/>
    </row>
    <row r="3" spans="1:16" s="2" customFormat="1" x14ac:dyDescent="0.25">
      <c r="A3" s="84"/>
      <c r="B3" s="11"/>
      <c r="C3" s="197"/>
      <c r="D3" s="197"/>
      <c r="E3" s="197"/>
      <c r="F3" s="197"/>
      <c r="G3" s="197"/>
      <c r="H3" s="197"/>
      <c r="I3" s="197"/>
      <c r="J3" s="197"/>
      <c r="K3" s="205"/>
      <c r="L3" s="205"/>
      <c r="M3" s="205"/>
      <c r="N3" s="205"/>
      <c r="O3" s="205"/>
    </row>
    <row r="4" spans="1:16" s="2" customFormat="1" x14ac:dyDescent="0.25">
      <c r="A4" s="11"/>
      <c r="B4" s="4" t="s">
        <v>25</v>
      </c>
      <c r="C4" s="30"/>
      <c r="D4" s="55"/>
      <c r="E4" s="59"/>
      <c r="F4" s="108">
        <f>Assumptions!F24</f>
        <v>0</v>
      </c>
      <c r="G4" s="108">
        <f>Assumptions!G24</f>
        <v>0</v>
      </c>
      <c r="H4" s="108">
        <f>Assumptions!H24</f>
        <v>0</v>
      </c>
      <c r="I4" s="108">
        <f>Assumptions!I24</f>
        <v>0</v>
      </c>
      <c r="J4" s="108">
        <f>Assumptions!J24</f>
        <v>0</v>
      </c>
      <c r="K4" s="108">
        <f>Assumptions!K24</f>
        <v>0</v>
      </c>
      <c r="L4" s="108">
        <f>Assumptions!L24</f>
        <v>0</v>
      </c>
      <c r="M4" s="108">
        <f>Assumptions!M24</f>
        <v>0</v>
      </c>
      <c r="N4" s="29"/>
      <c r="O4" s="29"/>
    </row>
    <row r="5" spans="1:16" s="2" customFormat="1" x14ac:dyDescent="0.25">
      <c r="A5" s="11"/>
      <c r="B5" s="4" t="s">
        <v>26</v>
      </c>
      <c r="C5" s="30"/>
      <c r="D5" s="56"/>
      <c r="E5" s="60"/>
      <c r="F5" s="108">
        <f>Assumptions!F25</f>
        <v>0.03</v>
      </c>
      <c r="G5" s="108">
        <f>Assumptions!G25</f>
        <v>0.03</v>
      </c>
      <c r="H5" s="108">
        <f>Assumptions!H25</f>
        <v>0.03</v>
      </c>
      <c r="I5" s="108">
        <f>Assumptions!I25</f>
        <v>0.03</v>
      </c>
      <c r="J5" s="108">
        <f>Assumptions!J25</f>
        <v>0.03</v>
      </c>
      <c r="K5" s="108">
        <f>Assumptions!K25</f>
        <v>0.03</v>
      </c>
      <c r="L5" s="108">
        <f>Assumptions!L25</f>
        <v>0.03</v>
      </c>
      <c r="M5" s="108">
        <f>Assumptions!M25</f>
        <v>0.03</v>
      </c>
      <c r="N5" s="29"/>
      <c r="O5" s="29"/>
    </row>
    <row r="6" spans="1:16" s="2" customFormat="1" x14ac:dyDescent="0.25">
      <c r="A6" s="11"/>
      <c r="B6" s="4" t="s">
        <v>27</v>
      </c>
      <c r="C6" s="30"/>
      <c r="D6" s="55"/>
      <c r="E6" s="59"/>
      <c r="F6" s="108">
        <f>Assumptions!F26</f>
        <v>0.05</v>
      </c>
      <c r="G6" s="108">
        <f>Assumptions!G26</f>
        <v>0.05</v>
      </c>
      <c r="H6" s="108">
        <f>Assumptions!H26</f>
        <v>0.05</v>
      </c>
      <c r="I6" s="108">
        <f>Assumptions!I26</f>
        <v>0.05</v>
      </c>
      <c r="J6" s="108">
        <f>Assumptions!J26</f>
        <v>0.05</v>
      </c>
      <c r="K6" s="108">
        <f>Assumptions!K26</f>
        <v>0.05</v>
      </c>
      <c r="L6" s="108">
        <f>Assumptions!L26</f>
        <v>0.05</v>
      </c>
      <c r="M6" s="108">
        <f>Assumptions!M26</f>
        <v>0.05</v>
      </c>
      <c r="N6" s="29"/>
      <c r="O6" s="29"/>
    </row>
    <row r="7" spans="1:16" s="2" customFormat="1" x14ac:dyDescent="0.25">
      <c r="A7" s="11"/>
      <c r="B7" s="4"/>
      <c r="C7" s="30"/>
      <c r="D7" s="30"/>
      <c r="E7" s="30"/>
      <c r="F7" s="106"/>
      <c r="G7" s="106"/>
      <c r="H7" s="106"/>
      <c r="I7" s="107"/>
      <c r="J7" s="107"/>
      <c r="K7" s="107"/>
      <c r="L7" s="107"/>
      <c r="M7" s="107"/>
      <c r="N7" s="206"/>
      <c r="O7" s="206"/>
    </row>
    <row r="8" spans="1:16" s="2" customFormat="1" x14ac:dyDescent="0.25">
      <c r="A8" s="11"/>
      <c r="B8" s="4" t="s">
        <v>28</v>
      </c>
      <c r="C8" s="30"/>
      <c r="D8" s="57"/>
      <c r="E8" s="61"/>
      <c r="F8" s="109">
        <f>Assumptions!F28</f>
        <v>0</v>
      </c>
      <c r="G8" s="109">
        <f>Assumptions!G28</f>
        <v>0</v>
      </c>
      <c r="H8" s="109">
        <f>Assumptions!H28</f>
        <v>0</v>
      </c>
      <c r="I8" s="109">
        <f>Assumptions!I28</f>
        <v>0</v>
      </c>
      <c r="J8" s="109">
        <f>Assumptions!J28</f>
        <v>0</v>
      </c>
      <c r="K8" s="109">
        <f>Assumptions!K28</f>
        <v>0</v>
      </c>
      <c r="L8" s="109">
        <f>Assumptions!L28</f>
        <v>0</v>
      </c>
      <c r="M8" s="109">
        <f>Assumptions!M28</f>
        <v>0</v>
      </c>
      <c r="N8" s="207"/>
      <c r="O8" s="207"/>
    </row>
    <row r="9" spans="1:16" s="2" customFormat="1" x14ac:dyDescent="0.25">
      <c r="A9" s="11"/>
      <c r="B9" s="4" t="s">
        <v>29</v>
      </c>
      <c r="C9" s="30"/>
      <c r="D9" s="57"/>
      <c r="E9" s="61"/>
      <c r="F9" s="109">
        <f>Assumptions!F29</f>
        <v>0</v>
      </c>
      <c r="G9" s="109">
        <f>Assumptions!G29</f>
        <v>0</v>
      </c>
      <c r="H9" s="109">
        <f>Assumptions!H29</f>
        <v>-2500</v>
      </c>
      <c r="I9" s="109">
        <v>67</v>
      </c>
      <c r="J9" s="109">
        <f>Assumptions!J29</f>
        <v>-6000</v>
      </c>
      <c r="K9" s="109">
        <f>Assumptions!K29</f>
        <v>0</v>
      </c>
      <c r="L9" s="109">
        <f>Assumptions!L29</f>
        <v>0</v>
      </c>
      <c r="M9" s="209">
        <f>Assumptions!M29</f>
        <v>0</v>
      </c>
      <c r="N9" s="207"/>
      <c r="O9" s="207"/>
    </row>
    <row r="10" spans="1:16" s="2" customFormat="1" ht="18.75" x14ac:dyDescent="0.3">
      <c r="A10" s="33"/>
      <c r="B10" s="3"/>
      <c r="C10" s="53"/>
      <c r="D10" s="53"/>
      <c r="E10" s="53"/>
      <c r="F10" s="105"/>
      <c r="G10" s="105"/>
      <c r="H10" s="105"/>
      <c r="I10" s="105"/>
      <c r="J10" s="105"/>
      <c r="K10" s="105"/>
      <c r="L10" s="105"/>
      <c r="M10" s="105"/>
      <c r="N10" s="53"/>
      <c r="O10" s="53"/>
    </row>
    <row r="11" spans="1:16" x14ac:dyDescent="0.25">
      <c r="A11" s="20" t="s">
        <v>30</v>
      </c>
      <c r="B11" s="54"/>
      <c r="C11" s="258">
        <v>2023</v>
      </c>
      <c r="D11" s="258">
        <f>C11+1</f>
        <v>2024</v>
      </c>
      <c r="E11" s="258">
        <f t="shared" ref="E11:M11" si="1">D11+1</f>
        <v>2025</v>
      </c>
      <c r="F11" s="258">
        <f t="shared" si="1"/>
        <v>2026</v>
      </c>
      <c r="G11" s="258">
        <f t="shared" si="1"/>
        <v>2027</v>
      </c>
      <c r="H11" s="258">
        <f t="shared" si="1"/>
        <v>2028</v>
      </c>
      <c r="I11" s="258">
        <f t="shared" si="1"/>
        <v>2029</v>
      </c>
      <c r="J11" s="258">
        <f t="shared" si="1"/>
        <v>2030</v>
      </c>
      <c r="K11" s="258">
        <f t="shared" si="1"/>
        <v>2031</v>
      </c>
      <c r="L11" s="258">
        <f t="shared" si="1"/>
        <v>2032</v>
      </c>
      <c r="M11" s="258">
        <f t="shared" si="1"/>
        <v>2033</v>
      </c>
      <c r="N11" s="208"/>
      <c r="O11" s="208"/>
      <c r="P11" s="47"/>
    </row>
    <row r="12" spans="1:16" x14ac:dyDescent="0.25">
      <c r="B12" s="4" t="s">
        <v>31</v>
      </c>
      <c r="E12" s="27"/>
      <c r="F12" s="4" t="s">
        <v>222</v>
      </c>
      <c r="G12" s="4" t="s">
        <v>222</v>
      </c>
      <c r="H12" s="4" t="s">
        <v>222</v>
      </c>
      <c r="I12" s="4" t="s">
        <v>222</v>
      </c>
      <c r="J12" s="4" t="s">
        <v>222</v>
      </c>
      <c r="K12" s="4" t="s">
        <v>222</v>
      </c>
      <c r="L12" s="4" t="s">
        <v>222</v>
      </c>
      <c r="M12" s="4" t="s">
        <v>222</v>
      </c>
      <c r="P12" s="47"/>
    </row>
    <row r="13" spans="1:16" x14ac:dyDescent="0.25">
      <c r="B13" s="4" t="s">
        <v>32</v>
      </c>
      <c r="E13" s="28"/>
      <c r="I13" s="4"/>
      <c r="J13" s="4"/>
      <c r="P13" s="47"/>
    </row>
    <row r="14" spans="1:16" x14ac:dyDescent="0.25">
      <c r="B14" s="4" t="s">
        <v>33</v>
      </c>
      <c r="E14" s="27"/>
      <c r="I14" s="4"/>
      <c r="J14" s="4"/>
      <c r="P14" s="47"/>
    </row>
    <row r="15" spans="1:16" x14ac:dyDescent="0.25">
      <c r="E15" s="27"/>
      <c r="I15" s="4"/>
      <c r="J15" s="4"/>
      <c r="P15" s="47"/>
    </row>
    <row r="16" spans="1:16" x14ac:dyDescent="0.25">
      <c r="A16" s="267" t="s">
        <v>34</v>
      </c>
      <c r="B16" s="19"/>
      <c r="C16" s="258">
        <v>2023</v>
      </c>
      <c r="D16" s="258">
        <f>C16+1</f>
        <v>2024</v>
      </c>
      <c r="E16" s="258">
        <f t="shared" ref="E16:M16" si="2">D16+1</f>
        <v>2025</v>
      </c>
      <c r="F16" s="258">
        <f t="shared" si="2"/>
        <v>2026</v>
      </c>
      <c r="G16" s="258">
        <f t="shared" si="2"/>
        <v>2027</v>
      </c>
      <c r="H16" s="258">
        <f t="shared" si="2"/>
        <v>2028</v>
      </c>
      <c r="I16" s="258">
        <f t="shared" si="2"/>
        <v>2029</v>
      </c>
      <c r="J16" s="258">
        <f t="shared" si="2"/>
        <v>2030</v>
      </c>
      <c r="K16" s="258">
        <f t="shared" si="2"/>
        <v>2031</v>
      </c>
      <c r="L16" s="258">
        <f t="shared" si="2"/>
        <v>2032</v>
      </c>
      <c r="M16" s="258">
        <f t="shared" si="2"/>
        <v>2033</v>
      </c>
      <c r="N16" s="205"/>
      <c r="O16" s="205"/>
      <c r="P16" s="47"/>
    </row>
    <row r="17" spans="1:16" x14ac:dyDescent="0.25">
      <c r="B17" s="4" t="s">
        <v>19</v>
      </c>
      <c r="E17" s="27"/>
      <c r="F17" s="4">
        <f>E20</f>
        <v>8433</v>
      </c>
      <c r="G17" s="4">
        <f t="shared" ref="G17:M17" si="3">F20</f>
        <v>8433</v>
      </c>
      <c r="H17" s="4">
        <f t="shared" si="3"/>
        <v>8433</v>
      </c>
      <c r="I17" s="4">
        <f t="shared" si="3"/>
        <v>5933</v>
      </c>
      <c r="J17" s="4">
        <f t="shared" si="3"/>
        <v>6000</v>
      </c>
      <c r="K17" s="4">
        <f t="shared" si="3"/>
        <v>0</v>
      </c>
      <c r="L17" s="4">
        <f t="shared" si="3"/>
        <v>0</v>
      </c>
      <c r="M17" s="4">
        <f t="shared" si="3"/>
        <v>0</v>
      </c>
      <c r="P17" s="47"/>
    </row>
    <row r="18" spans="1:16" x14ac:dyDescent="0.25">
      <c r="B18" s="4" t="s">
        <v>35</v>
      </c>
      <c r="E18" s="27"/>
      <c r="F18" s="4">
        <f>F8</f>
        <v>0</v>
      </c>
      <c r="G18" s="4">
        <f t="shared" ref="G18:M18" si="4">G8</f>
        <v>0</v>
      </c>
      <c r="H18" s="4">
        <f t="shared" si="4"/>
        <v>0</v>
      </c>
      <c r="I18" s="4">
        <f t="shared" si="4"/>
        <v>0</v>
      </c>
      <c r="J18" s="4">
        <f t="shared" si="4"/>
        <v>0</v>
      </c>
      <c r="K18" s="4">
        <f t="shared" si="4"/>
        <v>0</v>
      </c>
      <c r="L18" s="4">
        <f t="shared" si="4"/>
        <v>0</v>
      </c>
      <c r="M18" s="4">
        <f t="shared" si="4"/>
        <v>0</v>
      </c>
      <c r="P18" s="47"/>
    </row>
    <row r="19" spans="1:16" x14ac:dyDescent="0.25">
      <c r="B19" s="4" t="s">
        <v>36</v>
      </c>
      <c r="E19" s="27"/>
      <c r="F19" s="4">
        <f>F9</f>
        <v>0</v>
      </c>
      <c r="G19" s="4">
        <f t="shared" ref="G19:M19" si="5">G9</f>
        <v>0</v>
      </c>
      <c r="H19" s="4">
        <f t="shared" si="5"/>
        <v>-2500</v>
      </c>
      <c r="I19" s="4">
        <f t="shared" si="5"/>
        <v>67</v>
      </c>
      <c r="J19" s="4">
        <f t="shared" si="5"/>
        <v>-6000</v>
      </c>
      <c r="K19" s="4">
        <f t="shared" si="5"/>
        <v>0</v>
      </c>
      <c r="L19" s="4">
        <f t="shared" si="5"/>
        <v>0</v>
      </c>
      <c r="M19" s="4">
        <f t="shared" si="5"/>
        <v>0</v>
      </c>
    </row>
    <row r="20" spans="1:16" x14ac:dyDescent="0.25">
      <c r="B20" s="4" t="s">
        <v>23</v>
      </c>
      <c r="C20" s="10"/>
      <c r="E20" s="27">
        <f>BalSheet!E34</f>
        <v>8433</v>
      </c>
      <c r="F20" s="4">
        <f>SUM(F17:F19)</f>
        <v>8433</v>
      </c>
      <c r="G20" s="4">
        <f t="shared" ref="G20:M20" si="6">SUM(G17:G19)</f>
        <v>8433</v>
      </c>
      <c r="H20" s="4">
        <f t="shared" si="6"/>
        <v>5933</v>
      </c>
      <c r="I20" s="4">
        <f t="shared" si="6"/>
        <v>6000</v>
      </c>
      <c r="J20" s="4">
        <f t="shared" si="6"/>
        <v>0</v>
      </c>
      <c r="K20" s="4">
        <f t="shared" si="6"/>
        <v>0</v>
      </c>
      <c r="L20" s="4">
        <f t="shared" si="6"/>
        <v>0</v>
      </c>
      <c r="M20" s="4">
        <f t="shared" si="6"/>
        <v>0</v>
      </c>
    </row>
    <row r="21" spans="1:16" x14ac:dyDescent="0.25">
      <c r="B21" s="4" t="s">
        <v>32</v>
      </c>
      <c r="D21" s="48"/>
      <c r="E21" s="27"/>
      <c r="F21" s="8">
        <f>F5</f>
        <v>0.03</v>
      </c>
      <c r="G21" s="8">
        <f t="shared" ref="G21:M21" si="7">G5</f>
        <v>0.03</v>
      </c>
      <c r="H21" s="8">
        <f t="shared" si="7"/>
        <v>0.03</v>
      </c>
      <c r="I21" s="8">
        <f t="shared" si="7"/>
        <v>0.03</v>
      </c>
      <c r="J21" s="8">
        <f t="shared" si="7"/>
        <v>0.03</v>
      </c>
      <c r="K21" s="8">
        <f t="shared" si="7"/>
        <v>0.03</v>
      </c>
      <c r="L21" s="8">
        <f t="shared" si="7"/>
        <v>0.03</v>
      </c>
      <c r="M21" s="8">
        <f t="shared" si="7"/>
        <v>0.03</v>
      </c>
    </row>
    <row r="22" spans="1:16" x14ac:dyDescent="0.25">
      <c r="B22" s="4" t="s">
        <v>33</v>
      </c>
      <c r="E22" s="27"/>
      <c r="F22" s="4">
        <f>F20*F21</f>
        <v>252.98999999999998</v>
      </c>
      <c r="G22" s="4">
        <f t="shared" ref="G22:M22" si="8">G20*G21</f>
        <v>252.98999999999998</v>
      </c>
      <c r="H22" s="4">
        <f t="shared" si="8"/>
        <v>177.98999999999998</v>
      </c>
      <c r="I22" s="4">
        <f t="shared" si="8"/>
        <v>180</v>
      </c>
      <c r="J22" s="4">
        <f t="shared" si="8"/>
        <v>0</v>
      </c>
      <c r="K22" s="4">
        <f t="shared" si="8"/>
        <v>0</v>
      </c>
      <c r="L22" s="4">
        <f t="shared" si="8"/>
        <v>0</v>
      </c>
      <c r="M22" s="4">
        <f t="shared" si="8"/>
        <v>0</v>
      </c>
    </row>
    <row r="23" spans="1:16" x14ac:dyDescent="0.25">
      <c r="E23" s="27"/>
      <c r="I23" s="4"/>
      <c r="J23" s="4"/>
    </row>
    <row r="24" spans="1:16" x14ac:dyDescent="0.25">
      <c r="A24" s="20" t="s">
        <v>37</v>
      </c>
      <c r="B24" s="42"/>
      <c r="C24" s="258">
        <v>2023</v>
      </c>
      <c r="D24" s="258">
        <f>C24+1</f>
        <v>2024</v>
      </c>
      <c r="E24" s="258">
        <f t="shared" ref="E24:M24" si="9">D24+1</f>
        <v>2025</v>
      </c>
      <c r="F24" s="258">
        <f t="shared" si="9"/>
        <v>2026</v>
      </c>
      <c r="G24" s="258">
        <f t="shared" si="9"/>
        <v>2027</v>
      </c>
      <c r="H24" s="258">
        <f t="shared" si="9"/>
        <v>2028</v>
      </c>
      <c r="I24" s="258">
        <f t="shared" si="9"/>
        <v>2029</v>
      </c>
      <c r="J24" s="258">
        <f t="shared" si="9"/>
        <v>2030</v>
      </c>
      <c r="K24" s="258">
        <f t="shared" si="9"/>
        <v>2031</v>
      </c>
      <c r="L24" s="258">
        <f t="shared" si="9"/>
        <v>2032</v>
      </c>
      <c r="M24" s="258">
        <f t="shared" si="9"/>
        <v>2033</v>
      </c>
      <c r="N24" s="205"/>
      <c r="O24" s="205"/>
    </row>
    <row r="25" spans="1:16" x14ac:dyDescent="0.25">
      <c r="A25" s="7"/>
      <c r="B25" s="4" t="s">
        <v>30</v>
      </c>
      <c r="E25" s="27"/>
      <c r="F25" s="4" t="s">
        <v>222</v>
      </c>
      <c r="G25" s="4" t="s">
        <v>222</v>
      </c>
      <c r="H25" s="4" t="s">
        <v>222</v>
      </c>
      <c r="I25" s="4" t="s">
        <v>222</v>
      </c>
      <c r="J25" s="4" t="s">
        <v>222</v>
      </c>
      <c r="K25" s="4" t="s">
        <v>222</v>
      </c>
      <c r="L25" s="4" t="s">
        <v>222</v>
      </c>
      <c r="M25" s="4" t="s">
        <v>222</v>
      </c>
    </row>
    <row r="26" spans="1:16" x14ac:dyDescent="0.25">
      <c r="A26" s="7"/>
      <c r="B26" s="4" t="s">
        <v>38</v>
      </c>
      <c r="E26" s="27"/>
      <c r="F26" s="4">
        <f>F20</f>
        <v>8433</v>
      </c>
      <c r="G26" s="4">
        <f t="shared" ref="G26:M26" si="10">G20</f>
        <v>8433</v>
      </c>
      <c r="H26" s="4">
        <f t="shared" si="10"/>
        <v>5933</v>
      </c>
      <c r="I26" s="4">
        <f t="shared" si="10"/>
        <v>6000</v>
      </c>
      <c r="J26" s="4">
        <f t="shared" si="10"/>
        <v>0</v>
      </c>
      <c r="K26" s="4">
        <f t="shared" si="10"/>
        <v>0</v>
      </c>
      <c r="L26" s="4">
        <f t="shared" si="10"/>
        <v>0</v>
      </c>
      <c r="M26" s="4">
        <f t="shared" si="10"/>
        <v>0</v>
      </c>
    </row>
    <row r="27" spans="1:16" x14ac:dyDescent="0.25">
      <c r="A27" s="7"/>
      <c r="B27" s="11" t="s">
        <v>39</v>
      </c>
      <c r="D27" s="11"/>
      <c r="E27" s="24"/>
      <c r="F27" s="11">
        <f>SUM(F25:F26)</f>
        <v>8433</v>
      </c>
      <c r="G27" s="11">
        <f t="shared" ref="G27:M27" si="11">SUM(G25:G26)</f>
        <v>8433</v>
      </c>
      <c r="H27" s="11">
        <f t="shared" si="11"/>
        <v>5933</v>
      </c>
      <c r="I27" s="11">
        <f t="shared" si="11"/>
        <v>6000</v>
      </c>
      <c r="J27" s="11">
        <f t="shared" si="11"/>
        <v>0</v>
      </c>
      <c r="K27" s="11">
        <f t="shared" si="11"/>
        <v>0</v>
      </c>
      <c r="L27" s="11">
        <f t="shared" si="11"/>
        <v>0</v>
      </c>
      <c r="M27" s="11">
        <f t="shared" si="11"/>
        <v>0</v>
      </c>
      <c r="N27" s="11"/>
      <c r="O27" s="11"/>
    </row>
    <row r="28" spans="1:16" x14ac:dyDescent="0.25">
      <c r="A28" s="7"/>
      <c r="B28" s="4" t="s">
        <v>40</v>
      </c>
      <c r="E28" s="27"/>
      <c r="F28" s="4">
        <f>F22</f>
        <v>252.98999999999998</v>
      </c>
      <c r="G28" s="4">
        <f t="shared" ref="G28:M28" si="12">G22</f>
        <v>252.98999999999998</v>
      </c>
      <c r="H28" s="4">
        <f t="shared" si="12"/>
        <v>177.98999999999998</v>
      </c>
      <c r="I28" s="4">
        <f t="shared" si="12"/>
        <v>180</v>
      </c>
      <c r="J28" s="4">
        <f t="shared" si="12"/>
        <v>0</v>
      </c>
      <c r="K28" s="4">
        <f t="shared" si="12"/>
        <v>0</v>
      </c>
      <c r="L28" s="4">
        <f t="shared" si="12"/>
        <v>0</v>
      </c>
      <c r="M28" s="4">
        <f t="shared" si="12"/>
        <v>0</v>
      </c>
    </row>
    <row r="29" spans="1:16" x14ac:dyDescent="0.25">
      <c r="A29" s="7"/>
      <c r="E29" s="27"/>
      <c r="I29" s="4"/>
      <c r="J29" s="4"/>
    </row>
    <row r="30" spans="1:16" x14ac:dyDescent="0.25">
      <c r="A30" s="20" t="s">
        <v>41</v>
      </c>
      <c r="B30" s="42"/>
      <c r="C30" s="258">
        <v>2023</v>
      </c>
      <c r="D30" s="258">
        <f>C30+1</f>
        <v>2024</v>
      </c>
      <c r="E30" s="258">
        <f t="shared" ref="E30:M30" si="13">D30+1</f>
        <v>2025</v>
      </c>
      <c r="F30" s="258">
        <f t="shared" si="13"/>
        <v>2026</v>
      </c>
      <c r="G30" s="258">
        <f t="shared" si="13"/>
        <v>2027</v>
      </c>
      <c r="H30" s="258">
        <f t="shared" si="13"/>
        <v>2028</v>
      </c>
      <c r="I30" s="258">
        <f t="shared" si="13"/>
        <v>2029</v>
      </c>
      <c r="J30" s="258">
        <f t="shared" si="13"/>
        <v>2030</v>
      </c>
      <c r="K30" s="258">
        <f t="shared" si="13"/>
        <v>2031</v>
      </c>
      <c r="L30" s="258">
        <f t="shared" si="13"/>
        <v>2032</v>
      </c>
      <c r="M30" s="258">
        <f t="shared" si="13"/>
        <v>2033</v>
      </c>
      <c r="N30" s="205"/>
      <c r="O30" s="205"/>
    </row>
    <row r="31" spans="1:16" x14ac:dyDescent="0.25">
      <c r="A31" s="7"/>
      <c r="B31" s="4" t="s">
        <v>170</v>
      </c>
      <c r="E31" s="27"/>
      <c r="F31" s="4">
        <f>BalSheet!F16</f>
        <v>12229.852121162787</v>
      </c>
      <c r="G31" s="4">
        <f>BalSheet!G16</f>
        <v>21459.807682674535</v>
      </c>
      <c r="H31" s="4">
        <f>BalSheet!H16</f>
        <v>29024.344862705795</v>
      </c>
      <c r="I31" s="4">
        <f>BalSheet!I16</f>
        <v>40525.190034456056</v>
      </c>
      <c r="J31" s="4">
        <f>BalSheet!J16</f>
        <v>47518.27378111842</v>
      </c>
      <c r="K31" s="4">
        <f>BalSheet!K16</f>
        <v>62529.151111212836</v>
      </c>
      <c r="L31" s="4">
        <f>BalSheet!L16</f>
        <v>79924.436903517068</v>
      </c>
      <c r="M31" s="4">
        <f>BalSheet!M16</f>
        <v>100242.16927216484</v>
      </c>
    </row>
    <row r="32" spans="1:16" x14ac:dyDescent="0.25">
      <c r="B32" s="4" t="s">
        <v>32</v>
      </c>
      <c r="D32" s="48"/>
      <c r="E32" s="23"/>
      <c r="F32" s="5">
        <f>F6</f>
        <v>0.05</v>
      </c>
      <c r="G32" s="5">
        <f t="shared" ref="G32:M32" si="14">G6</f>
        <v>0.05</v>
      </c>
      <c r="H32" s="5">
        <f t="shared" si="14"/>
        <v>0.05</v>
      </c>
      <c r="I32" s="5">
        <f t="shared" si="14"/>
        <v>0.05</v>
      </c>
      <c r="J32" s="5">
        <f t="shared" si="14"/>
        <v>0.05</v>
      </c>
      <c r="K32" s="5">
        <f t="shared" si="14"/>
        <v>0.05</v>
      </c>
      <c r="L32" s="5">
        <f t="shared" si="14"/>
        <v>0.05</v>
      </c>
      <c r="M32" s="5">
        <f t="shared" si="14"/>
        <v>0.05</v>
      </c>
      <c r="N32" s="172"/>
      <c r="O32" s="172"/>
    </row>
    <row r="33" spans="2:13" x14ac:dyDescent="0.25">
      <c r="B33" s="4" t="s">
        <v>41</v>
      </c>
      <c r="E33" s="27"/>
      <c r="F33" s="4">
        <f>F31*F32</f>
        <v>611.49260605813936</v>
      </c>
      <c r="G33" s="4">
        <f t="shared" ref="G33:M33" si="15">G31*G32</f>
        <v>1072.9903841337268</v>
      </c>
      <c r="H33" s="4">
        <f t="shared" si="15"/>
        <v>1451.2172431352899</v>
      </c>
      <c r="I33" s="4">
        <f t="shared" si="15"/>
        <v>2026.259501722803</v>
      </c>
      <c r="J33" s="4">
        <f t="shared" si="15"/>
        <v>2375.9136890559212</v>
      </c>
      <c r="K33" s="4">
        <f t="shared" si="15"/>
        <v>3126.457555560642</v>
      </c>
      <c r="L33" s="4">
        <f t="shared" si="15"/>
        <v>3996.2218451758536</v>
      </c>
      <c r="M33" s="4">
        <f t="shared" si="15"/>
        <v>5012.1084636082423</v>
      </c>
    </row>
    <row r="34" spans="2:13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O45"/>
  <sheetViews>
    <sheetView showGridLines="0" zoomScaleNormal="100" workbookViewId="0">
      <selection activeCell="F17" sqref="F17:M4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3" width="11.7109375" style="4" customWidth="1"/>
    <col min="14" max="15" width="12" style="4" customWidth="1"/>
    <col min="16" max="256" width="8.85546875" style="4"/>
    <col min="257" max="257" width="1.7109375" style="4" customWidth="1"/>
    <col min="258" max="258" width="40.7109375" style="4" customWidth="1"/>
    <col min="259" max="263" width="10.7109375" style="4" customWidth="1"/>
    <col min="264" max="264" width="11.42578125" style="4" customWidth="1"/>
    <col min="265" max="266" width="12" style="4" customWidth="1"/>
    <col min="267" max="268" width="8.85546875" style="4"/>
    <col min="269" max="269" width="10.7109375" style="4" bestFit="1" customWidth="1"/>
    <col min="270" max="512" width="8.85546875" style="4"/>
    <col min="513" max="513" width="1.7109375" style="4" customWidth="1"/>
    <col min="514" max="514" width="40.7109375" style="4" customWidth="1"/>
    <col min="515" max="519" width="10.7109375" style="4" customWidth="1"/>
    <col min="520" max="520" width="11.42578125" style="4" customWidth="1"/>
    <col min="521" max="522" width="12" style="4" customWidth="1"/>
    <col min="523" max="524" width="8.85546875" style="4"/>
    <col min="525" max="525" width="10.7109375" style="4" bestFit="1" customWidth="1"/>
    <col min="526" max="768" width="8.85546875" style="4"/>
    <col min="769" max="769" width="1.7109375" style="4" customWidth="1"/>
    <col min="770" max="770" width="40.7109375" style="4" customWidth="1"/>
    <col min="771" max="775" width="10.7109375" style="4" customWidth="1"/>
    <col min="776" max="776" width="11.42578125" style="4" customWidth="1"/>
    <col min="777" max="778" width="12" style="4" customWidth="1"/>
    <col min="779" max="780" width="8.85546875" style="4"/>
    <col min="781" max="781" width="10.7109375" style="4" bestFit="1" customWidth="1"/>
    <col min="782" max="1024" width="8.85546875" style="4"/>
    <col min="1025" max="1025" width="1.7109375" style="4" customWidth="1"/>
    <col min="1026" max="1026" width="40.7109375" style="4" customWidth="1"/>
    <col min="1027" max="1031" width="10.7109375" style="4" customWidth="1"/>
    <col min="1032" max="1032" width="11.42578125" style="4" customWidth="1"/>
    <col min="1033" max="1034" width="12" style="4" customWidth="1"/>
    <col min="1035" max="1036" width="8.85546875" style="4"/>
    <col min="1037" max="1037" width="10.7109375" style="4" bestFit="1" customWidth="1"/>
    <col min="1038" max="1280" width="8.85546875" style="4"/>
    <col min="1281" max="1281" width="1.7109375" style="4" customWidth="1"/>
    <col min="1282" max="1282" width="40.7109375" style="4" customWidth="1"/>
    <col min="1283" max="1287" width="10.7109375" style="4" customWidth="1"/>
    <col min="1288" max="1288" width="11.42578125" style="4" customWidth="1"/>
    <col min="1289" max="1290" width="12" style="4" customWidth="1"/>
    <col min="1291" max="1292" width="8.85546875" style="4"/>
    <col min="1293" max="1293" width="10.7109375" style="4" bestFit="1" customWidth="1"/>
    <col min="1294" max="1536" width="8.85546875" style="4"/>
    <col min="1537" max="1537" width="1.7109375" style="4" customWidth="1"/>
    <col min="1538" max="1538" width="40.7109375" style="4" customWidth="1"/>
    <col min="1539" max="1543" width="10.7109375" style="4" customWidth="1"/>
    <col min="1544" max="1544" width="11.42578125" style="4" customWidth="1"/>
    <col min="1545" max="1546" width="12" style="4" customWidth="1"/>
    <col min="1547" max="1548" width="8.85546875" style="4"/>
    <col min="1549" max="1549" width="10.7109375" style="4" bestFit="1" customWidth="1"/>
    <col min="1550" max="1792" width="8.85546875" style="4"/>
    <col min="1793" max="1793" width="1.7109375" style="4" customWidth="1"/>
    <col min="1794" max="1794" width="40.7109375" style="4" customWidth="1"/>
    <col min="1795" max="1799" width="10.7109375" style="4" customWidth="1"/>
    <col min="1800" max="1800" width="11.42578125" style="4" customWidth="1"/>
    <col min="1801" max="1802" width="12" style="4" customWidth="1"/>
    <col min="1803" max="1804" width="8.85546875" style="4"/>
    <col min="1805" max="1805" width="10.7109375" style="4" bestFit="1" customWidth="1"/>
    <col min="1806" max="2048" width="8.85546875" style="4"/>
    <col min="2049" max="2049" width="1.7109375" style="4" customWidth="1"/>
    <col min="2050" max="2050" width="40.7109375" style="4" customWidth="1"/>
    <col min="2051" max="2055" width="10.7109375" style="4" customWidth="1"/>
    <col min="2056" max="2056" width="11.42578125" style="4" customWidth="1"/>
    <col min="2057" max="2058" width="12" style="4" customWidth="1"/>
    <col min="2059" max="2060" width="8.85546875" style="4"/>
    <col min="2061" max="2061" width="10.7109375" style="4" bestFit="1" customWidth="1"/>
    <col min="2062" max="2304" width="8.85546875" style="4"/>
    <col min="2305" max="2305" width="1.7109375" style="4" customWidth="1"/>
    <col min="2306" max="2306" width="40.7109375" style="4" customWidth="1"/>
    <col min="2307" max="2311" width="10.7109375" style="4" customWidth="1"/>
    <col min="2312" max="2312" width="11.42578125" style="4" customWidth="1"/>
    <col min="2313" max="2314" width="12" style="4" customWidth="1"/>
    <col min="2315" max="2316" width="8.85546875" style="4"/>
    <col min="2317" max="2317" width="10.7109375" style="4" bestFit="1" customWidth="1"/>
    <col min="2318" max="2560" width="8.85546875" style="4"/>
    <col min="2561" max="2561" width="1.7109375" style="4" customWidth="1"/>
    <col min="2562" max="2562" width="40.7109375" style="4" customWidth="1"/>
    <col min="2563" max="2567" width="10.7109375" style="4" customWidth="1"/>
    <col min="2568" max="2568" width="11.42578125" style="4" customWidth="1"/>
    <col min="2569" max="2570" width="12" style="4" customWidth="1"/>
    <col min="2571" max="2572" width="8.85546875" style="4"/>
    <col min="2573" max="2573" width="10.7109375" style="4" bestFit="1" customWidth="1"/>
    <col min="2574" max="2816" width="8.85546875" style="4"/>
    <col min="2817" max="2817" width="1.7109375" style="4" customWidth="1"/>
    <col min="2818" max="2818" width="40.7109375" style="4" customWidth="1"/>
    <col min="2819" max="2823" width="10.7109375" style="4" customWidth="1"/>
    <col min="2824" max="2824" width="11.42578125" style="4" customWidth="1"/>
    <col min="2825" max="2826" width="12" style="4" customWidth="1"/>
    <col min="2827" max="2828" width="8.85546875" style="4"/>
    <col min="2829" max="2829" width="10.7109375" style="4" bestFit="1" customWidth="1"/>
    <col min="2830" max="3072" width="8.85546875" style="4"/>
    <col min="3073" max="3073" width="1.7109375" style="4" customWidth="1"/>
    <col min="3074" max="3074" width="40.7109375" style="4" customWidth="1"/>
    <col min="3075" max="3079" width="10.7109375" style="4" customWidth="1"/>
    <col min="3080" max="3080" width="11.42578125" style="4" customWidth="1"/>
    <col min="3081" max="3082" width="12" style="4" customWidth="1"/>
    <col min="3083" max="3084" width="8.85546875" style="4"/>
    <col min="3085" max="3085" width="10.7109375" style="4" bestFit="1" customWidth="1"/>
    <col min="3086" max="3328" width="8.85546875" style="4"/>
    <col min="3329" max="3329" width="1.7109375" style="4" customWidth="1"/>
    <col min="3330" max="3330" width="40.7109375" style="4" customWidth="1"/>
    <col min="3331" max="3335" width="10.7109375" style="4" customWidth="1"/>
    <col min="3336" max="3336" width="11.42578125" style="4" customWidth="1"/>
    <col min="3337" max="3338" width="12" style="4" customWidth="1"/>
    <col min="3339" max="3340" width="8.85546875" style="4"/>
    <col min="3341" max="3341" width="10.7109375" style="4" bestFit="1" customWidth="1"/>
    <col min="3342" max="3584" width="8.85546875" style="4"/>
    <col min="3585" max="3585" width="1.7109375" style="4" customWidth="1"/>
    <col min="3586" max="3586" width="40.7109375" style="4" customWidth="1"/>
    <col min="3587" max="3591" width="10.7109375" style="4" customWidth="1"/>
    <col min="3592" max="3592" width="11.42578125" style="4" customWidth="1"/>
    <col min="3593" max="3594" width="12" style="4" customWidth="1"/>
    <col min="3595" max="3596" width="8.85546875" style="4"/>
    <col min="3597" max="3597" width="10.7109375" style="4" bestFit="1" customWidth="1"/>
    <col min="3598" max="3840" width="8.85546875" style="4"/>
    <col min="3841" max="3841" width="1.7109375" style="4" customWidth="1"/>
    <col min="3842" max="3842" width="40.7109375" style="4" customWidth="1"/>
    <col min="3843" max="3847" width="10.7109375" style="4" customWidth="1"/>
    <col min="3848" max="3848" width="11.42578125" style="4" customWidth="1"/>
    <col min="3849" max="3850" width="12" style="4" customWidth="1"/>
    <col min="3851" max="3852" width="8.85546875" style="4"/>
    <col min="3853" max="3853" width="10.7109375" style="4" bestFit="1" customWidth="1"/>
    <col min="3854" max="4096" width="8.85546875" style="4"/>
    <col min="4097" max="4097" width="1.7109375" style="4" customWidth="1"/>
    <col min="4098" max="4098" width="40.7109375" style="4" customWidth="1"/>
    <col min="4099" max="4103" width="10.7109375" style="4" customWidth="1"/>
    <col min="4104" max="4104" width="11.42578125" style="4" customWidth="1"/>
    <col min="4105" max="4106" width="12" style="4" customWidth="1"/>
    <col min="4107" max="4108" width="8.85546875" style="4"/>
    <col min="4109" max="4109" width="10.7109375" style="4" bestFit="1" customWidth="1"/>
    <col min="4110" max="4352" width="8.85546875" style="4"/>
    <col min="4353" max="4353" width="1.7109375" style="4" customWidth="1"/>
    <col min="4354" max="4354" width="40.7109375" style="4" customWidth="1"/>
    <col min="4355" max="4359" width="10.7109375" style="4" customWidth="1"/>
    <col min="4360" max="4360" width="11.42578125" style="4" customWidth="1"/>
    <col min="4361" max="4362" width="12" style="4" customWidth="1"/>
    <col min="4363" max="4364" width="8.85546875" style="4"/>
    <col min="4365" max="4365" width="10.7109375" style="4" bestFit="1" customWidth="1"/>
    <col min="4366" max="4608" width="8.85546875" style="4"/>
    <col min="4609" max="4609" width="1.7109375" style="4" customWidth="1"/>
    <col min="4610" max="4610" width="40.7109375" style="4" customWidth="1"/>
    <col min="4611" max="4615" width="10.7109375" style="4" customWidth="1"/>
    <col min="4616" max="4616" width="11.42578125" style="4" customWidth="1"/>
    <col min="4617" max="4618" width="12" style="4" customWidth="1"/>
    <col min="4619" max="4620" width="8.85546875" style="4"/>
    <col min="4621" max="4621" width="10.7109375" style="4" bestFit="1" customWidth="1"/>
    <col min="4622" max="4864" width="8.85546875" style="4"/>
    <col min="4865" max="4865" width="1.7109375" style="4" customWidth="1"/>
    <col min="4866" max="4866" width="40.7109375" style="4" customWidth="1"/>
    <col min="4867" max="4871" width="10.7109375" style="4" customWidth="1"/>
    <col min="4872" max="4872" width="11.42578125" style="4" customWidth="1"/>
    <col min="4873" max="4874" width="12" style="4" customWidth="1"/>
    <col min="4875" max="4876" width="8.85546875" style="4"/>
    <col min="4877" max="4877" width="10.7109375" style="4" bestFit="1" customWidth="1"/>
    <col min="4878" max="5120" width="8.85546875" style="4"/>
    <col min="5121" max="5121" width="1.7109375" style="4" customWidth="1"/>
    <col min="5122" max="5122" width="40.7109375" style="4" customWidth="1"/>
    <col min="5123" max="5127" width="10.7109375" style="4" customWidth="1"/>
    <col min="5128" max="5128" width="11.42578125" style="4" customWidth="1"/>
    <col min="5129" max="5130" width="12" style="4" customWidth="1"/>
    <col min="5131" max="5132" width="8.85546875" style="4"/>
    <col min="5133" max="5133" width="10.7109375" style="4" bestFit="1" customWidth="1"/>
    <col min="5134" max="5376" width="8.85546875" style="4"/>
    <col min="5377" max="5377" width="1.7109375" style="4" customWidth="1"/>
    <col min="5378" max="5378" width="40.7109375" style="4" customWidth="1"/>
    <col min="5379" max="5383" width="10.7109375" style="4" customWidth="1"/>
    <col min="5384" max="5384" width="11.42578125" style="4" customWidth="1"/>
    <col min="5385" max="5386" width="12" style="4" customWidth="1"/>
    <col min="5387" max="5388" width="8.85546875" style="4"/>
    <col min="5389" max="5389" width="10.7109375" style="4" bestFit="1" customWidth="1"/>
    <col min="5390" max="5632" width="8.85546875" style="4"/>
    <col min="5633" max="5633" width="1.7109375" style="4" customWidth="1"/>
    <col min="5634" max="5634" width="40.7109375" style="4" customWidth="1"/>
    <col min="5635" max="5639" width="10.7109375" style="4" customWidth="1"/>
    <col min="5640" max="5640" width="11.42578125" style="4" customWidth="1"/>
    <col min="5641" max="5642" width="12" style="4" customWidth="1"/>
    <col min="5643" max="5644" width="8.85546875" style="4"/>
    <col min="5645" max="5645" width="10.7109375" style="4" bestFit="1" customWidth="1"/>
    <col min="5646" max="5888" width="8.85546875" style="4"/>
    <col min="5889" max="5889" width="1.7109375" style="4" customWidth="1"/>
    <col min="5890" max="5890" width="40.7109375" style="4" customWidth="1"/>
    <col min="5891" max="5895" width="10.7109375" style="4" customWidth="1"/>
    <col min="5896" max="5896" width="11.42578125" style="4" customWidth="1"/>
    <col min="5897" max="5898" width="12" style="4" customWidth="1"/>
    <col min="5899" max="5900" width="8.85546875" style="4"/>
    <col min="5901" max="5901" width="10.7109375" style="4" bestFit="1" customWidth="1"/>
    <col min="5902" max="6144" width="8.85546875" style="4"/>
    <col min="6145" max="6145" width="1.7109375" style="4" customWidth="1"/>
    <col min="6146" max="6146" width="40.7109375" style="4" customWidth="1"/>
    <col min="6147" max="6151" width="10.7109375" style="4" customWidth="1"/>
    <col min="6152" max="6152" width="11.42578125" style="4" customWidth="1"/>
    <col min="6153" max="6154" width="12" style="4" customWidth="1"/>
    <col min="6155" max="6156" width="8.85546875" style="4"/>
    <col min="6157" max="6157" width="10.7109375" style="4" bestFit="1" customWidth="1"/>
    <col min="6158" max="6400" width="8.85546875" style="4"/>
    <col min="6401" max="6401" width="1.7109375" style="4" customWidth="1"/>
    <col min="6402" max="6402" width="40.7109375" style="4" customWidth="1"/>
    <col min="6403" max="6407" width="10.7109375" style="4" customWidth="1"/>
    <col min="6408" max="6408" width="11.42578125" style="4" customWidth="1"/>
    <col min="6409" max="6410" width="12" style="4" customWidth="1"/>
    <col min="6411" max="6412" width="8.85546875" style="4"/>
    <col min="6413" max="6413" width="10.7109375" style="4" bestFit="1" customWidth="1"/>
    <col min="6414" max="6656" width="8.85546875" style="4"/>
    <col min="6657" max="6657" width="1.7109375" style="4" customWidth="1"/>
    <col min="6658" max="6658" width="40.7109375" style="4" customWidth="1"/>
    <col min="6659" max="6663" width="10.7109375" style="4" customWidth="1"/>
    <col min="6664" max="6664" width="11.42578125" style="4" customWidth="1"/>
    <col min="6665" max="6666" width="12" style="4" customWidth="1"/>
    <col min="6667" max="6668" width="8.85546875" style="4"/>
    <col min="6669" max="6669" width="10.7109375" style="4" bestFit="1" customWidth="1"/>
    <col min="6670" max="6912" width="8.85546875" style="4"/>
    <col min="6913" max="6913" width="1.7109375" style="4" customWidth="1"/>
    <col min="6914" max="6914" width="40.7109375" style="4" customWidth="1"/>
    <col min="6915" max="6919" width="10.7109375" style="4" customWidth="1"/>
    <col min="6920" max="6920" width="11.42578125" style="4" customWidth="1"/>
    <col min="6921" max="6922" width="12" style="4" customWidth="1"/>
    <col min="6923" max="6924" width="8.85546875" style="4"/>
    <col min="6925" max="6925" width="10.7109375" style="4" bestFit="1" customWidth="1"/>
    <col min="6926" max="7168" width="8.85546875" style="4"/>
    <col min="7169" max="7169" width="1.7109375" style="4" customWidth="1"/>
    <col min="7170" max="7170" width="40.7109375" style="4" customWidth="1"/>
    <col min="7171" max="7175" width="10.7109375" style="4" customWidth="1"/>
    <col min="7176" max="7176" width="11.42578125" style="4" customWidth="1"/>
    <col min="7177" max="7178" width="12" style="4" customWidth="1"/>
    <col min="7179" max="7180" width="8.85546875" style="4"/>
    <col min="7181" max="7181" width="10.7109375" style="4" bestFit="1" customWidth="1"/>
    <col min="7182" max="7424" width="8.85546875" style="4"/>
    <col min="7425" max="7425" width="1.7109375" style="4" customWidth="1"/>
    <col min="7426" max="7426" width="40.7109375" style="4" customWidth="1"/>
    <col min="7427" max="7431" width="10.7109375" style="4" customWidth="1"/>
    <col min="7432" max="7432" width="11.42578125" style="4" customWidth="1"/>
    <col min="7433" max="7434" width="12" style="4" customWidth="1"/>
    <col min="7435" max="7436" width="8.85546875" style="4"/>
    <col min="7437" max="7437" width="10.7109375" style="4" bestFit="1" customWidth="1"/>
    <col min="7438" max="7680" width="8.85546875" style="4"/>
    <col min="7681" max="7681" width="1.7109375" style="4" customWidth="1"/>
    <col min="7682" max="7682" width="40.7109375" style="4" customWidth="1"/>
    <col min="7683" max="7687" width="10.7109375" style="4" customWidth="1"/>
    <col min="7688" max="7688" width="11.42578125" style="4" customWidth="1"/>
    <col min="7689" max="7690" width="12" style="4" customWidth="1"/>
    <col min="7691" max="7692" width="8.85546875" style="4"/>
    <col min="7693" max="7693" width="10.7109375" style="4" bestFit="1" customWidth="1"/>
    <col min="7694" max="7936" width="8.85546875" style="4"/>
    <col min="7937" max="7937" width="1.7109375" style="4" customWidth="1"/>
    <col min="7938" max="7938" width="40.7109375" style="4" customWidth="1"/>
    <col min="7939" max="7943" width="10.7109375" style="4" customWidth="1"/>
    <col min="7944" max="7944" width="11.42578125" style="4" customWidth="1"/>
    <col min="7945" max="7946" width="12" style="4" customWidth="1"/>
    <col min="7947" max="7948" width="8.85546875" style="4"/>
    <col min="7949" max="7949" width="10.7109375" style="4" bestFit="1" customWidth="1"/>
    <col min="7950" max="8192" width="8.85546875" style="4"/>
    <col min="8193" max="8193" width="1.7109375" style="4" customWidth="1"/>
    <col min="8194" max="8194" width="40.7109375" style="4" customWidth="1"/>
    <col min="8195" max="8199" width="10.7109375" style="4" customWidth="1"/>
    <col min="8200" max="8200" width="11.42578125" style="4" customWidth="1"/>
    <col min="8201" max="8202" width="12" style="4" customWidth="1"/>
    <col min="8203" max="8204" width="8.85546875" style="4"/>
    <col min="8205" max="8205" width="10.7109375" style="4" bestFit="1" customWidth="1"/>
    <col min="8206" max="8448" width="8.85546875" style="4"/>
    <col min="8449" max="8449" width="1.7109375" style="4" customWidth="1"/>
    <col min="8450" max="8450" width="40.7109375" style="4" customWidth="1"/>
    <col min="8451" max="8455" width="10.7109375" style="4" customWidth="1"/>
    <col min="8456" max="8456" width="11.42578125" style="4" customWidth="1"/>
    <col min="8457" max="8458" width="12" style="4" customWidth="1"/>
    <col min="8459" max="8460" width="8.85546875" style="4"/>
    <col min="8461" max="8461" width="10.7109375" style="4" bestFit="1" customWidth="1"/>
    <col min="8462" max="8704" width="8.85546875" style="4"/>
    <col min="8705" max="8705" width="1.7109375" style="4" customWidth="1"/>
    <col min="8706" max="8706" width="40.7109375" style="4" customWidth="1"/>
    <col min="8707" max="8711" width="10.7109375" style="4" customWidth="1"/>
    <col min="8712" max="8712" width="11.42578125" style="4" customWidth="1"/>
    <col min="8713" max="8714" width="12" style="4" customWidth="1"/>
    <col min="8715" max="8716" width="8.85546875" style="4"/>
    <col min="8717" max="8717" width="10.7109375" style="4" bestFit="1" customWidth="1"/>
    <col min="8718" max="8960" width="8.85546875" style="4"/>
    <col min="8961" max="8961" width="1.7109375" style="4" customWidth="1"/>
    <col min="8962" max="8962" width="40.7109375" style="4" customWidth="1"/>
    <col min="8963" max="8967" width="10.7109375" style="4" customWidth="1"/>
    <col min="8968" max="8968" width="11.42578125" style="4" customWidth="1"/>
    <col min="8969" max="8970" width="12" style="4" customWidth="1"/>
    <col min="8971" max="8972" width="8.85546875" style="4"/>
    <col min="8973" max="8973" width="10.7109375" style="4" bestFit="1" customWidth="1"/>
    <col min="8974" max="9216" width="8.85546875" style="4"/>
    <col min="9217" max="9217" width="1.7109375" style="4" customWidth="1"/>
    <col min="9218" max="9218" width="40.7109375" style="4" customWidth="1"/>
    <col min="9219" max="9223" width="10.7109375" style="4" customWidth="1"/>
    <col min="9224" max="9224" width="11.42578125" style="4" customWidth="1"/>
    <col min="9225" max="9226" width="12" style="4" customWidth="1"/>
    <col min="9227" max="9228" width="8.85546875" style="4"/>
    <col min="9229" max="9229" width="10.7109375" style="4" bestFit="1" customWidth="1"/>
    <col min="9230" max="9472" width="8.85546875" style="4"/>
    <col min="9473" max="9473" width="1.7109375" style="4" customWidth="1"/>
    <col min="9474" max="9474" width="40.7109375" style="4" customWidth="1"/>
    <col min="9475" max="9479" width="10.7109375" style="4" customWidth="1"/>
    <col min="9480" max="9480" width="11.42578125" style="4" customWidth="1"/>
    <col min="9481" max="9482" width="12" style="4" customWidth="1"/>
    <col min="9483" max="9484" width="8.85546875" style="4"/>
    <col min="9485" max="9485" width="10.7109375" style="4" bestFit="1" customWidth="1"/>
    <col min="9486" max="9728" width="8.85546875" style="4"/>
    <col min="9729" max="9729" width="1.7109375" style="4" customWidth="1"/>
    <col min="9730" max="9730" width="40.7109375" style="4" customWidth="1"/>
    <col min="9731" max="9735" width="10.7109375" style="4" customWidth="1"/>
    <col min="9736" max="9736" width="11.42578125" style="4" customWidth="1"/>
    <col min="9737" max="9738" width="12" style="4" customWidth="1"/>
    <col min="9739" max="9740" width="8.85546875" style="4"/>
    <col min="9741" max="9741" width="10.7109375" style="4" bestFit="1" customWidth="1"/>
    <col min="9742" max="9984" width="8.85546875" style="4"/>
    <col min="9985" max="9985" width="1.7109375" style="4" customWidth="1"/>
    <col min="9986" max="9986" width="40.7109375" style="4" customWidth="1"/>
    <col min="9987" max="9991" width="10.7109375" style="4" customWidth="1"/>
    <col min="9992" max="9992" width="11.42578125" style="4" customWidth="1"/>
    <col min="9993" max="9994" width="12" style="4" customWidth="1"/>
    <col min="9995" max="9996" width="8.85546875" style="4"/>
    <col min="9997" max="9997" width="10.7109375" style="4" bestFit="1" customWidth="1"/>
    <col min="9998" max="10240" width="8.85546875" style="4"/>
    <col min="10241" max="10241" width="1.7109375" style="4" customWidth="1"/>
    <col min="10242" max="10242" width="40.7109375" style="4" customWidth="1"/>
    <col min="10243" max="10247" width="10.7109375" style="4" customWidth="1"/>
    <col min="10248" max="10248" width="11.42578125" style="4" customWidth="1"/>
    <col min="10249" max="10250" width="12" style="4" customWidth="1"/>
    <col min="10251" max="10252" width="8.85546875" style="4"/>
    <col min="10253" max="10253" width="10.7109375" style="4" bestFit="1" customWidth="1"/>
    <col min="10254" max="10496" width="8.85546875" style="4"/>
    <col min="10497" max="10497" width="1.7109375" style="4" customWidth="1"/>
    <col min="10498" max="10498" width="40.7109375" style="4" customWidth="1"/>
    <col min="10499" max="10503" width="10.7109375" style="4" customWidth="1"/>
    <col min="10504" max="10504" width="11.42578125" style="4" customWidth="1"/>
    <col min="10505" max="10506" width="12" style="4" customWidth="1"/>
    <col min="10507" max="10508" width="8.85546875" style="4"/>
    <col min="10509" max="10509" width="10.7109375" style="4" bestFit="1" customWidth="1"/>
    <col min="10510" max="10752" width="8.85546875" style="4"/>
    <col min="10753" max="10753" width="1.7109375" style="4" customWidth="1"/>
    <col min="10754" max="10754" width="40.7109375" style="4" customWidth="1"/>
    <col min="10755" max="10759" width="10.7109375" style="4" customWidth="1"/>
    <col min="10760" max="10760" width="11.42578125" style="4" customWidth="1"/>
    <col min="10761" max="10762" width="12" style="4" customWidth="1"/>
    <col min="10763" max="10764" width="8.85546875" style="4"/>
    <col min="10765" max="10765" width="10.7109375" style="4" bestFit="1" customWidth="1"/>
    <col min="10766" max="11008" width="8.85546875" style="4"/>
    <col min="11009" max="11009" width="1.7109375" style="4" customWidth="1"/>
    <col min="11010" max="11010" width="40.7109375" style="4" customWidth="1"/>
    <col min="11011" max="11015" width="10.7109375" style="4" customWidth="1"/>
    <col min="11016" max="11016" width="11.42578125" style="4" customWidth="1"/>
    <col min="11017" max="11018" width="12" style="4" customWidth="1"/>
    <col min="11019" max="11020" width="8.85546875" style="4"/>
    <col min="11021" max="11021" width="10.7109375" style="4" bestFit="1" customWidth="1"/>
    <col min="11022" max="11264" width="8.85546875" style="4"/>
    <col min="11265" max="11265" width="1.7109375" style="4" customWidth="1"/>
    <col min="11266" max="11266" width="40.7109375" style="4" customWidth="1"/>
    <col min="11267" max="11271" width="10.7109375" style="4" customWidth="1"/>
    <col min="11272" max="11272" width="11.42578125" style="4" customWidth="1"/>
    <col min="11273" max="11274" width="12" style="4" customWidth="1"/>
    <col min="11275" max="11276" width="8.85546875" style="4"/>
    <col min="11277" max="11277" width="10.7109375" style="4" bestFit="1" customWidth="1"/>
    <col min="11278" max="11520" width="8.85546875" style="4"/>
    <col min="11521" max="11521" width="1.7109375" style="4" customWidth="1"/>
    <col min="11522" max="11522" width="40.7109375" style="4" customWidth="1"/>
    <col min="11523" max="11527" width="10.7109375" style="4" customWidth="1"/>
    <col min="11528" max="11528" width="11.42578125" style="4" customWidth="1"/>
    <col min="11529" max="11530" width="12" style="4" customWidth="1"/>
    <col min="11531" max="11532" width="8.85546875" style="4"/>
    <col min="11533" max="11533" width="10.7109375" style="4" bestFit="1" customWidth="1"/>
    <col min="11534" max="11776" width="8.85546875" style="4"/>
    <col min="11777" max="11777" width="1.7109375" style="4" customWidth="1"/>
    <col min="11778" max="11778" width="40.7109375" style="4" customWidth="1"/>
    <col min="11779" max="11783" width="10.7109375" style="4" customWidth="1"/>
    <col min="11784" max="11784" width="11.42578125" style="4" customWidth="1"/>
    <col min="11785" max="11786" width="12" style="4" customWidth="1"/>
    <col min="11787" max="11788" width="8.85546875" style="4"/>
    <col min="11789" max="11789" width="10.7109375" style="4" bestFit="1" customWidth="1"/>
    <col min="11790" max="12032" width="8.85546875" style="4"/>
    <col min="12033" max="12033" width="1.7109375" style="4" customWidth="1"/>
    <col min="12034" max="12034" width="40.7109375" style="4" customWidth="1"/>
    <col min="12035" max="12039" width="10.7109375" style="4" customWidth="1"/>
    <col min="12040" max="12040" width="11.42578125" style="4" customWidth="1"/>
    <col min="12041" max="12042" width="12" style="4" customWidth="1"/>
    <col min="12043" max="12044" width="8.85546875" style="4"/>
    <col min="12045" max="12045" width="10.7109375" style="4" bestFit="1" customWidth="1"/>
    <col min="12046" max="12288" width="8.85546875" style="4"/>
    <col min="12289" max="12289" width="1.7109375" style="4" customWidth="1"/>
    <col min="12290" max="12290" width="40.7109375" style="4" customWidth="1"/>
    <col min="12291" max="12295" width="10.7109375" style="4" customWidth="1"/>
    <col min="12296" max="12296" width="11.42578125" style="4" customWidth="1"/>
    <col min="12297" max="12298" width="12" style="4" customWidth="1"/>
    <col min="12299" max="12300" width="8.85546875" style="4"/>
    <col min="12301" max="12301" width="10.7109375" style="4" bestFit="1" customWidth="1"/>
    <col min="12302" max="12544" width="8.85546875" style="4"/>
    <col min="12545" max="12545" width="1.7109375" style="4" customWidth="1"/>
    <col min="12546" max="12546" width="40.7109375" style="4" customWidth="1"/>
    <col min="12547" max="12551" width="10.7109375" style="4" customWidth="1"/>
    <col min="12552" max="12552" width="11.42578125" style="4" customWidth="1"/>
    <col min="12553" max="12554" width="12" style="4" customWidth="1"/>
    <col min="12555" max="12556" width="8.85546875" style="4"/>
    <col min="12557" max="12557" width="10.7109375" style="4" bestFit="1" customWidth="1"/>
    <col min="12558" max="12800" width="8.85546875" style="4"/>
    <col min="12801" max="12801" width="1.7109375" style="4" customWidth="1"/>
    <col min="12802" max="12802" width="40.7109375" style="4" customWidth="1"/>
    <col min="12803" max="12807" width="10.7109375" style="4" customWidth="1"/>
    <col min="12808" max="12808" width="11.42578125" style="4" customWidth="1"/>
    <col min="12809" max="12810" width="12" style="4" customWidth="1"/>
    <col min="12811" max="12812" width="8.85546875" style="4"/>
    <col min="12813" max="12813" width="10.7109375" style="4" bestFit="1" customWidth="1"/>
    <col min="12814" max="13056" width="8.85546875" style="4"/>
    <col min="13057" max="13057" width="1.7109375" style="4" customWidth="1"/>
    <col min="13058" max="13058" width="40.7109375" style="4" customWidth="1"/>
    <col min="13059" max="13063" width="10.7109375" style="4" customWidth="1"/>
    <col min="13064" max="13064" width="11.42578125" style="4" customWidth="1"/>
    <col min="13065" max="13066" width="12" style="4" customWidth="1"/>
    <col min="13067" max="13068" width="8.85546875" style="4"/>
    <col min="13069" max="13069" width="10.7109375" style="4" bestFit="1" customWidth="1"/>
    <col min="13070" max="13312" width="8.85546875" style="4"/>
    <col min="13313" max="13313" width="1.7109375" style="4" customWidth="1"/>
    <col min="13314" max="13314" width="40.7109375" style="4" customWidth="1"/>
    <col min="13315" max="13319" width="10.7109375" style="4" customWidth="1"/>
    <col min="13320" max="13320" width="11.42578125" style="4" customWidth="1"/>
    <col min="13321" max="13322" width="12" style="4" customWidth="1"/>
    <col min="13323" max="13324" width="8.85546875" style="4"/>
    <col min="13325" max="13325" width="10.7109375" style="4" bestFit="1" customWidth="1"/>
    <col min="13326" max="13568" width="8.85546875" style="4"/>
    <col min="13569" max="13569" width="1.7109375" style="4" customWidth="1"/>
    <col min="13570" max="13570" width="40.7109375" style="4" customWidth="1"/>
    <col min="13571" max="13575" width="10.7109375" style="4" customWidth="1"/>
    <col min="13576" max="13576" width="11.42578125" style="4" customWidth="1"/>
    <col min="13577" max="13578" width="12" style="4" customWidth="1"/>
    <col min="13579" max="13580" width="8.85546875" style="4"/>
    <col min="13581" max="13581" width="10.7109375" style="4" bestFit="1" customWidth="1"/>
    <col min="13582" max="13824" width="8.85546875" style="4"/>
    <col min="13825" max="13825" width="1.7109375" style="4" customWidth="1"/>
    <col min="13826" max="13826" width="40.7109375" style="4" customWidth="1"/>
    <col min="13827" max="13831" width="10.7109375" style="4" customWidth="1"/>
    <col min="13832" max="13832" width="11.42578125" style="4" customWidth="1"/>
    <col min="13833" max="13834" width="12" style="4" customWidth="1"/>
    <col min="13835" max="13836" width="8.85546875" style="4"/>
    <col min="13837" max="13837" width="10.7109375" style="4" bestFit="1" customWidth="1"/>
    <col min="13838" max="14080" width="8.85546875" style="4"/>
    <col min="14081" max="14081" width="1.7109375" style="4" customWidth="1"/>
    <col min="14082" max="14082" width="40.7109375" style="4" customWidth="1"/>
    <col min="14083" max="14087" width="10.7109375" style="4" customWidth="1"/>
    <col min="14088" max="14088" width="11.42578125" style="4" customWidth="1"/>
    <col min="14089" max="14090" width="12" style="4" customWidth="1"/>
    <col min="14091" max="14092" width="8.85546875" style="4"/>
    <col min="14093" max="14093" width="10.7109375" style="4" bestFit="1" customWidth="1"/>
    <col min="14094" max="14336" width="8.85546875" style="4"/>
    <col min="14337" max="14337" width="1.7109375" style="4" customWidth="1"/>
    <col min="14338" max="14338" width="40.7109375" style="4" customWidth="1"/>
    <col min="14339" max="14343" width="10.7109375" style="4" customWidth="1"/>
    <col min="14344" max="14344" width="11.42578125" style="4" customWidth="1"/>
    <col min="14345" max="14346" width="12" style="4" customWidth="1"/>
    <col min="14347" max="14348" width="8.85546875" style="4"/>
    <col min="14349" max="14349" width="10.7109375" style="4" bestFit="1" customWidth="1"/>
    <col min="14350" max="14592" width="8.85546875" style="4"/>
    <col min="14593" max="14593" width="1.7109375" style="4" customWidth="1"/>
    <col min="14594" max="14594" width="40.7109375" style="4" customWidth="1"/>
    <col min="14595" max="14599" width="10.7109375" style="4" customWidth="1"/>
    <col min="14600" max="14600" width="11.42578125" style="4" customWidth="1"/>
    <col min="14601" max="14602" width="12" style="4" customWidth="1"/>
    <col min="14603" max="14604" width="8.85546875" style="4"/>
    <col min="14605" max="14605" width="10.7109375" style="4" bestFit="1" customWidth="1"/>
    <col min="14606" max="14848" width="8.85546875" style="4"/>
    <col min="14849" max="14849" width="1.7109375" style="4" customWidth="1"/>
    <col min="14850" max="14850" width="40.7109375" style="4" customWidth="1"/>
    <col min="14851" max="14855" width="10.7109375" style="4" customWidth="1"/>
    <col min="14856" max="14856" width="11.42578125" style="4" customWidth="1"/>
    <col min="14857" max="14858" width="12" style="4" customWidth="1"/>
    <col min="14859" max="14860" width="8.85546875" style="4"/>
    <col min="14861" max="14861" width="10.7109375" style="4" bestFit="1" customWidth="1"/>
    <col min="14862" max="15104" width="8.85546875" style="4"/>
    <col min="15105" max="15105" width="1.7109375" style="4" customWidth="1"/>
    <col min="15106" max="15106" width="40.7109375" style="4" customWidth="1"/>
    <col min="15107" max="15111" width="10.7109375" style="4" customWidth="1"/>
    <col min="15112" max="15112" width="11.42578125" style="4" customWidth="1"/>
    <col min="15113" max="15114" width="12" style="4" customWidth="1"/>
    <col min="15115" max="15116" width="8.85546875" style="4"/>
    <col min="15117" max="15117" width="10.7109375" style="4" bestFit="1" customWidth="1"/>
    <col min="15118" max="15360" width="8.85546875" style="4"/>
    <col min="15361" max="15361" width="1.7109375" style="4" customWidth="1"/>
    <col min="15362" max="15362" width="40.7109375" style="4" customWidth="1"/>
    <col min="15363" max="15367" width="10.7109375" style="4" customWidth="1"/>
    <col min="15368" max="15368" width="11.42578125" style="4" customWidth="1"/>
    <col min="15369" max="15370" width="12" style="4" customWidth="1"/>
    <col min="15371" max="15372" width="8.85546875" style="4"/>
    <col min="15373" max="15373" width="10.7109375" style="4" bestFit="1" customWidth="1"/>
    <col min="15374" max="15616" width="8.85546875" style="4"/>
    <col min="15617" max="15617" width="1.7109375" style="4" customWidth="1"/>
    <col min="15618" max="15618" width="40.7109375" style="4" customWidth="1"/>
    <col min="15619" max="15623" width="10.7109375" style="4" customWidth="1"/>
    <col min="15624" max="15624" width="11.42578125" style="4" customWidth="1"/>
    <col min="15625" max="15626" width="12" style="4" customWidth="1"/>
    <col min="15627" max="15628" width="8.85546875" style="4"/>
    <col min="15629" max="15629" width="10.7109375" style="4" bestFit="1" customWidth="1"/>
    <col min="15630" max="15872" width="8.85546875" style="4"/>
    <col min="15873" max="15873" width="1.7109375" style="4" customWidth="1"/>
    <col min="15874" max="15874" width="40.7109375" style="4" customWidth="1"/>
    <col min="15875" max="15879" width="10.7109375" style="4" customWidth="1"/>
    <col min="15880" max="15880" width="11.42578125" style="4" customWidth="1"/>
    <col min="15881" max="15882" width="12" style="4" customWidth="1"/>
    <col min="15883" max="15884" width="8.85546875" style="4"/>
    <col min="15885" max="15885" width="10.7109375" style="4" bestFit="1" customWidth="1"/>
    <col min="15886" max="16128" width="8.85546875" style="4"/>
    <col min="16129" max="16129" width="1.7109375" style="4" customWidth="1"/>
    <col min="16130" max="16130" width="40.7109375" style="4" customWidth="1"/>
    <col min="16131" max="16135" width="10.7109375" style="4" customWidth="1"/>
    <col min="16136" max="16136" width="11.42578125" style="4" customWidth="1"/>
    <col min="16137" max="16138" width="12" style="4" customWidth="1"/>
    <col min="16139" max="16140" width="8.85546875" style="4"/>
    <col min="16141" max="16141" width="10.7109375" style="4" bestFit="1" customWidth="1"/>
    <col min="16142" max="16384" width="8.85546875" style="4"/>
  </cols>
  <sheetData>
    <row r="1" spans="1:15" s="2" customFormat="1" ht="19.5" x14ac:dyDescent="0.3">
      <c r="A1" s="260" t="str">
        <f>CoName</f>
        <v>Salesforce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/>
      <c r="O1" s="41"/>
    </row>
    <row r="2" spans="1:15" x14ac:dyDescent="0.25">
      <c r="A2" s="16" t="s">
        <v>10</v>
      </c>
      <c r="B2" s="15"/>
      <c r="C2" s="270">
        <v>2023</v>
      </c>
      <c r="D2" s="270">
        <f>C2+1</f>
        <v>2024</v>
      </c>
      <c r="E2" s="270">
        <f t="shared" ref="E2:M2" si="0">D2+1</f>
        <v>2025</v>
      </c>
      <c r="F2" s="270">
        <f t="shared" si="0"/>
        <v>2026</v>
      </c>
      <c r="G2" s="270">
        <f t="shared" si="0"/>
        <v>2027</v>
      </c>
      <c r="H2" s="270">
        <f t="shared" si="0"/>
        <v>2028</v>
      </c>
      <c r="I2" s="270">
        <f t="shared" si="0"/>
        <v>2029</v>
      </c>
      <c r="J2" s="270">
        <f t="shared" si="0"/>
        <v>2030</v>
      </c>
      <c r="K2" s="270">
        <f t="shared" si="0"/>
        <v>2031</v>
      </c>
      <c r="L2" s="270">
        <f t="shared" si="0"/>
        <v>2032</v>
      </c>
      <c r="M2" s="270">
        <f t="shared" si="0"/>
        <v>2033</v>
      </c>
    </row>
    <row r="3" spans="1:15" x14ac:dyDescent="0.25">
      <c r="A3" s="84"/>
      <c r="C3" s="97"/>
      <c r="D3" s="97"/>
      <c r="E3" s="97"/>
    </row>
    <row r="4" spans="1:15" x14ac:dyDescent="0.25">
      <c r="B4" s="30" t="s">
        <v>43</v>
      </c>
      <c r="C4" s="31"/>
      <c r="D4" s="31"/>
      <c r="E4" s="32"/>
      <c r="F4" s="175">
        <f>Assumptions!F10</f>
        <v>0.11663807890222988</v>
      </c>
      <c r="G4" s="175">
        <f>Assumptions!G10</f>
        <v>0.11663807890222988</v>
      </c>
      <c r="H4" s="175">
        <f>Assumptions!H10</f>
        <v>0.11663807890222988</v>
      </c>
      <c r="I4" s="175">
        <f>Assumptions!I10</f>
        <v>0.11663807890222988</v>
      </c>
      <c r="J4" s="175">
        <f>Assumptions!J10</f>
        <v>0.11663807890222988</v>
      </c>
      <c r="K4" s="175">
        <f>Assumptions!K10</f>
        <v>0.11663807890222988</v>
      </c>
      <c r="L4" s="175">
        <f>Assumptions!L10</f>
        <v>0.11663807890222988</v>
      </c>
      <c r="M4" s="175">
        <f>Assumptions!M10</f>
        <v>0.11663807890222988</v>
      </c>
      <c r="N4" s="211"/>
      <c r="O4" s="211"/>
    </row>
    <row r="5" spans="1:15" x14ac:dyDescent="0.25">
      <c r="B5" s="30" t="s">
        <v>44</v>
      </c>
      <c r="C5" s="31"/>
      <c r="D5" s="31"/>
      <c r="E5" s="31"/>
      <c r="F5" s="175">
        <f>Assumptions!F11</f>
        <v>0.22807758279456392</v>
      </c>
      <c r="G5" s="175">
        <f>Assumptions!G11</f>
        <v>0.22807758279456392</v>
      </c>
      <c r="H5" s="175">
        <f>Assumptions!H11</f>
        <v>0.22807758279456392</v>
      </c>
      <c r="I5" s="175">
        <f>Assumptions!I11</f>
        <v>0.22807758279456392</v>
      </c>
      <c r="J5" s="175">
        <f>Assumptions!J11</f>
        <v>0.22807758279456392</v>
      </c>
      <c r="K5" s="175">
        <f>Assumptions!K11</f>
        <v>0.22807758279456392</v>
      </c>
      <c r="L5" s="175">
        <f>Assumptions!L11</f>
        <v>0.22807758279456392</v>
      </c>
      <c r="M5" s="175">
        <f>Assumptions!M11</f>
        <v>0.22807758279456392</v>
      </c>
      <c r="N5" s="211"/>
      <c r="O5" s="211"/>
    </row>
    <row r="6" spans="1:15" x14ac:dyDescent="0.25">
      <c r="B6" s="30" t="s">
        <v>179</v>
      </c>
      <c r="C6" s="193"/>
      <c r="D6" s="193"/>
      <c r="E6" s="32"/>
      <c r="F6" s="175">
        <f>Assumptions!F12</f>
        <v>0.14495316004749967</v>
      </c>
      <c r="G6" s="175">
        <f>Assumptions!G12</f>
        <v>0.14495316004749967</v>
      </c>
      <c r="H6" s="175">
        <f>Assumptions!H12</f>
        <v>0.14495316004749967</v>
      </c>
      <c r="I6" s="175">
        <f>Assumptions!I12</f>
        <v>0.14495316004749967</v>
      </c>
      <c r="J6" s="175">
        <f>Assumptions!J12</f>
        <v>0.14495316004749967</v>
      </c>
      <c r="K6" s="175">
        <f>Assumptions!K12</f>
        <v>0.14495316004749967</v>
      </c>
      <c r="L6" s="175">
        <f>Assumptions!L12</f>
        <v>0.14495316004749967</v>
      </c>
      <c r="M6" s="175">
        <f>Assumptions!M12</f>
        <v>0.14495316004749967</v>
      </c>
      <c r="N6" s="211"/>
      <c r="O6" s="211"/>
    </row>
    <row r="7" spans="1:15" x14ac:dyDescent="0.25">
      <c r="B7" s="30" t="s">
        <v>45</v>
      </c>
      <c r="C7" s="31"/>
      <c r="D7" s="31"/>
      <c r="E7" s="31"/>
      <c r="F7" s="175">
        <f>Assumptions!F13</f>
        <v>0.41467343976777937</v>
      </c>
      <c r="G7" s="175">
        <f>Assumptions!G13</f>
        <v>0.40467343976777936</v>
      </c>
      <c r="H7" s="175">
        <f>Assumptions!H13</f>
        <v>0.39467343976777935</v>
      </c>
      <c r="I7" s="175">
        <f>Assumptions!I13</f>
        <v>0.38467343976777935</v>
      </c>
      <c r="J7" s="175">
        <f>Assumptions!J13</f>
        <v>0.37467343976777934</v>
      </c>
      <c r="K7" s="175">
        <f>Assumptions!K13</f>
        <v>0.36467343976777933</v>
      </c>
      <c r="L7" s="175">
        <f>Assumptions!L13</f>
        <v>0.35467343976777932</v>
      </c>
      <c r="M7" s="175">
        <f>Assumptions!M13</f>
        <v>0.34467343976777931</v>
      </c>
      <c r="N7" s="211"/>
      <c r="O7" s="211"/>
    </row>
    <row r="8" spans="1:15" x14ac:dyDescent="0.25">
      <c r="A8" s="84"/>
      <c r="B8" s="4" t="s">
        <v>46</v>
      </c>
      <c r="C8" s="30"/>
      <c r="D8" s="30"/>
      <c r="E8" s="30"/>
      <c r="F8" s="176">
        <f>Assumptions!F14</f>
        <v>1522</v>
      </c>
      <c r="G8" s="176">
        <f>Assumptions!G14</f>
        <v>1147</v>
      </c>
      <c r="H8" s="176">
        <f>Assumptions!H14</f>
        <v>745</v>
      </c>
      <c r="I8" s="176">
        <f>Assumptions!I14</f>
        <v>578</v>
      </c>
      <c r="J8" s="176">
        <f>Assumptions!J14</f>
        <v>294</v>
      </c>
      <c r="K8" s="176">
        <f>Assumptions!K14</f>
        <v>142</v>
      </c>
      <c r="L8" s="176">
        <f>Assumptions!L14</f>
        <v>0</v>
      </c>
      <c r="M8" s="176">
        <f>Assumptions!M14</f>
        <v>0</v>
      </c>
      <c r="N8" s="212"/>
      <c r="O8" s="212"/>
    </row>
    <row r="9" spans="1:15" x14ac:dyDescent="0.25">
      <c r="A9" s="84"/>
      <c r="B9" s="4" t="s">
        <v>47</v>
      </c>
      <c r="C9" s="30"/>
      <c r="D9" s="30"/>
      <c r="E9" s="30"/>
      <c r="F9" s="177">
        <f>Assumptions!F15</f>
        <v>0</v>
      </c>
      <c r="G9" s="177">
        <f>Assumptions!G15</f>
        <v>0</v>
      </c>
      <c r="H9" s="177">
        <f>Assumptions!H15</f>
        <v>0</v>
      </c>
      <c r="I9" s="177">
        <f>Assumptions!I15</f>
        <v>0</v>
      </c>
      <c r="J9" s="177">
        <f>Assumptions!J15</f>
        <v>0</v>
      </c>
      <c r="K9" s="177">
        <f>Assumptions!K15</f>
        <v>0</v>
      </c>
      <c r="L9" s="177">
        <f>Assumptions!L15</f>
        <v>0</v>
      </c>
      <c r="M9" s="177">
        <f>Assumptions!M15</f>
        <v>0</v>
      </c>
      <c r="N9" s="213"/>
      <c r="O9" s="213"/>
    </row>
    <row r="10" spans="1:15" x14ac:dyDescent="0.25">
      <c r="B10" s="4" t="s">
        <v>145</v>
      </c>
      <c r="F10" s="177">
        <f>Assumptions!F16</f>
        <v>0</v>
      </c>
      <c r="G10" s="177">
        <f>Assumptions!G16</f>
        <v>0</v>
      </c>
      <c r="H10" s="177">
        <f>Assumptions!H16</f>
        <v>0</v>
      </c>
      <c r="I10" s="177">
        <f>Assumptions!I16</f>
        <v>0</v>
      </c>
      <c r="J10" s="177">
        <f>Assumptions!J16</f>
        <v>0</v>
      </c>
      <c r="K10" s="177">
        <f>Assumptions!K16</f>
        <v>0</v>
      </c>
      <c r="L10" s="177">
        <f>Assumptions!L16</f>
        <v>0</v>
      </c>
      <c r="M10" s="177">
        <f>Assumptions!M16</f>
        <v>0</v>
      </c>
      <c r="N10" s="213"/>
      <c r="O10" s="213"/>
    </row>
    <row r="11" spans="1:15" x14ac:dyDescent="0.25">
      <c r="B11" s="30" t="s">
        <v>48</v>
      </c>
      <c r="C11" s="43"/>
      <c r="D11" s="43"/>
      <c r="E11" s="43"/>
      <c r="F11" s="175">
        <f>Assumptions!F17</f>
        <v>0.17</v>
      </c>
      <c r="G11" s="175">
        <f>Assumptions!G17</f>
        <v>0.17</v>
      </c>
      <c r="H11" s="175">
        <f>Assumptions!H17</f>
        <v>0.17</v>
      </c>
      <c r="I11" s="175">
        <f>Assumptions!I17</f>
        <v>0.17</v>
      </c>
      <c r="J11" s="175">
        <f>Assumptions!J17</f>
        <v>0.17</v>
      </c>
      <c r="K11" s="175">
        <f>Assumptions!K17</f>
        <v>0.17</v>
      </c>
      <c r="L11" s="175">
        <f>Assumptions!L17</f>
        <v>0.17</v>
      </c>
      <c r="M11" s="175">
        <f>Assumptions!M17</f>
        <v>0.17</v>
      </c>
      <c r="N11" s="211"/>
      <c r="O11" s="211"/>
    </row>
    <row r="12" spans="1:15" x14ac:dyDescent="0.25">
      <c r="B12" s="4" t="s">
        <v>128</v>
      </c>
      <c r="C12" s="8"/>
      <c r="D12" s="8"/>
      <c r="E12" s="26"/>
      <c r="F12" s="316">
        <f>Assumptions!F18</f>
        <v>1.5977130977130978</v>
      </c>
      <c r="G12" s="316">
        <f>Assumptions!G18</f>
        <v>1.5977130977130978</v>
      </c>
      <c r="H12" s="316">
        <f>Assumptions!H18</f>
        <v>1.5977130977130978</v>
      </c>
      <c r="I12" s="316">
        <f>Assumptions!I18</f>
        <v>1.5977130977130978</v>
      </c>
      <c r="J12" s="316">
        <f>Assumptions!J18</f>
        <v>1.5977130977130978</v>
      </c>
      <c r="K12" s="316">
        <f>Assumptions!K18</f>
        <v>1.5977130977130978</v>
      </c>
      <c r="L12" s="316">
        <f>Assumptions!L18</f>
        <v>1.5977130977130978</v>
      </c>
      <c r="M12" s="316">
        <f>Assumptions!M18</f>
        <v>1.5977130977130978</v>
      </c>
      <c r="N12" s="214"/>
      <c r="O12" s="214"/>
    </row>
    <row r="13" spans="1:15" x14ac:dyDescent="0.25">
      <c r="B13" s="4" t="s">
        <v>49</v>
      </c>
      <c r="C13" s="30"/>
      <c r="D13" s="30"/>
      <c r="E13" s="39"/>
      <c r="F13" s="177">
        <f>Assumptions!F19</f>
        <v>962</v>
      </c>
      <c r="G13" s="177">
        <f>Assumptions!G19</f>
        <v>962</v>
      </c>
      <c r="H13" s="177">
        <f>Assumptions!H19</f>
        <v>962</v>
      </c>
      <c r="I13" s="177">
        <f>Assumptions!I19</f>
        <v>962</v>
      </c>
      <c r="J13" s="177">
        <f>Assumptions!J19</f>
        <v>962</v>
      </c>
      <c r="K13" s="177">
        <f>Assumptions!K19</f>
        <v>962</v>
      </c>
      <c r="L13" s="177">
        <f>Assumptions!L19</f>
        <v>962</v>
      </c>
      <c r="M13" s="177">
        <f>Assumptions!M19</f>
        <v>962</v>
      </c>
      <c r="N13" s="213"/>
      <c r="O13" s="213"/>
    </row>
    <row r="14" spans="1:15" x14ac:dyDescent="0.25">
      <c r="B14" s="4" t="s">
        <v>50</v>
      </c>
      <c r="C14" s="30"/>
      <c r="D14" s="30"/>
      <c r="E14" s="39"/>
      <c r="F14" s="177">
        <f>Assumptions!F20</f>
        <v>974</v>
      </c>
      <c r="G14" s="177">
        <f>Assumptions!G20</f>
        <v>974</v>
      </c>
      <c r="H14" s="177">
        <f>Assumptions!H20</f>
        <v>974</v>
      </c>
      <c r="I14" s="177">
        <f>Assumptions!I20</f>
        <v>974</v>
      </c>
      <c r="J14" s="177">
        <f>Assumptions!J20</f>
        <v>974</v>
      </c>
      <c r="K14" s="177">
        <f>Assumptions!K20</f>
        <v>974</v>
      </c>
      <c r="L14" s="177">
        <f>Assumptions!L20</f>
        <v>974</v>
      </c>
      <c r="M14" s="177">
        <f>Assumptions!M20</f>
        <v>974</v>
      </c>
      <c r="N14" s="213"/>
      <c r="O14" s="213"/>
    </row>
    <row r="15" spans="1:15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4.85" customHeight="1" x14ac:dyDescent="0.25">
      <c r="A16" s="178" t="s">
        <v>42</v>
      </c>
      <c r="B16" s="179"/>
      <c r="C16" s="258">
        <v>2023</v>
      </c>
      <c r="D16" s="258">
        <f>C16+1</f>
        <v>2024</v>
      </c>
      <c r="E16" s="258">
        <f t="shared" ref="E16:M16" si="1">D16+1</f>
        <v>2025</v>
      </c>
      <c r="F16" s="258">
        <f t="shared" si="1"/>
        <v>2026</v>
      </c>
      <c r="G16" s="258">
        <f t="shared" si="1"/>
        <v>2027</v>
      </c>
      <c r="H16" s="258">
        <f t="shared" si="1"/>
        <v>2028</v>
      </c>
      <c r="I16" s="258">
        <f t="shared" si="1"/>
        <v>2029</v>
      </c>
      <c r="J16" s="258">
        <f t="shared" si="1"/>
        <v>2030</v>
      </c>
      <c r="K16" s="258">
        <f t="shared" si="1"/>
        <v>2031</v>
      </c>
      <c r="L16" s="258">
        <f t="shared" si="1"/>
        <v>2032</v>
      </c>
      <c r="M16" s="258">
        <f t="shared" si="1"/>
        <v>2033</v>
      </c>
      <c r="N16" s="208"/>
      <c r="O16" s="208"/>
    </row>
    <row r="17" spans="1:15" x14ac:dyDescent="0.25">
      <c r="B17" s="4" t="s">
        <v>51</v>
      </c>
      <c r="C17" s="95">
        <f>Quarters!G5</f>
        <v>31352</v>
      </c>
      <c r="D17" s="121">
        <f>Quarters!L5</f>
        <v>34857</v>
      </c>
      <c r="E17" s="22">
        <f>Quarters!Q5</f>
        <v>37895</v>
      </c>
      <c r="F17" s="4">
        <f>E17*(1+F4)</f>
        <v>42315</v>
      </c>
      <c r="G17" s="4">
        <f t="shared" ref="G17:M17" si="2">F17*(1+G4)</f>
        <v>47250.540308747855</v>
      </c>
      <c r="H17" s="4">
        <f t="shared" si="2"/>
        <v>52761.752557452579</v>
      </c>
      <c r="I17" s="4">
        <f t="shared" si="2"/>
        <v>58915.782015268662</v>
      </c>
      <c r="J17" s="4">
        <f t="shared" si="2"/>
        <v>65787.60564655214</v>
      </c>
      <c r="K17" s="4">
        <f t="shared" si="2"/>
        <v>73460.945584743473</v>
      </c>
      <c r="L17" s="4">
        <f t="shared" si="2"/>
        <v>82029.289152089201</v>
      </c>
      <c r="M17" s="4">
        <f t="shared" si="2"/>
        <v>91597.027852504412</v>
      </c>
    </row>
    <row r="18" spans="1:15" x14ac:dyDescent="0.25">
      <c r="B18" s="4" t="s">
        <v>157</v>
      </c>
      <c r="C18" s="95">
        <f>Quarters!G6</f>
        <v>8360</v>
      </c>
      <c r="D18" s="121">
        <f>Quarters!L6</f>
        <v>8541</v>
      </c>
      <c r="E18" s="22">
        <f>Quarters!Q6</f>
        <v>8643</v>
      </c>
      <c r="F18" s="174">
        <f>F17*F5</f>
        <v>9651.1029159519712</v>
      </c>
      <c r="G18" s="174">
        <f t="shared" ref="G18:M18" si="3">G17*G5</f>
        <v>10776.789019356318</v>
      </c>
      <c r="H18" s="174">
        <f t="shared" si="3"/>
        <v>12033.772987308685</v>
      </c>
      <c r="I18" s="174">
        <f t="shared" si="3"/>
        <v>13437.369150493918</v>
      </c>
      <c r="J18" s="174">
        <f t="shared" si="3"/>
        <v>15004.678073707617</v>
      </c>
      <c r="K18" s="174">
        <f t="shared" si="3"/>
        <v>16754.794898771284</v>
      </c>
      <c r="L18" s="174">
        <f t="shared" si="3"/>
        <v>18709.041988164849</v>
      </c>
      <c r="M18" s="174">
        <f t="shared" si="3"/>
        <v>20891.228703765551</v>
      </c>
      <c r="N18" s="210"/>
      <c r="O18" s="210"/>
    </row>
    <row r="19" spans="1:15" x14ac:dyDescent="0.25">
      <c r="B19" s="4" t="s">
        <v>178</v>
      </c>
      <c r="C19" s="95">
        <f>Quarters!G7</f>
        <v>5055</v>
      </c>
      <c r="D19" s="121">
        <f>Quarters!L7</f>
        <v>4906</v>
      </c>
      <c r="E19" s="22">
        <f>Quarters!Q7</f>
        <v>5493</v>
      </c>
      <c r="F19" s="174">
        <f>F17*F6</f>
        <v>6133.6929674099483</v>
      </c>
      <c r="G19" s="174">
        <f t="shared" ref="G19:M19" si="4">G17*G6</f>
        <v>6849.1151317047625</v>
      </c>
      <c r="H19" s="174">
        <f t="shared" si="4"/>
        <v>7647.9827628469984</v>
      </c>
      <c r="I19" s="174">
        <f t="shared" si="4"/>
        <v>8540.0287797828405</v>
      </c>
      <c r="J19" s="174">
        <f t="shared" si="4"/>
        <v>9536.1213304264656</v>
      </c>
      <c r="K19" s="174">
        <f t="shared" si="4"/>
        <v>10648.396202585986</v>
      </c>
      <c r="L19" s="174">
        <f t="shared" si="4"/>
        <v>11890.404679045414</v>
      </c>
      <c r="M19" s="174">
        <f t="shared" si="4"/>
        <v>13277.278638179358</v>
      </c>
      <c r="N19" s="210"/>
      <c r="O19" s="210"/>
    </row>
    <row r="20" spans="1:15" x14ac:dyDescent="0.25">
      <c r="B20" s="4" t="s">
        <v>52</v>
      </c>
      <c r="C20" s="95">
        <f>Quarters!G8</f>
        <v>16079</v>
      </c>
      <c r="D20" s="121">
        <f>Quarters!L8</f>
        <v>15411</v>
      </c>
      <c r="E20" s="22">
        <f>Quarters!Q8</f>
        <v>16093</v>
      </c>
      <c r="F20" s="174">
        <f>F17*F7</f>
        <v>17546.906603773583</v>
      </c>
      <c r="G20" s="174">
        <f t="shared" ref="G20:M20" si="5">G17*G7</f>
        <v>19121.038677627108</v>
      </c>
      <c r="H20" s="174">
        <f t="shared" si="5"/>
        <v>20823.662370026239</v>
      </c>
      <c r="I20" s="174">
        <f t="shared" si="5"/>
        <v>22663.336524422066</v>
      </c>
      <c r="J20" s="174">
        <f t="shared" si="5"/>
        <v>24648.868501679874</v>
      </c>
      <c r="K20" s="174">
        <f t="shared" si="5"/>
        <v>26789.255714982064</v>
      </c>
      <c r="L20" s="174">
        <f t="shared" si="5"/>
        <v>29093.610145277264</v>
      </c>
      <c r="M20" s="174">
        <f t="shared" si="5"/>
        <v>31571.062662427783</v>
      </c>
      <c r="N20" s="210"/>
      <c r="O20" s="210"/>
    </row>
    <row r="21" spans="1:15" s="11" customFormat="1" x14ac:dyDescent="0.25">
      <c r="A21" s="11" t="s">
        <v>123</v>
      </c>
      <c r="B21" s="17" t="s">
        <v>55</v>
      </c>
      <c r="C21" s="18">
        <f>C17-SUM(C18:C20)</f>
        <v>1858</v>
      </c>
      <c r="D21" s="18">
        <f t="shared" ref="D21:F21" si="6">D17-SUM(D18:D20)</f>
        <v>5999</v>
      </c>
      <c r="E21" s="18">
        <f t="shared" si="6"/>
        <v>7666</v>
      </c>
      <c r="F21" s="18">
        <f t="shared" si="6"/>
        <v>8983.2975128644975</v>
      </c>
      <c r="G21" s="18">
        <f t="shared" ref="G21:M21" si="7">G17-SUM(G18:G20)</f>
        <v>10503.597480059667</v>
      </c>
      <c r="H21" s="18">
        <f t="shared" si="7"/>
        <v>12256.334437270656</v>
      </c>
      <c r="I21" s="18">
        <f t="shared" si="7"/>
        <v>14275.047560569838</v>
      </c>
      <c r="J21" s="18">
        <f t="shared" si="7"/>
        <v>16597.937740738183</v>
      </c>
      <c r="K21" s="18">
        <f t="shared" si="7"/>
        <v>19268.498768404141</v>
      </c>
      <c r="L21" s="18">
        <f t="shared" si="7"/>
        <v>22336.232339601673</v>
      </c>
      <c r="M21" s="18">
        <f t="shared" si="7"/>
        <v>25857.457848131715</v>
      </c>
    </row>
    <row r="22" spans="1:15" s="11" customFormat="1" x14ac:dyDescent="0.25">
      <c r="E22" s="35"/>
    </row>
    <row r="23" spans="1:15" s="11" customFormat="1" x14ac:dyDescent="0.25">
      <c r="B23" s="4" t="s">
        <v>15</v>
      </c>
      <c r="C23" s="122">
        <f>3786-C24</f>
        <v>2264</v>
      </c>
      <c r="D23" s="122">
        <f>3959-D24</f>
        <v>2437</v>
      </c>
      <c r="E23" s="25">
        <f>3477-E24</f>
        <v>1955</v>
      </c>
      <c r="F23" s="4">
        <f>Calcs!F8</f>
        <v>1741.2576383154417</v>
      </c>
      <c r="G23" s="4">
        <f>Calcs!G8</f>
        <v>1466.7567659137721</v>
      </c>
      <c r="H23" s="4">
        <f>Calcs!H8</f>
        <v>1314.4423937799106</v>
      </c>
      <c r="I23" s="4">
        <f>Calcs!I8</f>
        <v>1248.7777902008299</v>
      </c>
      <c r="J23" s="4">
        <f>Calcs!J8</f>
        <v>1246.1566277056277</v>
      </c>
      <c r="K23" s="4">
        <f>Calcs!K8</f>
        <v>1291.1042185492076</v>
      </c>
      <c r="L23" s="4">
        <f>Calcs!L8</f>
        <v>1373.711482022977</v>
      </c>
      <c r="M23" s="4">
        <f>Calcs!M8</f>
        <v>1487.9043513774991</v>
      </c>
      <c r="N23" s="4"/>
      <c r="O23" s="4"/>
    </row>
    <row r="24" spans="1:15" s="11" customFormat="1" x14ac:dyDescent="0.25">
      <c r="B24" s="4" t="s">
        <v>54</v>
      </c>
      <c r="C24" s="95">
        <v>1522</v>
      </c>
      <c r="D24" s="95">
        <v>1522</v>
      </c>
      <c r="E24" s="123">
        <v>1522</v>
      </c>
      <c r="F24" s="4">
        <f>F8</f>
        <v>1522</v>
      </c>
      <c r="G24" s="4">
        <f t="shared" ref="G24:M24" si="8">G8</f>
        <v>1147</v>
      </c>
      <c r="H24" s="4">
        <f t="shared" si="8"/>
        <v>745</v>
      </c>
      <c r="I24" s="4">
        <f t="shared" si="8"/>
        <v>578</v>
      </c>
      <c r="J24" s="4">
        <f t="shared" si="8"/>
        <v>294</v>
      </c>
      <c r="K24" s="4">
        <f t="shared" si="8"/>
        <v>142</v>
      </c>
      <c r="L24" s="4">
        <f t="shared" si="8"/>
        <v>0</v>
      </c>
      <c r="M24" s="4">
        <f t="shared" si="8"/>
        <v>0</v>
      </c>
      <c r="N24" s="4"/>
      <c r="O24" s="4"/>
    </row>
    <row r="25" spans="1:15" s="126" customFormat="1" x14ac:dyDescent="0.25">
      <c r="A25" s="126" t="s">
        <v>123</v>
      </c>
      <c r="B25" s="127" t="s">
        <v>53</v>
      </c>
      <c r="C25" s="128">
        <f>C21+C23</f>
        <v>4122</v>
      </c>
      <c r="D25" s="128">
        <f t="shared" ref="D25:F25" si="9">D21+D23</f>
        <v>8436</v>
      </c>
      <c r="E25" s="128">
        <f t="shared" si="9"/>
        <v>9621</v>
      </c>
      <c r="F25" s="128">
        <f t="shared" si="9"/>
        <v>10724.555151179939</v>
      </c>
      <c r="G25" s="128">
        <f t="shared" ref="G25:M25" si="10">G21+G23</f>
        <v>11970.354245973438</v>
      </c>
      <c r="H25" s="128">
        <f t="shared" si="10"/>
        <v>13570.776831050567</v>
      </c>
      <c r="I25" s="128">
        <f t="shared" si="10"/>
        <v>15523.825350770667</v>
      </c>
      <c r="J25" s="128">
        <f t="shared" si="10"/>
        <v>17844.09436844381</v>
      </c>
      <c r="K25" s="128">
        <f t="shared" si="10"/>
        <v>20559.602986953349</v>
      </c>
      <c r="L25" s="128">
        <f t="shared" si="10"/>
        <v>23709.943821624649</v>
      </c>
      <c r="M25" s="128">
        <f t="shared" si="10"/>
        <v>27345.362199509214</v>
      </c>
    </row>
    <row r="26" spans="1:15" s="11" customFormat="1" x14ac:dyDescent="0.25">
      <c r="C26" s="13"/>
      <c r="D26" s="4"/>
      <c r="E26" s="36"/>
      <c r="F26" s="4"/>
      <c r="G26" s="4"/>
      <c r="H26" s="4"/>
      <c r="I26" s="4"/>
      <c r="J26" s="4"/>
      <c r="K26" s="4"/>
      <c r="L26" s="4"/>
      <c r="M26" s="4"/>
      <c r="N26" s="13"/>
      <c r="O26" s="13"/>
    </row>
    <row r="27" spans="1:15" s="11" customFormat="1" x14ac:dyDescent="0.25">
      <c r="B27" s="4" t="s">
        <v>56</v>
      </c>
      <c r="C27" s="93">
        <f>Quarters!G9</f>
        <v>828</v>
      </c>
      <c r="D27" s="93">
        <f>Quarters!L9</f>
        <v>988</v>
      </c>
      <c r="E27" s="94">
        <f>Quarters!Q9</f>
        <v>461</v>
      </c>
      <c r="F27" s="4">
        <f>F9</f>
        <v>0</v>
      </c>
      <c r="G27" s="4">
        <f t="shared" ref="G27:M27" si="11">G9</f>
        <v>0</v>
      </c>
      <c r="H27" s="4">
        <f t="shared" si="11"/>
        <v>0</v>
      </c>
      <c r="I27" s="4">
        <f t="shared" si="11"/>
        <v>0</v>
      </c>
      <c r="J27" s="4">
        <f t="shared" si="11"/>
        <v>0</v>
      </c>
      <c r="K27" s="4">
        <f t="shared" si="11"/>
        <v>0</v>
      </c>
      <c r="L27" s="4">
        <f t="shared" si="11"/>
        <v>0</v>
      </c>
      <c r="M27" s="4">
        <f t="shared" si="11"/>
        <v>0</v>
      </c>
      <c r="N27" s="4"/>
      <c r="O27" s="4"/>
    </row>
    <row r="28" spans="1:15" s="11" customFormat="1" x14ac:dyDescent="0.25">
      <c r="B28" s="4" t="s">
        <v>57</v>
      </c>
      <c r="C28" s="93">
        <f>Quarters!G11</f>
        <v>-370</v>
      </c>
      <c r="D28" s="93">
        <f>Quarters!L11</f>
        <v>-61</v>
      </c>
      <c r="E28" s="94">
        <f>Quarters!Q11</f>
        <v>233</v>
      </c>
      <c r="F28" s="4">
        <f>F10</f>
        <v>0</v>
      </c>
      <c r="G28" s="4">
        <f t="shared" ref="G28:M28" si="12">G10</f>
        <v>0</v>
      </c>
      <c r="H28" s="4">
        <f t="shared" si="12"/>
        <v>0</v>
      </c>
      <c r="I28" s="4">
        <f t="shared" si="12"/>
        <v>0</v>
      </c>
      <c r="J28" s="4">
        <f t="shared" si="12"/>
        <v>0</v>
      </c>
      <c r="K28" s="4">
        <f t="shared" si="12"/>
        <v>0</v>
      </c>
      <c r="L28" s="4">
        <f t="shared" si="12"/>
        <v>0</v>
      </c>
      <c r="M28" s="4">
        <f t="shared" si="12"/>
        <v>0</v>
      </c>
      <c r="N28" s="4"/>
      <c r="O28" s="4"/>
    </row>
    <row r="29" spans="1:15" s="11" customFormat="1" x14ac:dyDescent="0.25">
      <c r="B29" s="4"/>
      <c r="C29" s="10"/>
      <c r="D29" s="10"/>
      <c r="E29" s="22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s="11" customFormat="1" x14ac:dyDescent="0.25">
      <c r="B30" s="4" t="s">
        <v>41</v>
      </c>
      <c r="C30" s="9">
        <v>0</v>
      </c>
      <c r="D30" s="9">
        <v>0</v>
      </c>
      <c r="E30" s="45">
        <v>0</v>
      </c>
      <c r="F30" s="315">
        <f>IF(circ=1,Debt!F33,0)</f>
        <v>0</v>
      </c>
      <c r="G30" s="315">
        <f>IF(circ=1,Debt!G33,0)</f>
        <v>0</v>
      </c>
      <c r="H30" s="315">
        <f>IF(circ=1,Debt!H33,0)</f>
        <v>0</v>
      </c>
      <c r="I30" s="315">
        <f>IF(circ=1,Debt!I33,0)</f>
        <v>0</v>
      </c>
      <c r="J30" s="315">
        <f>IF(circ=1,Debt!J33,0)</f>
        <v>0</v>
      </c>
      <c r="K30" s="315">
        <f>IF(circ=1,Debt!K33,0)</f>
        <v>0</v>
      </c>
      <c r="L30" s="315">
        <f>IF(circ=1,Debt!L33,0)</f>
        <v>0</v>
      </c>
      <c r="M30" s="315">
        <f>IF(circ=1,Debt!M33,0)</f>
        <v>0</v>
      </c>
      <c r="N30" s="183"/>
      <c r="O30" s="183"/>
    </row>
    <row r="31" spans="1:15" x14ac:dyDescent="0.25">
      <c r="B31" s="4" t="s">
        <v>33</v>
      </c>
      <c r="C31" s="9">
        <v>0</v>
      </c>
      <c r="D31" s="9">
        <v>0</v>
      </c>
      <c r="E31" s="45">
        <v>0</v>
      </c>
      <c r="F31" s="315">
        <f>IF(circ=1,-Debt!F28,0)</f>
        <v>0</v>
      </c>
      <c r="G31" s="315">
        <f>IF(circ=1,-Debt!G28,0)</f>
        <v>0</v>
      </c>
      <c r="H31" s="315">
        <f>IF(circ=1,-Debt!H28,0)</f>
        <v>0</v>
      </c>
      <c r="I31" s="315">
        <f>IF(circ=1,-Debt!I28,0)</f>
        <v>0</v>
      </c>
      <c r="J31" s="315">
        <f>IF(circ=1,-Debt!J28,0)</f>
        <v>0</v>
      </c>
      <c r="K31" s="315">
        <f>IF(circ=1,-Debt!K28,0)</f>
        <v>0</v>
      </c>
      <c r="L31" s="315">
        <f>IF(circ=1,-Debt!L28,0)</f>
        <v>0</v>
      </c>
      <c r="M31" s="315">
        <f>IF(circ=1,-Debt!M28,0)</f>
        <v>0</v>
      </c>
      <c r="N31" s="183"/>
      <c r="O31" s="183"/>
    </row>
    <row r="32" spans="1:15" x14ac:dyDescent="0.25">
      <c r="C32" s="10"/>
      <c r="D32" s="10"/>
      <c r="E32" s="22"/>
      <c r="H32" s="4"/>
    </row>
    <row r="33" spans="1:15" s="11" customFormat="1" x14ac:dyDescent="0.25">
      <c r="A33" s="11" t="s">
        <v>123</v>
      </c>
      <c r="B33" s="17" t="s">
        <v>83</v>
      </c>
      <c r="C33" s="18">
        <f t="shared" ref="C33:D33" si="13">C21+SUM(C28:C31)</f>
        <v>1488</v>
      </c>
      <c r="D33" s="18">
        <f t="shared" si="13"/>
        <v>5938</v>
      </c>
      <c r="E33" s="18">
        <f>E21+SUM(E27:E31)</f>
        <v>8360</v>
      </c>
      <c r="F33" s="18">
        <f>F21+SUM(F27:F31)</f>
        <v>8983.2975128644975</v>
      </c>
      <c r="G33" s="18">
        <f t="shared" ref="G33:M33" si="14">G21+SUM(G27:G31)</f>
        <v>10503.597480059667</v>
      </c>
      <c r="H33" s="18">
        <f t="shared" si="14"/>
        <v>12256.334437270656</v>
      </c>
      <c r="I33" s="18">
        <f t="shared" si="14"/>
        <v>14275.047560569838</v>
      </c>
      <c r="J33" s="18">
        <f t="shared" si="14"/>
        <v>16597.937740738183</v>
      </c>
      <c r="K33" s="18">
        <f t="shared" si="14"/>
        <v>19268.498768404141</v>
      </c>
      <c r="L33" s="18">
        <f t="shared" si="14"/>
        <v>22336.232339601673</v>
      </c>
      <c r="M33" s="18">
        <f t="shared" si="14"/>
        <v>25857.457848131715</v>
      </c>
    </row>
    <row r="34" spans="1:15" x14ac:dyDescent="0.25">
      <c r="E34" s="37"/>
      <c r="H34" s="4"/>
    </row>
    <row r="35" spans="1:15" x14ac:dyDescent="0.25">
      <c r="B35" s="4" t="s">
        <v>58</v>
      </c>
      <c r="C35" s="130">
        <v>452</v>
      </c>
      <c r="D35" s="4">
        <v>814</v>
      </c>
      <c r="E35" s="58">
        <v>1241</v>
      </c>
      <c r="F35" s="4">
        <f>F33*F11</f>
        <v>1527.1605771869647</v>
      </c>
      <c r="G35" s="4">
        <f t="shared" ref="G35:M35" si="15">G33*G11</f>
        <v>1785.6115716101435</v>
      </c>
      <c r="H35" s="4">
        <f t="shared" si="15"/>
        <v>2083.5768543360118</v>
      </c>
      <c r="I35" s="4">
        <f t="shared" si="15"/>
        <v>2426.7580852968727</v>
      </c>
      <c r="J35" s="4">
        <f t="shared" si="15"/>
        <v>2821.6494159254912</v>
      </c>
      <c r="K35" s="4">
        <f t="shared" si="15"/>
        <v>3275.644790628704</v>
      </c>
      <c r="L35" s="4">
        <f t="shared" si="15"/>
        <v>3797.1594977322848</v>
      </c>
      <c r="M35" s="4">
        <f t="shared" si="15"/>
        <v>4395.7678341823921</v>
      </c>
    </row>
    <row r="36" spans="1:15" s="11" customFormat="1" x14ac:dyDescent="0.25">
      <c r="A36" s="11" t="s">
        <v>123</v>
      </c>
      <c r="B36" s="17" t="s">
        <v>59</v>
      </c>
      <c r="C36" s="18">
        <f>C33-C35</f>
        <v>1036</v>
      </c>
      <c r="D36" s="34">
        <f t="shared" ref="D36:F36" si="16">D33-D35</f>
        <v>5124</v>
      </c>
      <c r="E36" s="18">
        <f t="shared" si="16"/>
        <v>7119</v>
      </c>
      <c r="F36" s="18">
        <f t="shared" si="16"/>
        <v>7456.1369356775331</v>
      </c>
      <c r="G36" s="18">
        <f t="shared" ref="G36:M36" si="17">G33-G35</f>
        <v>8717.9859084495238</v>
      </c>
      <c r="H36" s="18">
        <f t="shared" si="17"/>
        <v>10172.757582934644</v>
      </c>
      <c r="I36" s="18">
        <f t="shared" si="17"/>
        <v>11848.289475272964</v>
      </c>
      <c r="J36" s="18">
        <f t="shared" si="17"/>
        <v>13776.288324812693</v>
      </c>
      <c r="K36" s="18">
        <f t="shared" si="17"/>
        <v>15992.853977775438</v>
      </c>
      <c r="L36" s="18">
        <f t="shared" si="17"/>
        <v>18539.072841869387</v>
      </c>
      <c r="M36" s="18">
        <f t="shared" si="17"/>
        <v>21461.690013949323</v>
      </c>
    </row>
    <row r="37" spans="1:15" x14ac:dyDescent="0.25">
      <c r="B37" s="4" t="s">
        <v>181</v>
      </c>
      <c r="C37" s="121">
        <f t="shared" ref="C37:D37" si="18">C38/C40</f>
        <v>0</v>
      </c>
      <c r="D37" s="311">
        <f t="shared" si="18"/>
        <v>0</v>
      </c>
      <c r="E37" s="22">
        <f>E38/E40</f>
        <v>1.5977130977130978</v>
      </c>
      <c r="F37" s="4">
        <f>F12</f>
        <v>1.5977130977130978</v>
      </c>
      <c r="G37" s="4">
        <f t="shared" ref="G37:M37" si="19">G12</f>
        <v>1.5977130977130978</v>
      </c>
      <c r="H37" s="4">
        <f t="shared" si="19"/>
        <v>1.5977130977130978</v>
      </c>
      <c r="I37" s="4">
        <f t="shared" si="19"/>
        <v>1.5977130977130978</v>
      </c>
      <c r="J37" s="4">
        <f t="shared" si="19"/>
        <v>1.5977130977130978</v>
      </c>
      <c r="K37" s="4">
        <f t="shared" si="19"/>
        <v>1.5977130977130978</v>
      </c>
      <c r="L37" s="4">
        <f t="shared" si="19"/>
        <v>1.5977130977130978</v>
      </c>
      <c r="M37" s="4">
        <f t="shared" si="19"/>
        <v>1.5977130977130978</v>
      </c>
    </row>
    <row r="38" spans="1:15" x14ac:dyDescent="0.25">
      <c r="B38" s="4" t="s">
        <v>221</v>
      </c>
      <c r="C38" s="10">
        <v>0</v>
      </c>
      <c r="D38" s="10">
        <v>0</v>
      </c>
      <c r="E38" s="22">
        <v>1537</v>
      </c>
      <c r="F38" s="129">
        <f>F37*F40</f>
        <v>1537</v>
      </c>
      <c r="G38" s="129">
        <f t="shared" ref="G38:M38" si="20">G37*G40</f>
        <v>1537</v>
      </c>
      <c r="H38" s="129">
        <f t="shared" si="20"/>
        <v>1537</v>
      </c>
      <c r="I38" s="129">
        <f t="shared" si="20"/>
        <v>1537</v>
      </c>
      <c r="J38" s="129">
        <f t="shared" si="20"/>
        <v>1537</v>
      </c>
      <c r="K38" s="129">
        <f t="shared" si="20"/>
        <v>1537</v>
      </c>
      <c r="L38" s="129">
        <f t="shared" si="20"/>
        <v>1537</v>
      </c>
      <c r="M38" s="129">
        <f t="shared" si="20"/>
        <v>1537</v>
      </c>
    </row>
    <row r="39" spans="1:15" x14ac:dyDescent="0.25">
      <c r="A39" s="20" t="s">
        <v>60</v>
      </c>
      <c r="B39" s="19"/>
      <c r="C39" s="258">
        <v>2023</v>
      </c>
      <c r="D39" s="258">
        <f>C39+1</f>
        <v>2024</v>
      </c>
      <c r="E39" s="258">
        <f t="shared" ref="E39:M39" si="21">D39+1</f>
        <v>2025</v>
      </c>
      <c r="F39" s="258">
        <f t="shared" si="21"/>
        <v>2026</v>
      </c>
      <c r="G39" s="258">
        <f t="shared" ref="G39:M39" si="22">F39+1</f>
        <v>2027</v>
      </c>
      <c r="H39" s="258">
        <f t="shared" si="22"/>
        <v>2028</v>
      </c>
      <c r="I39" s="258">
        <f t="shared" si="22"/>
        <v>2029</v>
      </c>
      <c r="J39" s="258">
        <f t="shared" si="22"/>
        <v>2030</v>
      </c>
      <c r="K39" s="258">
        <f t="shared" si="22"/>
        <v>2031</v>
      </c>
      <c r="L39" s="258">
        <f t="shared" si="22"/>
        <v>2032</v>
      </c>
      <c r="M39" s="258">
        <f t="shared" si="22"/>
        <v>2033</v>
      </c>
      <c r="N39" s="205"/>
      <c r="O39" s="205"/>
    </row>
    <row r="40" spans="1:15" x14ac:dyDescent="0.25">
      <c r="B40" s="4" t="s">
        <v>49</v>
      </c>
      <c r="C40" s="10">
        <v>992</v>
      </c>
      <c r="D40" s="10">
        <v>974</v>
      </c>
      <c r="E40" s="22">
        <v>962</v>
      </c>
      <c r="F40" s="121">
        <v>962</v>
      </c>
      <c r="G40" s="121">
        <v>962</v>
      </c>
      <c r="H40" s="121">
        <v>962</v>
      </c>
      <c r="I40" s="121">
        <v>962</v>
      </c>
      <c r="J40" s="121">
        <v>962</v>
      </c>
      <c r="K40" s="121">
        <v>962</v>
      </c>
      <c r="L40" s="121">
        <v>962</v>
      </c>
      <c r="M40" s="121">
        <v>962</v>
      </c>
      <c r="N40" s="210"/>
      <c r="O40" s="210"/>
    </row>
    <row r="41" spans="1:15" x14ac:dyDescent="0.25">
      <c r="B41" s="4" t="s">
        <v>50</v>
      </c>
      <c r="C41" s="10">
        <v>997</v>
      </c>
      <c r="D41" s="10">
        <v>984</v>
      </c>
      <c r="E41" s="22">
        <v>974</v>
      </c>
      <c r="F41" s="121">
        <v>974</v>
      </c>
      <c r="G41" s="121">
        <v>974</v>
      </c>
      <c r="H41" s="121">
        <v>974</v>
      </c>
      <c r="I41" s="121">
        <v>974</v>
      </c>
      <c r="J41" s="121">
        <v>974</v>
      </c>
      <c r="K41" s="121">
        <v>974</v>
      </c>
      <c r="L41" s="121">
        <v>974</v>
      </c>
      <c r="M41" s="121">
        <v>974</v>
      </c>
      <c r="N41" s="210"/>
      <c r="O41" s="210"/>
    </row>
    <row r="42" spans="1:15" x14ac:dyDescent="0.25">
      <c r="B42" s="4" t="s">
        <v>61</v>
      </c>
      <c r="C42" s="181">
        <f>C36/C40</f>
        <v>1.0443548387096775</v>
      </c>
      <c r="D42" s="181">
        <f t="shared" ref="D42:E42" si="23">D36/D40</f>
        <v>5.2607802874743328</v>
      </c>
      <c r="E42" s="182">
        <f t="shared" si="23"/>
        <v>7.4002079002079002</v>
      </c>
      <c r="F42" s="181">
        <f t="shared" ref="F42:M42" si="24">F36/F40</f>
        <v>7.7506620952988907</v>
      </c>
      <c r="G42" s="181">
        <f t="shared" si="24"/>
        <v>9.0623554141886942</v>
      </c>
      <c r="H42" s="181">
        <f t="shared" si="24"/>
        <v>10.574592082052645</v>
      </c>
      <c r="I42" s="181">
        <f t="shared" si="24"/>
        <v>12.316309225855472</v>
      </c>
      <c r="J42" s="181">
        <f t="shared" si="24"/>
        <v>14.320466034108827</v>
      </c>
      <c r="K42" s="181">
        <f t="shared" si="24"/>
        <v>16.624588334485903</v>
      </c>
      <c r="L42" s="181">
        <f t="shared" si="24"/>
        <v>19.271385490508717</v>
      </c>
      <c r="M42" s="181">
        <f t="shared" si="24"/>
        <v>22.309449078949399</v>
      </c>
      <c r="N42" s="210"/>
      <c r="O42" s="210"/>
    </row>
    <row r="43" spans="1:15" s="11" customFormat="1" x14ac:dyDescent="0.25">
      <c r="A43" s="11" t="s">
        <v>123</v>
      </c>
      <c r="B43" s="17" t="s">
        <v>62</v>
      </c>
      <c r="C43" s="180">
        <f>C36/C41</f>
        <v>1.0391173520561685</v>
      </c>
      <c r="D43" s="180">
        <f t="shared" ref="D43:E43" si="25">D36/D41</f>
        <v>5.2073170731707314</v>
      </c>
      <c r="E43" s="180">
        <f t="shared" si="25"/>
        <v>7.3090349075975363</v>
      </c>
      <c r="F43" s="180">
        <f t="shared" ref="F43:M43" si="26">F36/F41</f>
        <v>7.65517139186605</v>
      </c>
      <c r="G43" s="180">
        <f t="shared" si="26"/>
        <v>8.9507042181206611</v>
      </c>
      <c r="H43" s="180">
        <f t="shared" si="26"/>
        <v>10.444309633403126</v>
      </c>
      <c r="I43" s="180">
        <f t="shared" si="26"/>
        <v>12.164568249766903</v>
      </c>
      <c r="J43" s="180">
        <f t="shared" si="26"/>
        <v>14.144033187692703</v>
      </c>
      <c r="K43" s="180">
        <f t="shared" si="26"/>
        <v>16.419767944327965</v>
      </c>
      <c r="L43" s="180">
        <f t="shared" si="26"/>
        <v>19.033955689804298</v>
      </c>
      <c r="M43" s="180">
        <f t="shared" si="26"/>
        <v>22.034589336703618</v>
      </c>
      <c r="N43" s="215"/>
      <c r="O43" s="215"/>
    </row>
    <row r="44" spans="1:15" x14ac:dyDescent="0.25">
      <c r="C44" s="14"/>
      <c r="D44" s="14"/>
      <c r="E44" s="38"/>
      <c r="F44" s="38"/>
      <c r="G44" s="14"/>
      <c r="H44" s="14"/>
      <c r="I44" s="14"/>
      <c r="J44" s="14"/>
    </row>
    <row r="45" spans="1:15" x14ac:dyDescent="0.25">
      <c r="D45" s="14"/>
      <c r="E45" s="14"/>
      <c r="F45" s="14"/>
    </row>
  </sheetData>
  <conditionalFormatting sqref="F4:O14">
    <cfRule type="expression" dxfId="1" priority="29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O54"/>
  <sheetViews>
    <sheetView showGridLines="0" zoomScaleNormal="100" workbookViewId="0">
      <selection activeCell="G15" sqref="G15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13" width="11.7109375" style="4" customWidth="1"/>
    <col min="14" max="256" width="8.85546875" style="4"/>
    <col min="257" max="257" width="1.7109375" style="4" customWidth="1"/>
    <col min="258" max="258" width="42.855468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2.855468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2.855468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2.855468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2.855468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2.855468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2.855468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2.855468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2.855468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2.855468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2.855468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2.855468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2.855468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2.855468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2.855468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2.855468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2.855468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2.855468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2.855468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2.855468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2.855468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2.855468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2.855468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2.855468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2.855468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2.855468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2.855468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2.855468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2.855468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2.855468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2.855468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2.855468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2.855468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2.855468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2.855468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2.855468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2.855468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2.855468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2.855468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2.855468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2.855468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2.855468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2.855468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2.855468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2.855468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2.855468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2.855468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2.855468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2.855468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2.855468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2.855468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2.855468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2.855468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2.855468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2.855468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2.855468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2.855468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2.855468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2.855468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2.855468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2.855468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2.855468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2.855468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5" s="2" customFormat="1" ht="19.5" x14ac:dyDescent="0.3">
      <c r="A1" s="260" t="str">
        <f>CoName</f>
        <v>Salesforce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/>
      <c r="O1" s="41"/>
    </row>
    <row r="2" spans="1:15" x14ac:dyDescent="0.25">
      <c r="A2" s="16" t="s">
        <v>10</v>
      </c>
      <c r="B2" s="63"/>
      <c r="C2" s="271">
        <v>2023</v>
      </c>
      <c r="D2" s="271">
        <f>C2+1</f>
        <v>2024</v>
      </c>
      <c r="E2" s="271">
        <f t="shared" ref="E2:M2" si="0">D2+1</f>
        <v>2025</v>
      </c>
      <c r="F2" s="271">
        <f t="shared" si="0"/>
        <v>2026</v>
      </c>
      <c r="G2" s="271">
        <f t="shared" si="0"/>
        <v>2027</v>
      </c>
      <c r="H2" s="271">
        <f t="shared" si="0"/>
        <v>2028</v>
      </c>
      <c r="I2" s="271">
        <f t="shared" si="0"/>
        <v>2029</v>
      </c>
      <c r="J2" s="271">
        <f t="shared" si="0"/>
        <v>2030</v>
      </c>
      <c r="K2" s="271">
        <f t="shared" si="0"/>
        <v>2031</v>
      </c>
      <c r="L2" s="271">
        <f t="shared" si="0"/>
        <v>2032</v>
      </c>
      <c r="M2" s="271">
        <f t="shared" si="0"/>
        <v>2033</v>
      </c>
      <c r="N2" s="216"/>
      <c r="O2" s="216"/>
    </row>
    <row r="3" spans="1:15" x14ac:dyDescent="0.25">
      <c r="K3" s="6"/>
      <c r="L3" s="6"/>
      <c r="M3" s="6"/>
      <c r="N3" s="6"/>
      <c r="O3" s="6"/>
    </row>
    <row r="4" spans="1:15" x14ac:dyDescent="0.25">
      <c r="B4" s="4" t="s">
        <v>140</v>
      </c>
      <c r="C4" s="43"/>
      <c r="D4" s="43"/>
      <c r="E4" s="44"/>
      <c r="F4" s="100">
        <f>Assumptions!F45</f>
        <v>0.05</v>
      </c>
      <c r="G4" s="100">
        <f>F4</f>
        <v>0.05</v>
      </c>
      <c r="H4" s="100">
        <f t="shared" ref="H4:J4" si="1">G4</f>
        <v>0.05</v>
      </c>
      <c r="I4" s="100">
        <f t="shared" si="1"/>
        <v>0.05</v>
      </c>
      <c r="J4" s="100">
        <f t="shared" si="1"/>
        <v>0.05</v>
      </c>
      <c r="K4" s="100">
        <f t="shared" ref="K4" si="2">J4</f>
        <v>0.05</v>
      </c>
      <c r="L4" s="100">
        <f t="shared" ref="L4" si="3">K4</f>
        <v>0.05</v>
      </c>
      <c r="M4" s="98">
        <f t="shared" ref="M4" si="4">L4</f>
        <v>0.05</v>
      </c>
      <c r="N4" s="171"/>
      <c r="O4" s="171"/>
    </row>
    <row r="5" spans="1:15" x14ac:dyDescent="0.25">
      <c r="B5" s="4" t="s">
        <v>153</v>
      </c>
      <c r="C5" s="43"/>
      <c r="D5" s="43"/>
      <c r="E5" s="44"/>
      <c r="F5" s="100">
        <f>Assumptions!F46</f>
        <v>0.31521308879799448</v>
      </c>
      <c r="G5" s="100">
        <f>Assumptions!G46</f>
        <v>0.31521308879799448</v>
      </c>
      <c r="H5" s="100">
        <f>Assumptions!H46</f>
        <v>0.31521308879799448</v>
      </c>
      <c r="I5" s="100">
        <f>Assumptions!I46</f>
        <v>0.31521308879799448</v>
      </c>
      <c r="J5" s="100">
        <f>Assumptions!J46</f>
        <v>0.31521308879799448</v>
      </c>
      <c r="K5" s="100">
        <f>Assumptions!K46</f>
        <v>0.31521308879799448</v>
      </c>
      <c r="L5" s="100">
        <f>Assumptions!L46</f>
        <v>0.31521308879799448</v>
      </c>
      <c r="M5" s="98">
        <f>Assumptions!M46</f>
        <v>0.31521308879799448</v>
      </c>
      <c r="N5" s="171"/>
      <c r="O5" s="171"/>
    </row>
    <row r="6" spans="1:15" x14ac:dyDescent="0.25">
      <c r="B6" s="4" t="s">
        <v>64</v>
      </c>
      <c r="C6" s="43"/>
      <c r="D6" s="43"/>
      <c r="E6" s="44"/>
      <c r="F6" s="100">
        <f>Assumptions!F47</f>
        <v>0.23575669613405462</v>
      </c>
      <c r="G6" s="100">
        <f>Assumptions!G47</f>
        <v>0.23575669613405462</v>
      </c>
      <c r="H6" s="100">
        <f>Assumptions!H47</f>
        <v>0.23575669613405462</v>
      </c>
      <c r="I6" s="100">
        <f>Assumptions!I47</f>
        <v>0.23575669613405462</v>
      </c>
      <c r="J6" s="100">
        <f>Assumptions!J47</f>
        <v>0.23575669613405462</v>
      </c>
      <c r="K6" s="100">
        <f>Assumptions!K47</f>
        <v>0.23575669613405462</v>
      </c>
      <c r="L6" s="100">
        <f>Assumptions!L47</f>
        <v>0.23575669613405462</v>
      </c>
      <c r="M6" s="98">
        <f>Assumptions!M47</f>
        <v>0.23575669613405462</v>
      </c>
      <c r="N6" s="171"/>
      <c r="O6" s="171"/>
    </row>
    <row r="7" spans="1:15" x14ac:dyDescent="0.25">
      <c r="B7" s="4" t="s">
        <v>65</v>
      </c>
      <c r="C7" s="43"/>
      <c r="D7" s="43"/>
      <c r="E7" s="44"/>
      <c r="F7" s="100">
        <f>Assumptions!F49</f>
        <v>0.19118617231824778</v>
      </c>
      <c r="G7" s="100">
        <f>Assumptions!G49</f>
        <v>0.19118617231824778</v>
      </c>
      <c r="H7" s="100">
        <f>Assumptions!H49</f>
        <v>0.19118617231824778</v>
      </c>
      <c r="I7" s="100">
        <f>Assumptions!I49</f>
        <v>0.19118617231824778</v>
      </c>
      <c r="J7" s="100">
        <f>Assumptions!J49</f>
        <v>0.19118617231824778</v>
      </c>
      <c r="K7" s="100">
        <f>Assumptions!K49</f>
        <v>0.19118617231824778</v>
      </c>
      <c r="L7" s="100">
        <f>Assumptions!L49</f>
        <v>0.19118617231824778</v>
      </c>
      <c r="M7" s="98">
        <f>Assumptions!M49</f>
        <v>0.19118617231824778</v>
      </c>
      <c r="N7" s="171"/>
      <c r="O7" s="171"/>
    </row>
    <row r="8" spans="1:15" x14ac:dyDescent="0.25">
      <c r="B8" s="4" t="s">
        <v>162</v>
      </c>
      <c r="C8" s="43"/>
      <c r="D8" s="43"/>
      <c r="E8" s="150"/>
      <c r="F8" s="99">
        <f>Assumptions!F48</f>
        <v>4852</v>
      </c>
      <c r="G8" s="99">
        <f>Assumptions!G48</f>
        <v>4852</v>
      </c>
      <c r="H8" s="99">
        <f>Assumptions!H48</f>
        <v>4852</v>
      </c>
      <c r="I8" s="99">
        <f>Assumptions!I48</f>
        <v>4852</v>
      </c>
      <c r="J8" s="99">
        <f>Assumptions!J48</f>
        <v>4852</v>
      </c>
      <c r="K8" s="99">
        <f>Assumptions!K48</f>
        <v>4852</v>
      </c>
      <c r="L8" s="99">
        <f>Assumptions!L48</f>
        <v>4852</v>
      </c>
      <c r="M8" s="99">
        <f>Assumptions!M48</f>
        <v>4852</v>
      </c>
      <c r="N8" s="198"/>
      <c r="O8" s="198"/>
    </row>
    <row r="9" spans="1:15" x14ac:dyDescent="0.25">
      <c r="C9" s="30"/>
      <c r="D9" s="30"/>
      <c r="E9" s="30"/>
      <c r="F9" s="101"/>
      <c r="G9" s="101"/>
      <c r="H9" s="101"/>
      <c r="I9" s="101"/>
      <c r="J9" s="101"/>
      <c r="K9" s="101"/>
      <c r="L9" s="101"/>
      <c r="M9" s="101"/>
      <c r="N9" s="171"/>
      <c r="O9" s="171"/>
    </row>
    <row r="10" spans="1:15" x14ac:dyDescent="0.25">
      <c r="B10" s="4" t="s">
        <v>152</v>
      </c>
      <c r="C10" s="43"/>
      <c r="D10" s="43"/>
      <c r="E10" s="44"/>
      <c r="F10" s="100">
        <f>Assumptions!F53</f>
        <v>0.77033437463843568</v>
      </c>
      <c r="G10" s="100">
        <f>Assumptions!G53</f>
        <v>0.77033437463843568</v>
      </c>
      <c r="H10" s="100">
        <f>Assumptions!H53</f>
        <v>0.77033437463843568</v>
      </c>
      <c r="I10" s="100">
        <f>Assumptions!I53</f>
        <v>0.77033437463843568</v>
      </c>
      <c r="J10" s="100">
        <f>Assumptions!J53</f>
        <v>0.77033437463843568</v>
      </c>
      <c r="K10" s="100">
        <f>Assumptions!K53</f>
        <v>0.77033437463843568</v>
      </c>
      <c r="L10" s="100">
        <f>Assumptions!L53</f>
        <v>0.77033437463843568</v>
      </c>
      <c r="M10" s="98">
        <f>Assumptions!M53</f>
        <v>0.77033437463843568</v>
      </c>
      <c r="N10" s="171"/>
      <c r="O10" s="171"/>
    </row>
    <row r="11" spans="1:15" x14ac:dyDescent="0.25">
      <c r="B11" s="4" t="s">
        <v>66</v>
      </c>
      <c r="C11" s="43"/>
      <c r="D11" s="43"/>
      <c r="E11" s="26"/>
      <c r="F11" s="100">
        <f>Assumptions!F54</f>
        <v>0.56265998152790608</v>
      </c>
      <c r="G11" s="100">
        <f>Assumptions!G54</f>
        <v>0.56265998152790608</v>
      </c>
      <c r="H11" s="100">
        <f>Assumptions!H54</f>
        <v>0.56265998152790608</v>
      </c>
      <c r="I11" s="100">
        <f>Assumptions!I54</f>
        <v>0.56265998152790608</v>
      </c>
      <c r="J11" s="100">
        <f>Assumptions!J54</f>
        <v>0.56265998152790608</v>
      </c>
      <c r="K11" s="100">
        <f>Assumptions!K54</f>
        <v>0.56265998152790608</v>
      </c>
      <c r="L11" s="100">
        <f>Assumptions!L54</f>
        <v>0.56265998152790608</v>
      </c>
      <c r="M11" s="100">
        <f>Assumptions!M54</f>
        <v>0.56265998152790608</v>
      </c>
      <c r="N11" s="171"/>
      <c r="O11" s="171"/>
    </row>
    <row r="12" spans="1:15" x14ac:dyDescent="0.25">
      <c r="B12" s="4" t="s">
        <v>67</v>
      </c>
      <c r="C12" s="43"/>
      <c r="D12" s="43"/>
      <c r="E12" s="44"/>
      <c r="F12" s="262">
        <f>Assumptions!F55</f>
        <v>0.14096846549676739</v>
      </c>
      <c r="G12" s="262">
        <f>Assumptions!G55</f>
        <v>0.14096846549676739</v>
      </c>
      <c r="H12" s="262">
        <f>Assumptions!H55</f>
        <v>0.14096846549676739</v>
      </c>
      <c r="I12" s="262">
        <f>Assumptions!I55</f>
        <v>0.14096846549676739</v>
      </c>
      <c r="J12" s="262">
        <f>Assumptions!J55</f>
        <v>0.14096846549676739</v>
      </c>
      <c r="K12" s="262">
        <f>Assumptions!K55</f>
        <v>0.14096846549676739</v>
      </c>
      <c r="L12" s="262">
        <f>Assumptions!L55</f>
        <v>0.14096846549676739</v>
      </c>
      <c r="M12" s="124">
        <f>Assumptions!M55</f>
        <v>0.14096846549676739</v>
      </c>
      <c r="N12" s="171"/>
      <c r="O12" s="171"/>
    </row>
    <row r="13" spans="1:15" x14ac:dyDescent="0.25">
      <c r="C13" s="43"/>
      <c r="D13" s="43"/>
      <c r="E13" s="43"/>
      <c r="F13" s="101"/>
      <c r="G13" s="101"/>
      <c r="H13" s="101"/>
      <c r="I13" s="101"/>
      <c r="J13" s="101"/>
      <c r="K13" s="101"/>
      <c r="L13" s="101"/>
      <c r="M13" s="101"/>
      <c r="N13" s="171"/>
      <c r="O13" s="171"/>
    </row>
    <row r="14" spans="1:15" ht="15" customHeight="1" x14ac:dyDescent="0.25">
      <c r="A14" s="178" t="s">
        <v>63</v>
      </c>
      <c r="B14" s="179"/>
      <c r="C14" s="272">
        <v>2023</v>
      </c>
      <c r="D14" s="272">
        <f>C14+1</f>
        <v>2024</v>
      </c>
      <c r="E14" s="272">
        <f t="shared" ref="E14:M14" si="5">D14+1</f>
        <v>2025</v>
      </c>
      <c r="F14" s="272">
        <f t="shared" si="5"/>
        <v>2026</v>
      </c>
      <c r="G14" s="272">
        <f t="shared" si="5"/>
        <v>2027</v>
      </c>
      <c r="H14" s="272">
        <f t="shared" si="5"/>
        <v>2028</v>
      </c>
      <c r="I14" s="272">
        <f t="shared" si="5"/>
        <v>2029</v>
      </c>
      <c r="J14" s="272">
        <f t="shared" si="5"/>
        <v>2030</v>
      </c>
      <c r="K14" s="272">
        <f t="shared" si="5"/>
        <v>2031</v>
      </c>
      <c r="L14" s="272">
        <f t="shared" si="5"/>
        <v>2032</v>
      </c>
      <c r="M14" s="272">
        <f t="shared" si="5"/>
        <v>2033</v>
      </c>
      <c r="N14" s="208"/>
      <c r="O14" s="208"/>
    </row>
    <row r="15" spans="1:15" x14ac:dyDescent="0.25">
      <c r="B15" s="4" t="s">
        <v>158</v>
      </c>
      <c r="C15" s="312">
        <f>IncState!C17*5%</f>
        <v>1567.6000000000001</v>
      </c>
      <c r="D15" s="312">
        <f>IncState!D17*5%</f>
        <v>1742.8500000000001</v>
      </c>
      <c r="E15" s="187">
        <f>IncState!E17*5%</f>
        <v>1894.75</v>
      </c>
      <c r="F15" s="4">
        <f>F4*IncState!F17</f>
        <v>2115.75</v>
      </c>
      <c r="G15" s="4">
        <f>G4*IncState!G17</f>
        <v>2362.5270154373929</v>
      </c>
      <c r="H15" s="4">
        <f>H4*IncState!H17</f>
        <v>2638.0876278726291</v>
      </c>
      <c r="I15" s="4">
        <f>I4*IncState!I17</f>
        <v>2945.7891007634335</v>
      </c>
      <c r="J15" s="4">
        <f>J4*IncState!J17</f>
        <v>3289.3802823276073</v>
      </c>
      <c r="K15" s="4">
        <f>K4*IncState!K17</f>
        <v>3673.0472792371738</v>
      </c>
      <c r="L15" s="4">
        <f>L4*IncState!L17</f>
        <v>4101.4644576044602</v>
      </c>
      <c r="M15" s="4">
        <f>M4*IncState!M17</f>
        <v>4579.8513926252208</v>
      </c>
    </row>
    <row r="16" spans="1:15" x14ac:dyDescent="0.25">
      <c r="B16" s="4" t="s">
        <v>159</v>
      </c>
      <c r="C16" s="186">
        <f>7016-C15</f>
        <v>5448.4</v>
      </c>
      <c r="D16" s="186">
        <f>8472-D15</f>
        <v>6729.15</v>
      </c>
      <c r="E16" s="187">
        <f>8848-E15</f>
        <v>6953.25</v>
      </c>
      <c r="F16" s="319">
        <f>MAX(CashFlow!F23,0)</f>
        <v>12229.852121162787</v>
      </c>
      <c r="G16" s="319">
        <f>MAX(CashFlow!G23,0)</f>
        <v>21459.807682674535</v>
      </c>
      <c r="H16" s="319">
        <f>MAX(CashFlow!H23,0)</f>
        <v>29024.344862705795</v>
      </c>
      <c r="I16" s="319">
        <f>MAX(CashFlow!I23,0)</f>
        <v>40525.190034456056</v>
      </c>
      <c r="J16" s="319">
        <f>MAX(CashFlow!J23,0)</f>
        <v>47518.27378111842</v>
      </c>
      <c r="K16" s="319">
        <f>MAX(CashFlow!K23,0)</f>
        <v>62529.151111212836</v>
      </c>
      <c r="L16" s="319">
        <f>MAX(CashFlow!L23,0)</f>
        <v>79924.436903517068</v>
      </c>
      <c r="M16" s="319">
        <f>MAX(CashFlow!M23,0)</f>
        <v>100242.16927216484</v>
      </c>
    </row>
    <row r="17" spans="1:15" x14ac:dyDescent="0.25">
      <c r="B17" s="4" t="s">
        <v>68</v>
      </c>
      <c r="C17" s="188">
        <f>10755</f>
        <v>10755</v>
      </c>
      <c r="D17" s="188">
        <v>11414</v>
      </c>
      <c r="E17" s="189">
        <v>11945</v>
      </c>
      <c r="F17" s="4">
        <f>F5*IncState!F17</f>
        <v>13338.241852487135</v>
      </c>
      <c r="G17" s="4">
        <f>G5*IncState!G17</f>
        <v>14893.988758094556</v>
      </c>
      <c r="H17" s="4">
        <f>H5*IncState!H17</f>
        <v>16631.194994030113</v>
      </c>
      <c r="I17" s="4">
        <f>I5*IncState!I17</f>
        <v>18571.025627982166</v>
      </c>
      <c r="J17" s="4">
        <f>J5*IncState!J17</f>
        <v>20737.114380474082</v>
      </c>
      <c r="K17" s="4">
        <f>K5*IncState!K17</f>
        <v>23155.851563788383</v>
      </c>
      <c r="L17" s="4">
        <f>L5*IncState!L17</f>
        <v>25856.705605533858</v>
      </c>
      <c r="M17" s="4">
        <f>M5*IncState!M17</f>
        <v>28872.582074103848</v>
      </c>
    </row>
    <row r="18" spans="1:15" x14ac:dyDescent="0.25">
      <c r="B18" s="4" t="s">
        <v>69</v>
      </c>
      <c r="C18" s="188">
        <f>1356+5492+1776</f>
        <v>8624</v>
      </c>
      <c r="D18" s="188">
        <f>5722+1905+1561</f>
        <v>9188</v>
      </c>
      <c r="E18" s="189">
        <f>1971+1779+5184</f>
        <v>8934</v>
      </c>
      <c r="F18" s="4">
        <f>F6*IncState!F17</f>
        <v>9976.0445969125212</v>
      </c>
      <c r="G18" s="4">
        <f>G6*IncState!G17</f>
        <v>11139.631273739367</v>
      </c>
      <c r="H18" s="4">
        <f>H6*IncState!H17</f>
        <v>12438.936465187528</v>
      </c>
      <c r="I18" s="4">
        <f>I6*IncState!I17</f>
        <v>13889.790118073894</v>
      </c>
      <c r="J18" s="4">
        <f>J6*IncState!J17</f>
        <v>15509.868553801209</v>
      </c>
      <c r="K18" s="4">
        <f>K6*IncState!K17</f>
        <v>17318.909825942686</v>
      </c>
      <c r="L18" s="4">
        <f>L6*IncState!L17</f>
        <v>19338.954196721596</v>
      </c>
      <c r="M18" s="4">
        <f>M6*IncState!M17</f>
        <v>21594.612662205422</v>
      </c>
    </row>
    <row r="19" spans="1:15" s="11" customFormat="1" x14ac:dyDescent="0.25">
      <c r="B19" s="11" t="s">
        <v>70</v>
      </c>
      <c r="C19" s="11">
        <f>SUM(C15:C18)</f>
        <v>26395</v>
      </c>
      <c r="D19" s="11">
        <f>SUM(D15:D18)</f>
        <v>29074</v>
      </c>
      <c r="E19" s="24">
        <f>SUM(E15:E18)</f>
        <v>29727</v>
      </c>
      <c r="F19" s="11">
        <f>SUM(F15:F18)</f>
        <v>37659.888570562442</v>
      </c>
      <c r="G19" s="11">
        <f t="shared" ref="G19:M19" si="6">SUM(G15:G18)</f>
        <v>49855.95472994585</v>
      </c>
      <c r="H19" s="11">
        <f t="shared" si="6"/>
        <v>60732.563949796066</v>
      </c>
      <c r="I19" s="11">
        <f t="shared" si="6"/>
        <v>75931.794881275549</v>
      </c>
      <c r="J19" s="11">
        <f t="shared" si="6"/>
        <v>87054.636997721318</v>
      </c>
      <c r="K19" s="11">
        <f t="shared" si="6"/>
        <v>106676.95978018107</v>
      </c>
      <c r="L19" s="11">
        <f t="shared" si="6"/>
        <v>129221.56116337699</v>
      </c>
      <c r="M19" s="11">
        <f t="shared" si="6"/>
        <v>155289.21540109933</v>
      </c>
    </row>
    <row r="20" spans="1:15" x14ac:dyDescent="0.25">
      <c r="A20" s="7"/>
      <c r="E20" s="27"/>
      <c r="I20" s="4"/>
      <c r="J20" s="4"/>
    </row>
    <row r="21" spans="1:15" x14ac:dyDescent="0.25">
      <c r="B21" s="4" t="s">
        <v>71</v>
      </c>
      <c r="C21" s="188">
        <f>3702+2890</f>
        <v>6592</v>
      </c>
      <c r="D21" s="188">
        <f>3689+2366</f>
        <v>6055</v>
      </c>
      <c r="E21" s="189">
        <f>2157+3236</f>
        <v>5393</v>
      </c>
      <c r="F21" s="4">
        <f>Calcs!F9</f>
        <v>4542.8195486485374</v>
      </c>
      <c r="G21" s="4">
        <f>Calcs!G9</f>
        <v>4071.0735009398259</v>
      </c>
      <c r="H21" s="4">
        <f>Calcs!H9</f>
        <v>3867.6979640235427</v>
      </c>
      <c r="I21" s="4">
        <f>Calcs!I9</f>
        <v>3859.5797344028524</v>
      </c>
      <c r="J21" s="4">
        <f>Calcs!J9</f>
        <v>3998.7908149951168</v>
      </c>
      <c r="K21" s="4">
        <f>Calcs!K9</f>
        <v>4254.640932812852</v>
      </c>
      <c r="L21" s="4">
        <f>Calcs!L9</f>
        <v>4608.3175691001315</v>
      </c>
      <c r="M21" s="4">
        <f>Calcs!M9</f>
        <v>5049.2805676711359</v>
      </c>
    </row>
    <row r="22" spans="1:15" x14ac:dyDescent="0.25">
      <c r="B22" s="4" t="s">
        <v>160</v>
      </c>
      <c r="C22" s="188">
        <f>48568+7125</f>
        <v>55693</v>
      </c>
      <c r="D22" s="188">
        <f>48620+5278</f>
        <v>53898</v>
      </c>
      <c r="E22" s="189">
        <f>51283+4428</f>
        <v>55711</v>
      </c>
      <c r="F22" s="129">
        <f>E22-IncState!F24</f>
        <v>54189</v>
      </c>
      <c r="G22" s="129">
        <f>F22-IncState!G24</f>
        <v>53042</v>
      </c>
      <c r="H22" s="129">
        <f>G22-IncState!H24</f>
        <v>52297</v>
      </c>
      <c r="I22" s="129">
        <f>H22-IncState!I24</f>
        <v>51719</v>
      </c>
      <c r="J22" s="129">
        <f>I22-IncState!J24</f>
        <v>51425</v>
      </c>
      <c r="K22" s="129">
        <f>J22-IncState!K24</f>
        <v>51283</v>
      </c>
      <c r="L22" s="129">
        <f>K22-IncState!L24</f>
        <v>51283</v>
      </c>
      <c r="M22" s="129">
        <f>L22-IncState!M24</f>
        <v>51283</v>
      </c>
      <c r="N22" s="129"/>
      <c r="O22" s="129"/>
    </row>
    <row r="23" spans="1:15" x14ac:dyDescent="0.25">
      <c r="B23" s="4" t="s">
        <v>161</v>
      </c>
      <c r="C23" s="188">
        <v>4672</v>
      </c>
      <c r="D23" s="188">
        <v>4848</v>
      </c>
      <c r="E23" s="189">
        <v>4852</v>
      </c>
      <c r="F23" s="4">
        <f>F8</f>
        <v>4852</v>
      </c>
      <c r="G23" s="4">
        <f t="shared" ref="G23:M23" si="7">G8</f>
        <v>4852</v>
      </c>
      <c r="H23" s="4">
        <f t="shared" si="7"/>
        <v>4852</v>
      </c>
      <c r="I23" s="4">
        <f t="shared" si="7"/>
        <v>4852</v>
      </c>
      <c r="J23" s="4">
        <f t="shared" si="7"/>
        <v>4852</v>
      </c>
      <c r="K23" s="4">
        <f t="shared" si="7"/>
        <v>4852</v>
      </c>
      <c r="L23" s="4">
        <f t="shared" si="7"/>
        <v>4852</v>
      </c>
      <c r="M23" s="4">
        <f t="shared" si="7"/>
        <v>4852</v>
      </c>
    </row>
    <row r="24" spans="1:15" x14ac:dyDescent="0.25">
      <c r="B24" s="4" t="s">
        <v>163</v>
      </c>
      <c r="C24" s="188">
        <f>2800+2697</f>
        <v>5497</v>
      </c>
      <c r="D24" s="188">
        <f>3433+2515</f>
        <v>5948</v>
      </c>
      <c r="E24" s="189">
        <f>4770+2475</f>
        <v>7245</v>
      </c>
      <c r="F24" s="4">
        <f>F7*IncState!F17</f>
        <v>8090.0428816466547</v>
      </c>
      <c r="G24" s="4">
        <f>G7*IncState!G17</f>
        <v>9033.64994159858</v>
      </c>
      <c r="H24" s="4">
        <f>H7*IncState!H17</f>
        <v>10087.317516261879</v>
      </c>
      <c r="I24" s="4">
        <f>I7*IncState!I17</f>
        <v>11263.882852635477</v>
      </c>
      <c r="J24" s="4">
        <f>J7*IncState!J17</f>
        <v>12577.680509546648</v>
      </c>
      <c r="K24" s="4">
        <f>K7*IncState!K17</f>
        <v>14044.717001226189</v>
      </c>
      <c r="L24" s="4">
        <f>L7*IncState!L17</f>
        <v>15682.865810974699</v>
      </c>
      <c r="M24" s="4">
        <f>M7*IncState!M17</f>
        <v>17512.085150848248</v>
      </c>
    </row>
    <row r="25" spans="1:15" s="11" customFormat="1" x14ac:dyDescent="0.25">
      <c r="B25" s="11" t="s">
        <v>72</v>
      </c>
      <c r="C25" s="11">
        <f>SUM(C21:C24)</f>
        <v>72454</v>
      </c>
      <c r="D25" s="11">
        <f>SUM(D21:D24)</f>
        <v>70749</v>
      </c>
      <c r="E25" s="24">
        <f>SUM(E21:E24)</f>
        <v>73201</v>
      </c>
      <c r="F25" s="11">
        <f>SUM(F21:F24)</f>
        <v>71673.862430295194</v>
      </c>
      <c r="G25" s="11">
        <f t="shared" ref="G25:M25" si="8">SUM(G21:G24)</f>
        <v>70998.723442538409</v>
      </c>
      <c r="H25" s="11">
        <f t="shared" si="8"/>
        <v>71104.015480285423</v>
      </c>
      <c r="I25" s="11">
        <f t="shared" si="8"/>
        <v>71694.462587038332</v>
      </c>
      <c r="J25" s="11">
        <f t="shared" si="8"/>
        <v>72853.471324541766</v>
      </c>
      <c r="K25" s="11">
        <f t="shared" si="8"/>
        <v>74434.357934039042</v>
      </c>
      <c r="L25" s="11">
        <f t="shared" si="8"/>
        <v>76426.183380074828</v>
      </c>
      <c r="M25" s="11">
        <f t="shared" si="8"/>
        <v>78696.365718519388</v>
      </c>
    </row>
    <row r="26" spans="1:15" x14ac:dyDescent="0.25">
      <c r="E26" s="27"/>
      <c r="I26" s="4"/>
      <c r="J26" s="4"/>
    </row>
    <row r="27" spans="1:15" s="11" customFormat="1" x14ac:dyDescent="0.25">
      <c r="A27" s="11" t="s">
        <v>123</v>
      </c>
      <c r="B27" s="17" t="s">
        <v>73</v>
      </c>
      <c r="C27" s="18">
        <f>SUM(C25,C19)</f>
        <v>98849</v>
      </c>
      <c r="D27" s="18">
        <f>SUM(D25,D19)</f>
        <v>99823</v>
      </c>
      <c r="E27" s="18">
        <f>SUM(E25,E19)</f>
        <v>102928</v>
      </c>
      <c r="F27" s="18">
        <f>SUM(F25,F19)</f>
        <v>109333.75100085764</v>
      </c>
      <c r="G27" s="18">
        <f t="shared" ref="G27:M27" si="9">SUM(G25,G19)</f>
        <v>120854.67817248426</v>
      </c>
      <c r="H27" s="18">
        <f t="shared" si="9"/>
        <v>131836.57943008147</v>
      </c>
      <c r="I27" s="18">
        <f t="shared" si="9"/>
        <v>147626.25746831388</v>
      </c>
      <c r="J27" s="18">
        <f t="shared" si="9"/>
        <v>159908.10832226308</v>
      </c>
      <c r="K27" s="18">
        <f t="shared" si="9"/>
        <v>181111.31771422012</v>
      </c>
      <c r="L27" s="18">
        <f t="shared" si="9"/>
        <v>205647.74454345182</v>
      </c>
      <c r="M27" s="18">
        <f t="shared" si="9"/>
        <v>233985.58111961873</v>
      </c>
    </row>
    <row r="28" spans="1:15" x14ac:dyDescent="0.25">
      <c r="A28" s="11"/>
      <c r="E28" s="27"/>
      <c r="I28" s="4"/>
      <c r="J28" s="4"/>
      <c r="N28" s="6"/>
      <c r="O28" s="6"/>
    </row>
    <row r="29" spans="1:15" x14ac:dyDescent="0.25">
      <c r="B29" s="4" t="s">
        <v>74</v>
      </c>
      <c r="C29" s="9">
        <v>1182</v>
      </c>
      <c r="D29" s="9">
        <v>999</v>
      </c>
      <c r="E29" s="45">
        <v>0</v>
      </c>
      <c r="F29" s="319">
        <f>MIN(CashFlow!F23,0)</f>
        <v>0</v>
      </c>
      <c r="G29" s="319">
        <f>MIN(CashFlow!G23,0)</f>
        <v>0</v>
      </c>
      <c r="H29" s="319">
        <f>MIN(CashFlow!H23,0)</f>
        <v>0</v>
      </c>
      <c r="I29" s="319">
        <f>MIN(CashFlow!I23,0)</f>
        <v>0</v>
      </c>
      <c r="J29" s="319">
        <f>MIN(CashFlow!J23,0)</f>
        <v>0</v>
      </c>
      <c r="K29" s="319">
        <f>MIN(CashFlow!K23,0)</f>
        <v>0</v>
      </c>
      <c r="L29" s="319">
        <f>MIN(CashFlow!L23,0)</f>
        <v>0</v>
      </c>
      <c r="M29" s="319">
        <f>MIN(CashFlow!M23,0)</f>
        <v>0</v>
      </c>
    </row>
    <row r="30" spans="1:15" x14ac:dyDescent="0.25">
      <c r="B30" s="4" t="s">
        <v>151</v>
      </c>
      <c r="C30" s="188">
        <v>6743</v>
      </c>
      <c r="D30" s="9">
        <v>6111</v>
      </c>
      <c r="E30" s="45">
        <v>6658</v>
      </c>
      <c r="F30" s="4">
        <f>F10*IncState!F18</f>
        <v>7434.5763293310447</v>
      </c>
      <c r="G30" s="4">
        <f>G10*IncState!G18</f>
        <v>8301.7310298362099</v>
      </c>
      <c r="H30" s="4">
        <f>H10*IncState!H18</f>
        <v>9270.0289887193358</v>
      </c>
      <c r="I30" s="4">
        <f>I10*IncState!I18</f>
        <v>10351.26736133154</v>
      </c>
      <c r="J30" s="4">
        <f>J10*IncState!J18</f>
        <v>11558.619300560606</v>
      </c>
      <c r="K30" s="4">
        <f>K10*IncState!K18</f>
        <v>12906.79445054023</v>
      </c>
      <c r="L30" s="4">
        <f>L10*IncState!L18</f>
        <v>14412.218160037204</v>
      </c>
      <c r="M30" s="4">
        <f>M10*IncState!M18</f>
        <v>16093.231598943774</v>
      </c>
    </row>
    <row r="31" spans="1:15" x14ac:dyDescent="0.25">
      <c r="B31" s="4" t="s">
        <v>75</v>
      </c>
      <c r="C31" s="188">
        <f>17376+590</f>
        <v>17966</v>
      </c>
      <c r="D31" s="9">
        <f>518+19003</f>
        <v>19521</v>
      </c>
      <c r="E31" s="45">
        <f>20743+579</f>
        <v>21322</v>
      </c>
      <c r="F31" s="4">
        <f>F11*IncState!F17</f>
        <v>23808.957118353344</v>
      </c>
      <c r="G31" s="4">
        <f>G11*IncState!G17</f>
        <v>26585.988137303651</v>
      </c>
      <c r="H31" s="4">
        <f>H11*IncState!H17</f>
        <v>29686.926719356219</v>
      </c>
      <c r="I31" s="4">
        <f>I11*IncState!I17</f>
        <v>33149.552820413206</v>
      </c>
      <c r="J31" s="4">
        <f>J11*IncState!J17</f>
        <v>37016.052977854197</v>
      </c>
      <c r="K31" s="4">
        <f>K11*IncState!K17</f>
        <v>41333.534285734277</v>
      </c>
      <c r="L31" s="4">
        <f>L11*IncState!L17</f>
        <v>46154.598319061777</v>
      </c>
      <c r="M31" s="4">
        <f>M11*IncState!M17</f>
        <v>51537.981999501229</v>
      </c>
    </row>
    <row r="32" spans="1:15" s="11" customFormat="1" x14ac:dyDescent="0.25">
      <c r="B32" s="11" t="s">
        <v>76</v>
      </c>
      <c r="C32" s="11">
        <f t="shared" ref="C32:E32" si="10">SUM(C29:C31)</f>
        <v>25891</v>
      </c>
      <c r="D32" s="11">
        <f t="shared" si="10"/>
        <v>26631</v>
      </c>
      <c r="E32" s="24">
        <f t="shared" si="10"/>
        <v>27980</v>
      </c>
      <c r="F32" s="11">
        <f>SUM(F29:F31)</f>
        <v>31243.533447684389</v>
      </c>
      <c r="G32" s="11">
        <f t="shared" ref="G32:M32" si="11">SUM(G29:G31)</f>
        <v>34887.719167139861</v>
      </c>
      <c r="H32" s="11">
        <f t="shared" si="11"/>
        <v>38956.955708075555</v>
      </c>
      <c r="I32" s="11">
        <f t="shared" si="11"/>
        <v>43500.820181744748</v>
      </c>
      <c r="J32" s="11">
        <f t="shared" si="11"/>
        <v>48574.672278414801</v>
      </c>
      <c r="K32" s="11">
        <f t="shared" si="11"/>
        <v>54240.328736274503</v>
      </c>
      <c r="L32" s="11">
        <f t="shared" si="11"/>
        <v>60566.816479098983</v>
      </c>
      <c r="M32" s="11">
        <f t="shared" si="11"/>
        <v>67631.213598445</v>
      </c>
    </row>
    <row r="33" spans="1:15" x14ac:dyDescent="0.25">
      <c r="B33" s="11"/>
      <c r="E33" s="27"/>
      <c r="I33" s="4"/>
      <c r="J33" s="4"/>
    </row>
    <row r="34" spans="1:15" x14ac:dyDescent="0.25">
      <c r="B34" s="4" t="s">
        <v>77</v>
      </c>
      <c r="C34" s="188">
        <v>9419</v>
      </c>
      <c r="D34" s="9">
        <v>8427</v>
      </c>
      <c r="E34" s="45">
        <v>8433</v>
      </c>
      <c r="F34" s="4">
        <f>Debt!F26</f>
        <v>8433</v>
      </c>
      <c r="G34" s="4">
        <f>Debt!G26</f>
        <v>8433</v>
      </c>
      <c r="H34" s="4">
        <f>Debt!H26</f>
        <v>5933</v>
      </c>
      <c r="I34" s="4">
        <f>Debt!I26</f>
        <v>6000</v>
      </c>
      <c r="J34" s="4">
        <f>Debt!J26</f>
        <v>0</v>
      </c>
      <c r="K34" s="4">
        <f>Debt!K26</f>
        <v>0</v>
      </c>
      <c r="L34" s="4">
        <f>Debt!L26</f>
        <v>0</v>
      </c>
      <c r="M34" s="4">
        <f>Debt!M26</f>
        <v>0</v>
      </c>
    </row>
    <row r="35" spans="1:15" x14ac:dyDescent="0.25">
      <c r="B35" s="4" t="s">
        <v>78</v>
      </c>
      <c r="C35" s="188">
        <f>2897+2283</f>
        <v>5180</v>
      </c>
      <c r="D35" s="9">
        <f>2644+2475</f>
        <v>5119</v>
      </c>
      <c r="E35" s="45">
        <f>2380+2962</f>
        <v>5342</v>
      </c>
      <c r="F35" s="4">
        <f>F12*IncState!F17</f>
        <v>5965.0806174957124</v>
      </c>
      <c r="G35" s="4">
        <f>G12*IncState!G17</f>
        <v>6660.8361612173385</v>
      </c>
      <c r="H35" s="4">
        <f>H12*IncState!H17</f>
        <v>7437.7432949442327</v>
      </c>
      <c r="I35" s="4">
        <f>I12*IncState!I17</f>
        <v>8305.2673842344684</v>
      </c>
      <c r="J35" s="4">
        <f>J12*IncState!J17</f>
        <v>9273.9778167009244</v>
      </c>
      <c r="K35" s="4">
        <f>K12*IncState!K17</f>
        <v>10355.676773022817</v>
      </c>
      <c r="L35" s="4">
        <f>L12*IncState!L17</f>
        <v>11563.543017560642</v>
      </c>
      <c r="M35" s="4">
        <f>M12*IncState!M17</f>
        <v>12912.292460432211</v>
      </c>
    </row>
    <row r="36" spans="1:15" x14ac:dyDescent="0.25">
      <c r="B36" s="11" t="s">
        <v>79</v>
      </c>
      <c r="C36" s="11">
        <f t="shared" ref="C36:E36" si="12">SUM(C34:C35)</f>
        <v>14599</v>
      </c>
      <c r="D36" s="11">
        <f t="shared" si="12"/>
        <v>13546</v>
      </c>
      <c r="E36" s="24">
        <f t="shared" si="12"/>
        <v>13775</v>
      </c>
      <c r="F36" s="11">
        <f>SUM(F34:F35)</f>
        <v>14398.080617495712</v>
      </c>
      <c r="G36" s="11">
        <f t="shared" ref="G36:M36" si="13">SUM(G34:G35)</f>
        <v>15093.836161217339</v>
      </c>
      <c r="H36" s="11">
        <f t="shared" si="13"/>
        <v>13370.743294944234</v>
      </c>
      <c r="I36" s="11">
        <f t="shared" si="13"/>
        <v>14305.267384234468</v>
      </c>
      <c r="J36" s="11">
        <f t="shared" si="13"/>
        <v>9273.9778167009244</v>
      </c>
      <c r="K36" s="11">
        <f t="shared" si="13"/>
        <v>10355.676773022817</v>
      </c>
      <c r="L36" s="11">
        <f t="shared" si="13"/>
        <v>11563.543017560642</v>
      </c>
      <c r="M36" s="11">
        <f t="shared" si="13"/>
        <v>12912.292460432211</v>
      </c>
      <c r="N36" s="11"/>
      <c r="O36" s="11"/>
    </row>
    <row r="37" spans="1:15" x14ac:dyDescent="0.25">
      <c r="E37" s="27"/>
      <c r="I37" s="4"/>
      <c r="J37" s="4"/>
    </row>
    <row r="38" spans="1:15" x14ac:dyDescent="0.25">
      <c r="B38" s="4" t="s">
        <v>17</v>
      </c>
      <c r="C38" s="190">
        <v>58359</v>
      </c>
      <c r="D38" s="190">
        <v>59646</v>
      </c>
      <c r="E38" s="221">
        <v>61173</v>
      </c>
      <c r="F38" s="4">
        <f>Calcs!F17</f>
        <v>63692.136935677539</v>
      </c>
      <c r="G38" s="4">
        <f>Calcs!G17</f>
        <v>70873.122844127065</v>
      </c>
      <c r="H38" s="4">
        <f>Calcs!H17</f>
        <v>79508.880427061711</v>
      </c>
      <c r="I38" s="4">
        <f>Calcs!I17</f>
        <v>89820.169902334674</v>
      </c>
      <c r="J38" s="4">
        <f>Calcs!J17</f>
        <v>102059.45822714736</v>
      </c>
      <c r="K38" s="4">
        <f>Calcs!K17</f>
        <v>116515.3122049228</v>
      </c>
      <c r="L38" s="4">
        <f>Calcs!L17</f>
        <v>133517.38504679219</v>
      </c>
      <c r="M38" s="4">
        <f>Calcs!M17</f>
        <v>153442.07506074151</v>
      </c>
    </row>
    <row r="39" spans="1:15" s="11" customFormat="1" x14ac:dyDescent="0.25">
      <c r="A39" s="11" t="s">
        <v>123</v>
      </c>
      <c r="B39" s="17" t="s">
        <v>80</v>
      </c>
      <c r="C39" s="18">
        <f>SUM(C38,C36,C32)</f>
        <v>98849</v>
      </c>
      <c r="D39" s="18">
        <f>SUM(D38,D36,D32)</f>
        <v>99823</v>
      </c>
      <c r="E39" s="18">
        <f t="shared" ref="E39:F39" si="14">SUM(E38,E36,E32)</f>
        <v>102928</v>
      </c>
      <c r="F39" s="18">
        <f t="shared" si="14"/>
        <v>109333.75100085764</v>
      </c>
      <c r="G39" s="18">
        <f t="shared" ref="G39:M39" si="15">SUM(G38,G36,G32)</f>
        <v>120854.67817248426</v>
      </c>
      <c r="H39" s="18">
        <f t="shared" si="15"/>
        <v>131836.5794300815</v>
      </c>
      <c r="I39" s="18">
        <f t="shared" si="15"/>
        <v>147626.25746831388</v>
      </c>
      <c r="J39" s="18">
        <f t="shared" si="15"/>
        <v>159908.10832226308</v>
      </c>
      <c r="K39" s="18">
        <f t="shared" si="15"/>
        <v>181111.31771422012</v>
      </c>
      <c r="L39" s="18">
        <f t="shared" si="15"/>
        <v>205647.74454345182</v>
      </c>
      <c r="M39" s="18">
        <f t="shared" si="15"/>
        <v>233985.58111961873</v>
      </c>
    </row>
    <row r="40" spans="1:15" x14ac:dyDescent="0.25">
      <c r="E40" s="27"/>
      <c r="I40" s="4"/>
      <c r="J40" s="4"/>
      <c r="N40" s="6"/>
      <c r="O40" s="6"/>
    </row>
    <row r="41" spans="1:15" x14ac:dyDescent="0.25">
      <c r="A41" s="4" t="s">
        <v>123</v>
      </c>
      <c r="B41" s="11" t="s">
        <v>81</v>
      </c>
      <c r="C41" s="46">
        <f>C39-C27</f>
        <v>0</v>
      </c>
      <c r="D41" s="46">
        <f t="shared" ref="D41:J41" si="16">D39-D27</f>
        <v>0</v>
      </c>
      <c r="E41" s="151">
        <f t="shared" si="16"/>
        <v>0</v>
      </c>
      <c r="F41" s="46">
        <f t="shared" si="16"/>
        <v>0</v>
      </c>
      <c r="G41" s="46">
        <f t="shared" ref="G41:M41" si="17">G39-G27</f>
        <v>0</v>
      </c>
      <c r="H41" s="46">
        <f t="shared" si="17"/>
        <v>0</v>
      </c>
      <c r="I41" s="46">
        <f t="shared" si="17"/>
        <v>0</v>
      </c>
      <c r="J41" s="46">
        <f t="shared" si="17"/>
        <v>0</v>
      </c>
      <c r="K41" s="46">
        <f t="shared" si="17"/>
        <v>0</v>
      </c>
      <c r="L41" s="46">
        <f t="shared" si="17"/>
        <v>0</v>
      </c>
      <c r="M41" s="46">
        <f t="shared" si="17"/>
        <v>0</v>
      </c>
      <c r="N41" s="46"/>
      <c r="O41" s="46"/>
    </row>
    <row r="42" spans="1:15" x14ac:dyDescent="0.25">
      <c r="I42" s="4"/>
      <c r="J42" s="4"/>
    </row>
    <row r="43" spans="1:15" x14ac:dyDescent="0.25">
      <c r="H43" s="6"/>
    </row>
    <row r="44" spans="1:15" x14ac:dyDescent="0.25">
      <c r="H44" s="6"/>
    </row>
    <row r="45" spans="1:15" x14ac:dyDescent="0.25">
      <c r="H45" s="6"/>
    </row>
    <row r="46" spans="1:15" x14ac:dyDescent="0.25">
      <c r="H46" s="6"/>
    </row>
    <row r="47" spans="1:15" x14ac:dyDescent="0.25">
      <c r="H47" s="6"/>
    </row>
    <row r="48" spans="1:15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</sheetData>
  <conditionalFormatting sqref="F4:O13">
    <cfRule type="expression" dxfId="0" priority="35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O23"/>
  <sheetViews>
    <sheetView showGridLines="0" topLeftCell="C1" zoomScaleNormal="100" workbookViewId="0">
      <selection activeCell="F23" sqref="F4:M23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13" width="11.7109375" style="4" customWidth="1"/>
    <col min="14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5" s="2" customFormat="1" ht="19.5" x14ac:dyDescent="0.3">
      <c r="A1" s="260" t="str">
        <f>CoName</f>
        <v>Salesforce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/>
      <c r="O1" s="41"/>
    </row>
    <row r="2" spans="1:15" s="2" customFormat="1" x14ac:dyDescent="0.25">
      <c r="A2" s="178" t="s">
        <v>82</v>
      </c>
      <c r="B2" s="179"/>
      <c r="C2" s="184">
        <v>2023</v>
      </c>
      <c r="D2" s="184">
        <f>C2+1</f>
        <v>2024</v>
      </c>
      <c r="E2" s="184">
        <f t="shared" ref="E2:M2" si="0">D2+1</f>
        <v>2025</v>
      </c>
      <c r="F2" s="184">
        <f t="shared" si="0"/>
        <v>2026</v>
      </c>
      <c r="G2" s="184">
        <f t="shared" si="0"/>
        <v>2027</v>
      </c>
      <c r="H2" s="184">
        <f t="shared" si="0"/>
        <v>2028</v>
      </c>
      <c r="I2" s="184">
        <f t="shared" si="0"/>
        <v>2029</v>
      </c>
      <c r="J2" s="184">
        <f t="shared" si="0"/>
        <v>2030</v>
      </c>
      <c r="K2" s="184">
        <f t="shared" si="0"/>
        <v>2031</v>
      </c>
      <c r="L2" s="184">
        <f t="shared" si="0"/>
        <v>2032</v>
      </c>
      <c r="M2" s="184">
        <f t="shared" si="0"/>
        <v>2033</v>
      </c>
      <c r="N2" s="208"/>
      <c r="O2" s="208"/>
    </row>
    <row r="3" spans="1:15" x14ac:dyDescent="0.25">
      <c r="B3" s="4" t="s">
        <v>156</v>
      </c>
      <c r="F3" s="4">
        <f>IncState!F36</f>
        <v>7456.1369356775331</v>
      </c>
      <c r="G3" s="4">
        <f>IncState!G36</f>
        <v>8717.9859084495238</v>
      </c>
      <c r="H3" s="4">
        <f>IncState!H36</f>
        <v>10172.757582934644</v>
      </c>
      <c r="I3" s="4">
        <f>IncState!I36</f>
        <v>11848.289475272964</v>
      </c>
      <c r="J3" s="4">
        <f>IncState!J36</f>
        <v>13776.288324812693</v>
      </c>
      <c r="K3" s="4">
        <f>IncState!K36</f>
        <v>15992.853977775438</v>
      </c>
      <c r="L3" s="4">
        <f>IncState!L36</f>
        <v>18539.072841869387</v>
      </c>
      <c r="M3" s="4">
        <f>IncState!M36</f>
        <v>21461.690013949323</v>
      </c>
    </row>
    <row r="4" spans="1:15" x14ac:dyDescent="0.25">
      <c r="B4" s="4" t="s">
        <v>15</v>
      </c>
      <c r="F4" s="4">
        <f>IncState!F23</f>
        <v>1741.2576383154417</v>
      </c>
      <c r="G4" s="4">
        <f>IncState!G23</f>
        <v>1466.7567659137721</v>
      </c>
      <c r="H4" s="4">
        <f>IncState!H23</f>
        <v>1314.4423937799106</v>
      </c>
      <c r="I4" s="4">
        <f>IncState!I23</f>
        <v>1248.7777902008299</v>
      </c>
      <c r="J4" s="4">
        <f>IncState!J23</f>
        <v>1246.1566277056277</v>
      </c>
      <c r="K4" s="4">
        <f>IncState!K23</f>
        <v>1291.1042185492076</v>
      </c>
      <c r="L4" s="4">
        <f>IncState!L23</f>
        <v>1373.711482022977</v>
      </c>
      <c r="M4" s="4">
        <f>IncState!M23</f>
        <v>1487.9043513774991</v>
      </c>
    </row>
    <row r="5" spans="1:15" x14ac:dyDescent="0.25">
      <c r="B5" s="4" t="s">
        <v>54</v>
      </c>
      <c r="F5" s="4">
        <f>IncState!F24</f>
        <v>1522</v>
      </c>
      <c r="G5" s="4">
        <f>IncState!G24</f>
        <v>1147</v>
      </c>
      <c r="H5" s="4">
        <f>IncState!H24</f>
        <v>745</v>
      </c>
      <c r="I5" s="4">
        <f>IncState!I24</f>
        <v>578</v>
      </c>
      <c r="J5" s="4">
        <f>IncState!J24</f>
        <v>294</v>
      </c>
      <c r="K5" s="4">
        <f>IncState!K24</f>
        <v>142</v>
      </c>
      <c r="L5" s="4">
        <f>IncState!L24</f>
        <v>0</v>
      </c>
      <c r="M5" s="4">
        <f>IncState!M24</f>
        <v>0</v>
      </c>
    </row>
    <row r="6" spans="1:15" x14ac:dyDescent="0.25">
      <c r="B6" s="4" t="s">
        <v>88</v>
      </c>
      <c r="F6" s="4">
        <f>Calcs!F25</f>
        <v>607.2469982847324</v>
      </c>
      <c r="G6" s="4">
        <f>Calcs!G25</f>
        <v>678.0751215838136</v>
      </c>
      <c r="H6" s="4">
        <f>Calcs!H25</f>
        <v>757.16450111673839</v>
      </c>
      <c r="I6" s="4">
        <f>Calcs!I25</f>
        <v>845.47871393997048</v>
      </c>
      <c r="J6" s="4">
        <f>Calcs!J25</f>
        <v>944.09372688664735</v>
      </c>
      <c r="K6" s="4">
        <f>Calcs!K25</f>
        <v>1054.2110054943623</v>
      </c>
      <c r="L6" s="4">
        <f>Calcs!L25</f>
        <v>1177.1721519328057</v>
      </c>
      <c r="M6" s="4">
        <f>Calcs!M25</f>
        <v>1314.47525027144</v>
      </c>
    </row>
    <row r="7" spans="1:15" x14ac:dyDescent="0.25">
      <c r="B7" s="4" t="s">
        <v>223</v>
      </c>
      <c r="F7" s="4">
        <f>BalSheet!E24-BalSheet!F24</f>
        <v>-845.04288164665468</v>
      </c>
      <c r="G7" s="4">
        <f>BalSheet!F24-BalSheet!G24</f>
        <v>-943.60705995192529</v>
      </c>
      <c r="H7" s="4">
        <f>BalSheet!G24-BalSheet!H24</f>
        <v>-1053.6675746632991</v>
      </c>
      <c r="I7" s="4">
        <f>BalSheet!H24-BalSheet!I24</f>
        <v>-1176.5653363735983</v>
      </c>
      <c r="J7" s="4">
        <f>BalSheet!I24-BalSheet!J24</f>
        <v>-1313.7976569111706</v>
      </c>
      <c r="K7" s="4">
        <f>BalSheet!J24-BalSheet!K24</f>
        <v>-1467.0364916795406</v>
      </c>
      <c r="L7" s="4">
        <f>BalSheet!K24-BalSheet!L24</f>
        <v>-1638.1488097485108</v>
      </c>
      <c r="M7" s="4">
        <f>BalSheet!L24-BalSheet!M24</f>
        <v>-1829.219339873549</v>
      </c>
    </row>
    <row r="8" spans="1:15" x14ac:dyDescent="0.25">
      <c r="B8" s="4" t="s">
        <v>224</v>
      </c>
      <c r="F8" s="4">
        <f>BalSheet!F35-BalSheet!E35</f>
        <v>623.08061749571243</v>
      </c>
      <c r="G8" s="4">
        <f>BalSheet!G35-BalSheet!F35</f>
        <v>695.75554372162605</v>
      </c>
      <c r="H8" s="4">
        <f>BalSheet!H35-BalSheet!G35</f>
        <v>776.90713372689424</v>
      </c>
      <c r="I8" s="4">
        <f>BalSheet!I35-BalSheet!H35</f>
        <v>867.52408929023568</v>
      </c>
      <c r="J8" s="4">
        <f>BalSheet!J35-BalSheet!I35</f>
        <v>968.71043246645604</v>
      </c>
      <c r="K8" s="4">
        <f>BalSheet!K35-BalSheet!J35</f>
        <v>1081.6989563218922</v>
      </c>
      <c r="L8" s="4">
        <f>BalSheet!L35-BalSheet!K35</f>
        <v>1207.866244537825</v>
      </c>
      <c r="M8" s="4">
        <f>BalSheet!M35-BalSheet!L35</f>
        <v>1348.749442871569</v>
      </c>
    </row>
    <row r="9" spans="1:15" s="11" customFormat="1" x14ac:dyDescent="0.25">
      <c r="B9" s="11" t="s">
        <v>225</v>
      </c>
      <c r="F9" s="11">
        <f>SUM(F3:F8)</f>
        <v>11104.679308126766</v>
      </c>
      <c r="G9" s="11">
        <f t="shared" ref="G9:M9" si="1">SUM(G3:G8)</f>
        <v>11761.966279716809</v>
      </c>
      <c r="H9" s="11">
        <f t="shared" si="1"/>
        <v>12712.604036894889</v>
      </c>
      <c r="I9" s="11">
        <f t="shared" si="1"/>
        <v>14211.504732330402</v>
      </c>
      <c r="J9" s="11">
        <f t="shared" si="1"/>
        <v>15915.451454960254</v>
      </c>
      <c r="K9" s="11">
        <f t="shared" si="1"/>
        <v>18094.831666461359</v>
      </c>
      <c r="L9" s="11">
        <f t="shared" si="1"/>
        <v>20659.673910614485</v>
      </c>
      <c r="M9" s="11">
        <f t="shared" si="1"/>
        <v>23783.599718596281</v>
      </c>
    </row>
    <row r="10" spans="1:15" x14ac:dyDescent="0.25">
      <c r="I10" s="4"/>
      <c r="J10" s="4"/>
    </row>
    <row r="11" spans="1:15" x14ac:dyDescent="0.25">
      <c r="B11" s="4" t="s">
        <v>14</v>
      </c>
      <c r="F11" s="4">
        <f>Calcs!F7*-1</f>
        <v>-891.07718696397944</v>
      </c>
      <c r="G11" s="4">
        <f>Calcs!G7*-1</f>
        <v>-995.01071820506104</v>
      </c>
      <c r="H11" s="4">
        <f>Calcs!H7*-1</f>
        <v>-1111.0668568636274</v>
      </c>
      <c r="I11" s="4">
        <f>Calcs!I7*-1</f>
        <v>-1240.6595605801397</v>
      </c>
      <c r="J11" s="4">
        <f>Calcs!J7*-1</f>
        <v>-1385.3677082978918</v>
      </c>
      <c r="K11" s="4">
        <f>Calcs!K7*-1</f>
        <v>-1546.9543363669427</v>
      </c>
      <c r="L11" s="4">
        <f>Calcs!L7*-1</f>
        <v>-1727.3881183102569</v>
      </c>
      <c r="M11" s="4">
        <f>Calcs!M7*-1</f>
        <v>-1928.867349948503</v>
      </c>
    </row>
    <row r="12" spans="1:15" s="11" customFormat="1" x14ac:dyDescent="0.25">
      <c r="B12" s="11" t="s">
        <v>226</v>
      </c>
      <c r="F12" s="11">
        <f>F11</f>
        <v>-891.07718696397944</v>
      </c>
      <c r="G12" s="11">
        <f t="shared" ref="G12:M12" si="2">G11</f>
        <v>-995.01071820506104</v>
      </c>
      <c r="H12" s="11">
        <f t="shared" si="2"/>
        <v>-1111.0668568636274</v>
      </c>
      <c r="I12" s="11">
        <f t="shared" si="2"/>
        <v>-1240.6595605801397</v>
      </c>
      <c r="J12" s="11">
        <f t="shared" si="2"/>
        <v>-1385.3677082978918</v>
      </c>
      <c r="K12" s="11">
        <f t="shared" si="2"/>
        <v>-1546.9543363669427</v>
      </c>
      <c r="L12" s="11">
        <f t="shared" si="2"/>
        <v>-1727.3881183102569</v>
      </c>
      <c r="M12" s="11">
        <f t="shared" si="2"/>
        <v>-1928.867349948503</v>
      </c>
    </row>
    <row r="13" spans="1:15" x14ac:dyDescent="0.25">
      <c r="I13" s="4"/>
      <c r="J13" s="4"/>
    </row>
    <row r="14" spans="1:15" x14ac:dyDescent="0.25">
      <c r="B14" s="4" t="s">
        <v>21</v>
      </c>
      <c r="F14" s="4">
        <f>IncState!F38*-1</f>
        <v>-1537</v>
      </c>
      <c r="G14" s="4">
        <f>IncState!G38*-1</f>
        <v>-1537</v>
      </c>
      <c r="H14" s="4">
        <f>IncState!H38*-1</f>
        <v>-1537</v>
      </c>
      <c r="I14" s="4">
        <f>IncState!I38*-1</f>
        <v>-1537</v>
      </c>
      <c r="J14" s="4">
        <f>IncState!J38*-1</f>
        <v>-1537</v>
      </c>
      <c r="K14" s="4">
        <f>IncState!K38*-1</f>
        <v>-1537</v>
      </c>
      <c r="L14" s="4">
        <f>IncState!L38*-1</f>
        <v>-1537</v>
      </c>
      <c r="M14" s="4">
        <f>IncState!M38*-1</f>
        <v>-1537</v>
      </c>
    </row>
    <row r="15" spans="1:15" x14ac:dyDescent="0.25">
      <c r="B15" s="4" t="s">
        <v>143</v>
      </c>
      <c r="F15" s="4">
        <f>Calcs!F11</f>
        <v>-3400</v>
      </c>
      <c r="G15" s="4">
        <f>Calcs!G11</f>
        <v>0</v>
      </c>
      <c r="H15" s="4">
        <f>Calcs!H11</f>
        <v>0</v>
      </c>
      <c r="I15" s="4">
        <f>Calcs!I11</f>
        <v>0</v>
      </c>
      <c r="J15" s="4">
        <f>Calcs!J11</f>
        <v>0</v>
      </c>
      <c r="K15" s="4">
        <f>Calcs!K11</f>
        <v>0</v>
      </c>
      <c r="L15" s="4">
        <f>Calcs!L11</f>
        <v>0</v>
      </c>
      <c r="M15" s="4">
        <f>Calcs!M11</f>
        <v>0</v>
      </c>
    </row>
    <row r="16" spans="1:15" x14ac:dyDescent="0.25">
      <c r="B16" s="4" t="s">
        <v>227</v>
      </c>
      <c r="F16" s="4">
        <f>SUM(Debt!F8:F9)</f>
        <v>0</v>
      </c>
      <c r="G16" s="4">
        <f>SUM(Debt!G8:G9)</f>
        <v>0</v>
      </c>
      <c r="H16" s="4">
        <f>SUM(Debt!H8:H9)</f>
        <v>-2500</v>
      </c>
      <c r="I16" s="4">
        <f>SUM(Debt!I8:I9)</f>
        <v>67</v>
      </c>
      <c r="J16" s="4">
        <f>SUM(Debt!J8:J9)</f>
        <v>-6000</v>
      </c>
      <c r="K16" s="4">
        <f>SUM(Debt!K8:K9)</f>
        <v>0</v>
      </c>
      <c r="L16" s="4">
        <f>SUM(Debt!L8:L9)</f>
        <v>0</v>
      </c>
      <c r="M16" s="4">
        <f>SUM(Debt!M8:M9)</f>
        <v>0</v>
      </c>
    </row>
    <row r="17" spans="2:13" s="11" customFormat="1" x14ac:dyDescent="0.25">
      <c r="B17" s="11" t="s">
        <v>228</v>
      </c>
      <c r="F17" s="11">
        <f>SUM(F14:F16)</f>
        <v>-4937</v>
      </c>
      <c r="G17" s="11">
        <f t="shared" ref="G17:M17" si="3">SUM(G14:G16)</f>
        <v>-1537</v>
      </c>
      <c r="H17" s="11">
        <f t="shared" si="3"/>
        <v>-4037</v>
      </c>
      <c r="I17" s="11">
        <f t="shared" si="3"/>
        <v>-1470</v>
      </c>
      <c r="J17" s="11">
        <f t="shared" si="3"/>
        <v>-7537</v>
      </c>
      <c r="K17" s="11">
        <f t="shared" si="3"/>
        <v>-1537</v>
      </c>
      <c r="L17" s="11">
        <f t="shared" si="3"/>
        <v>-1537</v>
      </c>
      <c r="M17" s="11">
        <f t="shared" si="3"/>
        <v>-1537</v>
      </c>
    </row>
    <row r="18" spans="2:13" x14ac:dyDescent="0.25">
      <c r="I18" s="4"/>
      <c r="J18" s="4"/>
    </row>
    <row r="19" spans="2:13" x14ac:dyDescent="0.25">
      <c r="B19" s="4" t="s">
        <v>229</v>
      </c>
      <c r="F19" s="4">
        <f>SUM(F17,F12,F9)</f>
        <v>5276.6021211627867</v>
      </c>
      <c r="G19" s="4">
        <f t="shared" ref="G19:M19" si="4">SUM(G17,G12,G9)</f>
        <v>9229.9555615117479</v>
      </c>
      <c r="H19" s="4">
        <f t="shared" si="4"/>
        <v>7564.5371800312614</v>
      </c>
      <c r="I19" s="4">
        <f t="shared" si="4"/>
        <v>11500.845171750263</v>
      </c>
      <c r="J19" s="4">
        <f t="shared" si="4"/>
        <v>6993.0837466623616</v>
      </c>
      <c r="K19" s="4">
        <f t="shared" si="4"/>
        <v>15010.877330094416</v>
      </c>
      <c r="L19" s="4">
        <f t="shared" si="4"/>
        <v>17395.285792304228</v>
      </c>
      <c r="M19" s="4">
        <f t="shared" si="4"/>
        <v>20317.732368647776</v>
      </c>
    </row>
    <row r="20" spans="2:13" x14ac:dyDescent="0.25">
      <c r="I20" s="4"/>
      <c r="J20" s="4"/>
    </row>
    <row r="21" spans="2:13" x14ac:dyDescent="0.25">
      <c r="B21" s="4" t="s">
        <v>230</v>
      </c>
      <c r="F21" s="4">
        <f>BalSheet!E16</f>
        <v>6953.25</v>
      </c>
      <c r="G21" s="4">
        <f>BalSheet!F16</f>
        <v>12229.852121162787</v>
      </c>
      <c r="H21" s="4">
        <f>BalSheet!G16</f>
        <v>21459.807682674535</v>
      </c>
      <c r="I21" s="4">
        <f>BalSheet!H16</f>
        <v>29024.344862705795</v>
      </c>
      <c r="J21" s="4">
        <f>BalSheet!I16</f>
        <v>40525.190034456056</v>
      </c>
      <c r="K21" s="4">
        <f>BalSheet!J16</f>
        <v>47518.27378111842</v>
      </c>
      <c r="L21" s="4">
        <f>BalSheet!K16</f>
        <v>62529.151111212836</v>
      </c>
      <c r="M21" s="4">
        <f>BalSheet!L16</f>
        <v>79924.436903517068</v>
      </c>
    </row>
    <row r="22" spans="2:13" x14ac:dyDescent="0.25">
      <c r="B22" s="4" t="s">
        <v>231</v>
      </c>
      <c r="F22" s="4">
        <f>F19</f>
        <v>5276.6021211627867</v>
      </c>
      <c r="G22" s="4">
        <f t="shared" ref="G22:M22" si="5">G19</f>
        <v>9229.9555615117479</v>
      </c>
      <c r="H22" s="4">
        <f t="shared" si="5"/>
        <v>7564.5371800312614</v>
      </c>
      <c r="I22" s="4">
        <f t="shared" si="5"/>
        <v>11500.845171750263</v>
      </c>
      <c r="J22" s="4">
        <f t="shared" si="5"/>
        <v>6993.0837466623616</v>
      </c>
      <c r="K22" s="4">
        <f t="shared" si="5"/>
        <v>15010.877330094416</v>
      </c>
      <c r="L22" s="4">
        <f t="shared" si="5"/>
        <v>17395.285792304228</v>
      </c>
      <c r="M22" s="4">
        <f t="shared" si="5"/>
        <v>20317.732368647776</v>
      </c>
    </row>
    <row r="23" spans="2:13" x14ac:dyDescent="0.25">
      <c r="B23" s="4" t="s">
        <v>232</v>
      </c>
      <c r="F23" s="4">
        <f>SUM(F21:F22)</f>
        <v>12229.852121162787</v>
      </c>
      <c r="G23" s="4">
        <f t="shared" ref="G23:M23" si="6">SUM(G21:G22)</f>
        <v>21459.807682674535</v>
      </c>
      <c r="H23" s="4">
        <f t="shared" si="6"/>
        <v>29024.344862705795</v>
      </c>
      <c r="I23" s="4">
        <f t="shared" si="6"/>
        <v>40525.190034456056</v>
      </c>
      <c r="J23" s="4">
        <f t="shared" si="6"/>
        <v>47518.27378111842</v>
      </c>
      <c r="K23" s="4">
        <f t="shared" si="6"/>
        <v>62529.151111212836</v>
      </c>
      <c r="L23" s="4">
        <f t="shared" si="6"/>
        <v>79924.436903517068</v>
      </c>
      <c r="M23" s="4">
        <f t="shared" si="6"/>
        <v>100242.16927216484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O30"/>
  <sheetViews>
    <sheetView showGridLines="0" zoomScaleNormal="100" workbookViewId="0">
      <selection activeCell="F15" sqref="F3:M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3" width="11.7109375" style="4" customWidth="1"/>
    <col min="14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5" s="2" customFormat="1" ht="19.5" x14ac:dyDescent="0.3">
      <c r="A1" s="260" t="str">
        <f>CoName</f>
        <v>Salesforce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/>
      <c r="O1" s="41"/>
    </row>
    <row r="2" spans="1:15" s="2" customFormat="1" ht="16.350000000000001" customHeight="1" x14ac:dyDescent="0.25">
      <c r="A2" s="178" t="s">
        <v>85</v>
      </c>
      <c r="B2" s="179"/>
      <c r="C2" s="184">
        <v>2023</v>
      </c>
      <c r="D2" s="184">
        <f>C2+1</f>
        <v>2024</v>
      </c>
      <c r="E2" s="184">
        <f t="shared" ref="E2:J2" si="0">D2+1</f>
        <v>2025</v>
      </c>
      <c r="F2" s="184">
        <f t="shared" si="0"/>
        <v>2026</v>
      </c>
      <c r="G2" s="184">
        <f t="shared" si="0"/>
        <v>2027</v>
      </c>
      <c r="H2" s="184">
        <f t="shared" si="0"/>
        <v>2028</v>
      </c>
      <c r="I2" s="184">
        <f t="shared" si="0"/>
        <v>2029</v>
      </c>
      <c r="J2" s="184">
        <f t="shared" si="0"/>
        <v>2030</v>
      </c>
      <c r="K2" s="184">
        <f t="shared" ref="K2:M2" si="1">J2+1</f>
        <v>2031</v>
      </c>
      <c r="L2" s="184">
        <f t="shared" si="1"/>
        <v>2032</v>
      </c>
      <c r="M2" s="184">
        <f t="shared" si="1"/>
        <v>2033</v>
      </c>
      <c r="N2" s="208"/>
      <c r="O2" s="208"/>
    </row>
    <row r="3" spans="1:15" x14ac:dyDescent="0.25">
      <c r="A3" s="11" t="s">
        <v>123</v>
      </c>
      <c r="B3" s="4" t="s">
        <v>86</v>
      </c>
      <c r="D3" s="240"/>
      <c r="E3" s="23"/>
      <c r="F3" s="4">
        <f>IncState!F17</f>
        <v>42315</v>
      </c>
      <c r="G3" s="4">
        <f>IncState!G17</f>
        <v>47250.540308747855</v>
      </c>
      <c r="H3" s="4">
        <f>IncState!H17</f>
        <v>52761.752557452579</v>
      </c>
      <c r="I3" s="4">
        <f>IncState!I17</f>
        <v>58915.782015268662</v>
      </c>
      <c r="J3" s="4">
        <f>IncState!J17</f>
        <v>65787.60564655214</v>
      </c>
      <c r="K3" s="4">
        <f>IncState!K17</f>
        <v>73460.945584743473</v>
      </c>
      <c r="L3" s="4">
        <f>IncState!L17</f>
        <v>82029.289152089201</v>
      </c>
      <c r="M3" s="4">
        <f>IncState!M17</f>
        <v>91597.027852504412</v>
      </c>
      <c r="N3" s="218"/>
      <c r="O3" s="218"/>
    </row>
    <row r="4" spans="1:15" x14ac:dyDescent="0.25">
      <c r="B4" s="4" t="s">
        <v>55</v>
      </c>
      <c r="E4" s="27"/>
      <c r="F4" s="4">
        <f>IncState!F21</f>
        <v>8983.2975128644975</v>
      </c>
      <c r="G4" s="4">
        <f>IncState!G21</f>
        <v>10503.597480059667</v>
      </c>
      <c r="H4" s="4">
        <f>IncState!H21</f>
        <v>12256.334437270656</v>
      </c>
      <c r="I4" s="4">
        <f>IncState!I21</f>
        <v>14275.047560569838</v>
      </c>
      <c r="J4" s="4">
        <f>IncState!J21</f>
        <v>16597.937740738183</v>
      </c>
      <c r="K4" s="4">
        <f>IncState!K21</f>
        <v>19268.498768404141</v>
      </c>
      <c r="L4" s="4">
        <f>IncState!L21</f>
        <v>22336.232339601673</v>
      </c>
      <c r="M4" s="4">
        <f>IncState!M21</f>
        <v>25857.457848131715</v>
      </c>
    </row>
    <row r="5" spans="1:15" x14ac:dyDescent="0.25">
      <c r="B5" s="30" t="s">
        <v>91</v>
      </c>
      <c r="C5" s="30"/>
      <c r="D5" s="30"/>
      <c r="E5" s="39"/>
      <c r="F5" s="43">
        <f>IncState!F11</f>
        <v>0.17</v>
      </c>
      <c r="G5" s="43">
        <f>IncState!G11</f>
        <v>0.17</v>
      </c>
      <c r="H5" s="43">
        <f>IncState!H11</f>
        <v>0.17</v>
      </c>
      <c r="I5" s="43">
        <f>IncState!I11</f>
        <v>0.17</v>
      </c>
      <c r="J5" s="43">
        <f>IncState!J11</f>
        <v>0.17</v>
      </c>
      <c r="K5" s="43">
        <f>IncState!K11</f>
        <v>0.17</v>
      </c>
      <c r="L5" s="43">
        <f>IncState!L11</f>
        <v>0.17</v>
      </c>
      <c r="M5" s="43">
        <f>IncState!M11</f>
        <v>0.17</v>
      </c>
      <c r="N5" s="43"/>
      <c r="O5" s="43"/>
    </row>
    <row r="6" spans="1:15" x14ac:dyDescent="0.25">
      <c r="C6" s="5"/>
      <c r="D6" s="5"/>
      <c r="E6" s="23"/>
      <c r="F6" s="5"/>
      <c r="G6" s="5"/>
      <c r="H6" s="5"/>
      <c r="I6" s="5"/>
      <c r="J6" s="5"/>
      <c r="K6" s="5"/>
      <c r="L6" s="5"/>
      <c r="M6" s="5"/>
      <c r="N6" s="172"/>
      <c r="O6" s="172"/>
    </row>
    <row r="7" spans="1:15" x14ac:dyDescent="0.25">
      <c r="A7" s="24" t="s">
        <v>123</v>
      </c>
      <c r="B7" s="21" t="s">
        <v>87</v>
      </c>
      <c r="C7" s="116"/>
      <c r="D7" s="116"/>
      <c r="E7" s="116"/>
      <c r="F7" s="131">
        <f t="shared" ref="F7:M7" si="2">F4*(1-F5)</f>
        <v>7456.1369356775322</v>
      </c>
      <c r="G7" s="131">
        <f t="shared" ref="G7:M7" si="3">G4*(1-G5)</f>
        <v>8717.9859084495238</v>
      </c>
      <c r="H7" s="131">
        <f t="shared" si="3"/>
        <v>10172.757582934644</v>
      </c>
      <c r="I7" s="131">
        <f t="shared" si="3"/>
        <v>11848.289475272964</v>
      </c>
      <c r="J7" s="131">
        <f t="shared" si="3"/>
        <v>13776.288324812691</v>
      </c>
      <c r="K7" s="131">
        <f t="shared" si="3"/>
        <v>15992.853977775436</v>
      </c>
      <c r="L7" s="131">
        <f t="shared" si="3"/>
        <v>18539.072841869387</v>
      </c>
      <c r="M7" s="131">
        <f t="shared" si="3"/>
        <v>21461.690013949323</v>
      </c>
      <c r="N7" s="218"/>
      <c r="O7" s="218"/>
    </row>
    <row r="8" spans="1:15" x14ac:dyDescent="0.25">
      <c r="B8" s="4" t="s">
        <v>15</v>
      </c>
      <c r="C8" s="116"/>
      <c r="D8" s="116"/>
      <c r="E8" s="117"/>
      <c r="F8" s="132">
        <f>CashFlow!F4</f>
        <v>1741.2576383154417</v>
      </c>
      <c r="G8" s="132">
        <f>CashFlow!G4</f>
        <v>1466.7567659137721</v>
      </c>
      <c r="H8" s="132">
        <f>CashFlow!H4</f>
        <v>1314.4423937799106</v>
      </c>
      <c r="I8" s="132">
        <f>CashFlow!I4</f>
        <v>1248.7777902008299</v>
      </c>
      <c r="J8" s="132">
        <f>CashFlow!J4</f>
        <v>1246.1566277056277</v>
      </c>
      <c r="K8" s="132">
        <f>CashFlow!K4</f>
        <v>1291.1042185492076</v>
      </c>
      <c r="L8" s="132">
        <f>CashFlow!L4</f>
        <v>1373.711482022977</v>
      </c>
      <c r="M8" s="132">
        <f>CashFlow!M4</f>
        <v>1487.9043513774991</v>
      </c>
      <c r="N8" s="217"/>
      <c r="O8" s="217"/>
    </row>
    <row r="9" spans="1:15" x14ac:dyDescent="0.25">
      <c r="B9" s="4" t="s">
        <v>54</v>
      </c>
      <c r="C9" s="5"/>
      <c r="D9" s="5"/>
      <c r="E9" s="23"/>
      <c r="F9" s="185">
        <f>CashFlow!F5</f>
        <v>1522</v>
      </c>
      <c r="G9" s="185">
        <f>CashFlow!G5</f>
        <v>1147</v>
      </c>
      <c r="H9" s="185">
        <f>CashFlow!H5</f>
        <v>745</v>
      </c>
      <c r="I9" s="185">
        <f>CashFlow!I5</f>
        <v>578</v>
      </c>
      <c r="J9" s="185">
        <f>CashFlow!J5</f>
        <v>294</v>
      </c>
      <c r="K9" s="185">
        <f>CashFlow!K5</f>
        <v>142</v>
      </c>
      <c r="L9" s="185">
        <f>CashFlow!L5</f>
        <v>0</v>
      </c>
      <c r="M9" s="185">
        <f>CashFlow!M5</f>
        <v>0</v>
      </c>
      <c r="N9" s="217"/>
      <c r="O9" s="217"/>
    </row>
    <row r="10" spans="1:15" x14ac:dyDescent="0.25">
      <c r="B10" s="4" t="s">
        <v>88</v>
      </c>
      <c r="C10" s="5"/>
      <c r="D10" s="5"/>
      <c r="E10" s="23"/>
      <c r="F10" s="185">
        <f>CashFlow!F6</f>
        <v>607.2469982847324</v>
      </c>
      <c r="G10" s="185">
        <f>CashFlow!G6</f>
        <v>678.0751215838136</v>
      </c>
      <c r="H10" s="185">
        <f>CashFlow!H6</f>
        <v>757.16450111673839</v>
      </c>
      <c r="I10" s="185">
        <f>CashFlow!I6</f>
        <v>845.47871393997048</v>
      </c>
      <c r="J10" s="185">
        <f>CashFlow!J6</f>
        <v>944.09372688664735</v>
      </c>
      <c r="K10" s="185">
        <f>CashFlow!K6</f>
        <v>1054.2110054943623</v>
      </c>
      <c r="L10" s="185">
        <f>CashFlow!L6</f>
        <v>1177.1721519328057</v>
      </c>
      <c r="M10" s="185">
        <f>CashFlow!M6</f>
        <v>1314.47525027144</v>
      </c>
      <c r="N10" s="217"/>
      <c r="O10" s="217"/>
    </row>
    <row r="11" spans="1:15" x14ac:dyDescent="0.25">
      <c r="B11" s="4" t="s">
        <v>165</v>
      </c>
      <c r="C11" s="5"/>
      <c r="D11" s="5"/>
      <c r="E11" s="23"/>
      <c r="F11" s="185">
        <f>CashFlow!F7</f>
        <v>-845.04288164665468</v>
      </c>
      <c r="G11" s="185">
        <f>CashFlow!G7</f>
        <v>-943.60705995192529</v>
      </c>
      <c r="H11" s="185">
        <f>CashFlow!H7</f>
        <v>-1053.6675746632991</v>
      </c>
      <c r="I11" s="185">
        <f>CashFlow!I7</f>
        <v>-1176.5653363735983</v>
      </c>
      <c r="J11" s="185">
        <f>CashFlow!J7</f>
        <v>-1313.7976569111706</v>
      </c>
      <c r="K11" s="185">
        <f>CashFlow!K7</f>
        <v>-1467.0364916795406</v>
      </c>
      <c r="L11" s="185">
        <f>CashFlow!L7</f>
        <v>-1638.1488097485108</v>
      </c>
      <c r="M11" s="185">
        <f>CashFlow!M7</f>
        <v>-1829.219339873549</v>
      </c>
      <c r="N11" s="217"/>
      <c r="O11" s="217"/>
    </row>
    <row r="12" spans="1:15" x14ac:dyDescent="0.25">
      <c r="B12" s="4" t="s">
        <v>166</v>
      </c>
      <c r="E12" s="27"/>
      <c r="F12" s="185">
        <f>CashFlow!F8</f>
        <v>623.08061749571243</v>
      </c>
      <c r="G12" s="185">
        <f>CashFlow!G8</f>
        <v>695.75554372162605</v>
      </c>
      <c r="H12" s="185">
        <f>CashFlow!H8</f>
        <v>776.90713372689424</v>
      </c>
      <c r="I12" s="185">
        <f>CashFlow!I8</f>
        <v>867.52408929023568</v>
      </c>
      <c r="J12" s="185">
        <f>CashFlow!J8</f>
        <v>968.71043246645604</v>
      </c>
      <c r="K12" s="185">
        <f>CashFlow!K8</f>
        <v>1081.6989563218922</v>
      </c>
      <c r="L12" s="185">
        <f>CashFlow!L8</f>
        <v>1207.866244537825</v>
      </c>
      <c r="M12" s="185">
        <f>CashFlow!M8</f>
        <v>1348.749442871569</v>
      </c>
      <c r="N12" s="217"/>
      <c r="O12" s="217"/>
    </row>
    <row r="13" spans="1:15" x14ac:dyDescent="0.25">
      <c r="B13" s="4" t="s">
        <v>89</v>
      </c>
      <c r="E13" s="27"/>
      <c r="F13" s="129">
        <f>CashFlow!F12</f>
        <v>-891.07718696397944</v>
      </c>
      <c r="G13" s="129">
        <f>CashFlow!G12</f>
        <v>-995.01071820506104</v>
      </c>
      <c r="H13" s="129">
        <f>CashFlow!H12</f>
        <v>-1111.0668568636274</v>
      </c>
      <c r="I13" s="129">
        <f>CashFlow!I12</f>
        <v>-1240.6595605801397</v>
      </c>
      <c r="J13" s="129">
        <f>CashFlow!J12</f>
        <v>-1385.3677082978918</v>
      </c>
      <c r="K13" s="129">
        <f>CashFlow!K12</f>
        <v>-1546.9543363669427</v>
      </c>
      <c r="L13" s="129">
        <f>CashFlow!L12</f>
        <v>-1727.3881183102569</v>
      </c>
      <c r="M13" s="129">
        <f>CashFlow!M12</f>
        <v>-1928.867349948503</v>
      </c>
      <c r="N13" s="129"/>
      <c r="O13" s="129"/>
    </row>
    <row r="14" spans="1:15" x14ac:dyDescent="0.25">
      <c r="E14" s="62"/>
      <c r="F14" s="133"/>
      <c r="G14" s="133"/>
      <c r="H14" s="133"/>
      <c r="I14" s="133"/>
      <c r="J14" s="133"/>
      <c r="K14" s="133"/>
      <c r="L14" s="133"/>
      <c r="M14" s="133"/>
      <c r="N14" s="133"/>
      <c r="O14" s="133"/>
    </row>
    <row r="15" spans="1:15" s="11" customFormat="1" x14ac:dyDescent="0.25">
      <c r="A15" s="24" t="s">
        <v>123</v>
      </c>
      <c r="B15" s="34" t="s">
        <v>90</v>
      </c>
      <c r="C15" s="34"/>
      <c r="D15" s="34"/>
      <c r="E15" s="34"/>
      <c r="F15" s="34">
        <f>SUM(F7:F13)</f>
        <v>10213.602121162783</v>
      </c>
      <c r="G15" s="34">
        <f t="shared" ref="G15:M15" si="4">SUM(G7:G13)</f>
        <v>10766.955561511748</v>
      </c>
      <c r="H15" s="34">
        <f t="shared" si="4"/>
        <v>11601.537180031261</v>
      </c>
      <c r="I15" s="34">
        <f t="shared" si="4"/>
        <v>12970.845171750263</v>
      </c>
      <c r="J15" s="34">
        <f t="shared" si="4"/>
        <v>14530.08374666236</v>
      </c>
      <c r="K15" s="34">
        <f t="shared" si="4"/>
        <v>16547.877330094412</v>
      </c>
      <c r="L15" s="34">
        <f t="shared" si="4"/>
        <v>18932.285792304228</v>
      </c>
      <c r="M15" s="34">
        <f t="shared" si="4"/>
        <v>21854.732368647776</v>
      </c>
    </row>
    <row r="16" spans="1:15" x14ac:dyDescent="0.25">
      <c r="B16" s="65"/>
      <c r="C16" s="65"/>
      <c r="D16" s="65"/>
      <c r="E16" s="65"/>
      <c r="F16" s="65"/>
      <c r="G16" s="65"/>
      <c r="H16" s="65"/>
      <c r="I16" s="81"/>
      <c r="J16" s="81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B13" sqref="B13:E14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60" t="str">
        <f>CoName</f>
        <v>Salesforce Inc.</v>
      </c>
    </row>
    <row r="2" spans="1:13" x14ac:dyDescent="0.25">
      <c r="G2" s="143"/>
    </row>
    <row r="3" spans="1:13" x14ac:dyDescent="0.25">
      <c r="A3" s="27" t="s">
        <v>123</v>
      </c>
      <c r="B3" s="162" t="s">
        <v>99</v>
      </c>
      <c r="C3" s="163"/>
      <c r="D3" s="163"/>
      <c r="E3" s="164"/>
      <c r="F3" s="11"/>
      <c r="G3" s="76" t="s">
        <v>107</v>
      </c>
      <c r="H3" s="76" t="s">
        <v>102</v>
      </c>
      <c r="I3" s="76" t="s">
        <v>103</v>
      </c>
      <c r="J3" s="76" t="s">
        <v>104</v>
      </c>
      <c r="K3" s="76" t="s">
        <v>105</v>
      </c>
      <c r="L3" s="76" t="s">
        <v>110</v>
      </c>
      <c r="M3" s="76" t="s">
        <v>106</v>
      </c>
    </row>
    <row r="4" spans="1:13" x14ac:dyDescent="0.25">
      <c r="A4" s="27"/>
      <c r="B4" s="263" t="s">
        <v>167</v>
      </c>
      <c r="C4" s="66"/>
      <c r="D4" s="71"/>
      <c r="E4" s="264">
        <v>0.17</v>
      </c>
      <c r="G4" s="135" t="s">
        <v>233</v>
      </c>
      <c r="H4" s="136">
        <v>1.06</v>
      </c>
      <c r="I4" s="78">
        <f>7832+35376</f>
        <v>43208</v>
      </c>
      <c r="J4" s="79">
        <f>7400*508.81</f>
        <v>3765194</v>
      </c>
      <c r="K4" s="138">
        <f>I4/J4</f>
        <v>1.1475637111925707E-2</v>
      </c>
      <c r="L4" s="152">
        <f>E4</f>
        <v>0.17</v>
      </c>
      <c r="M4" s="139">
        <f>H4/((1+K4*(1-L4)))</f>
        <v>1.0499989918592743</v>
      </c>
    </row>
    <row r="5" spans="1:13" x14ac:dyDescent="0.25">
      <c r="A5" s="27"/>
      <c r="B5" s="66" t="s">
        <v>92</v>
      </c>
      <c r="C5" s="66"/>
      <c r="D5" s="71"/>
      <c r="E5" s="134">
        <v>4.0800000000000003E-2</v>
      </c>
      <c r="G5" s="135" t="s">
        <v>234</v>
      </c>
      <c r="H5" s="136">
        <v>1.54</v>
      </c>
      <c r="I5" s="78">
        <f>6200</f>
        <v>6200</v>
      </c>
      <c r="J5" s="79">
        <f>333.56*418.6</f>
        <v>139628.21600000001</v>
      </c>
      <c r="K5" s="138">
        <f t="shared" ref="K5" si="0">I5/J5</f>
        <v>4.4403632572373473E-2</v>
      </c>
      <c r="L5" s="152">
        <f>L4</f>
        <v>0.17</v>
      </c>
      <c r="M5" s="139">
        <f t="shared" ref="M5:M6" si="1">H5/((1+K5*(1-L5)))</f>
        <v>1.485260694763493</v>
      </c>
    </row>
    <row r="6" spans="1:13" x14ac:dyDescent="0.25">
      <c r="A6" s="27"/>
      <c r="B6" s="66" t="s">
        <v>93</v>
      </c>
      <c r="C6" s="66"/>
      <c r="D6" s="71"/>
      <c r="E6" s="134">
        <v>0.05</v>
      </c>
      <c r="G6" s="135" t="s">
        <v>235</v>
      </c>
      <c r="H6" s="137">
        <v>0.96</v>
      </c>
      <c r="I6" s="80">
        <f>1491</f>
        <v>1491</v>
      </c>
      <c r="J6" s="80">
        <f>863*207.6</f>
        <v>179158.8</v>
      </c>
      <c r="K6" s="138">
        <f>I6/J6</f>
        <v>8.3222258688939645E-3</v>
      </c>
      <c r="L6" s="152">
        <f t="shared" ref="L6" si="2">L5</f>
        <v>0.17</v>
      </c>
      <c r="M6" s="139">
        <f t="shared" si="1"/>
        <v>0.95341434052455509</v>
      </c>
    </row>
    <row r="7" spans="1:13" x14ac:dyDescent="0.25">
      <c r="A7" s="27"/>
      <c r="B7" s="66" t="s">
        <v>94</v>
      </c>
      <c r="C7" s="66"/>
      <c r="D7" s="71"/>
      <c r="E7" s="223">
        <f>M10*(2/3)</f>
        <v>0.79866611097192775</v>
      </c>
      <c r="J7" s="65"/>
      <c r="L7" s="65"/>
    </row>
    <row r="8" spans="1:13" x14ac:dyDescent="0.25">
      <c r="A8" s="27"/>
      <c r="B8" s="66" t="s">
        <v>95</v>
      </c>
      <c r="C8" s="66"/>
      <c r="D8" s="71"/>
      <c r="E8" s="134">
        <f>E5+E6*E7</f>
        <v>8.0733305548596396E-2</v>
      </c>
      <c r="G8" s="4" t="s">
        <v>108</v>
      </c>
      <c r="L8" s="27"/>
      <c r="M8" s="222">
        <f>AVERAGE(M4:M6)</f>
        <v>1.162891342382441</v>
      </c>
    </row>
    <row r="9" spans="1:13" x14ac:dyDescent="0.25">
      <c r="A9" s="27"/>
      <c r="B9" s="67" t="s">
        <v>96</v>
      </c>
      <c r="C9" s="67"/>
      <c r="D9" s="72"/>
      <c r="E9" s="140">
        <f>1-E10</f>
        <v>0.96362636672762858</v>
      </c>
      <c r="M9" s="65"/>
    </row>
    <row r="10" spans="1:13" x14ac:dyDescent="0.25">
      <c r="A10" s="27"/>
      <c r="B10" s="68" t="s">
        <v>97</v>
      </c>
      <c r="C10" s="68"/>
      <c r="D10" s="73"/>
      <c r="E10" s="141">
        <f>MAIN!F8/MAIN!F6</f>
        <v>3.6373633272371426E-2</v>
      </c>
      <c r="G10" s="4" t="s">
        <v>109</v>
      </c>
      <c r="L10" s="27"/>
      <c r="M10" s="222">
        <f>M8*(1+E10*(1-E4))</f>
        <v>1.1979991664578917</v>
      </c>
    </row>
    <row r="11" spans="1:13" x14ac:dyDescent="0.25">
      <c r="A11" s="27"/>
      <c r="B11" s="161" t="s">
        <v>182</v>
      </c>
      <c r="C11" s="69"/>
      <c r="D11" s="74"/>
      <c r="E11" s="142">
        <v>0.03</v>
      </c>
    </row>
    <row r="12" spans="1:13" x14ac:dyDescent="0.25">
      <c r="A12" s="27"/>
      <c r="B12" s="70" t="s">
        <v>98</v>
      </c>
      <c r="C12" s="70"/>
      <c r="D12" s="75"/>
      <c r="E12" s="142">
        <f>E11*(1-E4)</f>
        <v>2.4899999999999999E-2</v>
      </c>
    </row>
    <row r="13" spans="1:13" s="11" customFormat="1" x14ac:dyDescent="0.25">
      <c r="A13" s="24" t="s">
        <v>123</v>
      </c>
      <c r="B13" s="162" t="s">
        <v>99</v>
      </c>
      <c r="C13" s="163"/>
      <c r="D13" s="164"/>
      <c r="E13" s="158">
        <f>WACC!E8*WACC!E9+WACC!E12*WACC!E10</f>
        <v>7.870244536818749E-2</v>
      </c>
      <c r="F13" s="4"/>
    </row>
    <row r="14" spans="1:13" s="11" customFormat="1" x14ac:dyDescent="0.25">
      <c r="A14" s="24"/>
      <c r="B14" s="76" t="s">
        <v>100</v>
      </c>
      <c r="C14" s="76"/>
      <c r="D14" s="111"/>
      <c r="E14" s="144">
        <v>2.5000000000000001E-2</v>
      </c>
      <c r="F14" s="4"/>
    </row>
    <row r="15" spans="1:13" x14ac:dyDescent="0.25">
      <c r="B15" s="65"/>
      <c r="C15" s="65"/>
      <c r="D15" s="65"/>
      <c r="E15" s="6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U45"/>
  <sheetViews>
    <sheetView showGridLines="0" zoomScaleNormal="100" workbookViewId="0">
      <selection activeCell="V17" sqref="V17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4" width="15.85546875" style="4" customWidth="1"/>
    <col min="5" max="5" width="10.42578125" style="4" customWidth="1"/>
    <col min="6" max="6" width="12.140625" style="4" customWidth="1"/>
    <col min="7" max="7" width="11.42578125" style="4" bestFit="1" customWidth="1"/>
    <col min="8" max="12" width="11.7109375" style="4" customWidth="1"/>
    <col min="13" max="16384" width="9" style="4"/>
  </cols>
  <sheetData>
    <row r="1" spans="1:21" ht="19.5" x14ac:dyDescent="0.3">
      <c r="A1" s="260" t="str">
        <f>CoName</f>
        <v>Salesforce Inc.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/>
      <c r="M1" s="41"/>
    </row>
    <row r="2" spans="1:21" x14ac:dyDescent="0.25">
      <c r="A2" s="76" t="s">
        <v>111</v>
      </c>
      <c r="B2" s="19"/>
      <c r="C2" s="42"/>
      <c r="D2" s="76">
        <v>0.5</v>
      </c>
      <c r="E2" s="76">
        <f>D2+1</f>
        <v>1.5</v>
      </c>
      <c r="F2" s="76">
        <f t="shared" ref="F2:H2" si="0">E2+1</f>
        <v>2.5</v>
      </c>
      <c r="G2" s="76">
        <f t="shared" si="0"/>
        <v>3.5</v>
      </c>
      <c r="H2" s="76">
        <f t="shared" si="0"/>
        <v>4.5</v>
      </c>
      <c r="I2" s="76">
        <f t="shared" ref="I2" si="1">H2+1</f>
        <v>5.5</v>
      </c>
      <c r="J2" s="76">
        <f t="shared" ref="J2" si="2">I2+1</f>
        <v>6.5</v>
      </c>
      <c r="K2" s="76">
        <f t="shared" ref="K2" si="3">J2+1</f>
        <v>7.5</v>
      </c>
      <c r="L2" s="159"/>
      <c r="M2" s="159"/>
      <c r="N2" s="159"/>
    </row>
    <row r="3" spans="1:21" x14ac:dyDescent="0.25">
      <c r="B3" s="4" t="s">
        <v>237</v>
      </c>
      <c r="D3" s="8">
        <f>1/(1+$O$3)^D2</f>
        <v>0.96282901287041645</v>
      </c>
      <c r="E3" s="8">
        <f t="shared" ref="E3:K3" si="4">1/(1+$O$3)^E2</f>
        <v>0.89258072696940927</v>
      </c>
      <c r="F3" s="8">
        <f t="shared" si="4"/>
        <v>0.82745777651848162</v>
      </c>
      <c r="G3" s="8">
        <f t="shared" si="4"/>
        <v>0.76708621554672574</v>
      </c>
      <c r="H3" s="8">
        <f t="shared" si="4"/>
        <v>0.71111938129045449</v>
      </c>
      <c r="I3" s="8">
        <f t="shared" si="4"/>
        <v>0.659235903602436</v>
      </c>
      <c r="J3" s="8">
        <f t="shared" si="4"/>
        <v>0.61113785959521272</v>
      </c>
      <c r="K3" s="8">
        <f t="shared" si="4"/>
        <v>0.56654906292218188</v>
      </c>
      <c r="L3" s="162" t="s">
        <v>99</v>
      </c>
      <c r="M3" s="163"/>
      <c r="N3" s="164"/>
      <c r="O3" s="158">
        <f>WACC!E13</f>
        <v>7.870244536818749E-2</v>
      </c>
    </row>
    <row r="4" spans="1:21" x14ac:dyDescent="0.25">
      <c r="B4" s="4" t="s">
        <v>236</v>
      </c>
      <c r="D4" s="4">
        <f>D3*'Free Cash Flow'!F15</f>
        <v>9833.9524481703538</v>
      </c>
      <c r="E4" s="4">
        <f>E3*'Free Cash Flow'!G15</f>
        <v>9610.3770223414795</v>
      </c>
      <c r="F4" s="4">
        <f>F3*'Free Cash Flow'!H15</f>
        <v>9599.7821591851625</v>
      </c>
      <c r="G4" s="4">
        <f>G3*'Free Cash Flow'!I15</f>
        <v>9949.756535240429</v>
      </c>
      <c r="H4" s="4">
        <f>H3*'Free Cash Flow'!J15</f>
        <v>10332.624164025026</v>
      </c>
      <c r="I4" s="4">
        <f>I3*'Free Cash Flow'!K15</f>
        <v>10908.954864407056</v>
      </c>
      <c r="J4" s="4">
        <f>J3*'Free Cash Flow'!L15</f>
        <v>11570.236616353663</v>
      </c>
      <c r="K4" s="4">
        <f>K3*'Free Cash Flow'!M15</f>
        <v>12381.778143872474</v>
      </c>
      <c r="L4" s="76" t="s">
        <v>100</v>
      </c>
      <c r="M4" s="76"/>
      <c r="N4" s="111"/>
      <c r="O4" s="144">
        <v>2.5000000000000001E-2</v>
      </c>
    </row>
    <row r="5" spans="1:21" x14ac:dyDescent="0.25">
      <c r="G5" s="143"/>
      <c r="K5" s="4">
        <f>((K4*(1+O4)))/(O3-O4)</f>
        <v>236326.71679020842</v>
      </c>
    </row>
    <row r="6" spans="1:21" x14ac:dyDescent="0.25">
      <c r="A6" s="76" t="s">
        <v>112</v>
      </c>
      <c r="B6" s="19"/>
      <c r="C6" s="42"/>
      <c r="D6" s="83"/>
      <c r="E6" s="76" t="s">
        <v>172</v>
      </c>
      <c r="F6" s="19"/>
      <c r="G6" s="42"/>
      <c r="H6" s="83" t="s">
        <v>168</v>
      </c>
    </row>
    <row r="7" spans="1:21" x14ac:dyDescent="0.25">
      <c r="B7" s="4" t="s">
        <v>113</v>
      </c>
      <c r="C7" s="4">
        <f>SUM(D4:K4)</f>
        <v>84187.461953595644</v>
      </c>
      <c r="E7" s="4" t="s">
        <v>113</v>
      </c>
      <c r="G7" s="4">
        <f>C7</f>
        <v>84187.461953595644</v>
      </c>
    </row>
    <row r="8" spans="1:21" x14ac:dyDescent="0.25">
      <c r="B8" s="4" t="s">
        <v>114</v>
      </c>
      <c r="C8" s="4">
        <f>K5*K3</f>
        <v>133890.67994096843</v>
      </c>
      <c r="E8" s="4" t="s">
        <v>173</v>
      </c>
      <c r="G8" s="4">
        <f>G10*K3*IncState!M25</f>
        <v>154924.89329399599</v>
      </c>
      <c r="L8" s="169"/>
      <c r="M8" s="169"/>
      <c r="N8" s="169" t="s">
        <v>238</v>
      </c>
      <c r="O8" s="169"/>
      <c r="R8" s="169"/>
      <c r="S8" s="169"/>
      <c r="T8" s="169" t="s">
        <v>240</v>
      </c>
      <c r="U8" s="169"/>
    </row>
    <row r="9" spans="1:21" x14ac:dyDescent="0.25">
      <c r="B9" s="4" t="s">
        <v>115</v>
      </c>
      <c r="C9" s="4">
        <f>SUM(C7:C8)</f>
        <v>218078.14189456409</v>
      </c>
      <c r="E9" s="4" t="s">
        <v>115</v>
      </c>
      <c r="G9" s="4">
        <f>SUM(G7:G8)</f>
        <v>239112.35524759162</v>
      </c>
      <c r="L9" s="169">
        <f>C18</f>
        <v>231.02067956320749</v>
      </c>
      <c r="M9" s="231">
        <f>N9-E23</f>
        <v>2.2500000000000003E-2</v>
      </c>
      <c r="N9" s="231">
        <v>2.5000000000000001E-2</v>
      </c>
      <c r="O9" s="231">
        <f>N9+E23</f>
        <v>2.75E-2</v>
      </c>
      <c r="R9" s="169">
        <f>G18</f>
        <v>252.61638115769159</v>
      </c>
      <c r="S9" s="228">
        <f>T9-1</f>
        <v>9</v>
      </c>
      <c r="T9" s="228">
        <v>10</v>
      </c>
      <c r="U9" s="228">
        <f>T9+1</f>
        <v>11</v>
      </c>
    </row>
    <row r="10" spans="1:21" x14ac:dyDescent="0.25">
      <c r="C10" s="82"/>
      <c r="E10" s="4" t="s">
        <v>116</v>
      </c>
      <c r="G10" s="82">
        <v>10</v>
      </c>
      <c r="L10" s="231">
        <f>L11+$E$22</f>
        <v>8.8702445368187499E-2</v>
      </c>
      <c r="M10" s="320">
        <f t="dataTable" ref="M10:O14" dt2D="1" dtr="1" r1="O4" r2="O3"/>
        <v>187.15557201579406</v>
      </c>
      <c r="N10" s="321">
        <v>191.2028928350434</v>
      </c>
      <c r="O10" s="320">
        <v>195.58086390812662</v>
      </c>
      <c r="R10" s="231">
        <f t="shared" ref="R10:R12" si="5">L10</f>
        <v>8.8702445368187499E-2</v>
      </c>
      <c r="S10" s="320">
        <f t="dataTable" ref="S10:U14" dt2D="1" dtr="1" r1="G10" r2="O3" ca="1"/>
        <v>223.87914172097749</v>
      </c>
      <c r="T10" s="321">
        <v>238.7215965278283</v>
      </c>
      <c r="U10" s="320">
        <v>253.56405133467911</v>
      </c>
    </row>
    <row r="11" spans="1:21" x14ac:dyDescent="0.25">
      <c r="I11" s="159"/>
      <c r="L11" s="231">
        <f>L12+$E$22</f>
        <v>8.3702445368187495E-2</v>
      </c>
      <c r="M11" s="320">
        <v>204.1635646672861</v>
      </c>
      <c r="N11" s="321">
        <v>209.23068046747696</v>
      </c>
      <c r="O11" s="320">
        <v>214.74858766713416</v>
      </c>
      <c r="R11" s="231">
        <f t="shared" si="5"/>
        <v>8.3702445368187495E-2</v>
      </c>
      <c r="S11" s="320">
        <v>230.17662626224629</v>
      </c>
      <c r="T11" s="321">
        <v>245.54045025002719</v>
      </c>
      <c r="U11" s="320">
        <v>260.90427423780801</v>
      </c>
    </row>
    <row r="12" spans="1:21" x14ac:dyDescent="0.25">
      <c r="B12" s="27" t="s">
        <v>117</v>
      </c>
      <c r="C12" s="37">
        <f>MAIN!F7</f>
        <v>15372</v>
      </c>
      <c r="E12" s="27" t="s">
        <v>117</v>
      </c>
      <c r="F12" s="155"/>
      <c r="G12" s="37">
        <f>C12</f>
        <v>15372</v>
      </c>
      <c r="I12" s="159"/>
      <c r="L12" s="231">
        <v>7.870244536818749E-2</v>
      </c>
      <c r="M12" s="321">
        <v>224.58559905609485</v>
      </c>
      <c r="N12" s="321">
        <v>231.02067956320749</v>
      </c>
      <c r="O12" s="321">
        <v>238.08415588821899</v>
      </c>
      <c r="R12" s="231">
        <f>L12</f>
        <v>7.870244536818749E-2</v>
      </c>
      <c r="S12" s="321">
        <v>236.71033461826696</v>
      </c>
      <c r="T12" s="321">
        <v>252.61638115769159</v>
      </c>
      <c r="U12" s="321">
        <v>268.52242769711631</v>
      </c>
    </row>
    <row r="13" spans="1:21" x14ac:dyDescent="0.25">
      <c r="B13" s="27" t="s">
        <v>118</v>
      </c>
      <c r="C13" s="37">
        <f>MAIN!F8</f>
        <v>8436</v>
      </c>
      <c r="E13" s="27" t="s">
        <v>118</v>
      </c>
      <c r="F13" s="155"/>
      <c r="G13" s="37">
        <f t="shared" ref="G13:G14" si="6">C13</f>
        <v>8436</v>
      </c>
      <c r="L13" s="231">
        <f>L12-$E$22</f>
        <v>7.3702445368187486E-2</v>
      </c>
      <c r="M13" s="320">
        <v>249.4655469136645</v>
      </c>
      <c r="N13" s="321">
        <v>257.77763013007029</v>
      </c>
      <c r="O13" s="320">
        <v>266.98924184006199</v>
      </c>
      <c r="R13" s="231">
        <f t="shared" ref="R13:R14" si="7">L13</f>
        <v>7.3702445368187486E-2</v>
      </c>
      <c r="S13" s="320">
        <v>243.49052440580894</v>
      </c>
      <c r="T13" s="321">
        <v>259.96058346945983</v>
      </c>
      <c r="U13" s="320">
        <v>276.43064253311076</v>
      </c>
    </row>
    <row r="14" spans="1:21" x14ac:dyDescent="0.25">
      <c r="B14" s="27" t="s">
        <v>119</v>
      </c>
      <c r="C14" s="37">
        <v>0</v>
      </c>
      <c r="E14" s="4" t="s">
        <v>119</v>
      </c>
      <c r="F14" s="27"/>
      <c r="G14" s="37">
        <f t="shared" si="6"/>
        <v>0</v>
      </c>
      <c r="L14" s="231">
        <f>L13-$E$22</f>
        <v>6.8702445368187481E-2</v>
      </c>
      <c r="M14" s="320">
        <v>280.30384850389123</v>
      </c>
      <c r="N14" s="321">
        <v>291.26258791066135</v>
      </c>
      <c r="O14" s="320">
        <v>303.55119248791374</v>
      </c>
      <c r="R14" s="231">
        <f t="shared" si="7"/>
        <v>6.8702445368187481E-2</v>
      </c>
      <c r="S14" s="320">
        <v>250.52795424106191</v>
      </c>
      <c r="T14" s="321">
        <v>267.58479911795121</v>
      </c>
      <c r="U14" s="320">
        <v>284.64164399484048</v>
      </c>
    </row>
    <row r="15" spans="1:21" x14ac:dyDescent="0.25">
      <c r="B15" s="4" t="s">
        <v>120</v>
      </c>
      <c r="C15" s="65">
        <f>C9+C12-C13</f>
        <v>225014.14189456409</v>
      </c>
      <c r="E15" s="4" t="s">
        <v>120</v>
      </c>
      <c r="G15" s="65">
        <f>G9+G12-G13</f>
        <v>246048.35524759162</v>
      </c>
      <c r="L15" s="169"/>
      <c r="M15" s="169"/>
      <c r="N15" s="169"/>
      <c r="O15" s="169"/>
      <c r="R15" s="169"/>
      <c r="S15" s="169"/>
      <c r="T15" s="169"/>
      <c r="U15" s="169"/>
    </row>
    <row r="16" spans="1:21" x14ac:dyDescent="0.25">
      <c r="L16" s="169"/>
      <c r="M16" s="169"/>
      <c r="N16" s="169" t="s">
        <v>239</v>
      </c>
      <c r="O16" s="169"/>
      <c r="R16" s="169"/>
      <c r="S16" s="169"/>
      <c r="T16" s="169" t="s">
        <v>239</v>
      </c>
      <c r="U16" s="169"/>
    </row>
    <row r="17" spans="1:21" x14ac:dyDescent="0.25">
      <c r="B17" s="4" t="s">
        <v>121</v>
      </c>
      <c r="C17" s="4">
        <f>IncState!E41</f>
        <v>974</v>
      </c>
      <c r="E17" s="4" t="s">
        <v>121</v>
      </c>
      <c r="G17" s="4">
        <f>C17</f>
        <v>974</v>
      </c>
      <c r="L17" s="169"/>
      <c r="M17" s="169"/>
      <c r="N17" s="321">
        <f>AVERAGE(M10:O14)</f>
        <v>236.34150959030967</v>
      </c>
      <c r="O17" s="169"/>
      <c r="R17" s="169"/>
      <c r="S17" s="169"/>
      <c r="T17" s="321">
        <f>AVERAGE(S10:U14)</f>
        <v>252.88476210459163</v>
      </c>
      <c r="U17" s="169"/>
    </row>
    <row r="18" spans="1:21" x14ac:dyDescent="0.25">
      <c r="A18" s="4" t="s">
        <v>123</v>
      </c>
      <c r="B18" s="145" t="s">
        <v>122</v>
      </c>
      <c r="C18" s="157">
        <f>C15/C17</f>
        <v>231.02067956320749</v>
      </c>
      <c r="E18" s="145" t="s">
        <v>122</v>
      </c>
      <c r="F18" s="155"/>
      <c r="G18" s="157">
        <f>G15/G17</f>
        <v>252.61638115769159</v>
      </c>
    </row>
    <row r="19" spans="1:21" x14ac:dyDescent="0.25">
      <c r="C19" s="21"/>
    </row>
    <row r="20" spans="1:21" x14ac:dyDescent="0.25">
      <c r="A20" s="112" t="s">
        <v>146</v>
      </c>
      <c r="B20" s="19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219"/>
    </row>
    <row r="21" spans="1:21" x14ac:dyDescent="0.25">
      <c r="B21" s="113"/>
      <c r="C21" s="113"/>
      <c r="D21" s="113"/>
      <c r="E21" s="113"/>
      <c r="F21" s="113"/>
      <c r="G21" s="113"/>
      <c r="H21" s="113"/>
      <c r="I21" s="113"/>
    </row>
    <row r="22" spans="1:21" x14ac:dyDescent="0.25">
      <c r="B22" s="113"/>
      <c r="C22" s="113" t="s">
        <v>147</v>
      </c>
      <c r="D22" s="113"/>
      <c r="E22" s="114">
        <v>5.0000000000000001E-3</v>
      </c>
      <c r="F22" s="113"/>
      <c r="G22" s="113"/>
      <c r="J22" s="113" t="s">
        <v>147</v>
      </c>
      <c r="K22" s="113"/>
      <c r="L22" s="114">
        <v>5.0000000000000001E-3</v>
      </c>
    </row>
    <row r="23" spans="1:21" x14ac:dyDescent="0.25">
      <c r="B23" s="113"/>
      <c r="C23" s="113" t="s">
        <v>148</v>
      </c>
      <c r="D23" s="113"/>
      <c r="E23" s="146">
        <v>2.5000000000000001E-3</v>
      </c>
      <c r="F23" s="113"/>
      <c r="G23" s="113"/>
      <c r="J23" s="113" t="s">
        <v>171</v>
      </c>
      <c r="K23" s="113"/>
      <c r="L23" s="154">
        <v>1</v>
      </c>
    </row>
    <row r="24" spans="1:21" x14ac:dyDescent="0.25">
      <c r="B24" s="113"/>
      <c r="C24" s="113"/>
      <c r="D24" s="113"/>
      <c r="E24" s="167"/>
      <c r="F24" s="113"/>
      <c r="G24" s="113"/>
      <c r="J24" s="113"/>
      <c r="K24" s="113"/>
      <c r="L24" s="166"/>
    </row>
    <row r="25" spans="1:21" x14ac:dyDescent="0.25">
      <c r="A25" s="149" t="s">
        <v>174</v>
      </c>
      <c r="B25" s="15"/>
      <c r="C25" s="147"/>
      <c r="D25" s="147"/>
      <c r="E25" s="148"/>
      <c r="F25" s="147"/>
      <c r="G25" s="147"/>
      <c r="H25" s="147"/>
      <c r="I25" s="147"/>
      <c r="J25" s="156"/>
      <c r="K25" s="15"/>
      <c r="L25" s="15"/>
      <c r="M25" s="15"/>
      <c r="N25" s="15"/>
      <c r="O25" s="15"/>
      <c r="P25" s="15"/>
    </row>
    <row r="26" spans="1:21" x14ac:dyDescent="0.25">
      <c r="B26" s="113"/>
      <c r="C26" s="113"/>
      <c r="D26" s="113"/>
      <c r="E26" s="113"/>
      <c r="F26" s="113"/>
      <c r="H26" s="113"/>
      <c r="I26" s="169"/>
      <c r="P26" s="169"/>
    </row>
    <row r="27" spans="1:21" x14ac:dyDescent="0.25">
      <c r="B27" s="159"/>
      <c r="C27" s="165"/>
      <c r="D27" s="113"/>
      <c r="E27" s="241"/>
      <c r="F27" s="242"/>
      <c r="G27" s="241"/>
      <c r="I27" s="113"/>
      <c r="J27" s="241"/>
    </row>
    <row r="28" spans="1:21" x14ac:dyDescent="0.25">
      <c r="B28" s="159"/>
      <c r="C28" s="243"/>
      <c r="E28" s="113"/>
      <c r="F28" s="244"/>
      <c r="G28" s="244"/>
      <c r="H28" s="244"/>
      <c r="I28" s="169"/>
      <c r="J28" s="169"/>
      <c r="N28" s="245"/>
      <c r="P28" s="169"/>
    </row>
    <row r="29" spans="1:21" x14ac:dyDescent="0.25">
      <c r="B29" s="159"/>
      <c r="C29" s="243"/>
      <c r="E29" s="246"/>
      <c r="F29" s="169"/>
      <c r="G29" s="169"/>
      <c r="H29" s="229"/>
      <c r="I29" s="229"/>
      <c r="J29" s="229"/>
      <c r="N29" s="247"/>
      <c r="O29" s="47"/>
      <c r="P29" s="47"/>
      <c r="Q29" s="47"/>
    </row>
    <row r="30" spans="1:21" x14ac:dyDescent="0.25">
      <c r="E30" s="225"/>
      <c r="F30" s="169"/>
      <c r="G30" s="248"/>
      <c r="H30" s="249"/>
      <c r="I30" s="249"/>
      <c r="J30" s="249"/>
      <c r="N30" s="250"/>
      <c r="O30" s="165"/>
      <c r="P30" s="165"/>
      <c r="Q30" s="165"/>
    </row>
    <row r="31" spans="1:21" x14ac:dyDescent="0.25">
      <c r="F31" s="229"/>
      <c r="G31" s="249"/>
      <c r="H31" s="230"/>
      <c r="I31" s="230"/>
      <c r="J31" s="230"/>
      <c r="K31" s="251"/>
      <c r="M31" s="47"/>
      <c r="N31" s="165"/>
      <c r="O31" s="82"/>
      <c r="P31" s="82"/>
      <c r="Q31" s="82"/>
    </row>
    <row r="32" spans="1:21" x14ac:dyDescent="0.25">
      <c r="F32" s="229"/>
      <c r="G32" s="249"/>
      <c r="H32" s="230"/>
      <c r="I32" s="230"/>
      <c r="J32" s="230"/>
      <c r="K32" s="251"/>
      <c r="M32" s="47"/>
      <c r="N32" s="165"/>
      <c r="O32" s="82"/>
      <c r="P32" s="82"/>
      <c r="Q32" s="82"/>
    </row>
    <row r="33" spans="2:17" x14ac:dyDescent="0.25">
      <c r="D33" s="47"/>
      <c r="E33" s="143"/>
      <c r="F33" s="229"/>
      <c r="G33" s="249"/>
      <c r="H33" s="230"/>
      <c r="I33" s="230"/>
      <c r="J33" s="230"/>
      <c r="K33" s="251"/>
      <c r="L33" s="143"/>
      <c r="M33" s="47"/>
      <c r="N33" s="165"/>
      <c r="O33" s="82"/>
      <c r="P33" s="82"/>
      <c r="Q33" s="82"/>
    </row>
    <row r="34" spans="2:17" x14ac:dyDescent="0.25">
      <c r="D34" s="47"/>
      <c r="E34" s="225"/>
      <c r="F34" s="229"/>
      <c r="G34" s="249"/>
      <c r="H34" s="230"/>
      <c r="I34" s="230"/>
      <c r="J34" s="230"/>
      <c r="K34" s="245"/>
      <c r="M34" s="47"/>
      <c r="N34" s="165"/>
      <c r="O34" s="82"/>
      <c r="P34" s="82"/>
      <c r="Q34" s="82"/>
    </row>
    <row r="35" spans="2:17" x14ac:dyDescent="0.25">
      <c r="D35" s="47"/>
      <c r="E35" s="225"/>
      <c r="F35" s="229"/>
      <c r="G35" s="249"/>
      <c r="H35" s="230"/>
      <c r="I35" s="230"/>
      <c r="J35" s="230"/>
      <c r="K35" s="245"/>
      <c r="M35" s="47"/>
      <c r="N35" s="165"/>
      <c r="O35" s="82"/>
      <c r="P35" s="82"/>
      <c r="Q35" s="82"/>
    </row>
    <row r="36" spans="2:17" x14ac:dyDescent="0.25">
      <c r="B36" s="252"/>
      <c r="C36" s="252"/>
      <c r="D36" s="252"/>
      <c r="E36" s="253"/>
      <c r="F36" s="254"/>
      <c r="G36" s="253"/>
    </row>
    <row r="37" spans="2:17" x14ac:dyDescent="0.25">
      <c r="B37" s="113"/>
      <c r="C37" s="113"/>
      <c r="D37" s="113"/>
      <c r="E37" s="113"/>
      <c r="F37" s="242"/>
      <c r="G37" s="242"/>
      <c r="H37" s="242"/>
      <c r="I37" s="169"/>
      <c r="J37" s="169"/>
      <c r="P37" s="169"/>
    </row>
    <row r="38" spans="2:17" x14ac:dyDescent="0.25">
      <c r="F38" s="231"/>
      <c r="G38" s="231"/>
      <c r="H38" s="229"/>
      <c r="I38" s="229"/>
      <c r="J38" s="229"/>
      <c r="M38" s="169"/>
      <c r="O38" s="82"/>
      <c r="P38" s="82"/>
      <c r="Q38" s="82"/>
    </row>
    <row r="39" spans="2:17" x14ac:dyDescent="0.25">
      <c r="E39" s="47"/>
      <c r="F39" s="228"/>
      <c r="G39" s="255"/>
      <c r="H39" s="249"/>
      <c r="I39" s="249"/>
      <c r="J39" s="249"/>
      <c r="L39" s="82"/>
      <c r="M39" s="82"/>
      <c r="N39" s="256"/>
      <c r="O39" s="168"/>
      <c r="P39" s="168"/>
      <c r="Q39" s="168"/>
    </row>
    <row r="40" spans="2:17" x14ac:dyDescent="0.25">
      <c r="E40" s="47"/>
      <c r="F40" s="229"/>
      <c r="G40" s="249"/>
      <c r="H40" s="228"/>
      <c r="I40" s="228"/>
      <c r="J40" s="228"/>
      <c r="K40" s="47"/>
      <c r="M40" s="47"/>
      <c r="N40" s="165"/>
      <c r="O40" s="257"/>
      <c r="P40" s="257"/>
      <c r="Q40" s="257"/>
    </row>
    <row r="41" spans="2:17" x14ac:dyDescent="0.25">
      <c r="D41" s="8"/>
      <c r="E41" s="47"/>
      <c r="F41" s="229"/>
      <c r="G41" s="249"/>
      <c r="H41" s="228"/>
      <c r="I41" s="228"/>
      <c r="J41" s="228"/>
      <c r="K41" s="8"/>
      <c r="L41" s="47"/>
      <c r="M41" s="47"/>
      <c r="N41" s="165"/>
      <c r="O41" s="257"/>
      <c r="P41" s="257"/>
      <c r="Q41" s="257"/>
    </row>
    <row r="42" spans="2:17" x14ac:dyDescent="0.25">
      <c r="D42" s="8"/>
      <c r="E42" s="143"/>
      <c r="F42" s="229"/>
      <c r="G42" s="249"/>
      <c r="H42" s="228"/>
      <c r="I42" s="228"/>
      <c r="J42" s="228"/>
      <c r="K42" s="8"/>
      <c r="L42" s="143"/>
      <c r="M42" s="47"/>
      <c r="N42" s="165"/>
      <c r="O42" s="257"/>
      <c r="P42" s="257"/>
      <c r="Q42" s="257"/>
    </row>
    <row r="43" spans="2:17" x14ac:dyDescent="0.25">
      <c r="D43" s="8"/>
      <c r="E43" s="47"/>
      <c r="F43" s="229"/>
      <c r="G43" s="249"/>
      <c r="H43" s="228"/>
      <c r="I43" s="228"/>
      <c r="J43" s="228"/>
      <c r="K43" s="8"/>
      <c r="L43" s="47"/>
      <c r="M43" s="47"/>
      <c r="N43" s="165"/>
      <c r="O43" s="257"/>
      <c r="P43" s="257"/>
      <c r="Q43" s="257"/>
    </row>
    <row r="44" spans="2:17" x14ac:dyDescent="0.25">
      <c r="D44" s="8"/>
      <c r="E44" s="8"/>
      <c r="F44" s="229"/>
      <c r="G44" s="249"/>
      <c r="H44" s="228"/>
      <c r="I44" s="228"/>
      <c r="J44" s="228"/>
      <c r="K44" s="8"/>
      <c r="L44" s="47"/>
      <c r="M44" s="47"/>
      <c r="N44" s="165"/>
      <c r="O44" s="257"/>
      <c r="P44" s="257"/>
      <c r="Q44" s="257"/>
    </row>
    <row r="45" spans="2:17" x14ac:dyDescent="0.25">
      <c r="D45" s="8"/>
      <c r="E45" s="8"/>
      <c r="F45" s="82"/>
      <c r="G45" s="82"/>
      <c r="H45" s="82"/>
      <c r="J45" s="8"/>
      <c r="K45" s="8"/>
      <c r="L45" s="47"/>
      <c r="M45" s="47"/>
      <c r="N45" s="47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9B163E-8FD9-4F0C-B1E1-F38F6A6548CE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88a26cf8-717e-46a4-ac0d-03f11284dc6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2025-11-12T02:04:02Z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