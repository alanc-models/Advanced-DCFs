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427" documentId="8_{9C5A355A-938F-4A77-BDCB-C1ADE8281426}" xr6:coauthVersionLast="47" xr6:coauthVersionMax="47" xr10:uidLastSave="{F9F72988-D6CB-45FD-9A77-69FD2CB484EF}"/>
  <bookViews>
    <workbookView xWindow="-105" yWindow="0" windowWidth="19410" windowHeight="21705" tabRatio="808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12" l="1"/>
  <c r="I5" i="3" s="1"/>
  <c r="M12" i="12"/>
  <c r="M13" i="12"/>
  <c r="M10" i="12"/>
  <c r="M9" i="12"/>
  <c r="M11" i="12"/>
  <c r="P8" i="12"/>
  <c r="N8" i="12"/>
  <c r="K16" i="12"/>
  <c r="I13" i="12"/>
  <c r="I12" i="12"/>
  <c r="I9" i="12"/>
  <c r="I10" i="12"/>
  <c r="L8" i="12"/>
  <c r="J8" i="12"/>
  <c r="G13" i="12"/>
  <c r="G14" i="12"/>
  <c r="G12" i="12"/>
  <c r="G17" i="12"/>
  <c r="C17" i="12"/>
  <c r="C13" i="12"/>
  <c r="C12" i="12"/>
  <c r="E3" i="12"/>
  <c r="E4" i="12" s="1"/>
  <c r="F3" i="12"/>
  <c r="F4" i="12" s="1"/>
  <c r="G3" i="12"/>
  <c r="G4" i="12" s="1"/>
  <c r="H3" i="12"/>
  <c r="D3" i="12"/>
  <c r="D4" i="12" s="1"/>
  <c r="K3" i="12"/>
  <c r="E9" i="11"/>
  <c r="E7" i="11"/>
  <c r="G3" i="10"/>
  <c r="H3" i="10"/>
  <c r="I3" i="10"/>
  <c r="J3" i="10"/>
  <c r="G4" i="10"/>
  <c r="H4" i="10"/>
  <c r="I4" i="10"/>
  <c r="J4" i="10"/>
  <c r="G5" i="10"/>
  <c r="H5" i="10"/>
  <c r="I5" i="10"/>
  <c r="J5" i="10"/>
  <c r="G7" i="10"/>
  <c r="H7" i="10"/>
  <c r="I7" i="10"/>
  <c r="J7" i="10"/>
  <c r="G8" i="10"/>
  <c r="H8" i="10"/>
  <c r="I8" i="10"/>
  <c r="J8" i="10"/>
  <c r="G9" i="10"/>
  <c r="H9" i="10"/>
  <c r="I9" i="10"/>
  <c r="J9" i="10"/>
  <c r="G10" i="10"/>
  <c r="H10" i="10"/>
  <c r="I10" i="10"/>
  <c r="J10" i="10"/>
  <c r="G11" i="10"/>
  <c r="H11" i="10"/>
  <c r="I11" i="10"/>
  <c r="J11" i="10"/>
  <c r="G12" i="10"/>
  <c r="H12" i="10"/>
  <c r="I12" i="10"/>
  <c r="J12" i="10"/>
  <c r="G13" i="10"/>
  <c r="H13" i="10"/>
  <c r="I13" i="10"/>
  <c r="J13" i="10"/>
  <c r="G15" i="10"/>
  <c r="H15" i="10"/>
  <c r="I15" i="10"/>
  <c r="J15" i="10"/>
  <c r="G4" i="9"/>
  <c r="H4" i="9"/>
  <c r="I4" i="9"/>
  <c r="J4" i="9"/>
  <c r="G5" i="9"/>
  <c r="H5" i="9"/>
  <c r="I5" i="9"/>
  <c r="J5" i="9"/>
  <c r="G6" i="9"/>
  <c r="H6" i="9"/>
  <c r="I6" i="9"/>
  <c r="J6" i="9"/>
  <c r="G7" i="9"/>
  <c r="H7" i="9"/>
  <c r="I7" i="9"/>
  <c r="J7" i="9"/>
  <c r="G8" i="9"/>
  <c r="H8" i="9"/>
  <c r="I8" i="9"/>
  <c r="J8" i="9"/>
  <c r="G11" i="9"/>
  <c r="H11" i="9"/>
  <c r="I11" i="9"/>
  <c r="J11" i="9"/>
  <c r="G12" i="9"/>
  <c r="H12" i="9"/>
  <c r="I12" i="9"/>
  <c r="J12" i="9"/>
  <c r="G14" i="9"/>
  <c r="H14" i="9"/>
  <c r="I14" i="9"/>
  <c r="J14" i="9"/>
  <c r="G15" i="9"/>
  <c r="H15" i="9"/>
  <c r="I15" i="9"/>
  <c r="J15" i="9"/>
  <c r="G16" i="9"/>
  <c r="H16" i="9"/>
  <c r="I16" i="9"/>
  <c r="J16" i="9"/>
  <c r="G20" i="9"/>
  <c r="G16" i="8"/>
  <c r="H16" i="8"/>
  <c r="I16" i="8"/>
  <c r="J16" i="8"/>
  <c r="G18" i="8"/>
  <c r="H18" i="8"/>
  <c r="I18" i="8"/>
  <c r="J18" i="8"/>
  <c r="G19" i="8"/>
  <c r="H19" i="8"/>
  <c r="I19" i="8"/>
  <c r="J19" i="8"/>
  <c r="G22" i="8"/>
  <c r="H22" i="8"/>
  <c r="I22" i="8"/>
  <c r="J22" i="8"/>
  <c r="G23" i="8"/>
  <c r="H23" i="8"/>
  <c r="I23" i="8" s="1"/>
  <c r="G24" i="8"/>
  <c r="H24" i="8"/>
  <c r="I24" i="8"/>
  <c r="J24" i="8"/>
  <c r="G25" i="8"/>
  <c r="H25" i="8"/>
  <c r="I25" i="8"/>
  <c r="J25" i="8"/>
  <c r="G26" i="8"/>
  <c r="H26" i="8"/>
  <c r="G31" i="8"/>
  <c r="H31" i="8"/>
  <c r="I31" i="8"/>
  <c r="J31" i="8"/>
  <c r="G32" i="8"/>
  <c r="H32" i="8"/>
  <c r="I32" i="8"/>
  <c r="J32" i="8"/>
  <c r="G35" i="8"/>
  <c r="H35" i="8"/>
  <c r="I35" i="8"/>
  <c r="J35" i="8"/>
  <c r="G36" i="8"/>
  <c r="H36" i="8"/>
  <c r="I36" i="8"/>
  <c r="J36" i="8"/>
  <c r="G37" i="8"/>
  <c r="H37" i="8"/>
  <c r="I37" i="8"/>
  <c r="J37" i="8"/>
  <c r="G16" i="7"/>
  <c r="H16" i="7"/>
  <c r="I16" i="7"/>
  <c r="J16" i="7"/>
  <c r="G17" i="7"/>
  <c r="H17" i="7"/>
  <c r="I17" i="7"/>
  <c r="J17" i="7"/>
  <c r="G18" i="7"/>
  <c r="H18" i="7"/>
  <c r="I18" i="7"/>
  <c r="J18" i="7"/>
  <c r="G19" i="7"/>
  <c r="H19" i="7"/>
  <c r="I19" i="7"/>
  <c r="J19" i="7"/>
  <c r="G20" i="7"/>
  <c r="H20" i="7"/>
  <c r="I20" i="7"/>
  <c r="J20" i="7"/>
  <c r="G22" i="7"/>
  <c r="G23" i="7"/>
  <c r="H23" i="7"/>
  <c r="I23" i="7"/>
  <c r="J23" i="7"/>
  <c r="G24" i="7"/>
  <c r="G26" i="7"/>
  <c r="H26" i="7"/>
  <c r="I26" i="7"/>
  <c r="J26" i="7"/>
  <c r="G27" i="7"/>
  <c r="H27" i="7"/>
  <c r="I27" i="7"/>
  <c r="J27" i="7"/>
  <c r="G29" i="7"/>
  <c r="G32" i="7" s="1"/>
  <c r="H29" i="7"/>
  <c r="I29" i="7"/>
  <c r="J29" i="7"/>
  <c r="J32" i="7" s="1"/>
  <c r="G30" i="7"/>
  <c r="H30" i="7"/>
  <c r="I30" i="7"/>
  <c r="J30" i="7"/>
  <c r="H32" i="7"/>
  <c r="I32" i="7"/>
  <c r="H34" i="7"/>
  <c r="H35" i="7"/>
  <c r="G36" i="7"/>
  <c r="H36" i="7"/>
  <c r="I36" i="7"/>
  <c r="J36" i="7"/>
  <c r="G37" i="7"/>
  <c r="H37" i="7"/>
  <c r="I37" i="7"/>
  <c r="J37" i="7"/>
  <c r="G38" i="7"/>
  <c r="H38" i="7"/>
  <c r="I38" i="7"/>
  <c r="J38" i="7"/>
  <c r="H39" i="7"/>
  <c r="H40" i="7"/>
  <c r="G16" i="6"/>
  <c r="H16" i="6"/>
  <c r="I16" i="6"/>
  <c r="J16" i="6"/>
  <c r="G17" i="6"/>
  <c r="G18" i="6"/>
  <c r="H18" i="6"/>
  <c r="I18" i="6"/>
  <c r="J18" i="6"/>
  <c r="G19" i="6"/>
  <c r="H19" i="6"/>
  <c r="I19" i="6"/>
  <c r="J19" i="6"/>
  <c r="G20" i="6"/>
  <c r="H17" i="6" s="1"/>
  <c r="H20" i="6" s="1"/>
  <c r="G21" i="6"/>
  <c r="H21" i="6"/>
  <c r="I21" i="6"/>
  <c r="J21" i="6"/>
  <c r="G22" i="6"/>
  <c r="G24" i="6"/>
  <c r="H24" i="6"/>
  <c r="I24" i="6"/>
  <c r="J24" i="6"/>
  <c r="G25" i="6"/>
  <c r="H25" i="6"/>
  <c r="I25" i="6"/>
  <c r="J25" i="6"/>
  <c r="G26" i="6"/>
  <c r="G27" i="6"/>
  <c r="G28" i="6"/>
  <c r="G30" i="6"/>
  <c r="H30" i="6"/>
  <c r="I30" i="6"/>
  <c r="J30" i="6"/>
  <c r="G32" i="6"/>
  <c r="H32" i="6"/>
  <c r="I32" i="6"/>
  <c r="J32" i="6"/>
  <c r="G6" i="5"/>
  <c r="G7" i="5"/>
  <c r="H7" i="5"/>
  <c r="I7" i="5"/>
  <c r="J7" i="5"/>
  <c r="G8" i="5"/>
  <c r="G9" i="5"/>
  <c r="H6" i="5" s="1"/>
  <c r="G10" i="5"/>
  <c r="H10" i="5"/>
  <c r="I10" i="5"/>
  <c r="J10" i="5"/>
  <c r="G11" i="5"/>
  <c r="H11" i="5"/>
  <c r="I11" i="5"/>
  <c r="J11" i="5"/>
  <c r="G13" i="5"/>
  <c r="H14" i="5"/>
  <c r="G15" i="5"/>
  <c r="H15" i="5"/>
  <c r="I15" i="5"/>
  <c r="J15" i="5"/>
  <c r="G17" i="5"/>
  <c r="H17" i="5"/>
  <c r="I17" i="5"/>
  <c r="J17" i="5"/>
  <c r="G18" i="5"/>
  <c r="H18" i="5"/>
  <c r="I18" i="5"/>
  <c r="J18" i="5"/>
  <c r="G19" i="5"/>
  <c r="G23" i="5" s="1"/>
  <c r="H19" i="5"/>
  <c r="I19" i="5"/>
  <c r="J19" i="5"/>
  <c r="G20" i="5"/>
  <c r="H20" i="5"/>
  <c r="I20" i="5"/>
  <c r="J20" i="5"/>
  <c r="G21" i="5"/>
  <c r="H21" i="5"/>
  <c r="I21" i="5"/>
  <c r="J21" i="5"/>
  <c r="G22" i="5"/>
  <c r="H22" i="5"/>
  <c r="I22" i="5"/>
  <c r="J22" i="5"/>
  <c r="H23" i="5"/>
  <c r="I23" i="5"/>
  <c r="J23" i="5"/>
  <c r="I24" i="5"/>
  <c r="J24" i="5"/>
  <c r="F13" i="10"/>
  <c r="F9" i="10"/>
  <c r="F10" i="10"/>
  <c r="F11" i="10"/>
  <c r="F12" i="10"/>
  <c r="F8" i="10"/>
  <c r="F30" i="7"/>
  <c r="F29" i="7"/>
  <c r="F32" i="7" s="1"/>
  <c r="F16" i="9"/>
  <c r="F20" i="9"/>
  <c r="B21" i="9"/>
  <c r="F15" i="9"/>
  <c r="F14" i="9"/>
  <c r="F11" i="9"/>
  <c r="F12" i="9" s="1"/>
  <c r="F8" i="9"/>
  <c r="F7" i="9"/>
  <c r="F6" i="9"/>
  <c r="F5" i="9"/>
  <c r="F4" i="9"/>
  <c r="F24" i="5"/>
  <c r="F23" i="5"/>
  <c r="E23" i="5"/>
  <c r="F18" i="5"/>
  <c r="F19" i="5"/>
  <c r="F20" i="5"/>
  <c r="F21" i="5"/>
  <c r="F22" i="5"/>
  <c r="E22" i="5"/>
  <c r="E21" i="5"/>
  <c r="E20" i="5"/>
  <c r="E19" i="5"/>
  <c r="E18" i="5"/>
  <c r="E16" i="5"/>
  <c r="F13" i="5" s="1"/>
  <c r="F36" i="8"/>
  <c r="F35" i="8"/>
  <c r="F32" i="6"/>
  <c r="F28" i="6"/>
  <c r="F27" i="6"/>
  <c r="F26" i="6"/>
  <c r="F25" i="6"/>
  <c r="F22" i="6"/>
  <c r="F21" i="6"/>
  <c r="F20" i="6"/>
  <c r="F19" i="6"/>
  <c r="F18" i="6"/>
  <c r="F17" i="6"/>
  <c r="E20" i="6"/>
  <c r="F32" i="8"/>
  <c r="F31" i="8"/>
  <c r="F25" i="8"/>
  <c r="F24" i="8"/>
  <c r="F23" i="8"/>
  <c r="F23" i="7"/>
  <c r="E9" i="5"/>
  <c r="F6" i="5" s="1"/>
  <c r="F19" i="8"/>
  <c r="F18" i="8"/>
  <c r="F16" i="8"/>
  <c r="F38" i="7"/>
  <c r="F37" i="7"/>
  <c r="F27" i="7"/>
  <c r="F26" i="7"/>
  <c r="G13" i="13"/>
  <c r="H13" i="13"/>
  <c r="I13" i="13"/>
  <c r="J13" i="13"/>
  <c r="F13" i="13"/>
  <c r="F18" i="7"/>
  <c r="F17" i="7"/>
  <c r="G6" i="13"/>
  <c r="H6" i="13"/>
  <c r="I6" i="13" s="1"/>
  <c r="J6" i="13" s="1"/>
  <c r="F8" i="13"/>
  <c r="F7" i="13"/>
  <c r="F14" i="13"/>
  <c r="E23" i="8"/>
  <c r="E25" i="8"/>
  <c r="D23" i="8"/>
  <c r="D25" i="8"/>
  <c r="C23" i="8"/>
  <c r="C25" i="8"/>
  <c r="C23" i="7"/>
  <c r="D23" i="7"/>
  <c r="E23" i="7"/>
  <c r="E23" i="13"/>
  <c r="D25" i="13"/>
  <c r="E25" i="13"/>
  <c r="D24" i="13"/>
  <c r="E24" i="13"/>
  <c r="C32" i="7"/>
  <c r="D32" i="7"/>
  <c r="D32" i="13"/>
  <c r="E32" i="13"/>
  <c r="C36" i="8"/>
  <c r="C31" i="8"/>
  <c r="C32" i="8"/>
  <c r="C19" i="8"/>
  <c r="C22" i="8"/>
  <c r="D36" i="8"/>
  <c r="E36" i="8"/>
  <c r="D32" i="8"/>
  <c r="D31" i="8"/>
  <c r="E32" i="8"/>
  <c r="E31" i="8"/>
  <c r="D24" i="8"/>
  <c r="D22" i="8"/>
  <c r="D19" i="8"/>
  <c r="E22" i="8"/>
  <c r="E19" i="8"/>
  <c r="D16" i="8"/>
  <c r="D17" i="8" s="1"/>
  <c r="C16" i="8"/>
  <c r="C17" i="8" s="1"/>
  <c r="E16" i="8"/>
  <c r="E17" i="8" s="1"/>
  <c r="C19" i="7"/>
  <c r="D19" i="7"/>
  <c r="E19" i="7"/>
  <c r="C2" i="10"/>
  <c r="D2" i="10"/>
  <c r="E2" i="10"/>
  <c r="F15" i="7"/>
  <c r="F36" i="7" s="1"/>
  <c r="G15" i="7"/>
  <c r="H15" i="7"/>
  <c r="I15" i="7"/>
  <c r="J15" i="7"/>
  <c r="E2" i="9"/>
  <c r="D2" i="9" s="1"/>
  <c r="C2" i="9" s="1"/>
  <c r="E2" i="8"/>
  <c r="D2" i="8" s="1"/>
  <c r="C2" i="8" s="1"/>
  <c r="E2" i="7"/>
  <c r="C2" i="6"/>
  <c r="D2" i="6"/>
  <c r="E2" i="6"/>
  <c r="E2" i="5"/>
  <c r="D2" i="5" s="1"/>
  <c r="C2" i="5" s="1"/>
  <c r="E2" i="13"/>
  <c r="D2" i="13" s="1"/>
  <c r="C2" i="13" s="1"/>
  <c r="I6" i="3" l="1"/>
  <c r="G8" i="12"/>
  <c r="H4" i="12"/>
  <c r="I26" i="8"/>
  <c r="J23" i="8"/>
  <c r="J26" i="8" s="1"/>
  <c r="G34" i="7"/>
  <c r="G35" i="7" s="1"/>
  <c r="J34" i="7"/>
  <c r="J35" i="7" s="1"/>
  <c r="I34" i="7"/>
  <c r="I35" i="7"/>
  <c r="H24" i="5"/>
  <c r="G24" i="5"/>
  <c r="I17" i="6"/>
  <c r="I20" i="6" s="1"/>
  <c r="H26" i="6"/>
  <c r="H27" i="6" s="1"/>
  <c r="H22" i="6"/>
  <c r="H28" i="6" s="1"/>
  <c r="H8" i="5"/>
  <c r="F34" i="7"/>
  <c r="F35" i="7"/>
  <c r="G7" i="13"/>
  <c r="G8" i="13"/>
  <c r="E15" i="7"/>
  <c r="E36" i="7" s="1"/>
  <c r="D2" i="7"/>
  <c r="E15" i="13"/>
  <c r="D15" i="13"/>
  <c r="E47" i="13"/>
  <c r="F11" i="8" s="1"/>
  <c r="E13" i="13"/>
  <c r="D10" i="13"/>
  <c r="E10" i="13"/>
  <c r="D33" i="13"/>
  <c r="E33" i="13"/>
  <c r="F33" i="13" s="1"/>
  <c r="G33" i="13" s="1"/>
  <c r="H33" i="13" s="1"/>
  <c r="I33" i="13" s="1"/>
  <c r="J33" i="13" s="1"/>
  <c r="E49" i="13"/>
  <c r="D49" i="13"/>
  <c r="C49" i="13"/>
  <c r="E48" i="13"/>
  <c r="D48" i="13"/>
  <c r="C48" i="13"/>
  <c r="C47" i="13"/>
  <c r="E42" i="13"/>
  <c r="F42" i="13" s="1"/>
  <c r="G42" i="13" s="1"/>
  <c r="D42" i="13"/>
  <c r="C42" i="13"/>
  <c r="E43" i="13"/>
  <c r="D43" i="13"/>
  <c r="C43" i="13"/>
  <c r="E40" i="13"/>
  <c r="F40" i="13" s="1"/>
  <c r="D40" i="13"/>
  <c r="C40" i="13"/>
  <c r="E39" i="13"/>
  <c r="D39" i="13"/>
  <c r="C39" i="13"/>
  <c r="E38" i="13"/>
  <c r="D38" i="13"/>
  <c r="C38" i="13"/>
  <c r="E16" i="13"/>
  <c r="D16" i="13"/>
  <c r="C16" i="13"/>
  <c r="C15" i="13"/>
  <c r="E14" i="13"/>
  <c r="F8" i="7" s="1"/>
  <c r="D14" i="13"/>
  <c r="C14" i="13"/>
  <c r="D13" i="13"/>
  <c r="C13" i="13"/>
  <c r="E12" i="13"/>
  <c r="D12" i="13"/>
  <c r="C12" i="13"/>
  <c r="C11" i="13"/>
  <c r="E19" i="13"/>
  <c r="D19" i="13"/>
  <c r="C19" i="13"/>
  <c r="E18" i="13"/>
  <c r="D18" i="13"/>
  <c r="C18" i="13"/>
  <c r="F6" i="3"/>
  <c r="C21" i="13"/>
  <c r="C30" i="13" s="1"/>
  <c r="C36" i="13" s="1"/>
  <c r="C45" i="13" s="1"/>
  <c r="G9" i="7"/>
  <c r="H9" i="7"/>
  <c r="I9" i="7"/>
  <c r="J9" i="7"/>
  <c r="G10" i="7"/>
  <c r="H10" i="7"/>
  <c r="I10" i="7"/>
  <c r="J10" i="7"/>
  <c r="A1" i="10"/>
  <c r="C20" i="8"/>
  <c r="D20" i="8"/>
  <c r="E20" i="8"/>
  <c r="D26" i="8"/>
  <c r="C26" i="8"/>
  <c r="E26" i="8"/>
  <c r="E33" i="8"/>
  <c r="C33" i="8"/>
  <c r="D33" i="8"/>
  <c r="C37" i="8"/>
  <c r="D37" i="8"/>
  <c r="D40" i="8" s="1"/>
  <c r="E37" i="8"/>
  <c r="C10" i="5"/>
  <c r="C17" i="5" s="1"/>
  <c r="G10" i="13"/>
  <c r="F32" i="13"/>
  <c r="F3" i="5" s="1"/>
  <c r="F7" i="5" s="1"/>
  <c r="C11" i="6"/>
  <c r="C30" i="6" s="1"/>
  <c r="F24" i="13"/>
  <c r="F23" i="13"/>
  <c r="F4" i="6" s="1"/>
  <c r="F25" i="13"/>
  <c r="F6" i="6" s="1"/>
  <c r="C15" i="8"/>
  <c r="F10" i="7"/>
  <c r="A1" i="3"/>
  <c r="A1" i="13"/>
  <c r="A1" i="5"/>
  <c r="A1" i="6"/>
  <c r="A1" i="7"/>
  <c r="A1" i="8"/>
  <c r="A1" i="9"/>
  <c r="A1" i="11"/>
  <c r="A1" i="12"/>
  <c r="C20" i="7"/>
  <c r="C17" i="13" s="1"/>
  <c r="F8" i="6"/>
  <c r="F11" i="5"/>
  <c r="F15" i="5" s="1"/>
  <c r="B19" i="5"/>
  <c r="F9" i="6"/>
  <c r="G9" i="6"/>
  <c r="H9" i="6"/>
  <c r="I9" i="6"/>
  <c r="J9" i="6"/>
  <c r="J8" i="6"/>
  <c r="I8" i="6"/>
  <c r="H8" i="6"/>
  <c r="G8" i="6"/>
  <c r="E2" i="12"/>
  <c r="F2" i="12" s="1"/>
  <c r="G2" i="12" s="1"/>
  <c r="H2" i="12" s="1"/>
  <c r="F9" i="7"/>
  <c r="C7" i="12" l="1"/>
  <c r="H5" i="12"/>
  <c r="C8" i="12" s="1"/>
  <c r="G14" i="5"/>
  <c r="G16" i="5" s="1"/>
  <c r="G40" i="7"/>
  <c r="G39" i="7"/>
  <c r="J14" i="5"/>
  <c r="J40" i="7"/>
  <c r="J39" i="7"/>
  <c r="I14" i="5"/>
  <c r="I39" i="7"/>
  <c r="I40" i="7"/>
  <c r="H9" i="5"/>
  <c r="I6" i="5" s="1"/>
  <c r="H22" i="7"/>
  <c r="H24" i="7" s="1"/>
  <c r="J17" i="6"/>
  <c r="J20" i="6" s="1"/>
  <c r="I26" i="6"/>
  <c r="I27" i="6" s="1"/>
  <c r="I22" i="6"/>
  <c r="I28" i="6" s="1"/>
  <c r="I8" i="5"/>
  <c r="F39" i="7"/>
  <c r="F14" i="5"/>
  <c r="F16" i="5" s="1"/>
  <c r="F39" i="8" s="1"/>
  <c r="F40" i="7"/>
  <c r="G4" i="7"/>
  <c r="C40" i="8"/>
  <c r="C2" i="7"/>
  <c r="C15" i="7" s="1"/>
  <c r="C36" i="7" s="1"/>
  <c r="D15" i="7"/>
  <c r="D36" i="7" s="1"/>
  <c r="D15" i="8"/>
  <c r="D11" i="6"/>
  <c r="D16" i="6" s="1"/>
  <c r="D24" i="6" s="1"/>
  <c r="G24" i="13"/>
  <c r="E11" i="11"/>
  <c r="C24" i="7"/>
  <c r="C35" i="7"/>
  <c r="D11" i="13"/>
  <c r="D47" i="13"/>
  <c r="D20" i="7"/>
  <c r="D24" i="7" s="1"/>
  <c r="E11" i="13"/>
  <c r="E10" i="11"/>
  <c r="F9" i="3"/>
  <c r="D21" i="13"/>
  <c r="D30" i="13" s="1"/>
  <c r="D36" i="13" s="1"/>
  <c r="D45" i="13" s="1"/>
  <c r="F2" i="13"/>
  <c r="E21" i="13"/>
  <c r="E30" i="13" s="1"/>
  <c r="E36" i="13" s="1"/>
  <c r="E45" i="13" s="1"/>
  <c r="F5" i="6"/>
  <c r="F9" i="8"/>
  <c r="G25" i="13"/>
  <c r="G6" i="6" s="1"/>
  <c r="G47" i="13"/>
  <c r="G14" i="13"/>
  <c r="G23" i="13"/>
  <c r="G4" i="6" s="1"/>
  <c r="D10" i="5"/>
  <c r="D17" i="5" s="1"/>
  <c r="E10" i="5"/>
  <c r="E17" i="5" s="1"/>
  <c r="D30" i="6"/>
  <c r="D28" i="8"/>
  <c r="D42" i="8" s="1"/>
  <c r="C16" i="6"/>
  <c r="C24" i="6" s="1"/>
  <c r="E40" i="8"/>
  <c r="E28" i="8"/>
  <c r="C28" i="8"/>
  <c r="G9" i="8"/>
  <c r="H42" i="13"/>
  <c r="H9" i="8" s="1"/>
  <c r="G32" i="13"/>
  <c r="F4" i="5"/>
  <c r="F6" i="8"/>
  <c r="G40" i="13"/>
  <c r="F12" i="13"/>
  <c r="G12" i="13" s="1"/>
  <c r="F38" i="13"/>
  <c r="F48" i="13"/>
  <c r="F39" i="13"/>
  <c r="E20" i="7"/>
  <c r="E24" i="7" s="1"/>
  <c r="F43" i="13"/>
  <c r="F49" i="13"/>
  <c r="G7" i="12" l="1"/>
  <c r="G9" i="12" s="1"/>
  <c r="G15" i="12" s="1"/>
  <c r="G18" i="12" s="1"/>
  <c r="M8" i="12" s="1"/>
  <c r="C9" i="12"/>
  <c r="C15" i="12" s="1"/>
  <c r="C18" i="12" s="1"/>
  <c r="G39" i="8"/>
  <c r="H13" i="5"/>
  <c r="H16" i="5" s="1"/>
  <c r="I9" i="5"/>
  <c r="J6" i="5" s="1"/>
  <c r="I22" i="7"/>
  <c r="I24" i="7" s="1"/>
  <c r="J26" i="6"/>
  <c r="J27" i="6" s="1"/>
  <c r="J22" i="6"/>
  <c r="J28" i="6" s="1"/>
  <c r="J8" i="5"/>
  <c r="G4" i="5"/>
  <c r="H4" i="5" s="1"/>
  <c r="I4" i="5" s="1"/>
  <c r="J4" i="5" s="1"/>
  <c r="F8" i="5"/>
  <c r="H7" i="13"/>
  <c r="H8" i="13"/>
  <c r="H10" i="13"/>
  <c r="C42" i="8"/>
  <c r="E15" i="8"/>
  <c r="E11" i="6"/>
  <c r="G5" i="6"/>
  <c r="H24" i="13"/>
  <c r="C39" i="7"/>
  <c r="C40" i="7"/>
  <c r="G2" i="13"/>
  <c r="F21" i="13"/>
  <c r="F30" i="13" s="1"/>
  <c r="F36" i="13" s="1"/>
  <c r="F45" i="13" s="1"/>
  <c r="F15" i="8"/>
  <c r="E42" i="8"/>
  <c r="H25" i="13"/>
  <c r="I25" i="13" s="1"/>
  <c r="H12" i="13"/>
  <c r="G6" i="7"/>
  <c r="I42" i="13"/>
  <c r="H23" i="13"/>
  <c r="H4" i="6" s="1"/>
  <c r="H14" i="13"/>
  <c r="G8" i="7"/>
  <c r="G11" i="8"/>
  <c r="H47" i="13"/>
  <c r="F10" i="5"/>
  <c r="F17" i="5" s="1"/>
  <c r="H32" i="13"/>
  <c r="G3" i="5"/>
  <c r="I23" i="13"/>
  <c r="F5" i="8"/>
  <c r="G39" i="13"/>
  <c r="G38" i="13"/>
  <c r="H38" i="13" s="1"/>
  <c r="I38" i="13" s="1"/>
  <c r="J38" i="13" s="1"/>
  <c r="F4" i="8"/>
  <c r="F6" i="7"/>
  <c r="F13" i="8"/>
  <c r="G49" i="13"/>
  <c r="G43" i="13"/>
  <c r="F8" i="8"/>
  <c r="F11" i="13"/>
  <c r="G11" i="13" s="1"/>
  <c r="E32" i="7"/>
  <c r="F12" i="8"/>
  <c r="G48" i="13"/>
  <c r="G6" i="8"/>
  <c r="H40" i="13"/>
  <c r="I8" i="12" l="1"/>
  <c r="J5" i="3"/>
  <c r="H39" i="8"/>
  <c r="I13" i="5"/>
  <c r="I16" i="5" s="1"/>
  <c r="J9" i="5"/>
  <c r="J22" i="7"/>
  <c r="J24" i="7" s="1"/>
  <c r="F9" i="5"/>
  <c r="F22" i="8" s="1"/>
  <c r="F26" i="8" s="1"/>
  <c r="F22" i="7"/>
  <c r="F24" i="7" s="1"/>
  <c r="H4" i="7"/>
  <c r="I9" i="8"/>
  <c r="J42" i="13"/>
  <c r="J9" i="8" s="1"/>
  <c r="F11" i="6"/>
  <c r="E30" i="6"/>
  <c r="E16" i="6"/>
  <c r="E24" i="6" s="1"/>
  <c r="H5" i="6"/>
  <c r="I24" i="13"/>
  <c r="D35" i="7"/>
  <c r="D17" i="13"/>
  <c r="E35" i="7"/>
  <c r="E17" i="13"/>
  <c r="H2" i="13"/>
  <c r="G21" i="13"/>
  <c r="G30" i="13" s="1"/>
  <c r="G36" i="13" s="1"/>
  <c r="G45" i="13" s="1"/>
  <c r="G15" i="8"/>
  <c r="H6" i="6"/>
  <c r="H11" i="8"/>
  <c r="I47" i="13"/>
  <c r="G5" i="7"/>
  <c r="H11" i="13"/>
  <c r="I14" i="13"/>
  <c r="H8" i="7"/>
  <c r="G7" i="7"/>
  <c r="I12" i="13"/>
  <c r="H6" i="7"/>
  <c r="I4" i="6"/>
  <c r="J23" i="13"/>
  <c r="I32" i="13"/>
  <c r="H3" i="5"/>
  <c r="J25" i="13"/>
  <c r="I6" i="6"/>
  <c r="H48" i="13"/>
  <c r="G12" i="8"/>
  <c r="F5" i="7"/>
  <c r="H43" i="13"/>
  <c r="G8" i="8"/>
  <c r="H49" i="13"/>
  <c r="G13" i="8"/>
  <c r="F37" i="8"/>
  <c r="I40" i="13"/>
  <c r="H6" i="8"/>
  <c r="F7" i="7"/>
  <c r="F19" i="7" s="1"/>
  <c r="F20" i="7" s="1"/>
  <c r="F4" i="10" s="1"/>
  <c r="G4" i="8"/>
  <c r="H39" i="13"/>
  <c r="G5" i="8"/>
  <c r="J6" i="3" l="1"/>
  <c r="K5" i="3"/>
  <c r="K6" i="3" s="1"/>
  <c r="I39" i="8"/>
  <c r="J13" i="5"/>
  <c r="J16" i="5" s="1"/>
  <c r="J39" i="8" s="1"/>
  <c r="I7" i="13"/>
  <c r="I8" i="13"/>
  <c r="I10" i="13"/>
  <c r="G11" i="6"/>
  <c r="F16" i="6"/>
  <c r="F24" i="6" s="1"/>
  <c r="F30" i="6"/>
  <c r="J24" i="13"/>
  <c r="J5" i="6" s="1"/>
  <c r="I5" i="6"/>
  <c r="D39" i="7"/>
  <c r="D40" i="7"/>
  <c r="E40" i="7"/>
  <c r="E39" i="7"/>
  <c r="G17" i="13"/>
  <c r="F5" i="10"/>
  <c r="E4" i="11"/>
  <c r="L4" i="11" s="1"/>
  <c r="L5" i="11" s="1"/>
  <c r="L6" i="11" s="1"/>
  <c r="L7" i="11" s="1"/>
  <c r="I2" i="13"/>
  <c r="H21" i="13"/>
  <c r="H30" i="13" s="1"/>
  <c r="H36" i="13" s="1"/>
  <c r="H45" i="13" s="1"/>
  <c r="H15" i="8"/>
  <c r="J12" i="13"/>
  <c r="I6" i="7"/>
  <c r="H7" i="7"/>
  <c r="J14" i="13"/>
  <c r="I8" i="7"/>
  <c r="I11" i="13"/>
  <c r="H5" i="7"/>
  <c r="J47" i="13"/>
  <c r="I11" i="8"/>
  <c r="I3" i="5"/>
  <c r="J32" i="13"/>
  <c r="J4" i="6"/>
  <c r="J6" i="6"/>
  <c r="F18" i="13"/>
  <c r="J40" i="13"/>
  <c r="I6" i="8"/>
  <c r="H13" i="8"/>
  <c r="I49" i="13"/>
  <c r="I43" i="13"/>
  <c r="H8" i="8"/>
  <c r="I39" i="13"/>
  <c r="H5" i="8"/>
  <c r="H4" i="8"/>
  <c r="I48" i="13"/>
  <c r="H12" i="8"/>
  <c r="I4" i="7" l="1"/>
  <c r="H11" i="6"/>
  <c r="G11" i="7"/>
  <c r="H17" i="13"/>
  <c r="J2" i="13"/>
  <c r="J21" i="13" s="1"/>
  <c r="J30" i="13" s="1"/>
  <c r="J36" i="13" s="1"/>
  <c r="J45" i="13" s="1"/>
  <c r="I21" i="13"/>
  <c r="I30" i="13" s="1"/>
  <c r="I36" i="13" s="1"/>
  <c r="I45" i="13" s="1"/>
  <c r="G18" i="13"/>
  <c r="I15" i="8"/>
  <c r="J15" i="8"/>
  <c r="J11" i="8"/>
  <c r="J11" i="13"/>
  <c r="I5" i="7"/>
  <c r="J8" i="7"/>
  <c r="I7" i="7"/>
  <c r="J6" i="7"/>
  <c r="J3" i="5"/>
  <c r="I4" i="8"/>
  <c r="F19" i="13"/>
  <c r="I5" i="8"/>
  <c r="J39" i="13"/>
  <c r="J43" i="13"/>
  <c r="I8" i="8"/>
  <c r="I13" i="8"/>
  <c r="J49" i="13"/>
  <c r="J6" i="8"/>
  <c r="J48" i="13"/>
  <c r="I12" i="8"/>
  <c r="F11" i="7"/>
  <c r="E12" i="11"/>
  <c r="F12" i="7"/>
  <c r="J7" i="13" l="1"/>
  <c r="J8" i="13"/>
  <c r="J10" i="13"/>
  <c r="J4" i="7" s="1"/>
  <c r="I11" i="6"/>
  <c r="J11" i="6"/>
  <c r="H11" i="7"/>
  <c r="I17" i="13"/>
  <c r="G12" i="7"/>
  <c r="G19" i="13"/>
  <c r="H18" i="13"/>
  <c r="J7" i="7"/>
  <c r="J5" i="7"/>
  <c r="J8" i="8"/>
  <c r="M4" i="11"/>
  <c r="J13" i="8"/>
  <c r="J12" i="8"/>
  <c r="F7" i="10"/>
  <c r="F15" i="10" s="1"/>
  <c r="J5" i="8"/>
  <c r="F13" i="7"/>
  <c r="J4" i="8"/>
  <c r="G13" i="7" l="1"/>
  <c r="I18" i="13"/>
  <c r="H19" i="13"/>
  <c r="H13" i="7" s="1"/>
  <c r="H12" i="7"/>
  <c r="J17" i="13"/>
  <c r="J11" i="7" s="1"/>
  <c r="I11" i="7"/>
  <c r="F3" i="9"/>
  <c r="F9" i="9" s="1"/>
  <c r="F18" i="9" s="1"/>
  <c r="F21" i="9" s="1"/>
  <c r="F22" i="9" s="1"/>
  <c r="M5" i="11"/>
  <c r="F30" i="8" l="1"/>
  <c r="F17" i="8"/>
  <c r="F31" i="6" s="1"/>
  <c r="F33" i="6" s="1"/>
  <c r="J18" i="13"/>
  <c r="J12" i="7" s="1"/>
  <c r="I12" i="7"/>
  <c r="I19" i="13"/>
  <c r="J19" i="13" s="1"/>
  <c r="G3" i="9"/>
  <c r="G9" i="9" s="1"/>
  <c r="G18" i="9" s="1"/>
  <c r="G21" i="9" s="1"/>
  <c r="G22" i="9" s="1"/>
  <c r="M6" i="11"/>
  <c r="M7" i="11"/>
  <c r="G30" i="8" l="1"/>
  <c r="G33" i="8" s="1"/>
  <c r="G40" i="8" s="1"/>
  <c r="G17" i="8"/>
  <c r="I13" i="7"/>
  <c r="J13" i="7"/>
  <c r="M9" i="11"/>
  <c r="M11" i="11" s="1"/>
  <c r="E8" i="11" s="1"/>
  <c r="E13" i="11" s="1"/>
  <c r="H3" i="9"/>
  <c r="H9" i="9" s="1"/>
  <c r="H18" i="9" s="1"/>
  <c r="H21" i="9" s="1"/>
  <c r="F20" i="8"/>
  <c r="F28" i="8" s="1"/>
  <c r="F33" i="8"/>
  <c r="H20" i="9" l="1"/>
  <c r="H22" i="9" s="1"/>
  <c r="G31" i="6"/>
  <c r="G33" i="6" s="1"/>
  <c r="G20" i="8"/>
  <c r="G28" i="8" s="1"/>
  <c r="G42" i="8" s="1"/>
  <c r="F40" i="8"/>
  <c r="F42" i="8" s="1"/>
  <c r="J3" i="9"/>
  <c r="J9" i="9" s="1"/>
  <c r="J18" i="9" s="1"/>
  <c r="J21" i="9" s="1"/>
  <c r="I3" i="9"/>
  <c r="I9" i="9" s="1"/>
  <c r="I18" i="9" s="1"/>
  <c r="I21" i="9" s="1"/>
  <c r="H30" i="8" l="1"/>
  <c r="H33" i="8" s="1"/>
  <c r="H40" i="8" s="1"/>
  <c r="H17" i="8"/>
  <c r="I20" i="9" l="1"/>
  <c r="I22" i="9" s="1"/>
  <c r="H31" i="6"/>
  <c r="H33" i="6" s="1"/>
  <c r="H20" i="8"/>
  <c r="H28" i="8" s="1"/>
  <c r="H42" i="8" s="1"/>
  <c r="I30" i="8" l="1"/>
  <c r="I33" i="8" s="1"/>
  <c r="I40" i="8" s="1"/>
  <c r="I17" i="8"/>
  <c r="I31" i="6" l="1"/>
  <c r="I33" i="6" s="1"/>
  <c r="J20" i="9"/>
  <c r="J22" i="9" s="1"/>
  <c r="I20" i="8"/>
  <c r="I28" i="8" s="1"/>
  <c r="I42" i="8" s="1"/>
  <c r="J30" i="8" l="1"/>
  <c r="J33" i="8" s="1"/>
  <c r="J40" i="8" s="1"/>
  <c r="J17" i="8"/>
  <c r="J31" i="6" l="1"/>
  <c r="J33" i="6" s="1"/>
  <c r="J20" i="8"/>
  <c r="J28" i="8" s="1"/>
  <c r="J42" i="8" s="1"/>
  <c r="F10" i="13"/>
  <c r="F4" i="7" l="1"/>
  <c r="F16" i="7" s="1"/>
  <c r="F3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<sst xmlns="http://schemas.openxmlformats.org/spreadsheetml/2006/main" count="339" uniqueCount="200">
  <si>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</si>
  <si>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</si>
  <si>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</si>
  <si>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</si>
  <si>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</si>
  <si>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</si>
  <si>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</si>
  <si>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</si>
  <si>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</si>
  <si>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</si>
  <si>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</si>
  <si>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</si>
  <si>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</si>
  <si>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</si>
  <si>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</si>
  <si>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</si>
  <si>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</si>
  <si>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</si>
  <si>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</si>
  <si>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</si>
  <si>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</si>
  <si>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</si>
  <si>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</si>
  <si>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</si>
  <si>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</si>
  <si>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</si>
  <si>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</si>
  <si>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</si>
  <si>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</si>
  <si>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</si>
  <si>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</si>
  <si>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</si>
  <si>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</si>
  <si>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</si>
  <si>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</si>
  <si>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</si>
  <si>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</si>
  <si>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</si>
  <si>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</si>
  <si>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</si>
  <si>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</si>
  <si>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</si>
  <si>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</si>
  <si>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</si>
  <si>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</si>
  <si>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</si>
  <si>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</si>
  <si>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</si>
  <si>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</si>
  <si>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</si>
  <si>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</si>
  <si>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</si>
  <si>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</si>
  <si>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</si>
  <si>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</si>
  <si>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</si>
  <si>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</si>
  <si>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</si>
  <si>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</si>
  <si>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</si>
  <si>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</si>
  <si>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</si>
  <si>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</si>
  <si>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</si>
  <si>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</si>
  <si>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</si>
  <si>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</si>
  <si>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</si>
  <si>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</si>
  <si>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</si>
  <si>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</si>
  <si>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</si>
  <si>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</si>
  <si>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</si>
  <si>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</si>
  <si>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</si>
  <si>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</si>
  <si>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</si>
  <si>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</si>
  <si>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</si>
  <si>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</si>
  <si>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</si>
  <si>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</si>
  <si>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</si>
  <si>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</si>
  <si>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</si>
  <si>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</si>
  <si>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</si>
  <si>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</si>
  <si>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</si>
  <si>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</si>
  <si>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</si>
  <si>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</si>
  <si>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</si>
  <si>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</si>
  <si>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</si>
  <si>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</si>
  <si>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</si>
  <si>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</si>
  <si>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</si>
  <si>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</si>
  <si>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</si>
  <si>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</si>
  <si>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</si>
  <si>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</si>
  <si>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</si>
  <si>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</si>
  <si>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</si>
  <si>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</si>
  <si>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</si>
  <si>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</si>
  <si>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</si>
  <si>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</si>
  <si>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</si>
  <si>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</si>
  <si>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</si>
  <si>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</si>
  <si>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</si>
  <si>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</si>
  <si>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</si>
  <si>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</si>
  <si>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</si>
  <si>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</si>
  <si>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</si>
  <si>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</si>
  <si>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</si>
  <si>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</si>
  <si>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</si>
  <si>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</si>
  <si>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</si>
  <si>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</si>
  <si>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</si>
  <si>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</si>
  <si>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</si>
  <si>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</si>
  <si>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</si>
  <si>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</si>
  <si>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</si>
  <si>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</si>
  <si>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</si>
  <si>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</si>
  <si>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</si>
  <si>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</si>
  <si>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</si>
  <si>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</si>
  <si>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</si>
  <si>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</si>
  <si>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</si>
  <si>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</si>
  <si>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</si>
  <si>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</si>
  <si>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</si>
  <si>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</si>
  <si>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</si>
  <si>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</si>
  <si>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</si>
  <si>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</si>
  <si>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</si>
  <si>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Investment in unconsolidated entities</t>
  </si>
  <si>
    <t>Investment in unconsolidated entities $ balance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</si>
  <si>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</si>
  <si>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</si>
  <si>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</si>
  <si>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</si>
  <si>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</si>
  <si>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</si>
  <si>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</si>
  <si>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</si>
  <si>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</si>
  <si>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</si>
  <si>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</si>
  <si>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</si>
  <si>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</si>
  <si>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</si>
  <si>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</si>
  <si>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R&amp;D</t>
  </si>
  <si>
    <t>R&amp;D % of sales</t>
  </si>
  <si>
    <t>Investments in unconsolidated entities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</si>
  <si>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</si>
  <si>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</si>
  <si>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</si>
  <si>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</si>
  <si>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</si>
  <si>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</si>
  <si>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</si>
  <si>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Crowdstrike Holdings</t>
  </si>
  <si>
    <t>NO REVOLVER</t>
  </si>
  <si>
    <t>(inc) / dec in LT assets</t>
  </si>
  <si>
    <t>inc / (dec) in LT liabilities</t>
  </si>
  <si>
    <t>CFFO</t>
  </si>
  <si>
    <t>Debt Issuances</t>
  </si>
  <si>
    <t>Share Issuances</t>
  </si>
  <si>
    <t>CFFF</t>
  </si>
  <si>
    <t>CFFI</t>
  </si>
  <si>
    <t>Net changes in cash</t>
  </si>
  <si>
    <t>Beginning Cash</t>
  </si>
  <si>
    <t>Ending Case</t>
  </si>
  <si>
    <t>LTGR</t>
  </si>
  <si>
    <t>Average</t>
  </si>
  <si>
    <t>Exit Mult.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</si>
</sst>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</numFmts>
  <fonts count="7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72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79" fontId="40" fillId="0" borderId="18" xfId="0" applyNumberFormat="1" applyFont="1" applyBorder="1"/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0" fontId="35" fillId="0" borderId="0" xfId="0" applyNumberFormat="1" applyFont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76" fontId="35" fillId="0" borderId="0" xfId="0" applyNumberFormat="1" applyFont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9" fontId="39" fillId="0" borderId="0" xfId="4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166" fontId="38" fillId="0" borderId="0" xfId="57" applyFont="1" applyFill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69" fontId="40" fillId="0" borderId="0" xfId="4" applyFont="1" applyBorder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67" fontId="56" fillId="0" borderId="0" xfId="3" applyNumberFormat="1" applyFont="1" applyFill="1" applyBorder="1"/>
    <xf numFmtId="175" fontId="59" fillId="0" borderId="0" xfId="3" applyNumberFormat="1" applyFont="1" applyFill="1" applyBorder="1"/>
    <xf numFmtId="0" fontId="59" fillId="0" borderId="0" xfId="3" applyNumberFormat="1" applyFont="1" applyFill="1" applyBorder="1"/>
    <xf numFmtId="177" fontId="56" fillId="0" borderId="0" xfId="3" applyNumberFormat="1" applyFont="1" applyFill="1" applyBorder="1"/>
    <xf numFmtId="173" fontId="56" fillId="0" borderId="0" xfId="0" applyNumberFormat="1" applyFont="1"/>
    <xf numFmtId="167" fontId="57" fillId="0" borderId="0" xfId="0" applyFont="1"/>
    <xf numFmtId="173" fontId="56" fillId="40" borderId="1" xfId="0" applyNumberFormat="1" applyFont="1" applyFill="1" applyBorder="1"/>
    <xf numFmtId="0" fontId="33" fillId="0" borderId="0" xfId="0" applyNumberFormat="1" applyFont="1"/>
    <xf numFmtId="167" fontId="50" fillId="0" borderId="0" xfId="0" applyFont="1"/>
    <xf numFmtId="167" fontId="30" fillId="0" borderId="0" xfId="0" applyFont="1"/>
    <xf numFmtId="0" fontId="33" fillId="0" borderId="0" xfId="52" applyNumberFormat="1" applyFont="1" applyFill="1" applyBorder="1" applyAlignment="1">
      <alignment horizontal="right" vertical="center"/>
    </xf>
    <xf numFmtId="166" fontId="1" fillId="0" borderId="0" xfId="57" applyFont="1" applyFill="1" applyBorder="1"/>
    <xf numFmtId="169" fontId="67" fillId="0" borderId="0" xfId="3" applyNumberFormat="1" applyFont="1" applyFill="1" applyBorder="1"/>
    <xf numFmtId="177" fontId="67" fillId="0" borderId="0" xfId="3" applyNumberFormat="1" applyFont="1" applyFill="1" applyBorder="1"/>
    <xf numFmtId="167" fontId="67" fillId="0" borderId="0" xfId="3" applyNumberFormat="1" applyFont="1" applyFill="1" applyBorder="1"/>
    <xf numFmtId="174" fontId="45" fillId="0" borderId="0" xfId="0" applyNumberFormat="1" applyFont="1"/>
    <xf numFmtId="0" fontId="33" fillId="0" borderId="0" xfId="0" applyNumberFormat="1" applyFont="1" applyAlignment="1">
      <alignment horizontal="right"/>
    </xf>
    <xf numFmtId="179" fontId="39" fillId="0" borderId="0" xfId="4" applyNumberFormat="1" applyFont="1" applyFill="1" applyBorder="1"/>
    <xf numFmtId="167" fontId="39" fillId="0" borderId="0" xfId="4" applyNumberFormat="1" applyFont="1" applyFill="1" applyBorder="1"/>
    <xf numFmtId="166" fontId="60" fillId="0" borderId="0" xfId="59" applyFont="1" applyProtection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0" fontId="68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3" fillId="0" borderId="0" xfId="0" applyNumberFormat="1" applyFont="1"/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9" fontId="39" fillId="0" borderId="0" xfId="59" applyNumberFormat="1" applyFont="1" applyAlignment="1" applyProtection="1">
      <alignment horizontal="right"/>
    </xf>
    <xf numFmtId="176" fontId="39" fillId="0" borderId="0" xfId="59" applyNumberFormat="1" applyFont="1" applyAlignment="1" applyProtection="1">
      <alignment horizontal="right"/>
    </xf>
    <xf numFmtId="167" fontId="35" fillId="0" borderId="0" xfId="0" applyFont="1" applyAlignment="1">
      <alignment horizontal="center"/>
    </xf>
    <xf numFmtId="10" fontId="35" fillId="0" borderId="0" xfId="0" applyNumberFormat="1" applyFont="1" applyAlignment="1">
      <alignment horizontal="center"/>
    </xf>
    <xf numFmtId="176" fontId="35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176" fontId="35" fillId="0" borderId="0" xfId="0" applyNumberFormat="1" applyFont="1" applyAlignment="1">
      <alignment horizontal="center"/>
    </xf>
    <xf numFmtId="180" fontId="35" fillId="0" borderId="0" xfId="0" applyNumberFormat="1" applyFont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9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9" fontId="30" fillId="0" borderId="0" xfId="0" applyNumberFormat="1" applyFont="1"/>
    <xf numFmtId="1" fontId="37" fillId="33" borderId="1" xfId="3" applyNumberFormat="1" applyFont="1" applyAlignment="1">
      <alignment horizontal="center"/>
    </xf>
    <xf numFmtId="166" fontId="37" fillId="0" borderId="0" xfId="0" applyNumberFormat="1" applyFont="1" applyBorder="1"/>
    <xf numFmtId="167" fontId="37" fillId="0" borderId="0" xfId="0" applyFont="1" applyBorder="1"/>
    <xf numFmtId="167" fontId="39" fillId="0" borderId="0" xfId="0" applyFont="1" applyFill="1"/>
    <xf numFmtId="166" fontId="39" fillId="0" borderId="0" xfId="57" applyFont="1" applyFill="1"/>
    <xf numFmtId="179" fontId="39" fillId="0" borderId="0" xfId="4" applyNumberFormat="1" applyFont="1" applyBorder="1"/>
    <xf numFmtId="180" fontId="39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4546A"/>
      <color rgb="FFEA4335"/>
      <color rgb="FF5F6368"/>
      <color rgb="FF34A853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abSelected="1" topLeftCell="C1" zoomScaleNormal="100" workbookViewId="0">
      <selection activeCell="I4" sqref="I4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20.140625" style="4" bestFit="1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52" t="str">
        <f>CoName</f>
        <v>Crowdstrike Holdings</v>
      </c>
      <c r="B1" s="2"/>
      <c r="C1" s="2"/>
      <c r="D1" s="1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3" t="s">
        <v>181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</row>
    <row r="4" spans="1:15" x14ac:dyDescent="0.25">
      <c r="B4" s="4" t="s">
        <v>3</v>
      </c>
      <c r="C4" s="51" t="s">
        <v>185</v>
      </c>
      <c r="E4" s="4" t="s">
        <v>166</v>
      </c>
      <c r="F4" s="218">
        <v>514.38</v>
      </c>
      <c r="H4" s="166" t="s">
        <v>182</v>
      </c>
      <c r="I4" s="165" t="s">
        <v>180</v>
      </c>
      <c r="J4" s="165" t="s">
        <v>179</v>
      </c>
      <c r="K4" s="165" t="s">
        <v>198</v>
      </c>
    </row>
    <row r="5" spans="1:15" x14ac:dyDescent="0.25">
      <c r="B5" s="4" t="s">
        <v>4</v>
      </c>
      <c r="C5" s="264">
        <v>2025</v>
      </c>
      <c r="E5" s="4" t="s">
        <v>171</v>
      </c>
      <c r="F5" s="156">
        <v>250955.14</v>
      </c>
      <c r="H5" s="165" t="s">
        <v>173</v>
      </c>
      <c r="I5" s="225">
        <f>'DCF Model'!O16</f>
        <v>116.80625086824054</v>
      </c>
      <c r="J5" s="224">
        <f>'DCF Model'!C18</f>
        <v>112.52620893996799</v>
      </c>
      <c r="K5" s="224">
        <f>AVERAGE(I5:J5)</f>
        <v>114.66622990410426</v>
      </c>
    </row>
    <row r="6" spans="1:15" x14ac:dyDescent="0.25">
      <c r="B6" s="4" t="s">
        <v>5</v>
      </c>
      <c r="C6" s="51" t="s">
        <v>9</v>
      </c>
      <c r="E6" s="4" t="s">
        <v>100</v>
      </c>
      <c r="F6" s="156">
        <f>F5*F4</f>
        <v>129086304.91320001</v>
      </c>
      <c r="H6" s="165" t="s">
        <v>174</v>
      </c>
      <c r="I6" s="219">
        <f>I5/$F$4-1</f>
        <v>-0.77291836605575537</v>
      </c>
      <c r="J6" s="219">
        <f>J5/$F$4-1</f>
        <v>-0.78123914432915742</v>
      </c>
      <c r="K6" s="219">
        <f>K5/$F$4-1</f>
        <v>-0.77707875519245651</v>
      </c>
    </row>
    <row r="7" spans="1:15" x14ac:dyDescent="0.25">
      <c r="B7" s="4" t="s">
        <v>6</v>
      </c>
      <c r="C7" s="51" t="s">
        <v>8</v>
      </c>
      <c r="E7" s="4" t="s">
        <v>172</v>
      </c>
      <c r="F7" s="51">
        <v>4972436</v>
      </c>
    </row>
    <row r="8" spans="1:15" x14ac:dyDescent="0.25">
      <c r="B8" s="4" t="s">
        <v>2</v>
      </c>
      <c r="C8" s="51" t="s">
        <v>83</v>
      </c>
      <c r="E8" s="4" t="s">
        <v>141</v>
      </c>
      <c r="F8" s="51">
        <v>744727</v>
      </c>
    </row>
    <row r="9" spans="1:15" x14ac:dyDescent="0.25">
      <c r="B9" s="4" t="s">
        <v>7</v>
      </c>
      <c r="C9" s="51">
        <v>0</v>
      </c>
      <c r="E9" s="4" t="s">
        <v>114</v>
      </c>
      <c r="F9" s="51">
        <f>F6-F7+F8</f>
        <v>124858595.91320001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G52" sqref="G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52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2"/>
  <sheetViews>
    <sheetView showGridLines="0" topLeftCell="A2" zoomScaleNormal="100" workbookViewId="0">
      <selection activeCell="F14" sqref="F14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0" width="11.7109375" style="4" customWidth="1"/>
    <col min="11" max="11" width="11.42578125" style="4" customWidth="1"/>
    <col min="12" max="12" width="21.42578125" style="4" bestFit="1" customWidth="1"/>
    <col min="13" max="20" width="11.42578125" style="4" customWidth="1"/>
    <col min="21" max="16384" width="9" style="4"/>
  </cols>
  <sheetData>
    <row r="1" spans="1:20" ht="19.5" x14ac:dyDescent="0.3">
      <c r="A1" s="252" t="str">
        <f>CoName</f>
        <v>Crowdstrike Holdings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20" x14ac:dyDescent="0.25">
      <c r="A2" s="62" t="s">
        <v>122</v>
      </c>
      <c r="B2" s="260" t="s">
        <v>123</v>
      </c>
      <c r="C2" s="260">
        <f>D2-1</f>
        <v>2023</v>
      </c>
      <c r="D2" s="260">
        <f>E2-1</f>
        <v>2024</v>
      </c>
      <c r="E2" s="260">
        <f>MAIN!C5</f>
        <v>2025</v>
      </c>
      <c r="F2" s="260">
        <f t="shared" ref="F2:J2" si="0">E2+1</f>
        <v>2026</v>
      </c>
      <c r="G2" s="260">
        <f t="shared" si="0"/>
        <v>2027</v>
      </c>
      <c r="H2" s="260">
        <f t="shared" si="0"/>
        <v>2028</v>
      </c>
      <c r="I2" s="260">
        <f t="shared" si="0"/>
        <v>2029</v>
      </c>
      <c r="J2" s="260">
        <f t="shared" si="0"/>
        <v>2030</v>
      </c>
      <c r="K2" s="192"/>
      <c r="L2" s="192"/>
    </row>
    <row r="3" spans="1:20" x14ac:dyDescent="0.25">
      <c r="A3" s="84"/>
      <c r="B3" s="155"/>
      <c r="C3" s="192"/>
      <c r="D3" s="192"/>
      <c r="E3" s="192"/>
      <c r="F3" s="192"/>
      <c r="G3" s="192"/>
      <c r="H3" s="192"/>
      <c r="I3" s="192"/>
      <c r="J3" s="192"/>
      <c r="K3" s="192"/>
      <c r="L3" s="192"/>
    </row>
    <row r="4" spans="1:20" x14ac:dyDescent="0.25">
      <c r="B4" s="92" t="s">
        <v>129</v>
      </c>
      <c r="C4"/>
      <c r="D4" s="257">
        <v>1</v>
      </c>
      <c r="E4"/>
      <c r="F4"/>
      <c r="G4" s="87"/>
      <c r="H4" s="87"/>
      <c r="I4" s="87"/>
      <c r="J4" s="87"/>
      <c r="K4" s="87"/>
      <c r="M4" s="226"/>
      <c r="N4" s="227"/>
      <c r="O4" s="227"/>
    </row>
    <row r="5" spans="1:20" x14ac:dyDescent="0.25">
      <c r="B5" s="86"/>
      <c r="C5" s="88"/>
      <c r="D5" s="111" t="s">
        <v>124</v>
      </c>
      <c r="E5" s="89"/>
      <c r="K5" s="87"/>
      <c r="M5" s="228"/>
      <c r="N5" s="229"/>
      <c r="O5" s="229"/>
    </row>
    <row r="6" spans="1:20" x14ac:dyDescent="0.25">
      <c r="B6" s="90" t="s">
        <v>130</v>
      </c>
      <c r="D6" s="99">
        <v>0</v>
      </c>
      <c r="E6" s="91"/>
      <c r="F6" s="99">
        <v>0.22</v>
      </c>
      <c r="G6" s="99">
        <f>F6</f>
        <v>0.22</v>
      </c>
      <c r="H6" s="99">
        <f>G6</f>
        <v>0.22</v>
      </c>
      <c r="I6" s="99">
        <f t="shared" ref="I6:J6" si="1">H6</f>
        <v>0.22</v>
      </c>
      <c r="J6" s="99">
        <f t="shared" si="1"/>
        <v>0.22</v>
      </c>
      <c r="K6" s="167"/>
      <c r="M6" s="167"/>
      <c r="N6" s="230"/>
      <c r="O6" s="230"/>
      <c r="P6" s="230"/>
      <c r="Q6" s="230"/>
      <c r="R6" s="230"/>
      <c r="S6" s="230"/>
      <c r="T6" s="230"/>
    </row>
    <row r="7" spans="1:20" x14ac:dyDescent="0.25">
      <c r="B7" s="4" t="s">
        <v>126</v>
      </c>
      <c r="D7" s="99">
        <v>2.5000000000000001E-2</v>
      </c>
      <c r="E7" s="91"/>
      <c r="F7" s="99">
        <f>F6+$D$7</f>
        <v>0.245</v>
      </c>
      <c r="G7" s="99">
        <f t="shared" ref="G7:J7" si="2">G6+$D$7</f>
        <v>0.245</v>
      </c>
      <c r="H7" s="99">
        <f t="shared" si="2"/>
        <v>0.245</v>
      </c>
      <c r="I7" s="99">
        <f t="shared" si="2"/>
        <v>0.245</v>
      </c>
      <c r="J7" s="99">
        <f t="shared" si="2"/>
        <v>0.245</v>
      </c>
      <c r="K7" s="167"/>
      <c r="M7" s="167"/>
      <c r="N7" s="167"/>
      <c r="O7" s="167"/>
      <c r="P7" s="167"/>
      <c r="Q7" s="167"/>
      <c r="R7" s="167"/>
      <c r="S7" s="167"/>
      <c r="T7" s="167"/>
    </row>
    <row r="8" spans="1:20" x14ac:dyDescent="0.25">
      <c r="B8" s="4" t="s">
        <v>125</v>
      </c>
      <c r="D8" s="99">
        <v>-2.5000000000000001E-2</v>
      </c>
      <c r="E8" s="91"/>
      <c r="F8" s="99">
        <f>F6+$D$8</f>
        <v>0.19500000000000001</v>
      </c>
      <c r="G8" s="99">
        <f t="shared" ref="G8:J8" si="3">G6+$D$8</f>
        <v>0.19500000000000001</v>
      </c>
      <c r="H8" s="99">
        <f t="shared" si="3"/>
        <v>0.19500000000000001</v>
      </c>
      <c r="I8" s="99">
        <f t="shared" si="3"/>
        <v>0.19500000000000001</v>
      </c>
      <c r="J8" s="99">
        <f t="shared" si="3"/>
        <v>0.19500000000000001</v>
      </c>
      <c r="K8" s="167"/>
    </row>
    <row r="9" spans="1:20" x14ac:dyDescent="0.25">
      <c r="K9" s="30"/>
      <c r="L9" s="30"/>
      <c r="M9" s="167"/>
      <c r="N9" s="167"/>
    </row>
    <row r="10" spans="1:20" x14ac:dyDescent="0.25">
      <c r="B10" s="116" t="s">
        <v>146</v>
      </c>
      <c r="C10" s="187"/>
      <c r="D10" s="263">
        <f>IncState!D16/IncState!C16-1</f>
        <v>0.3633347849133246</v>
      </c>
      <c r="E10" s="188">
        <f>IncState!E16/IncState!D16-1</f>
        <v>0.29391354434791706</v>
      </c>
      <c r="F10" s="103">
        <f t="shared" ref="F10" si="4">CHOOSE(ScenarioREV,F6,F7,F8)</f>
        <v>0.22</v>
      </c>
      <c r="G10" s="103">
        <f t="shared" ref="G10:J10" si="5">CHOOSE(ScenarioREV,G6,G7,G8)</f>
        <v>0.22</v>
      </c>
      <c r="H10" s="103">
        <f t="shared" si="5"/>
        <v>0.22</v>
      </c>
      <c r="I10" s="103">
        <f t="shared" si="5"/>
        <v>0.22</v>
      </c>
      <c r="J10" s="103">
        <f t="shared" si="5"/>
        <v>0.22</v>
      </c>
      <c r="K10" s="29"/>
      <c r="L10" s="29"/>
      <c r="M10" s="167"/>
      <c r="N10" s="167"/>
    </row>
    <row r="11" spans="1:20" x14ac:dyDescent="0.25">
      <c r="B11" s="4" t="s">
        <v>131</v>
      </c>
      <c r="C11" s="8">
        <f>IncState!C17/IncState!C16</f>
        <v>0.26825867512390483</v>
      </c>
      <c r="D11" s="8">
        <f>IncState!D17/IncState!D16</f>
        <v>0.24732757224137678</v>
      </c>
      <c r="E11" s="8">
        <f>IncState!E17/IncState!E16</f>
        <v>0.25077776743564889</v>
      </c>
      <c r="F11" s="99">
        <f>E11</f>
        <v>0.25077776743564889</v>
      </c>
      <c r="G11" s="99">
        <f t="shared" ref="G11:J11" si="6">F11</f>
        <v>0.25077776743564889</v>
      </c>
      <c r="H11" s="99">
        <f t="shared" si="6"/>
        <v>0.25077776743564889</v>
      </c>
      <c r="I11" s="99">
        <f t="shared" si="6"/>
        <v>0.25077776743564889</v>
      </c>
      <c r="J11" s="99">
        <f t="shared" si="6"/>
        <v>0.25077776743564889</v>
      </c>
      <c r="K11" s="167"/>
      <c r="L11" s="167"/>
      <c r="M11" s="167"/>
      <c r="N11" s="167"/>
    </row>
    <row r="12" spans="1:20" x14ac:dyDescent="0.25">
      <c r="B12" s="4" t="s">
        <v>176</v>
      </c>
      <c r="C12" s="8">
        <f>IncState!C18/IncState!C16</f>
        <v>0.27144129400027484</v>
      </c>
      <c r="D12" s="8">
        <f>IncState!D18/IncState!D16</f>
        <v>0.25150815481966449</v>
      </c>
      <c r="E12" s="8">
        <f>IncState!E18/IncState!E16</f>
        <v>0.27238326153422782</v>
      </c>
      <c r="F12" s="99">
        <f>E12</f>
        <v>0.27238326153422782</v>
      </c>
      <c r="G12" s="99">
        <f t="shared" ref="G12:J12" si="7">F12</f>
        <v>0.27238326153422782</v>
      </c>
      <c r="H12" s="99">
        <f t="shared" si="7"/>
        <v>0.27238326153422782</v>
      </c>
      <c r="I12" s="99">
        <f t="shared" si="7"/>
        <v>0.27238326153422782</v>
      </c>
      <c r="J12" s="99">
        <f t="shared" si="7"/>
        <v>0.27238326153422782</v>
      </c>
      <c r="K12" s="167"/>
      <c r="L12" s="167"/>
      <c r="M12" s="167"/>
      <c r="N12" s="167"/>
    </row>
    <row r="13" spans="1:20" x14ac:dyDescent="0.25">
      <c r="B13" s="4" t="s">
        <v>44</v>
      </c>
      <c r="C13" s="8">
        <f>IncState!C19/IncState!C16</f>
        <v>0.54512465443175107</v>
      </c>
      <c r="D13" s="8">
        <f>IncState!D19/IncState!D16</f>
        <v>0.50181718214857862</v>
      </c>
      <c r="E13" s="8">
        <f>IncState!E19/IncState!E16</f>
        <v>0.50729963193262684</v>
      </c>
      <c r="F13" s="99">
        <f>E13-0.02</f>
        <v>0.48729963193262682</v>
      </c>
      <c r="G13" s="99">
        <f t="shared" ref="G13:J13" si="8">F13-0.02</f>
        <v>0.4672996319326268</v>
      </c>
      <c r="H13" s="99">
        <f t="shared" si="8"/>
        <v>0.44729963193262678</v>
      </c>
      <c r="I13" s="99">
        <f t="shared" si="8"/>
        <v>0.42729963193262677</v>
      </c>
      <c r="J13" s="99">
        <f t="shared" si="8"/>
        <v>0.40729963193262675</v>
      </c>
      <c r="K13" s="167"/>
      <c r="L13" s="167"/>
    </row>
    <row r="14" spans="1:20" x14ac:dyDescent="0.25">
      <c r="B14" s="4" t="s">
        <v>133</v>
      </c>
      <c r="C14" s="4">
        <f>IncState!C23</f>
        <v>187373</v>
      </c>
      <c r="D14" s="4">
        <f>IncState!D23</f>
        <v>257317</v>
      </c>
      <c r="E14" s="4">
        <f>IncState!E23</f>
        <v>344841</v>
      </c>
      <c r="F14" s="100">
        <f>AVERAGE(C14:E14)</f>
        <v>263177</v>
      </c>
      <c r="G14" s="100">
        <f t="shared" ref="G14:J14" si="9">F14</f>
        <v>263177</v>
      </c>
      <c r="H14" s="100">
        <f t="shared" si="9"/>
        <v>263177</v>
      </c>
      <c r="I14" s="100">
        <f t="shared" si="9"/>
        <v>263177</v>
      </c>
      <c r="J14" s="100">
        <f t="shared" si="9"/>
        <v>263177</v>
      </c>
      <c r="K14" s="193"/>
      <c r="L14" s="193"/>
    </row>
    <row r="15" spans="1:20" x14ac:dyDescent="0.25">
      <c r="B15" s="4" t="s">
        <v>134</v>
      </c>
      <c r="C15" s="4">
        <f>IncState!C26</f>
        <v>0</v>
      </c>
      <c r="D15" s="4">
        <f>IncState!D26</f>
        <v>0</v>
      </c>
      <c r="E15" s="4">
        <f>IncState!E26</f>
        <v>0</v>
      </c>
      <c r="F15" s="100">
        <v>0</v>
      </c>
      <c r="G15" s="100">
        <v>0</v>
      </c>
      <c r="H15" s="100">
        <v>0</v>
      </c>
      <c r="I15" s="100">
        <v>0</v>
      </c>
      <c r="J15" s="100">
        <v>0</v>
      </c>
      <c r="K15" s="193"/>
      <c r="L15" s="193"/>
    </row>
    <row r="16" spans="1:20" x14ac:dyDescent="0.25">
      <c r="B16" s="4" t="s">
        <v>136</v>
      </c>
      <c r="C16" s="4">
        <f>IncState!C27</f>
        <v>3053</v>
      </c>
      <c r="D16" s="4">
        <f>IncState!D27</f>
        <v>1638</v>
      </c>
      <c r="E16" s="4">
        <f>IncState!E27</f>
        <v>5101</v>
      </c>
      <c r="F16" s="100">
        <v>0</v>
      </c>
      <c r="G16" s="100">
        <v>0</v>
      </c>
      <c r="H16" s="100">
        <v>0</v>
      </c>
      <c r="I16" s="100">
        <v>0</v>
      </c>
      <c r="J16" s="100">
        <v>0</v>
      </c>
      <c r="K16" s="193"/>
      <c r="L16" s="193"/>
    </row>
    <row r="17" spans="1:12" x14ac:dyDescent="0.25">
      <c r="B17" s="4" t="s">
        <v>47</v>
      </c>
      <c r="C17" s="8">
        <f>IncState!C34/IncState!C32</f>
        <v>-0.14011495906381541</v>
      </c>
      <c r="D17" s="8">
        <f>IncState!D34/IncState!D32</f>
        <v>0.26243923886758347</v>
      </c>
      <c r="E17" s="8">
        <f>IncState!E34/IncState!E32</f>
        <v>1.3043239080206843</v>
      </c>
      <c r="F17" s="99">
        <v>0.21</v>
      </c>
      <c r="G17" s="99">
        <f t="shared" ref="G17:J17" si="10">F17</f>
        <v>0.21</v>
      </c>
      <c r="H17" s="99">
        <f t="shared" si="10"/>
        <v>0.21</v>
      </c>
      <c r="I17" s="99">
        <f t="shared" si="10"/>
        <v>0.21</v>
      </c>
      <c r="J17" s="99">
        <f t="shared" si="10"/>
        <v>0.21</v>
      </c>
      <c r="K17" s="167"/>
      <c r="L17" s="167"/>
    </row>
    <row r="18" spans="1:12" x14ac:dyDescent="0.25">
      <c r="B18" s="4" t="s">
        <v>48</v>
      </c>
      <c r="C18" s="4">
        <f>IncState!C37</f>
        <v>233139</v>
      </c>
      <c r="D18" s="4">
        <f>IncState!D37</f>
        <v>238637</v>
      </c>
      <c r="E18" s="4">
        <f>IncState!E37</f>
        <v>244750</v>
      </c>
      <c r="F18" s="100">
        <f>E18</f>
        <v>244750</v>
      </c>
      <c r="G18" s="100">
        <f t="shared" ref="G18:J18" si="11">F18</f>
        <v>244750</v>
      </c>
      <c r="H18" s="100">
        <f t="shared" si="11"/>
        <v>244750</v>
      </c>
      <c r="I18" s="100">
        <f t="shared" si="11"/>
        <v>244750</v>
      </c>
      <c r="J18" s="100">
        <f t="shared" si="11"/>
        <v>244750</v>
      </c>
      <c r="K18" s="193"/>
      <c r="L18" s="193"/>
    </row>
    <row r="19" spans="1:12" x14ac:dyDescent="0.25">
      <c r="B19" s="4" t="s">
        <v>49</v>
      </c>
      <c r="C19" s="4">
        <f>IncState!C38</f>
        <v>233139</v>
      </c>
      <c r="D19" s="4">
        <f>IncState!D38</f>
        <v>243635</v>
      </c>
      <c r="E19" s="4">
        <f>IncState!E38</f>
        <v>244750</v>
      </c>
      <c r="F19" s="100">
        <f>E19</f>
        <v>244750</v>
      </c>
      <c r="G19" s="100">
        <f t="shared" ref="G19:J19" si="12">F19</f>
        <v>244750</v>
      </c>
      <c r="H19" s="100">
        <f t="shared" si="12"/>
        <v>244750</v>
      </c>
      <c r="I19" s="100">
        <f t="shared" si="12"/>
        <v>244750</v>
      </c>
      <c r="J19" s="100">
        <f t="shared" si="12"/>
        <v>244750</v>
      </c>
      <c r="K19" s="193"/>
      <c r="L19" s="193"/>
    </row>
    <row r="20" spans="1:12" x14ac:dyDescent="0.25">
      <c r="F20" s="102"/>
      <c r="G20" s="102"/>
      <c r="H20" s="102"/>
      <c r="I20" s="102"/>
      <c r="J20" s="102"/>
      <c r="K20" s="167"/>
      <c r="L20" s="167"/>
    </row>
    <row r="21" spans="1:12" x14ac:dyDescent="0.25">
      <c r="A21" s="62" t="s">
        <v>122</v>
      </c>
      <c r="B21" s="105" t="s">
        <v>141</v>
      </c>
      <c r="C21" s="260">
        <f>C2</f>
        <v>2023</v>
      </c>
      <c r="D21" s="260">
        <f>D2</f>
        <v>2024</v>
      </c>
      <c r="E21" s="260">
        <f>E2</f>
        <v>2025</v>
      </c>
      <c r="F21" s="260">
        <f>F2</f>
        <v>2026</v>
      </c>
      <c r="G21" s="260">
        <f>G2</f>
        <v>2027</v>
      </c>
      <c r="H21" s="260">
        <f>H2</f>
        <v>2028</v>
      </c>
      <c r="I21" s="260">
        <f>I2</f>
        <v>2029</v>
      </c>
      <c r="J21" s="260">
        <f>J2</f>
        <v>2030</v>
      </c>
      <c r="K21" s="194"/>
      <c r="L21" s="194"/>
    </row>
    <row r="22" spans="1:12" x14ac:dyDescent="0.25">
      <c r="A22" s="84"/>
      <c r="B22" s="155"/>
      <c r="C22" s="192"/>
      <c r="D22" s="192"/>
      <c r="E22" s="192"/>
      <c r="F22" s="194"/>
      <c r="G22" s="194"/>
      <c r="H22" s="194"/>
      <c r="I22" s="194"/>
      <c r="J22" s="194"/>
      <c r="K22" s="194"/>
      <c r="L22" s="194"/>
    </row>
    <row r="23" spans="1:12" x14ac:dyDescent="0.25">
      <c r="B23" s="4" t="s">
        <v>135</v>
      </c>
      <c r="E23" s="8">
        <f>E24</f>
        <v>3.5365055384330019E-2</v>
      </c>
      <c r="F23" s="99">
        <f>E23</f>
        <v>3.5365055384330019E-2</v>
      </c>
      <c r="G23" s="99">
        <f t="shared" ref="G23:J23" si="13">F23</f>
        <v>3.5365055384330019E-2</v>
      </c>
      <c r="H23" s="99">
        <f t="shared" si="13"/>
        <v>3.5365055384330019E-2</v>
      </c>
      <c r="I23" s="99">
        <f t="shared" si="13"/>
        <v>3.5365055384330019E-2</v>
      </c>
      <c r="J23" s="99">
        <f t="shared" si="13"/>
        <v>3.5365055384330019E-2</v>
      </c>
      <c r="K23" s="167"/>
      <c r="L23" s="167"/>
    </row>
    <row r="24" spans="1:12" x14ac:dyDescent="0.25">
      <c r="B24" s="4" t="s">
        <v>25</v>
      </c>
      <c r="D24" s="8">
        <f>-IncState!D30/BalSheet!D35</f>
        <v>3.4688495799292653E-2</v>
      </c>
      <c r="E24" s="8">
        <f>-IncState!E30/BalSheet!E35</f>
        <v>3.5365055384330019E-2</v>
      </c>
      <c r="F24" s="99">
        <f>E24</f>
        <v>3.5365055384330019E-2</v>
      </c>
      <c r="G24" s="99">
        <f t="shared" ref="G24:J24" si="14">F24</f>
        <v>3.5365055384330019E-2</v>
      </c>
      <c r="H24" s="99">
        <f t="shared" si="14"/>
        <v>3.5365055384330019E-2</v>
      </c>
      <c r="I24" s="99">
        <f t="shared" si="14"/>
        <v>3.5365055384330019E-2</v>
      </c>
      <c r="J24" s="99">
        <f t="shared" si="14"/>
        <v>3.5365055384330019E-2</v>
      </c>
      <c r="K24" s="167"/>
      <c r="L24" s="167"/>
    </row>
    <row r="25" spans="1:12" x14ac:dyDescent="0.25">
      <c r="B25" s="4" t="s">
        <v>26</v>
      </c>
      <c r="C25" s="8"/>
      <c r="D25" s="8">
        <f>IncState!D29/SUM(BalSheet!D16:D17)</f>
        <v>4.4126505265521976E-2</v>
      </c>
      <c r="E25" s="8">
        <f>IncState!E29/SUM(BalSheet!E16:E17)</f>
        <v>4.5376038415144003E-2</v>
      </c>
      <c r="F25" s="125">
        <f>E25</f>
        <v>4.5376038415144003E-2</v>
      </c>
      <c r="G25" s="125">
        <f t="shared" ref="G25:J25" si="15">F25</f>
        <v>4.5376038415144003E-2</v>
      </c>
      <c r="H25" s="125">
        <f t="shared" si="15"/>
        <v>4.5376038415144003E-2</v>
      </c>
      <c r="I25" s="125">
        <f t="shared" si="15"/>
        <v>4.5376038415144003E-2</v>
      </c>
      <c r="J25" s="125">
        <f t="shared" si="15"/>
        <v>4.5376038415144003E-2</v>
      </c>
      <c r="K25" s="167"/>
      <c r="L25" s="167"/>
    </row>
    <row r="26" spans="1:12" x14ac:dyDescent="0.25">
      <c r="F26" s="102"/>
      <c r="G26" s="102"/>
      <c r="H26" s="102"/>
      <c r="I26" s="102"/>
      <c r="J26" s="102"/>
      <c r="K26" s="167"/>
      <c r="L26" s="167"/>
    </row>
    <row r="27" spans="1:12" x14ac:dyDescent="0.25">
      <c r="B27" s="4" t="s">
        <v>27</v>
      </c>
      <c r="F27" s="100">
        <v>0</v>
      </c>
      <c r="G27" s="100">
        <v>0</v>
      </c>
      <c r="H27" s="100">
        <v>0</v>
      </c>
      <c r="I27" s="100">
        <v>0</v>
      </c>
      <c r="J27" s="100">
        <v>0</v>
      </c>
      <c r="K27" s="193"/>
      <c r="L27" s="193"/>
    </row>
    <row r="28" spans="1:12" x14ac:dyDescent="0.25">
      <c r="B28" s="4" t="s">
        <v>28</v>
      </c>
      <c r="F28" s="100">
        <v>0</v>
      </c>
      <c r="G28" s="100">
        <v>0</v>
      </c>
      <c r="H28" s="100">
        <v>0</v>
      </c>
      <c r="I28" s="100">
        <v>0</v>
      </c>
      <c r="J28" s="100">
        <v>0</v>
      </c>
      <c r="K28" s="193"/>
      <c r="L28" s="193"/>
    </row>
    <row r="29" spans="1:12" x14ac:dyDescent="0.25">
      <c r="F29" s="102"/>
      <c r="G29" s="102"/>
      <c r="H29" s="102"/>
      <c r="I29" s="102"/>
      <c r="J29" s="102"/>
      <c r="K29" s="167"/>
      <c r="L29" s="167"/>
    </row>
    <row r="30" spans="1:12" x14ac:dyDescent="0.25">
      <c r="A30" s="62" t="s">
        <v>122</v>
      </c>
      <c r="B30" s="105" t="s">
        <v>138</v>
      </c>
      <c r="C30" s="260">
        <f>C21</f>
        <v>2023</v>
      </c>
      <c r="D30" s="260">
        <f t="shared" ref="D30:J30" si="16">D21</f>
        <v>2024</v>
      </c>
      <c r="E30" s="260">
        <f t="shared" si="16"/>
        <v>2025</v>
      </c>
      <c r="F30" s="260">
        <f t="shared" si="16"/>
        <v>2026</v>
      </c>
      <c r="G30" s="260">
        <f t="shared" si="16"/>
        <v>2027</v>
      </c>
      <c r="H30" s="260">
        <f t="shared" si="16"/>
        <v>2028</v>
      </c>
      <c r="I30" s="260">
        <f t="shared" si="16"/>
        <v>2029</v>
      </c>
      <c r="J30" s="260">
        <f t="shared" si="16"/>
        <v>2030</v>
      </c>
      <c r="K30" s="195"/>
      <c r="L30" s="195"/>
    </row>
    <row r="31" spans="1:12" x14ac:dyDescent="0.25">
      <c r="A31" s="84"/>
      <c r="B31" s="155"/>
      <c r="C31" s="192"/>
      <c r="D31" s="192"/>
      <c r="E31" s="192"/>
      <c r="F31" s="194"/>
      <c r="G31" s="194"/>
      <c r="H31" s="194"/>
      <c r="I31" s="194"/>
      <c r="J31" s="194"/>
      <c r="K31" s="195"/>
      <c r="L31" s="195"/>
    </row>
    <row r="32" spans="1:12" x14ac:dyDescent="0.25">
      <c r="B32" s="4" t="s">
        <v>139</v>
      </c>
      <c r="D32" s="8">
        <f>176529/IncState!D16</f>
        <v>5.7773137776934144E-2</v>
      </c>
      <c r="E32" s="8">
        <f>254852/IncState!E16</f>
        <v>6.4460353336584356E-2</v>
      </c>
      <c r="F32" s="216">
        <f>E32</f>
        <v>6.4460353336584356E-2</v>
      </c>
      <c r="G32" s="216">
        <f t="shared" ref="G32:J32" si="17">F32</f>
        <v>6.4460353336584356E-2</v>
      </c>
      <c r="H32" s="216">
        <f t="shared" si="17"/>
        <v>6.4460353336584356E-2</v>
      </c>
      <c r="I32" s="216">
        <f t="shared" si="17"/>
        <v>6.4460353336584356E-2</v>
      </c>
      <c r="J32" s="216">
        <f t="shared" si="17"/>
        <v>6.4460353336584356E-2</v>
      </c>
      <c r="K32" s="167"/>
      <c r="L32" s="167"/>
    </row>
    <row r="33" spans="1:12" x14ac:dyDescent="0.25">
      <c r="B33" s="4" t="s">
        <v>152</v>
      </c>
      <c r="D33" s="8">
        <f>IncState!D22/BalSheet!C22</f>
        <v>0.2382959056570807</v>
      </c>
      <c r="E33" s="8">
        <f>IncState!E22/BalSheet!D22</f>
        <v>0.28120404019850892</v>
      </c>
      <c r="F33" s="99">
        <f>E33</f>
        <v>0.28120404019850892</v>
      </c>
      <c r="G33" s="99">
        <f t="shared" ref="G33:J33" si="18">F33</f>
        <v>0.28120404019850892</v>
      </c>
      <c r="H33" s="99">
        <f t="shared" si="18"/>
        <v>0.28120404019850892</v>
      </c>
      <c r="I33" s="99">
        <f t="shared" si="18"/>
        <v>0.28120404019850892</v>
      </c>
      <c r="J33" s="99">
        <f t="shared" si="18"/>
        <v>0.28120404019850892</v>
      </c>
      <c r="K33" s="167"/>
      <c r="L33" s="167"/>
    </row>
    <row r="34" spans="1:12" x14ac:dyDescent="0.25">
      <c r="B34" s="4" t="s">
        <v>140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96"/>
      <c r="L34" s="196"/>
    </row>
    <row r="35" spans="1:12" x14ac:dyDescent="0.25">
      <c r="F35" s="30"/>
      <c r="G35" s="30"/>
      <c r="H35" s="30"/>
      <c r="I35" s="30"/>
      <c r="J35" s="30"/>
      <c r="K35" s="30"/>
      <c r="L35" s="30"/>
    </row>
    <row r="36" spans="1:12" x14ac:dyDescent="0.25">
      <c r="A36" s="62" t="s">
        <v>122</v>
      </c>
      <c r="B36" s="105" t="s">
        <v>127</v>
      </c>
      <c r="C36" s="260">
        <f>C30</f>
        <v>2023</v>
      </c>
      <c r="D36" s="260">
        <f t="shared" ref="D36:J36" si="19">D30</f>
        <v>2024</v>
      </c>
      <c r="E36" s="260">
        <f t="shared" si="19"/>
        <v>2025</v>
      </c>
      <c r="F36" s="260">
        <f t="shared" si="19"/>
        <v>2026</v>
      </c>
      <c r="G36" s="260">
        <f t="shared" si="19"/>
        <v>2027</v>
      </c>
      <c r="H36" s="260">
        <f t="shared" si="19"/>
        <v>2028</v>
      </c>
      <c r="I36" s="260">
        <f t="shared" si="19"/>
        <v>2029</v>
      </c>
      <c r="J36" s="260">
        <f t="shared" si="19"/>
        <v>2030</v>
      </c>
      <c r="K36" s="195"/>
      <c r="L36" s="195"/>
    </row>
    <row r="37" spans="1:12" x14ac:dyDescent="0.25">
      <c r="A37" s="84"/>
      <c r="B37" s="155"/>
      <c r="C37" s="192"/>
      <c r="D37" s="192"/>
      <c r="E37" s="192"/>
      <c r="F37" s="258"/>
      <c r="G37" s="258"/>
      <c r="H37" s="258"/>
      <c r="I37" s="258"/>
      <c r="J37" s="258"/>
      <c r="K37" s="195"/>
      <c r="L37" s="195"/>
    </row>
    <row r="38" spans="1:12" x14ac:dyDescent="0.25">
      <c r="B38" s="4" t="s">
        <v>137</v>
      </c>
      <c r="C38" s="8">
        <f>BalSheet!C16/IncState!C16</f>
        <v>1.5000000000000001E-2</v>
      </c>
      <c r="D38" s="8">
        <f>BalSheet!D16/IncState!D16</f>
        <v>1.4999999999999999E-2</v>
      </c>
      <c r="E38" s="8">
        <f>BalSheet!E16/IncState!E16</f>
        <v>1.4999999999999999E-2</v>
      </c>
      <c r="F38" s="99">
        <f>E38</f>
        <v>1.4999999999999999E-2</v>
      </c>
      <c r="G38" s="99">
        <f t="shared" ref="G38:J38" si="20">F38</f>
        <v>1.4999999999999999E-2</v>
      </c>
      <c r="H38" s="99">
        <f t="shared" si="20"/>
        <v>1.4999999999999999E-2</v>
      </c>
      <c r="I38" s="99">
        <f t="shared" si="20"/>
        <v>1.4999999999999999E-2</v>
      </c>
      <c r="J38" s="99">
        <f t="shared" si="20"/>
        <v>1.4999999999999999E-2</v>
      </c>
      <c r="K38" s="167"/>
      <c r="L38" s="167"/>
    </row>
    <row r="39" spans="1:12" x14ac:dyDescent="0.25">
      <c r="B39" s="4" t="s">
        <v>150</v>
      </c>
      <c r="C39" s="8">
        <f>BalSheet!C18/IncState!C16</f>
        <v>0.27939092536439714</v>
      </c>
      <c r="D39" s="8">
        <f>BalSheet!D18/IncState!D16</f>
        <v>0.27919805076328197</v>
      </c>
      <c r="E39" s="8">
        <f>BalSheet!E18/IncState!E16</f>
        <v>0.28545051325062776</v>
      </c>
      <c r="F39" s="99">
        <f>E39</f>
        <v>0.28545051325062776</v>
      </c>
      <c r="G39" s="99">
        <f t="shared" ref="G39:J39" si="21">F39</f>
        <v>0.28545051325062776</v>
      </c>
      <c r="H39" s="99">
        <f t="shared" si="21"/>
        <v>0.28545051325062776</v>
      </c>
      <c r="I39" s="99">
        <f t="shared" si="21"/>
        <v>0.28545051325062776</v>
      </c>
      <c r="J39" s="99">
        <f t="shared" si="21"/>
        <v>0.28545051325062776</v>
      </c>
      <c r="K39" s="167"/>
      <c r="L39" s="167"/>
    </row>
    <row r="40" spans="1:12" x14ac:dyDescent="0.25">
      <c r="B40" s="4" t="s">
        <v>63</v>
      </c>
      <c r="C40" s="8">
        <f>BalSheet!C19/IncState!C16</f>
        <v>0.24928967766000545</v>
      </c>
      <c r="D40" s="8">
        <f>BalSheet!D19/IncState!D16</f>
        <v>0.17317083148560572</v>
      </c>
      <c r="E40" s="8">
        <f>BalSheet!E19/IncState!E16</f>
        <v>0.16731130729679908</v>
      </c>
      <c r="F40" s="99">
        <f t="shared" ref="F40:J40" si="22">E40</f>
        <v>0.16731130729679908</v>
      </c>
      <c r="G40" s="99">
        <f t="shared" si="22"/>
        <v>0.16731130729679908</v>
      </c>
      <c r="H40" s="99">
        <f t="shared" si="22"/>
        <v>0.16731130729679908</v>
      </c>
      <c r="I40" s="99">
        <f t="shared" si="22"/>
        <v>0.16731130729679908</v>
      </c>
      <c r="J40" s="99">
        <f t="shared" si="22"/>
        <v>0.16731130729679908</v>
      </c>
      <c r="K40" s="167"/>
      <c r="L40" s="167"/>
    </row>
    <row r="41" spans="1:12" x14ac:dyDescent="0.25">
      <c r="E41" s="8"/>
      <c r="F41" s="102"/>
      <c r="G41" s="102"/>
      <c r="H41" s="102"/>
      <c r="I41" s="102"/>
      <c r="J41" s="102"/>
      <c r="K41" s="167"/>
      <c r="L41" s="167"/>
    </row>
    <row r="42" spans="1:12" x14ac:dyDescent="0.25">
      <c r="B42" s="4" t="s">
        <v>177</v>
      </c>
      <c r="C42" s="4">
        <f>BalSheet!C24</f>
        <v>47270</v>
      </c>
      <c r="D42" s="4">
        <f>BalSheet!D24</f>
        <v>56244</v>
      </c>
      <c r="E42" s="4">
        <f>BalSheet!E24</f>
        <v>72544</v>
      </c>
      <c r="F42" s="100">
        <f>E42</f>
        <v>72544</v>
      </c>
      <c r="G42" s="100">
        <f t="shared" ref="G42:J42" si="23">F42</f>
        <v>72544</v>
      </c>
      <c r="H42" s="100">
        <f t="shared" si="23"/>
        <v>72544</v>
      </c>
      <c r="I42" s="100">
        <f t="shared" si="23"/>
        <v>72544</v>
      </c>
      <c r="J42" s="100">
        <f t="shared" si="23"/>
        <v>72544</v>
      </c>
      <c r="K42" s="193"/>
      <c r="L42" s="193"/>
    </row>
    <row r="43" spans="1:12" x14ac:dyDescent="0.25">
      <c r="B43" s="4" t="s">
        <v>64</v>
      </c>
      <c r="C43" s="8">
        <f>BalSheet!C25/IncState!C16</f>
        <v>1.2923672473581541E-2</v>
      </c>
      <c r="D43" s="8">
        <f>BalSheet!D25/IncState!D16</f>
        <v>2.4903495436999171E-2</v>
      </c>
      <c r="E43" s="8">
        <f>BalSheet!E25/IncState!E16</f>
        <v>3.4767848434752523E-2</v>
      </c>
      <c r="F43" s="99">
        <f>E43</f>
        <v>3.4767848434752523E-2</v>
      </c>
      <c r="G43" s="99">
        <f t="shared" ref="G43:J43" si="24">F43</f>
        <v>3.4767848434752523E-2</v>
      </c>
      <c r="H43" s="99">
        <f t="shared" si="24"/>
        <v>3.4767848434752523E-2</v>
      </c>
      <c r="I43" s="99">
        <f t="shared" si="24"/>
        <v>3.4767848434752523E-2</v>
      </c>
      <c r="J43" s="99">
        <f t="shared" si="24"/>
        <v>3.4767848434752523E-2</v>
      </c>
      <c r="K43" s="167"/>
      <c r="L43" s="167"/>
    </row>
    <row r="44" spans="1:12" x14ac:dyDescent="0.25">
      <c r="F44" s="30"/>
      <c r="G44" s="30"/>
      <c r="H44" s="30"/>
      <c r="I44" s="30"/>
      <c r="J44" s="30"/>
      <c r="K44" s="30"/>
      <c r="L44" s="30"/>
    </row>
    <row r="45" spans="1:12" x14ac:dyDescent="0.25">
      <c r="A45" s="62" t="s">
        <v>122</v>
      </c>
      <c r="B45" s="105" t="s">
        <v>128</v>
      </c>
      <c r="C45" s="260">
        <f>C36</f>
        <v>2023</v>
      </c>
      <c r="D45" s="260">
        <f>D36</f>
        <v>2024</v>
      </c>
      <c r="E45" s="260">
        <f>E36</f>
        <v>2025</v>
      </c>
      <c r="F45" s="260">
        <f>F36</f>
        <v>2026</v>
      </c>
      <c r="G45" s="260">
        <f>G36</f>
        <v>2027</v>
      </c>
      <c r="H45" s="260">
        <f>H36</f>
        <v>2028</v>
      </c>
      <c r="I45" s="260">
        <f>I36</f>
        <v>2029</v>
      </c>
      <c r="J45" s="260">
        <f>J36</f>
        <v>2030</v>
      </c>
      <c r="K45" s="195"/>
      <c r="L45" s="195"/>
    </row>
    <row r="46" spans="1:12" x14ac:dyDescent="0.25">
      <c r="A46" s="84"/>
      <c r="B46" s="155"/>
      <c r="C46" s="192"/>
      <c r="D46" s="192"/>
      <c r="E46" s="192"/>
      <c r="F46" s="258"/>
      <c r="G46" s="258"/>
      <c r="H46" s="258"/>
      <c r="I46" s="258"/>
      <c r="J46" s="258"/>
      <c r="K46" s="195"/>
      <c r="L46" s="195"/>
    </row>
    <row r="47" spans="1:12" x14ac:dyDescent="0.25">
      <c r="B47" s="4" t="s">
        <v>151</v>
      </c>
      <c r="C47" s="8">
        <f>BalSheet!C31/IncState!C17</f>
        <v>0.58550374149037554</v>
      </c>
      <c r="D47" s="8">
        <f>BalSheet!D31/IncState!D17</f>
        <v>0.51434189511236261</v>
      </c>
      <c r="E47" s="8">
        <f>BalSheet!E31/IncState!E17</f>
        <v>0.64699071389164287</v>
      </c>
      <c r="F47" s="99">
        <v>0.6</v>
      </c>
      <c r="G47" s="99">
        <f t="shared" ref="F47:J47" si="25">F47</f>
        <v>0.6</v>
      </c>
      <c r="H47" s="99">
        <f t="shared" si="25"/>
        <v>0.6</v>
      </c>
      <c r="I47" s="99">
        <f t="shared" si="25"/>
        <v>0.6</v>
      </c>
      <c r="J47" s="99">
        <f t="shared" si="25"/>
        <v>0.6</v>
      </c>
      <c r="K47" s="167"/>
      <c r="L47" s="167"/>
    </row>
    <row r="48" spans="1:12" x14ac:dyDescent="0.25">
      <c r="B48" s="4" t="s">
        <v>65</v>
      </c>
      <c r="C48" s="8">
        <f>BalSheet!C32/IncState!C16</f>
        <v>0.7839642947016735</v>
      </c>
      <c r="D48" s="8">
        <f>BalSheet!D32/IncState!D16</f>
        <v>0.7555350828245605</v>
      </c>
      <c r="E48" s="8">
        <f>BalSheet!E32/IncState!E16</f>
        <v>0.71316114026017652</v>
      </c>
      <c r="F48" s="99">
        <f t="shared" ref="F48:J48" si="26">E48</f>
        <v>0.71316114026017652</v>
      </c>
      <c r="G48" s="99">
        <f t="shared" si="26"/>
        <v>0.71316114026017652</v>
      </c>
      <c r="H48" s="99">
        <f t="shared" si="26"/>
        <v>0.71316114026017652</v>
      </c>
      <c r="I48" s="99">
        <f t="shared" si="26"/>
        <v>0.71316114026017652</v>
      </c>
      <c r="J48" s="99">
        <f t="shared" si="26"/>
        <v>0.71316114026017652</v>
      </c>
      <c r="K48" s="167"/>
      <c r="L48" s="167"/>
    </row>
    <row r="49" spans="2:12" x14ac:dyDescent="0.25">
      <c r="B49" s="4" t="s">
        <v>66</v>
      </c>
      <c r="C49" s="8">
        <f>BalSheet!C36/IncState!C16</f>
        <v>0.30743259522870414</v>
      </c>
      <c r="D49" s="8">
        <f>BalSheet!D36/IncState!D16</f>
        <v>0.28461539720279949</v>
      </c>
      <c r="E49" s="8">
        <f>BalSheet!E36/IncState!E16</f>
        <v>0.29786039340109227</v>
      </c>
      <c r="F49" s="99">
        <f t="shared" ref="F49:J49" si="27">E49</f>
        <v>0.29786039340109227</v>
      </c>
      <c r="G49" s="99">
        <f t="shared" si="27"/>
        <v>0.29786039340109227</v>
      </c>
      <c r="H49" s="99">
        <f t="shared" si="27"/>
        <v>0.29786039340109227</v>
      </c>
      <c r="I49" s="99">
        <f t="shared" si="27"/>
        <v>0.29786039340109227</v>
      </c>
      <c r="J49" s="99">
        <f t="shared" si="27"/>
        <v>0.29786039340109227</v>
      </c>
      <c r="K49" s="167"/>
      <c r="L49" s="167"/>
    </row>
    <row r="50" spans="2:12" x14ac:dyDescent="0.25">
      <c r="F50" s="120"/>
      <c r="G50" s="30"/>
      <c r="H50" s="30"/>
      <c r="I50" s="30"/>
      <c r="J50" s="30"/>
    </row>
    <row r="51" spans="2:12" x14ac:dyDescent="0.25">
      <c r="F51" s="121"/>
      <c r="G51" s="93"/>
      <c r="H51" s="93"/>
      <c r="I51" s="93"/>
      <c r="J51" s="93"/>
    </row>
    <row r="52" spans="2:12" x14ac:dyDescent="0.25">
      <c r="F52" s="93"/>
      <c r="G52" s="93"/>
      <c r="H52" s="93"/>
      <c r="I52" s="93"/>
      <c r="J52" s="93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2 K21:L21 F22:L29 K30:L30 F31:L34 K45:L49 F47:J49 F51:J52 K36:L43 F38:J43 F6:K8 F11:L20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8"/>
  <sheetViews>
    <sheetView showGridLines="0" zoomScaleNormal="100" workbookViewId="0">
      <selection activeCell="F24" sqref="F6:J24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4" width="11.7109375" style="4" customWidth="1"/>
    <col min="5" max="6" width="12.140625" style="4" bestFit="1" customWidth="1"/>
    <col min="7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52" t="str">
        <f>CoName</f>
        <v>Crowdstrike Holdings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x14ac:dyDescent="0.25">
      <c r="A2" s="20" t="s">
        <v>11</v>
      </c>
      <c r="B2" s="19"/>
      <c r="C2" s="251">
        <f>D2-1</f>
        <v>2023</v>
      </c>
      <c r="D2" s="251">
        <f>E2-1</f>
        <v>2024</v>
      </c>
      <c r="E2" s="251">
        <f>MAIN!C5</f>
        <v>2025</v>
      </c>
      <c r="F2" s="251">
        <v>2026</v>
      </c>
      <c r="G2" s="251">
        <v>2027</v>
      </c>
      <c r="H2" s="251">
        <v>2028</v>
      </c>
      <c r="I2" s="251">
        <v>2029</v>
      </c>
      <c r="J2" s="251">
        <v>2030</v>
      </c>
      <c r="K2" s="190"/>
      <c r="L2" s="190"/>
      <c r="M2" s="190"/>
    </row>
    <row r="3" spans="1:13" x14ac:dyDescent="0.25">
      <c r="B3" s="4" t="s">
        <v>12</v>
      </c>
      <c r="C3" s="29"/>
      <c r="D3" s="29"/>
      <c r="E3" s="40"/>
      <c r="F3" s="199">
        <f>Assumptions!F32</f>
        <v>6.4460353336584356E-2</v>
      </c>
      <c r="G3" s="199">
        <f>Assumptions!G32</f>
        <v>6.4460353336584356E-2</v>
      </c>
      <c r="H3" s="199">
        <f>Assumptions!H32</f>
        <v>6.4460353336584356E-2</v>
      </c>
      <c r="I3" s="199">
        <f>Assumptions!I32</f>
        <v>6.4460353336584356E-2</v>
      </c>
      <c r="J3" s="199">
        <f>Assumptions!J32</f>
        <v>6.4460353336584356E-2</v>
      </c>
      <c r="K3" s="197"/>
      <c r="L3" s="197"/>
    </row>
    <row r="4" spans="1:13" x14ac:dyDescent="0.25">
      <c r="B4" s="4" t="s">
        <v>132</v>
      </c>
      <c r="C4" s="29"/>
      <c r="D4" s="29"/>
      <c r="E4" s="40"/>
      <c r="F4" s="199">
        <f>Assumptions!F33</f>
        <v>0.28120404019850892</v>
      </c>
      <c r="G4" s="199">
        <f>F4</f>
        <v>0.28120404019850892</v>
      </c>
      <c r="H4" s="199">
        <f t="shared" ref="H4:J4" si="0">G4</f>
        <v>0.28120404019850892</v>
      </c>
      <c r="I4" s="199">
        <f t="shared" si="0"/>
        <v>0.28120404019850892</v>
      </c>
      <c r="J4" s="199">
        <f t="shared" si="0"/>
        <v>0.28120404019850892</v>
      </c>
      <c r="K4" s="197"/>
      <c r="L4" s="197"/>
    </row>
    <row r="5" spans="1:13" x14ac:dyDescent="0.25">
      <c r="E5" s="27"/>
      <c r="F5" s="76"/>
      <c r="G5" s="64"/>
      <c r="H5" s="82"/>
      <c r="I5" s="64"/>
      <c r="J5" s="64"/>
    </row>
    <row r="6" spans="1:13" x14ac:dyDescent="0.25">
      <c r="B6" s="4" t="s">
        <v>13</v>
      </c>
      <c r="E6" s="27"/>
      <c r="F6" s="4">
        <f>E9</f>
        <v>831403</v>
      </c>
      <c r="G6" s="4">
        <f t="shared" ref="G6:J6" si="1">F9</f>
        <v>908528.55736683903</v>
      </c>
      <c r="H6" s="4">
        <f t="shared" si="1"/>
        <v>1032368.373199561</v>
      </c>
      <c r="I6" s="4">
        <f t="shared" si="1"/>
        <v>1204834.7101786826</v>
      </c>
      <c r="J6" s="4">
        <f t="shared" si="1"/>
        <v>1430612.7651901576</v>
      </c>
    </row>
    <row r="7" spans="1:13" x14ac:dyDescent="0.25">
      <c r="B7" s="4" t="s">
        <v>14</v>
      </c>
      <c r="C7" s="12"/>
      <c r="D7" s="12"/>
      <c r="E7" s="126"/>
      <c r="F7" s="4">
        <f>F3*IncState!F16</f>
        <v>310919.44</v>
      </c>
      <c r="G7" s="4">
        <f>G3*IncState!G16</f>
        <v>379321.71679999999</v>
      </c>
      <c r="H7" s="4">
        <f>H3*IncState!H16</f>
        <v>462772.494496</v>
      </c>
      <c r="I7" s="4">
        <f>I3*IncState!I16</f>
        <v>564582.44328511995</v>
      </c>
      <c r="J7" s="4">
        <f>J3*IncState!J16</f>
        <v>688790.58080784639</v>
      </c>
    </row>
    <row r="8" spans="1:13" x14ac:dyDescent="0.25">
      <c r="B8" s="4" t="s">
        <v>15</v>
      </c>
      <c r="E8" s="27"/>
      <c r="F8" s="4">
        <f>F6*F4</f>
        <v>233793.88263316092</v>
      </c>
      <c r="G8" s="4">
        <f t="shared" ref="G8:J8" si="2">G6*G4</f>
        <v>255481.90096727791</v>
      </c>
      <c r="H8" s="4">
        <f t="shared" si="2"/>
        <v>290306.15751687862</v>
      </c>
      <c r="I8" s="4">
        <f t="shared" si="2"/>
        <v>338804.38827364508</v>
      </c>
      <c r="J8" s="4">
        <f t="shared" si="2"/>
        <v>402294.08953103307</v>
      </c>
    </row>
    <row r="9" spans="1:13" x14ac:dyDescent="0.25">
      <c r="B9" s="4" t="s">
        <v>16</v>
      </c>
      <c r="E9" s="27">
        <f>BalSheet!E22</f>
        <v>831403</v>
      </c>
      <c r="F9" s="4">
        <f>F6+F7-F8</f>
        <v>908528.55736683903</v>
      </c>
      <c r="G9" s="4">
        <f t="shared" ref="G9:J9" si="3">G6+G7-G8</f>
        <v>1032368.373199561</v>
      </c>
      <c r="H9" s="4">
        <f t="shared" si="3"/>
        <v>1204834.7101786826</v>
      </c>
      <c r="I9" s="4">
        <f t="shared" si="3"/>
        <v>1430612.7651901576</v>
      </c>
      <c r="J9" s="4">
        <f t="shared" si="3"/>
        <v>1717109.256466971</v>
      </c>
    </row>
    <row r="10" spans="1:13" x14ac:dyDescent="0.25">
      <c r="A10" s="20" t="s">
        <v>17</v>
      </c>
      <c r="B10" s="42"/>
      <c r="C10" s="231">
        <f t="shared" ref="C10:J10" si="4">C2</f>
        <v>2023</v>
      </c>
      <c r="D10" s="231">
        <f t="shared" si="4"/>
        <v>2024</v>
      </c>
      <c r="E10" s="231">
        <f t="shared" si="4"/>
        <v>2025</v>
      </c>
      <c r="F10" s="231">
        <f t="shared" si="4"/>
        <v>2026</v>
      </c>
      <c r="G10" s="231">
        <f t="shared" ref="G10:J10" si="5">G2</f>
        <v>2027</v>
      </c>
      <c r="H10" s="231">
        <f t="shared" si="5"/>
        <v>2028</v>
      </c>
      <c r="I10" s="231">
        <f t="shared" si="5"/>
        <v>2029</v>
      </c>
      <c r="J10" s="231">
        <f t="shared" si="5"/>
        <v>2030</v>
      </c>
      <c r="K10" s="192"/>
      <c r="L10" s="192"/>
    </row>
    <row r="11" spans="1:13" x14ac:dyDescent="0.25">
      <c r="B11" s="4" t="s">
        <v>18</v>
      </c>
      <c r="E11" s="27"/>
      <c r="F11" s="253">
        <f>Assumptions!F34</f>
        <v>0</v>
      </c>
      <c r="G11" s="253">
        <f>Assumptions!G34</f>
        <v>0</v>
      </c>
      <c r="H11" s="253">
        <f>Assumptions!H34</f>
        <v>0</v>
      </c>
      <c r="I11" s="253">
        <f>Assumptions!I34</f>
        <v>0</v>
      </c>
      <c r="J11" s="253">
        <f>Assumptions!J34</f>
        <v>0</v>
      </c>
      <c r="K11" s="198"/>
      <c r="L11" s="198"/>
    </row>
    <row r="12" spans="1:13" x14ac:dyDescent="0.25">
      <c r="E12" s="27"/>
      <c r="F12" s="76"/>
      <c r="G12" s="76"/>
      <c r="H12" s="76"/>
      <c r="I12" s="76"/>
      <c r="J12" s="76"/>
    </row>
    <row r="13" spans="1:13" x14ac:dyDescent="0.25">
      <c r="B13" s="4" t="s">
        <v>19</v>
      </c>
      <c r="E13" s="27"/>
      <c r="F13" s="4">
        <f>E16</f>
        <v>3318917</v>
      </c>
      <c r="G13" s="4">
        <f t="shared" ref="G13:J13" si="6">F16</f>
        <v>3279056.6222240007</v>
      </c>
      <c r="H13" s="4">
        <f t="shared" si="6"/>
        <v>3323403.229930561</v>
      </c>
      <c r="I13" s="4">
        <f t="shared" si="6"/>
        <v>3490937.1390163666</v>
      </c>
      <c r="J13" s="4">
        <f t="shared" si="6"/>
        <v>3833714.3862752873</v>
      </c>
    </row>
    <row r="14" spans="1:13" x14ac:dyDescent="0.25">
      <c r="B14" s="4" t="s">
        <v>20</v>
      </c>
      <c r="E14" s="27"/>
      <c r="F14" s="4">
        <f>IncState!F35</f>
        <v>-39860.377775999186</v>
      </c>
      <c r="G14" s="4">
        <f>IncState!G35</f>
        <v>44346.607706560215</v>
      </c>
      <c r="H14" s="4">
        <f>IncState!H35</f>
        <v>167533.90908580576</v>
      </c>
      <c r="I14" s="4">
        <f>IncState!I35</f>
        <v>342777.24725892069</v>
      </c>
      <c r="J14" s="4">
        <f>IncState!J35</f>
        <v>587019.0130284538</v>
      </c>
    </row>
    <row r="15" spans="1:13" x14ac:dyDescent="0.25">
      <c r="B15" s="4" t="s">
        <v>21</v>
      </c>
      <c r="E15" s="27"/>
      <c r="F15" s="4">
        <f>F11</f>
        <v>0</v>
      </c>
      <c r="G15" s="4">
        <f t="shared" ref="G15:J15" si="7">G11</f>
        <v>0</v>
      </c>
      <c r="H15" s="4">
        <f t="shared" si="7"/>
        <v>0</v>
      </c>
      <c r="I15" s="4">
        <f t="shared" si="7"/>
        <v>0</v>
      </c>
      <c r="J15" s="4">
        <f t="shared" si="7"/>
        <v>0</v>
      </c>
    </row>
    <row r="16" spans="1:13" x14ac:dyDescent="0.25">
      <c r="B16" s="4" t="s">
        <v>22</v>
      </c>
      <c r="E16" s="27">
        <f>BalSheet!E39</f>
        <v>3318917</v>
      </c>
      <c r="F16" s="4">
        <f>SUM(F13:F15)</f>
        <v>3279056.6222240007</v>
      </c>
      <c r="G16" s="4">
        <f t="shared" ref="G16:J16" si="8">SUM(G13:G15)</f>
        <v>3323403.229930561</v>
      </c>
      <c r="H16" s="4">
        <f t="shared" si="8"/>
        <v>3490937.1390163666</v>
      </c>
      <c r="I16" s="4">
        <f t="shared" si="8"/>
        <v>3833714.3862752873</v>
      </c>
      <c r="J16" s="4">
        <f t="shared" si="8"/>
        <v>4420733.3993037408</v>
      </c>
    </row>
    <row r="17" spans="1:12" x14ac:dyDescent="0.25">
      <c r="A17" s="20" t="s">
        <v>23</v>
      </c>
      <c r="B17" s="42"/>
      <c r="C17" s="231">
        <f>C10</f>
        <v>2023</v>
      </c>
      <c r="D17" s="231">
        <f t="shared" ref="D17:J17" si="9">D10</f>
        <v>2024</v>
      </c>
      <c r="E17" s="231">
        <f t="shared" si="9"/>
        <v>2025</v>
      </c>
      <c r="F17" s="231">
        <f t="shared" si="9"/>
        <v>2026</v>
      </c>
      <c r="G17" s="231">
        <f t="shared" ref="G17:J17" si="10">G10</f>
        <v>2027</v>
      </c>
      <c r="H17" s="231">
        <f t="shared" si="10"/>
        <v>2028</v>
      </c>
      <c r="I17" s="231">
        <f t="shared" si="10"/>
        <v>2029</v>
      </c>
      <c r="J17" s="231">
        <f t="shared" si="10"/>
        <v>2030</v>
      </c>
      <c r="K17" s="192"/>
      <c r="L17" s="192"/>
    </row>
    <row r="18" spans="1:12" x14ac:dyDescent="0.25">
      <c r="A18" s="85"/>
      <c r="B18" s="169" t="s">
        <v>155</v>
      </c>
      <c r="C18" s="192"/>
      <c r="D18" s="192"/>
      <c r="E18" s="97">
        <f>BalSheet!E16</f>
        <v>59304.36</v>
      </c>
      <c r="F18" s="266">
        <f>BalSheet!F16</f>
        <v>72351.319199999998</v>
      </c>
      <c r="G18" s="266">
        <f>BalSheet!G16</f>
        <v>88268.609423999995</v>
      </c>
      <c r="H18" s="266">
        <f>BalSheet!H16</f>
        <v>107687.70349728</v>
      </c>
      <c r="I18" s="266">
        <f>BalSheet!I16</f>
        <v>131378.99826668159</v>
      </c>
      <c r="J18" s="266">
        <f>BalSheet!J16</f>
        <v>160282.37788535154</v>
      </c>
      <c r="K18" s="192"/>
      <c r="L18" s="192"/>
    </row>
    <row r="19" spans="1:12" x14ac:dyDescent="0.25">
      <c r="B19" s="4" t="str">
        <f>BalSheet!B18</f>
        <v>Accounts receivable</v>
      </c>
      <c r="C19" s="96"/>
      <c r="D19" s="96"/>
      <c r="E19" s="97">
        <f>BalSheet!E18</f>
        <v>1128564</v>
      </c>
      <c r="F19" s="266">
        <f>BalSheet!F18</f>
        <v>1376848.08</v>
      </c>
      <c r="G19" s="266">
        <f>BalSheet!G18</f>
        <v>1679754.6575999998</v>
      </c>
      <c r="H19" s="266">
        <f>BalSheet!H18</f>
        <v>2049300.682272</v>
      </c>
      <c r="I19" s="266">
        <f>BalSheet!I18</f>
        <v>2500146.8323718398</v>
      </c>
      <c r="J19" s="266">
        <f>BalSheet!J18</f>
        <v>3050179.1354936445</v>
      </c>
      <c r="K19" s="96"/>
      <c r="L19" s="96"/>
    </row>
    <row r="20" spans="1:12" x14ac:dyDescent="0.25">
      <c r="B20" s="4" t="s">
        <v>68</v>
      </c>
      <c r="C20" s="96"/>
      <c r="D20" s="96"/>
      <c r="E20" s="97">
        <f>BalSheet!E19</f>
        <v>661486</v>
      </c>
      <c r="F20" s="266">
        <f>BalSheet!F19</f>
        <v>807012.92</v>
      </c>
      <c r="G20" s="266">
        <f>BalSheet!G19</f>
        <v>984555.76239999989</v>
      </c>
      <c r="H20" s="266">
        <f>BalSheet!H19</f>
        <v>1201158.0301280001</v>
      </c>
      <c r="I20" s="266">
        <f>BalSheet!I19</f>
        <v>1465412.79675616</v>
      </c>
      <c r="J20" s="266">
        <f>BalSheet!J19</f>
        <v>1787803.6120425151</v>
      </c>
      <c r="K20" s="96"/>
      <c r="L20" s="96"/>
    </row>
    <row r="21" spans="1:12" x14ac:dyDescent="0.25">
      <c r="B21" s="4" t="s">
        <v>161</v>
      </c>
      <c r="C21" s="96"/>
      <c r="D21" s="96"/>
      <c r="E21" s="97">
        <f>BalSheet!E31</f>
        <v>641479</v>
      </c>
      <c r="F21" s="266">
        <f>BalSheet!F31</f>
        <v>725764.09200000006</v>
      </c>
      <c r="G21" s="266">
        <f>BalSheet!G31</f>
        <v>885432.19223999989</v>
      </c>
      <c r="H21" s="266">
        <f>BalSheet!H31</f>
        <v>1080227.2745327998</v>
      </c>
      <c r="I21" s="266">
        <f>BalSheet!I31</f>
        <v>1317877.2749300159</v>
      </c>
      <c r="J21" s="266">
        <f>BalSheet!J31</f>
        <v>1607810.2754146194</v>
      </c>
      <c r="K21" s="96"/>
      <c r="L21" s="96"/>
    </row>
    <row r="22" spans="1:12" x14ac:dyDescent="0.25">
      <c r="B22" s="4" t="s">
        <v>74</v>
      </c>
      <c r="C22" s="96"/>
      <c r="D22" s="96"/>
      <c r="E22" s="97">
        <f>BalSheet!E32</f>
        <v>2819571</v>
      </c>
      <c r="F22" s="266">
        <f>BalSheet!F32</f>
        <v>3439876.62</v>
      </c>
      <c r="G22" s="266">
        <f>BalSheet!G32</f>
        <v>4196649.4764</v>
      </c>
      <c r="H22" s="266">
        <f>BalSheet!H32</f>
        <v>5119912.3612080002</v>
      </c>
      <c r="I22" s="266">
        <f>BalSheet!I32</f>
        <v>6246293.0806737607</v>
      </c>
      <c r="J22" s="266">
        <f>BalSheet!J32</f>
        <v>7620477.558421988</v>
      </c>
      <c r="K22" s="96"/>
      <c r="L22" s="96"/>
    </row>
    <row r="23" spans="1:12" x14ac:dyDescent="0.25">
      <c r="A23" s="11" t="s">
        <v>122</v>
      </c>
      <c r="B23" s="17" t="s">
        <v>23</v>
      </c>
      <c r="C23" s="18"/>
      <c r="D23" s="18"/>
      <c r="E23" s="18">
        <f>SUM(E18:E20)-SUM(E21:E22)</f>
        <v>-1611695.64</v>
      </c>
      <c r="F23" s="18">
        <f>SUM(F18:F20)-SUM(F21:F22)</f>
        <v>-1909428.3928</v>
      </c>
      <c r="G23" s="18">
        <f t="shared" ref="G23:J23" si="11">SUM(G18:G20)-SUM(G21:G22)</f>
        <v>-2329502.6392160002</v>
      </c>
      <c r="H23" s="18">
        <f t="shared" si="11"/>
        <v>-2841993.2198435199</v>
      </c>
      <c r="I23" s="18">
        <f t="shared" si="11"/>
        <v>-3467231.7282090955</v>
      </c>
      <c r="J23" s="18">
        <f t="shared" si="11"/>
        <v>-4230022.7084150966</v>
      </c>
      <c r="K23" s="11"/>
      <c r="L23" s="11"/>
    </row>
    <row r="24" spans="1:12" s="11" customFormat="1" x14ac:dyDescent="0.25">
      <c r="A24" s="24"/>
      <c r="B24" s="11" t="s">
        <v>147</v>
      </c>
      <c r="F24" s="11">
        <f>E23-F23</f>
        <v>297732.75280000013</v>
      </c>
      <c r="G24" s="11">
        <f t="shared" ref="G24:J24" si="12">F23-G23</f>
        <v>420074.24641600018</v>
      </c>
      <c r="H24" s="11">
        <f t="shared" si="12"/>
        <v>512490.58062751964</v>
      </c>
      <c r="I24" s="11">
        <f t="shared" si="12"/>
        <v>625238.50836557569</v>
      </c>
      <c r="J24" s="11">
        <f t="shared" si="12"/>
        <v>762790.98020600108</v>
      </c>
    </row>
    <row r="25" spans="1:12" x14ac:dyDescent="0.25">
      <c r="B25" s="64"/>
      <c r="C25" s="64"/>
      <c r="D25" s="64"/>
      <c r="E25" s="64"/>
      <c r="F25" s="64"/>
      <c r="G25" s="64"/>
      <c r="H25" s="82"/>
      <c r="I25" s="64"/>
      <c r="J25" s="64"/>
    </row>
    <row r="26" spans="1:12" x14ac:dyDescent="0.25">
      <c r="H26" s="6"/>
      <c r="I26" s="4"/>
      <c r="J26" s="4"/>
    </row>
    <row r="27" spans="1:12" x14ac:dyDescent="0.25">
      <c r="H27" s="6"/>
      <c r="I27" s="4"/>
      <c r="J27" s="4"/>
    </row>
    <row r="28" spans="1:12" x14ac:dyDescent="0.25">
      <c r="H28" s="6"/>
      <c r="I28" s="4"/>
      <c r="J28" s="4"/>
    </row>
    <row r="29" spans="1:12" x14ac:dyDescent="0.25">
      <c r="H29" s="6"/>
      <c r="I29" s="4"/>
      <c r="J29" s="4"/>
    </row>
    <row r="30" spans="1:12" x14ac:dyDescent="0.25">
      <c r="H30" s="6"/>
      <c r="I30" s="4"/>
      <c r="J30" s="4"/>
    </row>
    <row r="31" spans="1:12" x14ac:dyDescent="0.25">
      <c r="H31" s="6"/>
      <c r="I31" s="4"/>
      <c r="J31" s="4"/>
    </row>
    <row r="32" spans="1:12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topLeftCell="A5" zoomScaleNormal="100" workbookViewId="0">
      <selection activeCell="F33" sqref="F12:J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2" width="11.42578125" style="4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52" t="str">
        <f>CoName</f>
        <v>Crowdstrike Holdings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3" s="2" customFormat="1" x14ac:dyDescent="0.25">
      <c r="A2" s="16" t="s">
        <v>10</v>
      </c>
      <c r="B2" s="191"/>
      <c r="C2" s="260">
        <f>D2-1</f>
        <v>2023</v>
      </c>
      <c r="D2" s="260">
        <f>E2-1</f>
        <v>2024</v>
      </c>
      <c r="E2" s="260">
        <f>MAIN!C5</f>
        <v>2025</v>
      </c>
      <c r="F2" s="260">
        <v>2026</v>
      </c>
      <c r="G2" s="260">
        <v>2027</v>
      </c>
      <c r="H2" s="260">
        <v>2028</v>
      </c>
      <c r="I2" s="260">
        <v>2029</v>
      </c>
      <c r="J2" s="260">
        <v>2030</v>
      </c>
      <c r="K2" s="200"/>
      <c r="L2" s="200"/>
    </row>
    <row r="3" spans="1:13" s="2" customFormat="1" x14ac:dyDescent="0.25">
      <c r="A3" s="85"/>
      <c r="B3" s="11"/>
      <c r="C3" s="192"/>
      <c r="D3" s="192"/>
      <c r="E3" s="192"/>
      <c r="F3" s="192"/>
      <c r="G3" s="192"/>
      <c r="H3" s="192"/>
      <c r="I3" s="192"/>
      <c r="J3" s="192"/>
      <c r="K3" s="200"/>
      <c r="L3" s="200"/>
    </row>
    <row r="4" spans="1:13" s="2" customFormat="1" x14ac:dyDescent="0.25">
      <c r="A4" s="11"/>
      <c r="B4" s="4" t="s">
        <v>24</v>
      </c>
      <c r="C4" s="30"/>
      <c r="D4" s="54"/>
      <c r="E4" s="58"/>
      <c r="F4" s="109">
        <f>Assumptions!F23</f>
        <v>3.5365055384330019E-2</v>
      </c>
      <c r="G4" s="109">
        <f>Assumptions!G23</f>
        <v>3.5365055384330019E-2</v>
      </c>
      <c r="H4" s="109">
        <f>Assumptions!H23</f>
        <v>3.5365055384330019E-2</v>
      </c>
      <c r="I4" s="109">
        <f>Assumptions!I23</f>
        <v>3.5365055384330019E-2</v>
      </c>
      <c r="J4" s="109">
        <f>Assumptions!J23</f>
        <v>3.5365055384330019E-2</v>
      </c>
      <c r="K4" s="29"/>
      <c r="L4" s="29"/>
    </row>
    <row r="5" spans="1:13" s="2" customFormat="1" x14ac:dyDescent="0.25">
      <c r="A5" s="11"/>
      <c r="B5" s="4" t="s">
        <v>25</v>
      </c>
      <c r="C5" s="30"/>
      <c r="D5" s="55"/>
      <c r="E5" s="59"/>
      <c r="F5" s="109">
        <f>Assumptions!F24</f>
        <v>3.5365055384330019E-2</v>
      </c>
      <c r="G5" s="109">
        <f>Assumptions!G24</f>
        <v>3.5365055384330019E-2</v>
      </c>
      <c r="H5" s="109">
        <f>Assumptions!H24</f>
        <v>3.5365055384330019E-2</v>
      </c>
      <c r="I5" s="109">
        <f>Assumptions!I24</f>
        <v>3.5365055384330019E-2</v>
      </c>
      <c r="J5" s="109">
        <f>Assumptions!J24</f>
        <v>3.5365055384330019E-2</v>
      </c>
      <c r="K5" s="29"/>
      <c r="L5" s="29"/>
    </row>
    <row r="6" spans="1:13" s="2" customFormat="1" x14ac:dyDescent="0.25">
      <c r="A6" s="11"/>
      <c r="B6" s="4" t="s">
        <v>26</v>
      </c>
      <c r="C6" s="30"/>
      <c r="D6" s="54"/>
      <c r="E6" s="58"/>
      <c r="F6" s="109">
        <f>Assumptions!F25</f>
        <v>4.5376038415144003E-2</v>
      </c>
      <c r="G6" s="109">
        <f>Assumptions!G25</f>
        <v>4.5376038415144003E-2</v>
      </c>
      <c r="H6" s="109">
        <f>Assumptions!H25</f>
        <v>4.5376038415144003E-2</v>
      </c>
      <c r="I6" s="109">
        <f>Assumptions!I25</f>
        <v>4.5376038415144003E-2</v>
      </c>
      <c r="J6" s="109">
        <f>Assumptions!J25</f>
        <v>4.5376038415144003E-2</v>
      </c>
      <c r="K6" s="29"/>
      <c r="L6" s="29"/>
    </row>
    <row r="7" spans="1:13" s="2" customFormat="1" x14ac:dyDescent="0.25">
      <c r="A7" s="11"/>
      <c r="B7" s="4"/>
      <c r="C7" s="30"/>
      <c r="D7" s="30"/>
      <c r="E7" s="30"/>
      <c r="F7" s="107"/>
      <c r="G7" s="107"/>
      <c r="H7" s="107"/>
      <c r="I7" s="108"/>
      <c r="J7" s="108"/>
      <c r="K7" s="201"/>
      <c r="L7" s="201"/>
    </row>
    <row r="8" spans="1:13" s="2" customFormat="1" x14ac:dyDescent="0.25">
      <c r="A8" s="11"/>
      <c r="B8" s="4" t="s">
        <v>27</v>
      </c>
      <c r="C8" s="30"/>
      <c r="D8" s="56"/>
      <c r="E8" s="60"/>
      <c r="F8" s="110">
        <f>Assumptions!F27</f>
        <v>0</v>
      </c>
      <c r="G8" s="110">
        <f>Assumptions!G27</f>
        <v>0</v>
      </c>
      <c r="H8" s="110">
        <f>Assumptions!H27</f>
        <v>0</v>
      </c>
      <c r="I8" s="110">
        <f>Assumptions!I27</f>
        <v>0</v>
      </c>
      <c r="J8" s="110">
        <f>Assumptions!J27</f>
        <v>0</v>
      </c>
      <c r="K8" s="202"/>
      <c r="L8" s="202"/>
    </row>
    <row r="9" spans="1:13" s="2" customFormat="1" x14ac:dyDescent="0.25">
      <c r="A9" s="11"/>
      <c r="B9" s="4" t="s">
        <v>28</v>
      </c>
      <c r="C9" s="30"/>
      <c r="D9" s="56"/>
      <c r="E9" s="60"/>
      <c r="F9" s="110">
        <f>Assumptions!F28</f>
        <v>0</v>
      </c>
      <c r="G9" s="110">
        <f>Assumptions!G28</f>
        <v>0</v>
      </c>
      <c r="H9" s="110">
        <f>Assumptions!H28</f>
        <v>0</v>
      </c>
      <c r="I9" s="110">
        <f>Assumptions!I28</f>
        <v>0</v>
      </c>
      <c r="J9" s="110">
        <f>Assumptions!J28</f>
        <v>0</v>
      </c>
      <c r="K9" s="202"/>
      <c r="L9" s="202"/>
    </row>
    <row r="10" spans="1:13" s="2" customFormat="1" ht="18.75" x14ac:dyDescent="0.3">
      <c r="A10" s="33"/>
      <c r="B10" s="3"/>
      <c r="C10" s="52"/>
      <c r="D10" s="52"/>
      <c r="E10" s="52"/>
      <c r="F10" s="106"/>
      <c r="G10" s="106"/>
      <c r="H10" s="106"/>
      <c r="I10" s="106"/>
      <c r="J10" s="106"/>
      <c r="K10" s="52"/>
      <c r="L10" s="52"/>
    </row>
    <row r="11" spans="1:13" x14ac:dyDescent="0.25">
      <c r="A11" s="20" t="s">
        <v>29</v>
      </c>
      <c r="B11" s="53"/>
      <c r="C11" s="251">
        <f>C2</f>
        <v>2023</v>
      </c>
      <c r="D11" s="251">
        <f t="shared" ref="D11:J11" si="0">D2</f>
        <v>2024</v>
      </c>
      <c r="E11" s="251">
        <f t="shared" si="0"/>
        <v>2025</v>
      </c>
      <c r="F11" s="251">
        <f t="shared" si="0"/>
        <v>2026</v>
      </c>
      <c r="G11" s="251">
        <f t="shared" si="0"/>
        <v>2027</v>
      </c>
      <c r="H11" s="251">
        <f t="shared" si="0"/>
        <v>2028</v>
      </c>
      <c r="I11" s="251">
        <f t="shared" si="0"/>
        <v>2029</v>
      </c>
      <c r="J11" s="251">
        <f t="shared" si="0"/>
        <v>2030</v>
      </c>
      <c r="K11" s="203"/>
      <c r="L11" s="203"/>
      <c r="M11" s="47"/>
    </row>
    <row r="12" spans="1:13" x14ac:dyDescent="0.25">
      <c r="B12" s="4" t="s">
        <v>30</v>
      </c>
      <c r="E12" s="27"/>
      <c r="F12" s="4" t="s">
        <v>186</v>
      </c>
      <c r="G12" s="4" t="s">
        <v>186</v>
      </c>
      <c r="H12" s="4" t="s">
        <v>186</v>
      </c>
      <c r="I12" s="4" t="s">
        <v>186</v>
      </c>
      <c r="J12" s="4" t="s">
        <v>186</v>
      </c>
      <c r="M12" s="47"/>
    </row>
    <row r="13" spans="1:13" x14ac:dyDescent="0.25">
      <c r="B13" s="4" t="s">
        <v>31</v>
      </c>
      <c r="E13" s="28"/>
      <c r="I13" s="4"/>
      <c r="J13" s="4"/>
      <c r="M13" s="47"/>
    </row>
    <row r="14" spans="1:13" x14ac:dyDescent="0.25">
      <c r="B14" s="4" t="s">
        <v>32</v>
      </c>
      <c r="E14" s="27"/>
      <c r="I14" s="4"/>
      <c r="J14" s="4"/>
      <c r="M14" s="47"/>
    </row>
    <row r="15" spans="1:13" x14ac:dyDescent="0.25">
      <c r="E15" s="27"/>
      <c r="I15" s="4"/>
      <c r="J15" s="4"/>
      <c r="M15" s="47"/>
    </row>
    <row r="16" spans="1:13" x14ac:dyDescent="0.25">
      <c r="A16" s="259" t="s">
        <v>33</v>
      </c>
      <c r="B16" s="19"/>
      <c r="C16" s="251">
        <f t="shared" ref="C16:J16" si="1">C11</f>
        <v>2023</v>
      </c>
      <c r="D16" s="251">
        <f t="shared" si="1"/>
        <v>2024</v>
      </c>
      <c r="E16" s="251">
        <f t="shared" si="1"/>
        <v>2025</v>
      </c>
      <c r="F16" s="251">
        <f t="shared" si="1"/>
        <v>2026</v>
      </c>
      <c r="G16" s="251">
        <f t="shared" ref="G16:J16" si="2">G11</f>
        <v>2027</v>
      </c>
      <c r="H16" s="251">
        <f t="shared" si="2"/>
        <v>2028</v>
      </c>
      <c r="I16" s="251">
        <f t="shared" si="2"/>
        <v>2029</v>
      </c>
      <c r="J16" s="251">
        <f t="shared" si="2"/>
        <v>2030</v>
      </c>
      <c r="K16" s="200"/>
      <c r="L16" s="200"/>
      <c r="M16" s="47"/>
    </row>
    <row r="17" spans="1:13" x14ac:dyDescent="0.25">
      <c r="B17" s="4" t="s">
        <v>19</v>
      </c>
      <c r="E17" s="27"/>
      <c r="F17" s="4">
        <f>E20</f>
        <v>743983</v>
      </c>
      <c r="G17" s="4">
        <f t="shared" ref="G17:J17" si="3">F20</f>
        <v>743983</v>
      </c>
      <c r="H17" s="4">
        <f t="shared" si="3"/>
        <v>743983</v>
      </c>
      <c r="I17" s="4">
        <f t="shared" si="3"/>
        <v>743983</v>
      </c>
      <c r="J17" s="4">
        <f t="shared" si="3"/>
        <v>743983</v>
      </c>
      <c r="M17" s="47"/>
    </row>
    <row r="18" spans="1:13" x14ac:dyDescent="0.25">
      <c r="B18" s="4" t="s">
        <v>34</v>
      </c>
      <c r="E18" s="27"/>
      <c r="F18" s="4">
        <f>F8</f>
        <v>0</v>
      </c>
      <c r="G18" s="4">
        <f t="shared" ref="G18:J18" si="4">G8</f>
        <v>0</v>
      </c>
      <c r="H18" s="4">
        <f t="shared" si="4"/>
        <v>0</v>
      </c>
      <c r="I18" s="4">
        <f t="shared" si="4"/>
        <v>0</v>
      </c>
      <c r="J18" s="4">
        <f t="shared" si="4"/>
        <v>0</v>
      </c>
      <c r="M18" s="47"/>
    </row>
    <row r="19" spans="1:13" x14ac:dyDescent="0.25">
      <c r="B19" s="4" t="s">
        <v>35</v>
      </c>
      <c r="E19" s="27"/>
      <c r="F19" s="4">
        <f>F9</f>
        <v>0</v>
      </c>
      <c r="G19" s="4">
        <f t="shared" ref="G19:J19" si="5">G9</f>
        <v>0</v>
      </c>
      <c r="H19" s="4">
        <f t="shared" si="5"/>
        <v>0</v>
      </c>
      <c r="I19" s="4">
        <f t="shared" si="5"/>
        <v>0</v>
      </c>
      <c r="J19" s="4">
        <f t="shared" si="5"/>
        <v>0</v>
      </c>
    </row>
    <row r="20" spans="1:13" x14ac:dyDescent="0.25">
      <c r="B20" s="4" t="s">
        <v>22</v>
      </c>
      <c r="C20" s="10"/>
      <c r="E20" s="27">
        <f>BalSheet!E35</f>
        <v>743983</v>
      </c>
      <c r="F20" s="4">
        <f>SUM(F17:F19)</f>
        <v>743983</v>
      </c>
      <c r="G20" s="4">
        <f t="shared" ref="G20:J20" si="6">SUM(G17:G19)</f>
        <v>743983</v>
      </c>
      <c r="H20" s="4">
        <f t="shared" si="6"/>
        <v>743983</v>
      </c>
      <c r="I20" s="4">
        <f t="shared" si="6"/>
        <v>743983</v>
      </c>
      <c r="J20" s="4">
        <f t="shared" si="6"/>
        <v>743983</v>
      </c>
    </row>
    <row r="21" spans="1:13" x14ac:dyDescent="0.25">
      <c r="B21" s="4" t="s">
        <v>31</v>
      </c>
      <c r="D21" s="48"/>
      <c r="E21" s="27"/>
      <c r="F21" s="8">
        <f>F5</f>
        <v>3.5365055384330019E-2</v>
      </c>
      <c r="G21" s="8">
        <f t="shared" ref="G21:J21" si="7">G5</f>
        <v>3.5365055384330019E-2</v>
      </c>
      <c r="H21" s="8">
        <f t="shared" si="7"/>
        <v>3.5365055384330019E-2</v>
      </c>
      <c r="I21" s="8">
        <f t="shared" si="7"/>
        <v>3.5365055384330019E-2</v>
      </c>
      <c r="J21" s="8">
        <f t="shared" si="7"/>
        <v>3.5365055384330019E-2</v>
      </c>
    </row>
    <row r="22" spans="1:13" x14ac:dyDescent="0.25">
      <c r="B22" s="4" t="s">
        <v>32</v>
      </c>
      <c r="E22" s="27"/>
      <c r="F22" s="4">
        <f>F20*F21</f>
        <v>26311</v>
      </c>
      <c r="G22" s="4">
        <f t="shared" ref="G22:J22" si="8">G20*G21</f>
        <v>26311</v>
      </c>
      <c r="H22" s="4">
        <f t="shared" si="8"/>
        <v>26311</v>
      </c>
      <c r="I22" s="4">
        <f t="shared" si="8"/>
        <v>26311</v>
      </c>
      <c r="J22" s="4">
        <f t="shared" si="8"/>
        <v>26311</v>
      </c>
    </row>
    <row r="23" spans="1:13" x14ac:dyDescent="0.25">
      <c r="E23" s="27"/>
      <c r="I23" s="4"/>
      <c r="J23" s="4"/>
    </row>
    <row r="24" spans="1:13" x14ac:dyDescent="0.25">
      <c r="A24" s="20" t="s">
        <v>36</v>
      </c>
      <c r="B24" s="42"/>
      <c r="C24" s="251">
        <f>C16</f>
        <v>2023</v>
      </c>
      <c r="D24" s="251">
        <f t="shared" ref="D24:J24" si="9">D16</f>
        <v>2024</v>
      </c>
      <c r="E24" s="251">
        <f t="shared" si="9"/>
        <v>2025</v>
      </c>
      <c r="F24" s="251">
        <f t="shared" si="9"/>
        <v>2026</v>
      </c>
      <c r="G24" s="251">
        <f t="shared" ref="G24:J24" si="10">G16</f>
        <v>2027</v>
      </c>
      <c r="H24" s="251">
        <f t="shared" si="10"/>
        <v>2028</v>
      </c>
      <c r="I24" s="251">
        <f t="shared" si="10"/>
        <v>2029</v>
      </c>
      <c r="J24" s="251">
        <f t="shared" si="10"/>
        <v>2030</v>
      </c>
      <c r="K24" s="200"/>
      <c r="L24" s="200"/>
    </row>
    <row r="25" spans="1:13" x14ac:dyDescent="0.25">
      <c r="A25" s="7"/>
      <c r="B25" s="4" t="s">
        <v>29</v>
      </c>
      <c r="E25" s="27"/>
      <c r="F25" s="4" t="str">
        <f>F12</f>
        <v>NO REVOLVER</v>
      </c>
      <c r="G25" s="4" t="str">
        <f t="shared" ref="G25:J25" si="11">G12</f>
        <v>NO REVOLVER</v>
      </c>
      <c r="H25" s="4" t="str">
        <f t="shared" si="11"/>
        <v>NO REVOLVER</v>
      </c>
      <c r="I25" s="4" t="str">
        <f t="shared" si="11"/>
        <v>NO REVOLVER</v>
      </c>
      <c r="J25" s="4" t="str">
        <f t="shared" si="11"/>
        <v>NO REVOLVER</v>
      </c>
    </row>
    <row r="26" spans="1:13" x14ac:dyDescent="0.25">
      <c r="A26" s="7"/>
      <c r="B26" s="4" t="s">
        <v>37</v>
      </c>
      <c r="E26" s="27"/>
      <c r="F26" s="4">
        <f>F20</f>
        <v>743983</v>
      </c>
      <c r="G26" s="4">
        <f t="shared" ref="G26:J26" si="12">G20</f>
        <v>743983</v>
      </c>
      <c r="H26" s="4">
        <f t="shared" si="12"/>
        <v>743983</v>
      </c>
      <c r="I26" s="4">
        <f t="shared" si="12"/>
        <v>743983</v>
      </c>
      <c r="J26" s="4">
        <f t="shared" si="12"/>
        <v>743983</v>
      </c>
    </row>
    <row r="27" spans="1:13" x14ac:dyDescent="0.25">
      <c r="A27" s="7"/>
      <c r="B27" s="11" t="s">
        <v>38</v>
      </c>
      <c r="D27" s="11"/>
      <c r="E27" s="24"/>
      <c r="F27" s="11">
        <f>SUM(F25:F26)</f>
        <v>743983</v>
      </c>
      <c r="G27" s="11">
        <f t="shared" ref="G27:J27" si="13">SUM(G25:G26)</f>
        <v>743983</v>
      </c>
      <c r="H27" s="11">
        <f t="shared" si="13"/>
        <v>743983</v>
      </c>
      <c r="I27" s="11">
        <f t="shared" si="13"/>
        <v>743983</v>
      </c>
      <c r="J27" s="11">
        <f t="shared" si="13"/>
        <v>743983</v>
      </c>
      <c r="K27" s="11"/>
      <c r="L27" s="11"/>
    </row>
    <row r="28" spans="1:13" x14ac:dyDescent="0.25">
      <c r="A28" s="7"/>
      <c r="B28" s="4" t="s">
        <v>39</v>
      </c>
      <c r="E28" s="27"/>
      <c r="F28" s="4">
        <f>F22</f>
        <v>26311</v>
      </c>
      <c r="G28" s="4">
        <f t="shared" ref="G28:J28" si="14">G22</f>
        <v>26311</v>
      </c>
      <c r="H28" s="4">
        <f t="shared" si="14"/>
        <v>26311</v>
      </c>
      <c r="I28" s="4">
        <f t="shared" si="14"/>
        <v>26311</v>
      </c>
      <c r="J28" s="4">
        <f t="shared" si="14"/>
        <v>26311</v>
      </c>
    </row>
    <row r="29" spans="1:13" x14ac:dyDescent="0.25">
      <c r="A29" s="7"/>
      <c r="E29" s="27"/>
      <c r="I29" s="4"/>
      <c r="J29" s="4"/>
    </row>
    <row r="30" spans="1:13" x14ac:dyDescent="0.25">
      <c r="A30" s="20" t="s">
        <v>40</v>
      </c>
      <c r="B30" s="42"/>
      <c r="C30" s="251">
        <f>C11</f>
        <v>2023</v>
      </c>
      <c r="D30" s="251">
        <f t="shared" ref="D30:J30" si="15">D11</f>
        <v>2024</v>
      </c>
      <c r="E30" s="251">
        <f t="shared" si="15"/>
        <v>2025</v>
      </c>
      <c r="F30" s="251">
        <f t="shared" si="15"/>
        <v>2026</v>
      </c>
      <c r="G30" s="251">
        <f t="shared" ref="G30:J30" si="16">G11</f>
        <v>2027</v>
      </c>
      <c r="H30" s="251">
        <f t="shared" si="16"/>
        <v>2028</v>
      </c>
      <c r="I30" s="251">
        <f t="shared" si="16"/>
        <v>2029</v>
      </c>
      <c r="J30" s="251">
        <f t="shared" si="16"/>
        <v>2030</v>
      </c>
      <c r="K30" s="200"/>
      <c r="L30" s="200"/>
    </row>
    <row r="31" spans="1:13" x14ac:dyDescent="0.25">
      <c r="A31" s="7"/>
      <c r="B31" s="4" t="s">
        <v>167</v>
      </c>
      <c r="E31" s="27"/>
      <c r="F31" s="4">
        <f>SUM(BalSheet!F16:F17)</f>
        <v>5009102.9568571616</v>
      </c>
      <c r="G31" s="4">
        <f>SUM(BalSheet!G16:G17)</f>
        <v>5907959.6449709991</v>
      </c>
      <c r="H31" s="4">
        <f>SUM(BalSheet!H16:H17)</f>
        <v>7038715.1504904842</v>
      </c>
      <c r="I31" s="4">
        <f>SUM(BalSheet!I16:I17)</f>
        <v>8483354.6815015469</v>
      </c>
      <c r="J31" s="4">
        <f>SUM(BalSheet!J16:J17)</f>
        <v>10345699.476544797</v>
      </c>
    </row>
    <row r="32" spans="1:13" x14ac:dyDescent="0.25">
      <c r="B32" s="4" t="s">
        <v>31</v>
      </c>
      <c r="D32" s="48"/>
      <c r="E32" s="23"/>
      <c r="F32" s="5">
        <f>F6</f>
        <v>4.5376038415144003E-2</v>
      </c>
      <c r="G32" s="5">
        <f t="shared" ref="G32:J32" si="17">G6</f>
        <v>4.5376038415144003E-2</v>
      </c>
      <c r="H32" s="5">
        <f t="shared" si="17"/>
        <v>4.5376038415144003E-2</v>
      </c>
      <c r="I32" s="5">
        <f t="shared" si="17"/>
        <v>4.5376038415144003E-2</v>
      </c>
      <c r="J32" s="5">
        <f t="shared" si="17"/>
        <v>4.5376038415144003E-2</v>
      </c>
      <c r="K32" s="168"/>
      <c r="L32" s="168"/>
    </row>
    <row r="33" spans="2:10" x14ac:dyDescent="0.25">
      <c r="B33" s="4" t="s">
        <v>40</v>
      </c>
      <c r="E33" s="27"/>
      <c r="F33" s="4">
        <f>F31*F32</f>
        <v>227293.24819576199</v>
      </c>
      <c r="G33" s="4">
        <f t="shared" ref="G33:J33" si="18">G31*G32</f>
        <v>268079.8038053246</v>
      </c>
      <c r="H33" s="4">
        <f t="shared" si="18"/>
        <v>319389.00906191231</v>
      </c>
      <c r="I33" s="4">
        <f t="shared" si="18"/>
        <v>384941.02791710594</v>
      </c>
      <c r="J33" s="4">
        <f t="shared" si="18"/>
        <v>469446.85687923193</v>
      </c>
    </row>
    <row r="34" spans="2:10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2"/>
  <sheetViews>
    <sheetView showGridLines="0" zoomScaleNormal="100" workbookViewId="0">
      <selection activeCell="F40" sqref="F16:J40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0" width="11.7109375" style="4" customWidth="1"/>
    <col min="11" max="12" width="12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52" t="str">
        <f>CoName</f>
        <v>Crowdstrike Holdings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15"/>
      <c r="C2" s="261">
        <f>D2-1</f>
        <v>2023</v>
      </c>
      <c r="D2" s="261">
        <f>E2-1</f>
        <v>2024</v>
      </c>
      <c r="E2" s="261">
        <f>MAIN!C5</f>
        <v>2025</v>
      </c>
      <c r="F2" s="261">
        <v>2026</v>
      </c>
      <c r="G2" s="261">
        <v>2027</v>
      </c>
      <c r="H2" s="261">
        <v>2028</v>
      </c>
      <c r="I2" s="261">
        <v>2029</v>
      </c>
      <c r="J2" s="261">
        <v>2030</v>
      </c>
    </row>
    <row r="3" spans="1:12" x14ac:dyDescent="0.25">
      <c r="A3" s="85"/>
      <c r="C3" s="98"/>
      <c r="D3" s="98"/>
      <c r="E3" s="98"/>
    </row>
    <row r="4" spans="1:12" x14ac:dyDescent="0.25">
      <c r="B4" s="30" t="s">
        <v>42</v>
      </c>
      <c r="C4" s="31"/>
      <c r="D4" s="31"/>
      <c r="E4" s="32"/>
      <c r="F4" s="172">
        <f>Assumptions!F10</f>
        <v>0.22</v>
      </c>
      <c r="G4" s="172">
        <f>Assumptions!G10</f>
        <v>0.22</v>
      </c>
      <c r="H4" s="172">
        <f>Assumptions!H10</f>
        <v>0.22</v>
      </c>
      <c r="I4" s="172">
        <f>Assumptions!I10</f>
        <v>0.22</v>
      </c>
      <c r="J4" s="172">
        <f>Assumptions!J10</f>
        <v>0.22</v>
      </c>
      <c r="K4" s="205"/>
      <c r="L4" s="205"/>
    </row>
    <row r="5" spans="1:12" x14ac:dyDescent="0.25">
      <c r="B5" s="30" t="s">
        <v>43</v>
      </c>
      <c r="C5" s="31"/>
      <c r="D5" s="31"/>
      <c r="E5" s="31"/>
      <c r="F5" s="172">
        <f>Assumptions!F11</f>
        <v>0.25077776743564889</v>
      </c>
      <c r="G5" s="172">
        <f>Assumptions!G11</f>
        <v>0.25077776743564889</v>
      </c>
      <c r="H5" s="172">
        <f>Assumptions!H11</f>
        <v>0.25077776743564889</v>
      </c>
      <c r="I5" s="172">
        <f>Assumptions!I11</f>
        <v>0.25077776743564889</v>
      </c>
      <c r="J5" s="172">
        <f>Assumptions!J11</f>
        <v>0.25077776743564889</v>
      </c>
      <c r="K5" s="205"/>
      <c r="L5" s="205"/>
    </row>
    <row r="6" spans="1:12" x14ac:dyDescent="0.25">
      <c r="B6" s="30" t="s">
        <v>176</v>
      </c>
      <c r="C6" s="189"/>
      <c r="D6" s="189"/>
      <c r="E6" s="32"/>
      <c r="F6" s="172">
        <f>Assumptions!F12</f>
        <v>0.27238326153422782</v>
      </c>
      <c r="G6" s="172">
        <f>Assumptions!G12</f>
        <v>0.27238326153422782</v>
      </c>
      <c r="H6" s="172">
        <f>Assumptions!H12</f>
        <v>0.27238326153422782</v>
      </c>
      <c r="I6" s="172">
        <f>Assumptions!I12</f>
        <v>0.27238326153422782</v>
      </c>
      <c r="J6" s="172">
        <f>Assumptions!J12</f>
        <v>0.27238326153422782</v>
      </c>
      <c r="K6" s="205"/>
      <c r="L6" s="205"/>
    </row>
    <row r="7" spans="1:12" x14ac:dyDescent="0.25">
      <c r="B7" s="30" t="s">
        <v>44</v>
      </c>
      <c r="C7" s="31"/>
      <c r="D7" s="31"/>
      <c r="E7" s="31"/>
      <c r="F7" s="172">
        <f>Assumptions!F13</f>
        <v>0.48729963193262682</v>
      </c>
      <c r="G7" s="172">
        <f>Assumptions!G13</f>
        <v>0.4672996319326268</v>
      </c>
      <c r="H7" s="172">
        <f>Assumptions!H13</f>
        <v>0.44729963193262678</v>
      </c>
      <c r="I7" s="172">
        <f>Assumptions!I13</f>
        <v>0.42729963193262677</v>
      </c>
      <c r="J7" s="172">
        <f>Assumptions!J13</f>
        <v>0.40729963193262675</v>
      </c>
      <c r="K7" s="205"/>
      <c r="L7" s="205"/>
    </row>
    <row r="8" spans="1:12" x14ac:dyDescent="0.25">
      <c r="A8" s="85"/>
      <c r="B8" s="4" t="s">
        <v>45</v>
      </c>
      <c r="C8" s="30"/>
      <c r="D8" s="30"/>
      <c r="E8" s="30"/>
      <c r="F8" s="173">
        <f>Assumptions!F14</f>
        <v>263177</v>
      </c>
      <c r="G8" s="173">
        <f>Assumptions!G14</f>
        <v>263177</v>
      </c>
      <c r="H8" s="173">
        <f>Assumptions!H14</f>
        <v>263177</v>
      </c>
      <c r="I8" s="173">
        <f>Assumptions!I14</f>
        <v>263177</v>
      </c>
      <c r="J8" s="173">
        <f>Assumptions!J14</f>
        <v>263177</v>
      </c>
      <c r="K8" s="206"/>
      <c r="L8" s="206"/>
    </row>
    <row r="9" spans="1:12" x14ac:dyDescent="0.25">
      <c r="A9" s="85"/>
      <c r="B9" s="4" t="s">
        <v>46</v>
      </c>
      <c r="C9" s="30"/>
      <c r="D9" s="30"/>
      <c r="E9" s="30"/>
      <c r="F9" s="174">
        <f>Assumptions!F15</f>
        <v>0</v>
      </c>
      <c r="G9" s="174">
        <f>Assumptions!G15</f>
        <v>0</v>
      </c>
      <c r="H9" s="174">
        <f>Assumptions!H15</f>
        <v>0</v>
      </c>
      <c r="I9" s="174">
        <f>Assumptions!I15</f>
        <v>0</v>
      </c>
      <c r="J9" s="174">
        <f>Assumptions!J15</f>
        <v>0</v>
      </c>
      <c r="K9" s="207"/>
      <c r="L9" s="207"/>
    </row>
    <row r="10" spans="1:12" x14ac:dyDescent="0.25">
      <c r="B10" s="4" t="s">
        <v>142</v>
      </c>
      <c r="F10" s="174">
        <f>Assumptions!F16</f>
        <v>0</v>
      </c>
      <c r="G10" s="174">
        <f>Assumptions!G16</f>
        <v>0</v>
      </c>
      <c r="H10" s="174">
        <f>Assumptions!H16</f>
        <v>0</v>
      </c>
      <c r="I10" s="174">
        <f>Assumptions!I16</f>
        <v>0</v>
      </c>
      <c r="J10" s="174">
        <f>Assumptions!J16</f>
        <v>0</v>
      </c>
      <c r="K10" s="207"/>
      <c r="L10" s="207"/>
    </row>
    <row r="11" spans="1:12" x14ac:dyDescent="0.25">
      <c r="B11" s="30" t="s">
        <v>47</v>
      </c>
      <c r="C11" s="43"/>
      <c r="D11" s="43"/>
      <c r="E11" s="43"/>
      <c r="F11" s="172">
        <f>Assumptions!F17</f>
        <v>0.21</v>
      </c>
      <c r="G11" s="172">
        <f>Assumptions!G17</f>
        <v>0.21</v>
      </c>
      <c r="H11" s="172">
        <f>Assumptions!H17</f>
        <v>0.21</v>
      </c>
      <c r="I11" s="172">
        <f>Assumptions!I17</f>
        <v>0.21</v>
      </c>
      <c r="J11" s="172">
        <f>Assumptions!J17</f>
        <v>0.21</v>
      </c>
      <c r="K11" s="205"/>
      <c r="L11" s="205"/>
    </row>
    <row r="12" spans="1:12" x14ac:dyDescent="0.25">
      <c r="B12" s="4" t="s">
        <v>48</v>
      </c>
      <c r="C12" s="30"/>
      <c r="D12" s="30"/>
      <c r="E12" s="39"/>
      <c r="F12" s="174">
        <f>Assumptions!F18</f>
        <v>244750</v>
      </c>
      <c r="G12" s="174">
        <f>Assumptions!G18</f>
        <v>244750</v>
      </c>
      <c r="H12" s="174">
        <f>Assumptions!H18</f>
        <v>244750</v>
      </c>
      <c r="I12" s="174">
        <f>Assumptions!I18</f>
        <v>244750</v>
      </c>
      <c r="J12" s="174">
        <f>Assumptions!J18</f>
        <v>244750</v>
      </c>
      <c r="K12" s="207"/>
      <c r="L12" s="207"/>
    </row>
    <row r="13" spans="1:12" x14ac:dyDescent="0.25">
      <c r="B13" s="4" t="s">
        <v>49</v>
      </c>
      <c r="C13" s="30"/>
      <c r="D13" s="30"/>
      <c r="E13" s="39"/>
      <c r="F13" s="174">
        <f>Assumptions!F19</f>
        <v>244750</v>
      </c>
      <c r="G13" s="174">
        <f>Assumptions!G19</f>
        <v>244750</v>
      </c>
      <c r="H13" s="174">
        <f>Assumptions!H19</f>
        <v>244750</v>
      </c>
      <c r="I13" s="174">
        <f>Assumptions!I19</f>
        <v>244750</v>
      </c>
      <c r="J13" s="174">
        <f>Assumptions!J19</f>
        <v>244750</v>
      </c>
      <c r="K13" s="207"/>
      <c r="L13" s="207"/>
    </row>
    <row r="14" spans="1:12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14.85" customHeight="1" x14ac:dyDescent="0.25">
      <c r="A15" s="175" t="s">
        <v>41</v>
      </c>
      <c r="B15" s="176"/>
      <c r="C15" s="251">
        <f>C2</f>
        <v>2023</v>
      </c>
      <c r="D15" s="251">
        <f>D2</f>
        <v>2024</v>
      </c>
      <c r="E15" s="251">
        <f>E2</f>
        <v>2025</v>
      </c>
      <c r="F15" s="251">
        <f>F2</f>
        <v>2026</v>
      </c>
      <c r="G15" s="251">
        <f>G2</f>
        <v>2027</v>
      </c>
      <c r="H15" s="251">
        <f>H2</f>
        <v>2028</v>
      </c>
      <c r="I15" s="251">
        <f>I2</f>
        <v>2029</v>
      </c>
      <c r="J15" s="251">
        <f>J2</f>
        <v>2030</v>
      </c>
      <c r="K15" s="203"/>
      <c r="L15" s="203"/>
    </row>
    <row r="16" spans="1:12" x14ac:dyDescent="0.25">
      <c r="B16" s="4" t="s">
        <v>50</v>
      </c>
      <c r="C16" s="96">
        <v>2241236</v>
      </c>
      <c r="D16" s="122">
        <v>3055555</v>
      </c>
      <c r="E16" s="22">
        <v>3953624</v>
      </c>
      <c r="F16" s="4">
        <f>E16*(1+F4)</f>
        <v>4823421.28</v>
      </c>
      <c r="G16" s="4">
        <f t="shared" ref="G16:J16" si="0">F16*(1+G4)</f>
        <v>5884573.9616</v>
      </c>
      <c r="H16" s="4">
        <f t="shared" si="0"/>
        <v>7179180.2331520002</v>
      </c>
      <c r="I16" s="4">
        <f t="shared" si="0"/>
        <v>8758599.88444544</v>
      </c>
      <c r="J16" s="4">
        <f t="shared" si="0"/>
        <v>10685491.859023437</v>
      </c>
    </row>
    <row r="17" spans="1:12" x14ac:dyDescent="0.25">
      <c r="B17" s="4" t="s">
        <v>154</v>
      </c>
      <c r="C17" s="122">
        <v>601231</v>
      </c>
      <c r="D17" s="122">
        <v>755723</v>
      </c>
      <c r="E17" s="22">
        <v>991481</v>
      </c>
      <c r="F17" s="170">
        <f>F16*F5</f>
        <v>1209606.82</v>
      </c>
      <c r="G17" s="170">
        <f t="shared" ref="G17:J17" si="1">G16*G5</f>
        <v>1475720.3203999999</v>
      </c>
      <c r="H17" s="170">
        <f t="shared" si="1"/>
        <v>1800378.7908879998</v>
      </c>
      <c r="I17" s="170">
        <f t="shared" si="1"/>
        <v>2196462.1248833598</v>
      </c>
      <c r="J17" s="170">
        <f t="shared" si="1"/>
        <v>2679683.792357699</v>
      </c>
      <c r="K17" s="204"/>
      <c r="L17" s="204"/>
    </row>
    <row r="18" spans="1:12" x14ac:dyDescent="0.25">
      <c r="B18" s="4" t="s">
        <v>175</v>
      </c>
      <c r="C18" s="122">
        <v>608364</v>
      </c>
      <c r="D18" s="122">
        <v>768497</v>
      </c>
      <c r="E18" s="22">
        <v>1076901</v>
      </c>
      <c r="F18" s="170">
        <f>F16*F6</f>
        <v>1313819.22</v>
      </c>
      <c r="G18" s="170">
        <f t="shared" ref="G18:J18" si="2">G16*G6</f>
        <v>1602859.4483999999</v>
      </c>
      <c r="H18" s="170">
        <f t="shared" si="2"/>
        <v>1955488.5270479999</v>
      </c>
      <c r="I18" s="170">
        <f t="shared" si="2"/>
        <v>2385696.0029985597</v>
      </c>
      <c r="J18" s="170">
        <f t="shared" si="2"/>
        <v>2910549.1236582431</v>
      </c>
      <c r="K18" s="204"/>
      <c r="L18" s="204"/>
    </row>
    <row r="19" spans="1:12" x14ac:dyDescent="0.25">
      <c r="B19" s="4" t="s">
        <v>51</v>
      </c>
      <c r="C19" s="122">
        <f>904409+317344</f>
        <v>1221753</v>
      </c>
      <c r="D19" s="122">
        <f>1140566+392764</f>
        <v>1533330</v>
      </c>
      <c r="E19" s="22">
        <f>1523356+482316</f>
        <v>2005672</v>
      </c>
      <c r="F19" s="170">
        <f>F16*F7</f>
        <v>2350451.4143999997</v>
      </c>
      <c r="G19" s="170">
        <f t="shared" ref="G19:J19" si="3">G16*G7</f>
        <v>2749859.2463359996</v>
      </c>
      <c r="H19" s="170">
        <f t="shared" si="3"/>
        <v>3211244.6758668795</v>
      </c>
      <c r="I19" s="170">
        <f t="shared" si="3"/>
        <v>3742546.5068686837</v>
      </c>
      <c r="J19" s="170">
        <f t="shared" si="3"/>
        <v>4352196.901199325</v>
      </c>
      <c r="K19" s="204"/>
      <c r="L19" s="204"/>
    </row>
    <row r="20" spans="1:12" s="11" customFormat="1" x14ac:dyDescent="0.25">
      <c r="A20" s="11" t="s">
        <v>122</v>
      </c>
      <c r="B20" s="17" t="s">
        <v>54</v>
      </c>
      <c r="C20" s="18">
        <f>C16-SUM(C17:C19)</f>
        <v>-190112</v>
      </c>
      <c r="D20" s="18">
        <f t="shared" ref="D20:F20" si="4">D16-SUM(D17:D19)</f>
        <v>-1995</v>
      </c>
      <c r="E20" s="18">
        <f t="shared" si="4"/>
        <v>-120430</v>
      </c>
      <c r="F20" s="18">
        <f t="shared" si="4"/>
        <v>-50456.17439999897</v>
      </c>
      <c r="G20" s="18">
        <f t="shared" ref="G20:J20" si="5">G16-SUM(G17:G19)</f>
        <v>56134.94646400027</v>
      </c>
      <c r="H20" s="18">
        <f t="shared" si="5"/>
        <v>212068.23934912123</v>
      </c>
      <c r="I20" s="18">
        <f t="shared" si="5"/>
        <v>433895.24969483633</v>
      </c>
      <c r="J20" s="18">
        <f t="shared" si="5"/>
        <v>743062.04180816934</v>
      </c>
    </row>
    <row r="21" spans="1:12" s="11" customFormat="1" x14ac:dyDescent="0.25">
      <c r="E21" s="35"/>
    </row>
    <row r="22" spans="1:12" s="11" customFormat="1" x14ac:dyDescent="0.25">
      <c r="B22" s="4" t="s">
        <v>15</v>
      </c>
      <c r="C22" s="123">
        <v>77245</v>
      </c>
      <c r="D22" s="123">
        <v>126838</v>
      </c>
      <c r="E22" s="25">
        <v>187952</v>
      </c>
      <c r="F22" s="4">
        <f>Calcs!F8</f>
        <v>233793.88263316092</v>
      </c>
      <c r="G22" s="4">
        <f>Calcs!G8</f>
        <v>255481.90096727791</v>
      </c>
      <c r="H22" s="4">
        <f>Calcs!H8</f>
        <v>290306.15751687862</v>
      </c>
      <c r="I22" s="4">
        <f>Calcs!I8</f>
        <v>338804.38827364508</v>
      </c>
      <c r="J22" s="4">
        <f>Calcs!J8</f>
        <v>402294.08953103307</v>
      </c>
      <c r="K22" s="4"/>
      <c r="L22" s="4"/>
    </row>
    <row r="23" spans="1:12" s="11" customFormat="1" x14ac:dyDescent="0.25">
      <c r="B23" s="4" t="s">
        <v>53</v>
      </c>
      <c r="C23" s="96">
        <f>16565+170808</f>
        <v>187373</v>
      </c>
      <c r="D23" s="96">
        <f>18416+238901</f>
        <v>257317</v>
      </c>
      <c r="E23" s="124">
        <f>26004+318837</f>
        <v>344841</v>
      </c>
      <c r="F23" s="4">
        <f>F8</f>
        <v>263177</v>
      </c>
      <c r="G23" s="4">
        <f t="shared" ref="G23:J23" si="6">G8</f>
        <v>263177</v>
      </c>
      <c r="H23" s="4">
        <f t="shared" si="6"/>
        <v>263177</v>
      </c>
      <c r="I23" s="4">
        <f t="shared" si="6"/>
        <v>263177</v>
      </c>
      <c r="J23" s="4">
        <f t="shared" si="6"/>
        <v>263177</v>
      </c>
      <c r="K23" s="4"/>
      <c r="L23" s="4"/>
    </row>
    <row r="24" spans="1:12" s="127" customFormat="1" x14ac:dyDescent="0.25">
      <c r="A24" s="127" t="s">
        <v>122</v>
      </c>
      <c r="B24" s="128" t="s">
        <v>52</v>
      </c>
      <c r="C24" s="18">
        <f>SUM(C20,C22:C23)</f>
        <v>74506</v>
      </c>
      <c r="D24" s="18">
        <f t="shared" ref="D24:F24" si="7">SUM(D20,D22:D23)</f>
        <v>382160</v>
      </c>
      <c r="E24" s="18">
        <f t="shared" si="7"/>
        <v>412363</v>
      </c>
      <c r="F24" s="18">
        <f t="shared" si="7"/>
        <v>446514.70823316195</v>
      </c>
      <c r="G24" s="18">
        <f t="shared" ref="G24:J24" si="8">SUM(G20,G22:G23)</f>
        <v>574793.84743127821</v>
      </c>
      <c r="H24" s="18">
        <f t="shared" si="8"/>
        <v>765551.39686599979</v>
      </c>
      <c r="I24" s="18">
        <f t="shared" si="8"/>
        <v>1035876.6379684814</v>
      </c>
      <c r="J24" s="18">
        <f t="shared" si="8"/>
        <v>1408533.1313392024</v>
      </c>
    </row>
    <row r="25" spans="1:12" s="11" customFormat="1" x14ac:dyDescent="0.25">
      <c r="C25" s="13"/>
      <c r="D25" s="4"/>
      <c r="E25" s="36"/>
      <c r="F25" s="4"/>
      <c r="G25" s="4"/>
      <c r="H25" s="4"/>
      <c r="I25" s="4"/>
      <c r="J25" s="4"/>
      <c r="K25" s="13"/>
      <c r="L25" s="13"/>
    </row>
    <row r="26" spans="1:12" s="11" customFormat="1" x14ac:dyDescent="0.25">
      <c r="B26" s="4" t="s">
        <v>55</v>
      </c>
      <c r="C26" s="94"/>
      <c r="D26" s="94"/>
      <c r="E26" s="95"/>
      <c r="F26" s="4">
        <f>F9</f>
        <v>0</v>
      </c>
      <c r="G26" s="4">
        <f t="shared" ref="G26:J26" si="9">G9</f>
        <v>0</v>
      </c>
      <c r="H26" s="4">
        <f t="shared" si="9"/>
        <v>0</v>
      </c>
      <c r="I26" s="4">
        <f t="shared" si="9"/>
        <v>0</v>
      </c>
      <c r="J26" s="4">
        <f t="shared" si="9"/>
        <v>0</v>
      </c>
      <c r="K26" s="4"/>
      <c r="L26" s="4"/>
    </row>
    <row r="27" spans="1:12" s="11" customFormat="1" x14ac:dyDescent="0.25">
      <c r="B27" s="4" t="s">
        <v>56</v>
      </c>
      <c r="C27" s="94">
        <v>3053</v>
      </c>
      <c r="D27" s="94">
        <v>1638</v>
      </c>
      <c r="E27" s="95">
        <v>5101</v>
      </c>
      <c r="F27" s="4">
        <f>F10</f>
        <v>0</v>
      </c>
      <c r="G27" s="4">
        <f t="shared" ref="G27:J27" si="10">G10</f>
        <v>0</v>
      </c>
      <c r="H27" s="4">
        <f t="shared" si="10"/>
        <v>0</v>
      </c>
      <c r="I27" s="4">
        <f t="shared" si="10"/>
        <v>0</v>
      </c>
      <c r="J27" s="4">
        <f t="shared" si="10"/>
        <v>0</v>
      </c>
      <c r="K27" s="4"/>
      <c r="L27" s="4"/>
    </row>
    <row r="28" spans="1:12" s="11" customFormat="1" x14ac:dyDescent="0.25">
      <c r="B28" s="4"/>
      <c r="C28" s="10"/>
      <c r="D28" s="10"/>
      <c r="E28" s="22"/>
      <c r="F28" s="4"/>
      <c r="G28" s="4"/>
      <c r="H28" s="4"/>
      <c r="I28" s="4"/>
      <c r="J28" s="4"/>
      <c r="K28" s="4"/>
      <c r="L28" s="4"/>
    </row>
    <row r="29" spans="1:12" s="11" customFormat="1" x14ac:dyDescent="0.25">
      <c r="B29" s="4" t="s">
        <v>40</v>
      </c>
      <c r="C29" s="9">
        <v>52495</v>
      </c>
      <c r="D29" s="9">
        <v>148930</v>
      </c>
      <c r="E29" s="45">
        <v>196174</v>
      </c>
      <c r="F29" s="268">
        <f>IF(circ=1,Debt!F33,0)</f>
        <v>0</v>
      </c>
      <c r="G29" s="268">
        <f>IF(circ=1,Debt!G33,0)</f>
        <v>0</v>
      </c>
      <c r="H29" s="268">
        <f>IF(circ=1,Debt!H33,0)</f>
        <v>0</v>
      </c>
      <c r="I29" s="268">
        <f>IF(circ=1,Debt!I33,0)</f>
        <v>0</v>
      </c>
      <c r="J29" s="268">
        <f>IF(circ=1,Debt!J33,0)</f>
        <v>0</v>
      </c>
      <c r="K29" s="180"/>
      <c r="L29" s="180"/>
    </row>
    <row r="30" spans="1:12" x14ac:dyDescent="0.25">
      <c r="B30" s="4" t="s">
        <v>32</v>
      </c>
      <c r="C30" s="9">
        <v>-25319</v>
      </c>
      <c r="D30" s="9">
        <v>-25756</v>
      </c>
      <c r="E30" s="45">
        <v>-26311</v>
      </c>
      <c r="F30" s="268">
        <f>IF(circ=1,-Debt!F22,0)</f>
        <v>0</v>
      </c>
      <c r="G30" s="268">
        <f>IF(circ=1,-Debt!G22,0)</f>
        <v>0</v>
      </c>
      <c r="H30" s="268">
        <f>IF(circ=1,-Debt!H22,0)</f>
        <v>0</v>
      </c>
      <c r="I30" s="268">
        <f>IF(circ=1,-Debt!I22,0)</f>
        <v>0</v>
      </c>
      <c r="J30" s="268">
        <f>IF(circ=1,-Debt!J22,0)</f>
        <v>0</v>
      </c>
      <c r="K30" s="180"/>
      <c r="L30" s="180"/>
    </row>
    <row r="31" spans="1:12" x14ac:dyDescent="0.25">
      <c r="E31" s="22"/>
      <c r="H31" s="4"/>
    </row>
    <row r="32" spans="1:12" s="11" customFormat="1" x14ac:dyDescent="0.25">
      <c r="A32" s="11" t="s">
        <v>122</v>
      </c>
      <c r="B32" s="17" t="s">
        <v>82</v>
      </c>
      <c r="C32" s="18">
        <f t="shared" ref="C32:D32" si="11">C20+SUM(C26:C30)</f>
        <v>-159883</v>
      </c>
      <c r="D32" s="18">
        <f t="shared" si="11"/>
        <v>122817</v>
      </c>
      <c r="E32" s="18">
        <f>E20+SUM(E26:E30)</f>
        <v>54534</v>
      </c>
      <c r="F32" s="18">
        <f>F20+SUM(F26:F30)</f>
        <v>-50456.17439999897</v>
      </c>
      <c r="G32" s="18">
        <f t="shared" ref="G32:J32" si="12">G20+SUM(G26:G30)</f>
        <v>56134.94646400027</v>
      </c>
      <c r="H32" s="18">
        <f t="shared" si="12"/>
        <v>212068.23934912123</v>
      </c>
      <c r="I32" s="18">
        <f t="shared" si="12"/>
        <v>433895.24969483633</v>
      </c>
      <c r="J32" s="18">
        <f t="shared" si="12"/>
        <v>743062.04180816934</v>
      </c>
    </row>
    <row r="33" spans="1:12" x14ac:dyDescent="0.25">
      <c r="E33" s="37"/>
      <c r="H33" s="4"/>
    </row>
    <row r="34" spans="1:12" x14ac:dyDescent="0.25">
      <c r="B34" s="4" t="s">
        <v>57</v>
      </c>
      <c r="C34" s="130">
        <v>22402</v>
      </c>
      <c r="D34" s="4">
        <v>32232</v>
      </c>
      <c r="E34" s="57">
        <v>71130</v>
      </c>
      <c r="F34" s="4">
        <f>F32*F11</f>
        <v>-10595.796623999784</v>
      </c>
      <c r="G34" s="4">
        <f t="shared" ref="G34:J34" si="13">G32*G11</f>
        <v>11788.338757440057</v>
      </c>
      <c r="H34" s="4">
        <f t="shared" si="13"/>
        <v>44534.330263315453</v>
      </c>
      <c r="I34" s="4">
        <f t="shared" si="13"/>
        <v>91118.002435915623</v>
      </c>
      <c r="J34" s="4">
        <f t="shared" si="13"/>
        <v>156043.02877971556</v>
      </c>
    </row>
    <row r="35" spans="1:12" s="11" customFormat="1" x14ac:dyDescent="0.25">
      <c r="A35" s="11" t="s">
        <v>122</v>
      </c>
      <c r="B35" s="17" t="s">
        <v>58</v>
      </c>
      <c r="C35" s="18">
        <f>C32-C34</f>
        <v>-182285</v>
      </c>
      <c r="D35" s="34">
        <f t="shared" ref="D35:F35" si="14">D32-D34</f>
        <v>90585</v>
      </c>
      <c r="E35" s="18">
        <f t="shared" si="14"/>
        <v>-16596</v>
      </c>
      <c r="F35" s="18">
        <f t="shared" si="14"/>
        <v>-39860.377775999186</v>
      </c>
      <c r="G35" s="18">
        <f t="shared" ref="G35:J35" si="15">G32-G34</f>
        <v>44346.607706560215</v>
      </c>
      <c r="H35" s="18">
        <f t="shared" si="15"/>
        <v>167533.90908580576</v>
      </c>
      <c r="I35" s="18">
        <f t="shared" si="15"/>
        <v>342777.24725892069</v>
      </c>
      <c r="J35" s="18">
        <f t="shared" si="15"/>
        <v>587019.0130284538</v>
      </c>
    </row>
    <row r="36" spans="1:12" x14ac:dyDescent="0.25">
      <c r="A36" s="20" t="s">
        <v>59</v>
      </c>
      <c r="B36" s="19"/>
      <c r="C36" s="251">
        <f>C15</f>
        <v>2023</v>
      </c>
      <c r="D36" s="251">
        <f t="shared" ref="D36:J36" si="16">D15</f>
        <v>2024</v>
      </c>
      <c r="E36" s="251">
        <f t="shared" si="16"/>
        <v>2025</v>
      </c>
      <c r="F36" s="251">
        <f t="shared" si="16"/>
        <v>2026</v>
      </c>
      <c r="G36" s="251">
        <f t="shared" ref="G36:J36" si="17">G15</f>
        <v>2027</v>
      </c>
      <c r="H36" s="251">
        <f t="shared" si="17"/>
        <v>2028</v>
      </c>
      <c r="I36" s="251">
        <f t="shared" si="17"/>
        <v>2029</v>
      </c>
      <c r="J36" s="251">
        <f t="shared" si="17"/>
        <v>2030</v>
      </c>
      <c r="K36" s="200"/>
      <c r="L36" s="200"/>
    </row>
    <row r="37" spans="1:12" x14ac:dyDescent="0.25">
      <c r="B37" s="4" t="s">
        <v>48</v>
      </c>
      <c r="C37" s="10">
        <v>233139</v>
      </c>
      <c r="D37" s="10">
        <v>238637</v>
      </c>
      <c r="E37" s="22">
        <v>244750</v>
      </c>
      <c r="F37" s="171">
        <f>F12</f>
        <v>244750</v>
      </c>
      <c r="G37" s="171">
        <f t="shared" ref="G37:J37" si="18">G12</f>
        <v>244750</v>
      </c>
      <c r="H37" s="171">
        <f t="shared" si="18"/>
        <v>244750</v>
      </c>
      <c r="I37" s="171">
        <f t="shared" si="18"/>
        <v>244750</v>
      </c>
      <c r="J37" s="171">
        <f t="shared" si="18"/>
        <v>244750</v>
      </c>
      <c r="K37" s="204"/>
      <c r="L37" s="204"/>
    </row>
    <row r="38" spans="1:12" x14ac:dyDescent="0.25">
      <c r="B38" s="4" t="s">
        <v>49</v>
      </c>
      <c r="C38" s="10">
        <v>233139</v>
      </c>
      <c r="D38" s="10">
        <v>243635</v>
      </c>
      <c r="E38" s="22">
        <v>244750</v>
      </c>
      <c r="F38" s="171">
        <f>F13</f>
        <v>244750</v>
      </c>
      <c r="G38" s="171">
        <f t="shared" ref="G38:J38" si="19">G13</f>
        <v>244750</v>
      </c>
      <c r="H38" s="171">
        <f t="shared" si="19"/>
        <v>244750</v>
      </c>
      <c r="I38" s="171">
        <f t="shared" si="19"/>
        <v>244750</v>
      </c>
      <c r="J38" s="171">
        <f t="shared" si="19"/>
        <v>244750</v>
      </c>
      <c r="K38" s="204"/>
      <c r="L38" s="204"/>
    </row>
    <row r="39" spans="1:12" x14ac:dyDescent="0.25">
      <c r="B39" s="4" t="s">
        <v>60</v>
      </c>
      <c r="C39" s="178">
        <f>C35/C37</f>
        <v>-0.78187261676510578</v>
      </c>
      <c r="D39" s="178">
        <f>D35/D37</f>
        <v>0.37959327346555649</v>
      </c>
      <c r="E39" s="179">
        <f>E35/E37</f>
        <v>-6.7807967313585293E-2</v>
      </c>
      <c r="F39" s="178">
        <f>F35/F37</f>
        <v>-0.16286160480489964</v>
      </c>
      <c r="G39" s="178">
        <f t="shared" ref="G39:J39" si="20">G35/G37</f>
        <v>0.1811914513036168</v>
      </c>
      <c r="H39" s="178">
        <f t="shared" si="20"/>
        <v>0.6845103537724444</v>
      </c>
      <c r="I39" s="178">
        <f t="shared" si="20"/>
        <v>1.4005199070844563</v>
      </c>
      <c r="J39" s="178">
        <f t="shared" si="20"/>
        <v>2.3984433627311699</v>
      </c>
      <c r="K39" s="204"/>
      <c r="L39" s="204"/>
    </row>
    <row r="40" spans="1:12" s="11" customFormat="1" x14ac:dyDescent="0.25">
      <c r="A40" s="11" t="s">
        <v>122</v>
      </c>
      <c r="B40" s="17" t="s">
        <v>61</v>
      </c>
      <c r="C40" s="177">
        <f>C35/C38</f>
        <v>-0.78187261676510578</v>
      </c>
      <c r="D40" s="177">
        <f>D35/D38</f>
        <v>0.37180618548238142</v>
      </c>
      <c r="E40" s="177">
        <f>E35/E38</f>
        <v>-6.7807967313585293E-2</v>
      </c>
      <c r="F40" s="177">
        <f>F35/F38</f>
        <v>-0.16286160480489964</v>
      </c>
      <c r="G40" s="177">
        <f t="shared" ref="G40:J40" si="21">G35/G38</f>
        <v>0.1811914513036168</v>
      </c>
      <c r="H40" s="177">
        <f t="shared" si="21"/>
        <v>0.6845103537724444</v>
      </c>
      <c r="I40" s="177">
        <f t="shared" si="21"/>
        <v>1.4005199070844563</v>
      </c>
      <c r="J40" s="177">
        <f t="shared" si="21"/>
        <v>2.3984433627311699</v>
      </c>
      <c r="K40" s="208"/>
      <c r="L40" s="208"/>
    </row>
    <row r="41" spans="1:12" x14ac:dyDescent="0.25">
      <c r="C41" s="14"/>
      <c r="D41" s="14"/>
      <c r="E41" s="38"/>
      <c r="F41" s="14"/>
      <c r="G41" s="14"/>
      <c r="H41" s="14"/>
      <c r="I41" s="14"/>
      <c r="J41" s="14"/>
    </row>
    <row r="42" spans="1:12" x14ac:dyDescent="0.25">
      <c r="D42" s="14"/>
      <c r="E42" s="14"/>
      <c r="F42" s="14"/>
    </row>
  </sheetData>
  <conditionalFormatting sqref="F4:L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5"/>
  <sheetViews>
    <sheetView showGridLines="0" zoomScaleNormal="100" workbookViewId="0">
      <selection activeCell="F42" sqref="F16:J42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3" width="11.7109375" style="4" customWidth="1"/>
    <col min="4" max="5" width="12.140625" style="4" bestFit="1" customWidth="1"/>
    <col min="6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Crowdstrike Holdings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x14ac:dyDescent="0.25">
      <c r="A2" s="16" t="s">
        <v>10</v>
      </c>
      <c r="B2" s="62"/>
      <c r="C2" s="262">
        <f>D2-1</f>
        <v>2023</v>
      </c>
      <c r="D2" s="262">
        <f>E2-1</f>
        <v>2024</v>
      </c>
      <c r="E2" s="262">
        <f>MAIN!C5</f>
        <v>2025</v>
      </c>
      <c r="F2" s="262">
        <v>2026</v>
      </c>
      <c r="G2" s="262">
        <v>2027</v>
      </c>
      <c r="H2" s="262">
        <v>2028</v>
      </c>
      <c r="I2" s="262">
        <v>2029</v>
      </c>
      <c r="J2" s="262">
        <v>2030</v>
      </c>
      <c r="K2" s="209"/>
      <c r="L2" s="209"/>
    </row>
    <row r="3" spans="1:12" x14ac:dyDescent="0.25">
      <c r="K3" s="6"/>
      <c r="L3" s="6"/>
    </row>
    <row r="4" spans="1:12" x14ac:dyDescent="0.25">
      <c r="B4" s="4" t="s">
        <v>137</v>
      </c>
      <c r="C4" s="43"/>
      <c r="D4" s="43"/>
      <c r="E4" s="44"/>
      <c r="F4" s="101">
        <f>Assumptions!F38</f>
        <v>1.4999999999999999E-2</v>
      </c>
      <c r="G4" s="101">
        <f>F4</f>
        <v>1.4999999999999999E-2</v>
      </c>
      <c r="H4" s="101">
        <f t="shared" ref="H4:J4" si="0">G4</f>
        <v>1.4999999999999999E-2</v>
      </c>
      <c r="I4" s="101">
        <f t="shared" si="0"/>
        <v>1.4999999999999999E-2</v>
      </c>
      <c r="J4" s="101">
        <f t="shared" si="0"/>
        <v>1.4999999999999999E-2</v>
      </c>
      <c r="K4" s="167"/>
      <c r="L4" s="167"/>
    </row>
    <row r="5" spans="1:12" x14ac:dyDescent="0.25">
      <c r="B5" s="4" t="s">
        <v>150</v>
      </c>
      <c r="C5" s="43"/>
      <c r="D5" s="43"/>
      <c r="E5" s="44"/>
      <c r="F5" s="101">
        <f>Assumptions!F39</f>
        <v>0.28545051325062776</v>
      </c>
      <c r="G5" s="101">
        <f>Assumptions!G39</f>
        <v>0.28545051325062776</v>
      </c>
      <c r="H5" s="101">
        <f>Assumptions!H39</f>
        <v>0.28545051325062776</v>
      </c>
      <c r="I5" s="101">
        <f>Assumptions!I39</f>
        <v>0.28545051325062776</v>
      </c>
      <c r="J5" s="101">
        <f>Assumptions!J39</f>
        <v>0.28545051325062776</v>
      </c>
      <c r="K5" s="167"/>
      <c r="L5" s="167"/>
    </row>
    <row r="6" spans="1:12" x14ac:dyDescent="0.25">
      <c r="B6" s="4" t="s">
        <v>63</v>
      </c>
      <c r="C6" s="43"/>
      <c r="D6" s="43"/>
      <c r="E6" s="44"/>
      <c r="F6" s="101">
        <f>Assumptions!F40</f>
        <v>0.16731130729679908</v>
      </c>
      <c r="G6" s="101">
        <f>Assumptions!G40</f>
        <v>0.16731130729679908</v>
      </c>
      <c r="H6" s="101">
        <f>Assumptions!H40</f>
        <v>0.16731130729679908</v>
      </c>
      <c r="I6" s="101">
        <f>Assumptions!I40</f>
        <v>0.16731130729679908</v>
      </c>
      <c r="J6" s="101">
        <f>Assumptions!J40</f>
        <v>0.16731130729679908</v>
      </c>
      <c r="K6" s="167"/>
      <c r="L6" s="167"/>
    </row>
    <row r="7" spans="1:12" x14ac:dyDescent="0.25">
      <c r="A7" s="7"/>
      <c r="C7" s="30"/>
      <c r="D7" s="30"/>
      <c r="E7" s="30"/>
      <c r="F7" s="102"/>
      <c r="G7" s="102"/>
      <c r="H7" s="102"/>
      <c r="I7" s="102"/>
      <c r="J7" s="102"/>
      <c r="K7" s="167"/>
      <c r="L7" s="167"/>
    </row>
    <row r="8" spans="1:12" x14ac:dyDescent="0.25">
      <c r="B8" s="4" t="s">
        <v>64</v>
      </c>
      <c r="C8" s="43"/>
      <c r="D8" s="43"/>
      <c r="E8" s="44"/>
      <c r="F8" s="101">
        <f>Assumptions!F43</f>
        <v>3.4767848434752523E-2</v>
      </c>
      <c r="G8" s="101">
        <f>Assumptions!G43</f>
        <v>3.4767848434752523E-2</v>
      </c>
      <c r="H8" s="101">
        <f>Assumptions!H43</f>
        <v>3.4767848434752523E-2</v>
      </c>
      <c r="I8" s="101">
        <f>Assumptions!I43</f>
        <v>3.4767848434752523E-2</v>
      </c>
      <c r="J8" s="101">
        <f>Assumptions!J43</f>
        <v>3.4767848434752523E-2</v>
      </c>
      <c r="K8" s="167"/>
      <c r="L8" s="167"/>
    </row>
    <row r="9" spans="1:12" x14ac:dyDescent="0.25">
      <c r="B9" s="4" t="s">
        <v>159</v>
      </c>
      <c r="C9" s="43"/>
      <c r="D9" s="43"/>
      <c r="E9" s="147"/>
      <c r="F9" s="100">
        <f>Assumptions!F42</f>
        <v>72544</v>
      </c>
      <c r="G9" s="100">
        <f>Assumptions!G42</f>
        <v>72544</v>
      </c>
      <c r="H9" s="100">
        <f>Assumptions!H42</f>
        <v>72544</v>
      </c>
      <c r="I9" s="100">
        <f>Assumptions!I42</f>
        <v>72544</v>
      </c>
      <c r="J9" s="100">
        <f>Assumptions!J42</f>
        <v>72544</v>
      </c>
      <c r="K9" s="193"/>
      <c r="L9" s="193"/>
    </row>
    <row r="10" spans="1:12" x14ac:dyDescent="0.25">
      <c r="C10" s="30"/>
      <c r="D10" s="30"/>
      <c r="E10" s="30"/>
      <c r="F10" s="102"/>
      <c r="G10" s="102"/>
      <c r="H10" s="102"/>
      <c r="I10" s="102"/>
      <c r="J10" s="102"/>
      <c r="K10" s="167"/>
      <c r="L10" s="167"/>
    </row>
    <row r="11" spans="1:12" x14ac:dyDescent="0.25">
      <c r="B11" s="4" t="s">
        <v>149</v>
      </c>
      <c r="C11" s="43"/>
      <c r="D11" s="43"/>
      <c r="E11" s="44"/>
      <c r="F11" s="101">
        <f>Assumptions!F47</f>
        <v>0.6</v>
      </c>
      <c r="G11" s="101">
        <f>Assumptions!G47</f>
        <v>0.6</v>
      </c>
      <c r="H11" s="101">
        <f>Assumptions!H47</f>
        <v>0.6</v>
      </c>
      <c r="I11" s="101">
        <f>Assumptions!I47</f>
        <v>0.6</v>
      </c>
      <c r="J11" s="101">
        <f>Assumptions!J47</f>
        <v>0.6</v>
      </c>
      <c r="K11" s="167"/>
      <c r="L11" s="167"/>
    </row>
    <row r="12" spans="1:12" x14ac:dyDescent="0.25">
      <c r="B12" s="4" t="s">
        <v>65</v>
      </c>
      <c r="C12" s="43"/>
      <c r="D12" s="43"/>
      <c r="E12" s="26"/>
      <c r="F12" s="101">
        <f>Assumptions!F48</f>
        <v>0.71316114026017652</v>
      </c>
      <c r="G12" s="101">
        <f>Assumptions!G48</f>
        <v>0.71316114026017652</v>
      </c>
      <c r="H12" s="101">
        <f>Assumptions!H48</f>
        <v>0.71316114026017652</v>
      </c>
      <c r="I12" s="101">
        <f>Assumptions!I48</f>
        <v>0.71316114026017652</v>
      </c>
      <c r="J12" s="101">
        <f>Assumptions!J48</f>
        <v>0.71316114026017652</v>
      </c>
      <c r="K12" s="167"/>
      <c r="L12" s="167"/>
    </row>
    <row r="13" spans="1:12" x14ac:dyDescent="0.25">
      <c r="B13" s="4" t="s">
        <v>66</v>
      </c>
      <c r="C13" s="43"/>
      <c r="D13" s="43"/>
      <c r="E13" s="44"/>
      <c r="F13" s="254">
        <f>Assumptions!F49</f>
        <v>0.29786039340109227</v>
      </c>
      <c r="G13" s="254">
        <f>Assumptions!G49</f>
        <v>0.29786039340109227</v>
      </c>
      <c r="H13" s="254">
        <f>Assumptions!H49</f>
        <v>0.29786039340109227</v>
      </c>
      <c r="I13" s="254">
        <f>Assumptions!I49</f>
        <v>0.29786039340109227</v>
      </c>
      <c r="J13" s="254">
        <f>Assumptions!J49</f>
        <v>0.29786039340109227</v>
      </c>
      <c r="K13" s="167"/>
      <c r="L13" s="167"/>
    </row>
    <row r="14" spans="1:12" x14ac:dyDescent="0.25">
      <c r="C14" s="43"/>
      <c r="D14" s="43"/>
      <c r="E14" s="43"/>
      <c r="F14" s="102"/>
      <c r="G14" s="102"/>
      <c r="H14" s="102"/>
      <c r="I14" s="102"/>
      <c r="J14" s="102"/>
      <c r="K14" s="167"/>
      <c r="L14" s="167"/>
    </row>
    <row r="15" spans="1:12" ht="15" customHeight="1" x14ac:dyDescent="0.25">
      <c r="A15" s="175" t="s">
        <v>62</v>
      </c>
      <c r="B15" s="176"/>
      <c r="C15" s="251">
        <f>C2</f>
        <v>2023</v>
      </c>
      <c r="D15" s="251">
        <f>D2</f>
        <v>2024</v>
      </c>
      <c r="E15" s="251">
        <f>E2</f>
        <v>2025</v>
      </c>
      <c r="F15" s="251">
        <f>F2</f>
        <v>2026</v>
      </c>
      <c r="G15" s="251">
        <f>G2</f>
        <v>2027</v>
      </c>
      <c r="H15" s="251">
        <f>H2</f>
        <v>2028</v>
      </c>
      <c r="I15" s="251">
        <f>I2</f>
        <v>2029</v>
      </c>
      <c r="J15" s="251">
        <f>J2</f>
        <v>2030</v>
      </c>
      <c r="K15" s="203"/>
      <c r="L15" s="203"/>
    </row>
    <row r="16" spans="1:12" x14ac:dyDescent="0.25">
      <c r="B16" s="4" t="s">
        <v>155</v>
      </c>
      <c r="C16" s="265">
        <f>1.5%*IncState!C16</f>
        <v>33618.54</v>
      </c>
      <c r="D16" s="265">
        <f>1.5%*IncState!D16</f>
        <v>45833.324999999997</v>
      </c>
      <c r="E16" s="183">
        <f>1.5%*IncState!E16</f>
        <v>59304.36</v>
      </c>
      <c r="F16" s="4">
        <f>F4*IncState!F16</f>
        <v>72351.319199999998</v>
      </c>
      <c r="G16" s="4">
        <f>G4*IncState!G16</f>
        <v>88268.609423999995</v>
      </c>
      <c r="H16" s="4">
        <f>H4*IncState!H16</f>
        <v>107687.70349728</v>
      </c>
      <c r="I16" s="4">
        <f>I4*IncState!I16</f>
        <v>131378.99826668159</v>
      </c>
      <c r="J16" s="4">
        <f>J4*IncState!J16</f>
        <v>160282.37788535154</v>
      </c>
    </row>
    <row r="17" spans="1:12" x14ac:dyDescent="0.25">
      <c r="B17" s="4" t="s">
        <v>156</v>
      </c>
      <c r="C17" s="182">
        <f>2455369-C16</f>
        <v>2421750.46</v>
      </c>
      <c r="D17" s="182">
        <f>3375069-D16</f>
        <v>3329235.6749999998</v>
      </c>
      <c r="E17" s="183">
        <f>4323295-E16</f>
        <v>4263990.6399999997</v>
      </c>
      <c r="F17" s="267">
        <f>MAX(CashFlow!F22,0)</f>
        <v>4936751.6376571618</v>
      </c>
      <c r="G17" s="267">
        <f>MAX(CashFlow!G22,0)</f>
        <v>5819691.0355469994</v>
      </c>
      <c r="H17" s="267">
        <f>MAX(CashFlow!H22,0)</f>
        <v>6931027.4469932038</v>
      </c>
      <c r="I17" s="267">
        <f>MAX(CashFlow!I22,0)</f>
        <v>8351975.6832348648</v>
      </c>
      <c r="J17" s="267">
        <f>MAX(CashFlow!J22,0)</f>
        <v>10185417.098659446</v>
      </c>
    </row>
    <row r="18" spans="1:12" x14ac:dyDescent="0.25">
      <c r="B18" s="4" t="s">
        <v>67</v>
      </c>
      <c r="C18" s="184">
        <v>626181</v>
      </c>
      <c r="D18" s="184">
        <v>853105</v>
      </c>
      <c r="E18" s="185">
        <v>1128564</v>
      </c>
      <c r="F18" s="4">
        <f>F5*IncState!F16</f>
        <v>1376848.08</v>
      </c>
      <c r="G18" s="4">
        <f>G5*IncState!G16</f>
        <v>1679754.6575999998</v>
      </c>
      <c r="H18" s="4">
        <f>H5*IncState!H16</f>
        <v>2049300.682272</v>
      </c>
      <c r="I18" s="4">
        <f>I5*IncState!I16</f>
        <v>2500146.8323718398</v>
      </c>
      <c r="J18" s="4">
        <f>J5*IncState!J16</f>
        <v>3050179.1354936445</v>
      </c>
    </row>
    <row r="19" spans="1:12" x14ac:dyDescent="0.25">
      <c r="B19" s="4" t="s">
        <v>68</v>
      </c>
      <c r="C19" s="184">
        <f>186855+121862+250000</f>
        <v>558717</v>
      </c>
      <c r="D19" s="184">
        <f>246370+183172+99591</f>
        <v>529133</v>
      </c>
      <c r="E19" s="185">
        <f>347042+314444</f>
        <v>661486</v>
      </c>
      <c r="F19" s="4">
        <f>F6*IncState!F16</f>
        <v>807012.92</v>
      </c>
      <c r="G19" s="4">
        <f>G6*IncState!G16</f>
        <v>984555.76239999989</v>
      </c>
      <c r="H19" s="4">
        <f>H6*IncState!H16</f>
        <v>1201158.0301280001</v>
      </c>
      <c r="I19" s="4">
        <f>I6*IncState!I16</f>
        <v>1465412.79675616</v>
      </c>
      <c r="J19" s="4">
        <f>J6*IncState!J16</f>
        <v>1787803.6120425151</v>
      </c>
    </row>
    <row r="20" spans="1:12" s="11" customFormat="1" x14ac:dyDescent="0.25">
      <c r="B20" s="11" t="s">
        <v>69</v>
      </c>
      <c r="C20" s="11">
        <f>SUM(C16:C19)</f>
        <v>3640267</v>
      </c>
      <c r="D20" s="11">
        <f>SUM(D16:D19)</f>
        <v>4757307</v>
      </c>
      <c r="E20" s="24">
        <f>SUM(E16:E19)</f>
        <v>6113345</v>
      </c>
      <c r="F20" s="11">
        <f>SUM(F16:F19)</f>
        <v>7192963.9568571616</v>
      </c>
      <c r="G20" s="11">
        <f t="shared" ref="G20:J20" si="1">SUM(G16:G19)</f>
        <v>8572270.0649709981</v>
      </c>
      <c r="H20" s="11">
        <f t="shared" si="1"/>
        <v>10289173.862890484</v>
      </c>
      <c r="I20" s="11">
        <f t="shared" si="1"/>
        <v>12448914.310629547</v>
      </c>
      <c r="J20" s="11">
        <f t="shared" si="1"/>
        <v>15183682.224080956</v>
      </c>
    </row>
    <row r="21" spans="1:12" x14ac:dyDescent="0.25">
      <c r="A21" s="7"/>
      <c r="E21" s="27"/>
      <c r="I21" s="4"/>
      <c r="J21" s="4"/>
    </row>
    <row r="22" spans="1:12" x14ac:dyDescent="0.25">
      <c r="B22" s="4" t="s">
        <v>70</v>
      </c>
      <c r="C22" s="184">
        <f>492335+39936</f>
        <v>532271</v>
      </c>
      <c r="D22" s="184">
        <f>620172+48211</f>
        <v>668383</v>
      </c>
      <c r="E22" s="185">
        <f>788640+42763</f>
        <v>831403</v>
      </c>
      <c r="F22" s="4">
        <f>Calcs!F9</f>
        <v>908528.55736683903</v>
      </c>
      <c r="G22" s="4">
        <f>Calcs!G9</f>
        <v>1032368.373199561</v>
      </c>
      <c r="H22" s="4">
        <f>Calcs!H9</f>
        <v>1204834.7101786826</v>
      </c>
      <c r="I22" s="4">
        <f>Calcs!I9</f>
        <v>1430612.7651901576</v>
      </c>
      <c r="J22" s="4">
        <f>Calcs!J9</f>
        <v>1717109.256466971</v>
      </c>
    </row>
    <row r="23" spans="1:12" x14ac:dyDescent="0.25">
      <c r="B23" s="4" t="s">
        <v>157</v>
      </c>
      <c r="C23" s="184">
        <f>430645+86889+260233</f>
        <v>777767</v>
      </c>
      <c r="D23" s="184">
        <f>638041+114518+335933</f>
        <v>1088492</v>
      </c>
      <c r="E23" s="185">
        <f>133114+912805+500908</f>
        <v>1546827</v>
      </c>
      <c r="F23" s="129">
        <f>E23-IncState!F23</f>
        <v>1283650</v>
      </c>
      <c r="G23" s="129">
        <f>F23-IncState!G23</f>
        <v>1020473</v>
      </c>
      <c r="H23" s="129">
        <f>G23-IncState!H23</f>
        <v>757296</v>
      </c>
      <c r="I23" s="129">
        <f>H23-IncState!I23</f>
        <v>494119</v>
      </c>
      <c r="J23" s="129">
        <f>I23-IncState!J23</f>
        <v>230942</v>
      </c>
      <c r="K23" s="129"/>
      <c r="L23" s="129"/>
    </row>
    <row r="24" spans="1:12" x14ac:dyDescent="0.25">
      <c r="B24" s="4" t="s">
        <v>158</v>
      </c>
      <c r="C24" s="184">
        <v>47270</v>
      </c>
      <c r="D24" s="184">
        <f>56244</f>
        <v>56244</v>
      </c>
      <c r="E24" s="185">
        <v>72544</v>
      </c>
      <c r="F24" s="4">
        <f>E24</f>
        <v>72544</v>
      </c>
      <c r="G24" s="4">
        <f t="shared" ref="G24:J24" si="2">F24</f>
        <v>72544</v>
      </c>
      <c r="H24" s="4">
        <f t="shared" si="2"/>
        <v>72544</v>
      </c>
      <c r="I24" s="4">
        <f t="shared" si="2"/>
        <v>72544</v>
      </c>
      <c r="J24" s="4">
        <f t="shared" si="2"/>
        <v>72544</v>
      </c>
    </row>
    <row r="25" spans="1:12" x14ac:dyDescent="0.25">
      <c r="B25" s="4" t="s">
        <v>160</v>
      </c>
      <c r="C25" s="184">
        <f>28965</f>
        <v>28965</v>
      </c>
      <c r="D25" s="184">
        <f>76094</f>
        <v>76094</v>
      </c>
      <c r="E25" s="185">
        <f>137459</f>
        <v>137459</v>
      </c>
      <c r="F25" s="4">
        <f>F8*IncState!F16</f>
        <v>167699.98000000001</v>
      </c>
      <c r="G25" s="4">
        <f>G8*IncState!G16</f>
        <v>204593.97560000001</v>
      </c>
      <c r="H25" s="4">
        <f>H8*IncState!H16</f>
        <v>249604.65023200001</v>
      </c>
      <c r="I25" s="4">
        <f>I8*IncState!I16</f>
        <v>304517.67328304</v>
      </c>
      <c r="J25" s="4">
        <f>J8*IncState!J16</f>
        <v>371511.56140530884</v>
      </c>
    </row>
    <row r="26" spans="1:12" s="11" customFormat="1" x14ac:dyDescent="0.25">
      <c r="B26" s="11" t="s">
        <v>71</v>
      </c>
      <c r="C26" s="11">
        <f>SUM(C22:C25)</f>
        <v>1386273</v>
      </c>
      <c r="D26" s="11">
        <f>SUM(D22:D25)</f>
        <v>1889213</v>
      </c>
      <c r="E26" s="24">
        <f>SUM(E22:E25)</f>
        <v>2588233</v>
      </c>
      <c r="F26" s="11">
        <f>SUM(F22:F25)</f>
        <v>2432422.5373668391</v>
      </c>
      <c r="G26" s="11">
        <f t="shared" ref="G26:J26" si="3">SUM(G22:G25)</f>
        <v>2329979.3487995612</v>
      </c>
      <c r="H26" s="11">
        <f t="shared" si="3"/>
        <v>2284279.3604106824</v>
      </c>
      <c r="I26" s="11">
        <f t="shared" si="3"/>
        <v>2301793.4384731976</v>
      </c>
      <c r="J26" s="11">
        <f t="shared" si="3"/>
        <v>2392106.8178722798</v>
      </c>
    </row>
    <row r="27" spans="1:12" x14ac:dyDescent="0.25">
      <c r="E27" s="27"/>
      <c r="I27" s="4"/>
      <c r="J27" s="4"/>
    </row>
    <row r="28" spans="1:12" s="11" customFormat="1" x14ac:dyDescent="0.25">
      <c r="A28" s="11" t="s">
        <v>122</v>
      </c>
      <c r="B28" s="17" t="s">
        <v>72</v>
      </c>
      <c r="C28" s="18">
        <f>SUM(C26,C20)</f>
        <v>5026540</v>
      </c>
      <c r="D28" s="18">
        <f>SUM(D26,D20)</f>
        <v>6646520</v>
      </c>
      <c r="E28" s="18">
        <f>SUM(E26,E20)</f>
        <v>8701578</v>
      </c>
      <c r="F28" s="18">
        <f>SUM(F26,F20)</f>
        <v>9625386.4942240007</v>
      </c>
      <c r="G28" s="18">
        <f t="shared" ref="G28:J28" si="4">SUM(G26,G20)</f>
        <v>10902249.41377056</v>
      </c>
      <c r="H28" s="18">
        <f t="shared" si="4"/>
        <v>12573453.223301167</v>
      </c>
      <c r="I28" s="18">
        <f t="shared" si="4"/>
        <v>14750707.749102745</v>
      </c>
      <c r="J28" s="18">
        <f t="shared" si="4"/>
        <v>17575789.041953236</v>
      </c>
    </row>
    <row r="29" spans="1:12" x14ac:dyDescent="0.25">
      <c r="A29" s="11"/>
      <c r="E29" s="27"/>
      <c r="I29" s="4"/>
      <c r="J29" s="4"/>
      <c r="K29" s="6"/>
      <c r="L29" s="6"/>
    </row>
    <row r="30" spans="1:12" x14ac:dyDescent="0.25">
      <c r="B30" s="4" t="s">
        <v>73</v>
      </c>
      <c r="C30" s="9">
        <v>0</v>
      </c>
      <c r="D30" s="9">
        <v>0</v>
      </c>
      <c r="E30" s="45">
        <v>0</v>
      </c>
      <c r="F30" s="267">
        <f>MIN(CashFlow!F22,0)</f>
        <v>0</v>
      </c>
      <c r="G30" s="267">
        <f>MIN(CashFlow!G22,0)</f>
        <v>0</v>
      </c>
      <c r="H30" s="267">
        <f>MIN(CashFlow!H22,0)</f>
        <v>0</v>
      </c>
      <c r="I30" s="267">
        <f>MIN(CashFlow!I22,0)</f>
        <v>0</v>
      </c>
      <c r="J30" s="267">
        <f>MIN(CashFlow!J22,0)</f>
        <v>0</v>
      </c>
    </row>
    <row r="31" spans="1:12" x14ac:dyDescent="0.25">
      <c r="B31" s="4" t="s">
        <v>148</v>
      </c>
      <c r="C31" s="184">
        <f>45372+137884+168767</f>
        <v>352023</v>
      </c>
      <c r="D31" s="9">
        <f>28180+125896+234624</f>
        <v>388700</v>
      </c>
      <c r="E31" s="45">
        <f>130887+191349+319243</f>
        <v>641479</v>
      </c>
      <c r="F31" s="4">
        <f>F11*IncState!F17</f>
        <v>725764.09200000006</v>
      </c>
      <c r="G31" s="4">
        <f>G11*IncState!G17</f>
        <v>885432.19223999989</v>
      </c>
      <c r="H31" s="4">
        <f>H11*IncState!H17</f>
        <v>1080227.2745327998</v>
      </c>
      <c r="I31" s="4">
        <f>I11*IncState!I17</f>
        <v>1317877.2749300159</v>
      </c>
      <c r="J31" s="4">
        <f>J11*IncState!J17</f>
        <v>1607810.2754146194</v>
      </c>
    </row>
    <row r="32" spans="1:12" x14ac:dyDescent="0.25">
      <c r="B32" s="4" t="s">
        <v>74</v>
      </c>
      <c r="C32" s="184">
        <f>13046+1727484+16519</f>
        <v>1757049</v>
      </c>
      <c r="D32" s="9">
        <f>14150+2270757+23672</f>
        <v>2308579</v>
      </c>
      <c r="E32" s="45">
        <f>13811+2733005+72755</f>
        <v>2819571</v>
      </c>
      <c r="F32" s="4">
        <f>F12*IncState!F16</f>
        <v>3439876.62</v>
      </c>
      <c r="G32" s="4">
        <f>G12*IncState!G16</f>
        <v>4196649.4764</v>
      </c>
      <c r="H32" s="4">
        <f>H12*IncState!H16</f>
        <v>5119912.3612080002</v>
      </c>
      <c r="I32" s="4">
        <f>I12*IncState!I16</f>
        <v>6246293.0806737607</v>
      </c>
      <c r="J32" s="4">
        <f>J12*IncState!J16</f>
        <v>7620477.558421988</v>
      </c>
    </row>
    <row r="33" spans="1:12" s="11" customFormat="1" x14ac:dyDescent="0.25">
      <c r="B33" s="11" t="s">
        <v>75</v>
      </c>
      <c r="C33" s="11">
        <f t="shared" ref="C33:E33" si="5">SUM(C30:C32)</f>
        <v>2109072</v>
      </c>
      <c r="D33" s="11">
        <f t="shared" si="5"/>
        <v>2697279</v>
      </c>
      <c r="E33" s="24">
        <f t="shared" si="5"/>
        <v>3461050</v>
      </c>
      <c r="F33" s="11">
        <f>SUM(F30:F32)</f>
        <v>4165640.7120000003</v>
      </c>
      <c r="G33" s="11">
        <f t="shared" ref="G33:J33" si="6">SUM(G30:G32)</f>
        <v>5082081.6686399998</v>
      </c>
      <c r="H33" s="11">
        <f t="shared" si="6"/>
        <v>6200139.6357407998</v>
      </c>
      <c r="I33" s="11">
        <f t="shared" si="6"/>
        <v>7564170.3556037769</v>
      </c>
      <c r="J33" s="11">
        <f t="shared" si="6"/>
        <v>9228287.8338366076</v>
      </c>
    </row>
    <row r="34" spans="1:12" x14ac:dyDescent="0.25">
      <c r="B34" s="11"/>
      <c r="E34" s="27"/>
      <c r="I34" s="4"/>
      <c r="J34" s="4"/>
    </row>
    <row r="35" spans="1:12" x14ac:dyDescent="0.25">
      <c r="B35" s="4" t="s">
        <v>76</v>
      </c>
      <c r="C35" s="184">
        <v>741005</v>
      </c>
      <c r="D35" s="9">
        <v>742494</v>
      </c>
      <c r="E35" s="45">
        <v>743983</v>
      </c>
      <c r="F35" s="4">
        <f>Debt!F26</f>
        <v>743983</v>
      </c>
      <c r="G35" s="4">
        <f>Debt!G26</f>
        <v>743983</v>
      </c>
      <c r="H35" s="4">
        <f>Debt!H26</f>
        <v>743983</v>
      </c>
      <c r="I35" s="4">
        <f>Debt!I26</f>
        <v>743983</v>
      </c>
      <c r="J35" s="4">
        <f>Debt!J26</f>
        <v>743983</v>
      </c>
    </row>
    <row r="36" spans="1:12" x14ac:dyDescent="0.25">
      <c r="B36" s="4" t="s">
        <v>77</v>
      </c>
      <c r="C36" s="184">
        <f>627629+29567+31833</f>
        <v>689029</v>
      </c>
      <c r="D36" s="9">
        <f>783342+36230+50086</f>
        <v>869658</v>
      </c>
      <c r="E36" s="45">
        <f>995672+31107+150849</f>
        <v>1177628</v>
      </c>
      <c r="F36" s="4">
        <f>F13*IncState!F16</f>
        <v>1436706.1600000001</v>
      </c>
      <c r="G36" s="4">
        <f>G13*IncState!G16</f>
        <v>1752781.5152</v>
      </c>
      <c r="H36" s="4">
        <f>H13*IncState!H16</f>
        <v>2138393.4485440003</v>
      </c>
      <c r="I36" s="4">
        <f>I13*IncState!I16</f>
        <v>2608840.0072236801</v>
      </c>
      <c r="J36" s="4">
        <f>J13*IncState!J16</f>
        <v>3182784.8088128897</v>
      </c>
    </row>
    <row r="37" spans="1:12" x14ac:dyDescent="0.25">
      <c r="B37" s="11" t="s">
        <v>78</v>
      </c>
      <c r="C37" s="11">
        <f t="shared" ref="C37:E37" si="7">SUM(C35:C36)</f>
        <v>1430034</v>
      </c>
      <c r="D37" s="11">
        <f t="shared" si="7"/>
        <v>1612152</v>
      </c>
      <c r="E37" s="24">
        <f t="shared" si="7"/>
        <v>1921611</v>
      </c>
      <c r="F37" s="11">
        <f>SUM(F35:F36)</f>
        <v>2180689.16</v>
      </c>
      <c r="G37" s="11">
        <f t="shared" ref="G37:J37" si="8">SUM(G35:G36)</f>
        <v>2496764.5152000003</v>
      </c>
      <c r="H37" s="11">
        <f t="shared" si="8"/>
        <v>2882376.4485440003</v>
      </c>
      <c r="I37" s="11">
        <f t="shared" si="8"/>
        <v>3352823.0072236801</v>
      </c>
      <c r="J37" s="11">
        <f t="shared" si="8"/>
        <v>3926767.8088128897</v>
      </c>
      <c r="K37" s="11"/>
      <c r="L37" s="11"/>
    </row>
    <row r="38" spans="1:12" x14ac:dyDescent="0.25">
      <c r="E38" s="27"/>
      <c r="I38" s="4"/>
      <c r="J38" s="4"/>
    </row>
    <row r="39" spans="1:12" x14ac:dyDescent="0.25">
      <c r="B39" s="4" t="s">
        <v>17</v>
      </c>
      <c r="C39" s="186">
        <v>1487434</v>
      </c>
      <c r="D39" s="186">
        <v>2337089</v>
      </c>
      <c r="E39" s="213">
        <v>3318917</v>
      </c>
      <c r="F39" s="4">
        <f>Calcs!F16</f>
        <v>3279056.6222240007</v>
      </c>
      <c r="G39" s="4">
        <f>Calcs!G16</f>
        <v>3323403.229930561</v>
      </c>
      <c r="H39" s="4">
        <f>Calcs!H16</f>
        <v>3490937.1390163666</v>
      </c>
      <c r="I39" s="4">
        <f>Calcs!I16</f>
        <v>3833714.3862752873</v>
      </c>
      <c r="J39" s="4">
        <f>Calcs!J16</f>
        <v>4420733.3993037408</v>
      </c>
    </row>
    <row r="40" spans="1:12" s="11" customFormat="1" x14ac:dyDescent="0.25">
      <c r="A40" s="11" t="s">
        <v>122</v>
      </c>
      <c r="B40" s="17" t="s">
        <v>79</v>
      </c>
      <c r="C40" s="18">
        <f>SUM(C39,C37,C33)</f>
        <v>5026540</v>
      </c>
      <c r="D40" s="18">
        <f>SUM(D39,D37,D33)</f>
        <v>6646520</v>
      </c>
      <c r="E40" s="18">
        <f t="shared" ref="E40:F40" si="9">SUM(E39,E37,E33)</f>
        <v>8701578</v>
      </c>
      <c r="F40" s="18">
        <f t="shared" si="9"/>
        <v>9625386.4942240007</v>
      </c>
      <c r="G40" s="18">
        <f t="shared" ref="G40:J40" si="10">SUM(G39,G37,G33)</f>
        <v>10902249.41377056</v>
      </c>
      <c r="H40" s="18">
        <f t="shared" si="10"/>
        <v>12573453.223301167</v>
      </c>
      <c r="I40" s="18">
        <f t="shared" si="10"/>
        <v>14750707.749102745</v>
      </c>
      <c r="J40" s="18">
        <f t="shared" si="10"/>
        <v>17575789.041953236</v>
      </c>
    </row>
    <row r="41" spans="1:12" x14ac:dyDescent="0.25">
      <c r="E41" s="27"/>
      <c r="I41" s="4"/>
      <c r="J41" s="4"/>
      <c r="K41" s="6"/>
      <c r="L41" s="6"/>
    </row>
    <row r="42" spans="1:12" x14ac:dyDescent="0.25">
      <c r="A42" s="4" t="s">
        <v>122</v>
      </c>
      <c r="B42" s="11" t="s">
        <v>80</v>
      </c>
      <c r="C42" s="46">
        <f>C40-C28</f>
        <v>0</v>
      </c>
      <c r="D42" s="46">
        <f t="shared" ref="D42:J42" si="11">D40-D28</f>
        <v>0</v>
      </c>
      <c r="E42" s="148">
        <f t="shared" si="11"/>
        <v>0</v>
      </c>
      <c r="F42" s="46">
        <f t="shared" si="11"/>
        <v>0</v>
      </c>
      <c r="G42" s="46">
        <f t="shared" ref="G42:J42" si="12">G40-G28</f>
        <v>0</v>
      </c>
      <c r="H42" s="46">
        <f t="shared" si="12"/>
        <v>0</v>
      </c>
      <c r="I42" s="46">
        <f t="shared" si="12"/>
        <v>0</v>
      </c>
      <c r="J42" s="46">
        <f t="shared" si="12"/>
        <v>0</v>
      </c>
      <c r="K42" s="46"/>
      <c r="L42" s="46"/>
    </row>
    <row r="43" spans="1:12" x14ac:dyDescent="0.25">
      <c r="I43" s="4"/>
      <c r="J43" s="4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</sheetData>
  <conditionalFormatting sqref="F4:L14">
    <cfRule type="expression" dxfId="0" priority="35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2"/>
  <sheetViews>
    <sheetView showGridLines="0" topLeftCell="A3" zoomScaleNormal="100" workbookViewId="0">
      <selection activeCell="F22" sqref="F4:J22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Crowdstrike Holdings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x14ac:dyDescent="0.25">
      <c r="A2" s="175" t="s">
        <v>81</v>
      </c>
      <c r="B2" s="176"/>
      <c r="C2" s="251">
        <f>D2-1</f>
        <v>2023</v>
      </c>
      <c r="D2" s="251">
        <f>E2-1</f>
        <v>2024</v>
      </c>
      <c r="E2" s="251">
        <f>MAIN!C5</f>
        <v>2025</v>
      </c>
      <c r="F2" s="181">
        <v>2026</v>
      </c>
      <c r="G2" s="181">
        <v>2027</v>
      </c>
      <c r="H2" s="181">
        <v>2028</v>
      </c>
      <c r="I2" s="181">
        <v>2029</v>
      </c>
      <c r="J2" s="181">
        <v>2030</v>
      </c>
      <c r="K2" s="203"/>
      <c r="L2" s="203"/>
    </row>
    <row r="3" spans="1:12" x14ac:dyDescent="0.25">
      <c r="B3" s="4" t="s">
        <v>153</v>
      </c>
      <c r="F3" s="4">
        <f>IncState!F35</f>
        <v>-39860.377775999186</v>
      </c>
      <c r="G3" s="4">
        <f>IncState!G35</f>
        <v>44346.607706560215</v>
      </c>
      <c r="H3" s="4">
        <f>IncState!H35</f>
        <v>167533.90908580576</v>
      </c>
      <c r="I3" s="4">
        <f>IncState!I35</f>
        <v>342777.24725892069</v>
      </c>
      <c r="J3" s="4">
        <f>IncState!J35</f>
        <v>587019.0130284538</v>
      </c>
    </row>
    <row r="4" spans="1:12" x14ac:dyDescent="0.25">
      <c r="B4" s="4" t="s">
        <v>15</v>
      </c>
      <c r="F4" s="4">
        <f>IncState!F22</f>
        <v>233793.88263316092</v>
      </c>
      <c r="G4" s="4">
        <f>IncState!G22</f>
        <v>255481.90096727791</v>
      </c>
      <c r="H4" s="4">
        <f>IncState!H22</f>
        <v>290306.15751687862</v>
      </c>
      <c r="I4" s="4">
        <f>IncState!I22</f>
        <v>338804.38827364508</v>
      </c>
      <c r="J4" s="4">
        <f>IncState!J22</f>
        <v>402294.08953103307</v>
      </c>
    </row>
    <row r="5" spans="1:12" x14ac:dyDescent="0.25">
      <c r="B5" s="4" t="s">
        <v>53</v>
      </c>
      <c r="F5" s="4">
        <f>IncState!F23</f>
        <v>263177</v>
      </c>
      <c r="G5" s="4">
        <f>IncState!G23</f>
        <v>263177</v>
      </c>
      <c r="H5" s="4">
        <f>IncState!H23</f>
        <v>263177</v>
      </c>
      <c r="I5" s="4">
        <f>IncState!I23</f>
        <v>263177</v>
      </c>
      <c r="J5" s="4">
        <f>IncState!J23</f>
        <v>263177</v>
      </c>
    </row>
    <row r="6" spans="1:12" x14ac:dyDescent="0.25">
      <c r="B6" s="4" t="s">
        <v>87</v>
      </c>
      <c r="F6" s="4">
        <f>Calcs!F24</f>
        <v>297732.75280000013</v>
      </c>
      <c r="G6" s="4">
        <f>Calcs!G24</f>
        <v>420074.24641600018</v>
      </c>
      <c r="H6" s="4">
        <f>Calcs!H24</f>
        <v>512490.58062751964</v>
      </c>
      <c r="I6" s="4">
        <f>Calcs!I24</f>
        <v>625238.50836557569</v>
      </c>
      <c r="J6" s="4">
        <f>Calcs!J24</f>
        <v>762790.98020600108</v>
      </c>
    </row>
    <row r="7" spans="1:12" x14ac:dyDescent="0.25">
      <c r="B7" s="4" t="s">
        <v>187</v>
      </c>
      <c r="F7" s="4">
        <f>BalSheet!E25-BalSheet!F25</f>
        <v>-30240.98000000001</v>
      </c>
      <c r="G7" s="4">
        <f>BalSheet!F25-BalSheet!G25</f>
        <v>-36893.995599999995</v>
      </c>
      <c r="H7" s="4">
        <f>BalSheet!G25-BalSheet!H25</f>
        <v>-45010.674632000009</v>
      </c>
      <c r="I7" s="4">
        <f>BalSheet!H25-BalSheet!I25</f>
        <v>-54913.023051039985</v>
      </c>
      <c r="J7" s="4">
        <f>BalSheet!I25-BalSheet!J25</f>
        <v>-66993.888122268836</v>
      </c>
    </row>
    <row r="8" spans="1:12" x14ac:dyDescent="0.25">
      <c r="B8" s="4" t="s">
        <v>188</v>
      </c>
      <c r="F8" s="4">
        <f>BalSheet!F36-BalSheet!E36</f>
        <v>259078.16000000015</v>
      </c>
      <c r="G8" s="4">
        <f>BalSheet!G36-BalSheet!F36</f>
        <v>316075.35519999987</v>
      </c>
      <c r="H8" s="4">
        <f>BalSheet!H36-BalSheet!G36</f>
        <v>385611.93334400025</v>
      </c>
      <c r="I8" s="4">
        <f>BalSheet!I36-BalSheet!H36</f>
        <v>470446.55867967987</v>
      </c>
      <c r="J8" s="4">
        <f>BalSheet!J36-BalSheet!I36</f>
        <v>573944.80158920959</v>
      </c>
    </row>
    <row r="9" spans="1:12" s="11" customFormat="1" x14ac:dyDescent="0.25">
      <c r="B9" s="11" t="s">
        <v>189</v>
      </c>
      <c r="F9" s="11">
        <f>SUM(F3:F8)</f>
        <v>983680.43765716208</v>
      </c>
      <c r="G9" s="11">
        <f t="shared" ref="G9:J9" si="0">SUM(G3:G8)</f>
        <v>1262261.1146898381</v>
      </c>
      <c r="H9" s="11">
        <f t="shared" si="0"/>
        <v>1574108.9059422042</v>
      </c>
      <c r="I9" s="11">
        <f t="shared" si="0"/>
        <v>1985530.6795267814</v>
      </c>
      <c r="J9" s="11">
        <f t="shared" si="0"/>
        <v>2522231.9962324286</v>
      </c>
    </row>
    <row r="10" spans="1:12" x14ac:dyDescent="0.25">
      <c r="I10" s="4"/>
      <c r="J10" s="4"/>
    </row>
    <row r="11" spans="1:12" x14ac:dyDescent="0.25">
      <c r="B11" s="4" t="s">
        <v>14</v>
      </c>
      <c r="F11" s="4">
        <f>Calcs!F7</f>
        <v>310919.44</v>
      </c>
      <c r="G11" s="4">
        <f>Calcs!G7</f>
        <v>379321.71679999999</v>
      </c>
      <c r="H11" s="4">
        <f>Calcs!H7</f>
        <v>462772.494496</v>
      </c>
      <c r="I11" s="4">
        <f>Calcs!I7</f>
        <v>564582.44328511995</v>
      </c>
      <c r="J11" s="4">
        <f>Calcs!J7</f>
        <v>688790.58080784639</v>
      </c>
    </row>
    <row r="12" spans="1:12" s="11" customFormat="1" x14ac:dyDescent="0.25">
      <c r="B12" s="11" t="s">
        <v>193</v>
      </c>
      <c r="F12" s="11">
        <f>-F11</f>
        <v>-310919.44</v>
      </c>
      <c r="G12" s="11">
        <f t="shared" ref="G12:J12" si="1">-G11</f>
        <v>-379321.71679999999</v>
      </c>
      <c r="H12" s="11">
        <f t="shared" si="1"/>
        <v>-462772.494496</v>
      </c>
      <c r="I12" s="11">
        <f t="shared" si="1"/>
        <v>-564582.44328511995</v>
      </c>
      <c r="J12" s="11">
        <f t="shared" si="1"/>
        <v>-688790.58080784639</v>
      </c>
    </row>
    <row r="13" spans="1:12" x14ac:dyDescent="0.25">
      <c r="I13" s="4"/>
      <c r="J13" s="4"/>
    </row>
    <row r="14" spans="1:12" x14ac:dyDescent="0.25">
      <c r="B14" s="4" t="s">
        <v>191</v>
      </c>
      <c r="F14" s="4">
        <f>Calcs!F11</f>
        <v>0</v>
      </c>
      <c r="G14" s="4">
        <f>Calcs!G11</f>
        <v>0</v>
      </c>
      <c r="H14" s="4">
        <f>Calcs!H11</f>
        <v>0</v>
      </c>
      <c r="I14" s="4">
        <f>Calcs!I11</f>
        <v>0</v>
      </c>
      <c r="J14" s="4">
        <f>Calcs!J11</f>
        <v>0</v>
      </c>
    </row>
    <row r="15" spans="1:12" x14ac:dyDescent="0.25">
      <c r="B15" s="4" t="s">
        <v>190</v>
      </c>
      <c r="F15" s="4">
        <f>SUM(Debt!F8:F9)</f>
        <v>0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</row>
    <row r="16" spans="1:12" s="11" customFormat="1" x14ac:dyDescent="0.25">
      <c r="B16" s="11" t="s">
        <v>192</v>
      </c>
      <c r="F16" s="11">
        <f>SUM(F14:F15)</f>
        <v>0</v>
      </c>
      <c r="G16" s="11">
        <f t="shared" ref="G16:J16" si="2">SUM(G14:G15)</f>
        <v>0</v>
      </c>
      <c r="H16" s="11">
        <f t="shared" si="2"/>
        <v>0</v>
      </c>
      <c r="I16" s="11">
        <f t="shared" si="2"/>
        <v>0</v>
      </c>
      <c r="J16" s="11">
        <f t="shared" si="2"/>
        <v>0</v>
      </c>
    </row>
    <row r="17" spans="2:10" x14ac:dyDescent="0.25">
      <c r="I17" s="4"/>
      <c r="J17" s="4"/>
    </row>
    <row r="18" spans="2:10" x14ac:dyDescent="0.25">
      <c r="B18" s="4" t="s">
        <v>194</v>
      </c>
      <c r="F18" s="4">
        <f>SUM(F16,F12,F9)</f>
        <v>672760.99765716214</v>
      </c>
      <c r="G18" s="4">
        <f t="shared" ref="G18:J18" si="3">SUM(G16,G12,G9)</f>
        <v>882939.39788983809</v>
      </c>
      <c r="H18" s="4">
        <f t="shared" si="3"/>
        <v>1111336.4114462042</v>
      </c>
      <c r="I18" s="4">
        <f t="shared" si="3"/>
        <v>1420948.2362416615</v>
      </c>
      <c r="J18" s="4">
        <f t="shared" si="3"/>
        <v>1833441.4154245821</v>
      </c>
    </row>
    <row r="19" spans="2:10" x14ac:dyDescent="0.25">
      <c r="I19" s="4"/>
      <c r="J19" s="4"/>
    </row>
    <row r="20" spans="2:10" x14ac:dyDescent="0.25">
      <c r="B20" s="4" t="s">
        <v>195</v>
      </c>
      <c r="F20" s="4">
        <f>BalSheet!E17</f>
        <v>4263990.6399999997</v>
      </c>
      <c r="G20" s="4">
        <f>BalSheet!F17</f>
        <v>4936751.6376571618</v>
      </c>
      <c r="H20" s="4">
        <f>BalSheet!G17</f>
        <v>5819691.0355469994</v>
      </c>
      <c r="I20" s="4">
        <f>BalSheet!H17</f>
        <v>6931027.4469932038</v>
      </c>
      <c r="J20" s="4">
        <f>BalSheet!I17</f>
        <v>8351975.6832348648</v>
      </c>
    </row>
    <row r="21" spans="2:10" x14ac:dyDescent="0.25">
      <c r="B21" s="4" t="str">
        <f>B18</f>
        <v>Net changes in cash</v>
      </c>
      <c r="F21" s="4">
        <f>F18</f>
        <v>672760.99765716214</v>
      </c>
      <c r="G21" s="4">
        <f t="shared" ref="G21:J21" si="4">G18</f>
        <v>882939.39788983809</v>
      </c>
      <c r="H21" s="4">
        <f t="shared" si="4"/>
        <v>1111336.4114462042</v>
      </c>
      <c r="I21" s="4">
        <f t="shared" si="4"/>
        <v>1420948.2362416615</v>
      </c>
      <c r="J21" s="4">
        <f t="shared" si="4"/>
        <v>1833441.4154245821</v>
      </c>
    </row>
    <row r="22" spans="2:10" x14ac:dyDescent="0.25">
      <c r="B22" s="4" t="s">
        <v>196</v>
      </c>
      <c r="F22" s="4">
        <f>SUM(F20:F21)</f>
        <v>4936751.6376571618</v>
      </c>
      <c r="G22" s="4">
        <f t="shared" ref="G22:J22" si="5">SUM(G20:G21)</f>
        <v>5819691.0355469994</v>
      </c>
      <c r="H22" s="4">
        <f t="shared" si="5"/>
        <v>6931027.4469932038</v>
      </c>
      <c r="I22" s="4">
        <f t="shared" si="5"/>
        <v>8351975.6832348648</v>
      </c>
      <c r="J22" s="4">
        <f t="shared" si="5"/>
        <v>10185417.098659446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5" sqref="F3:J1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52" t="str">
        <f>CoName</f>
        <v>Crowdstrike Holdings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</row>
    <row r="2" spans="1:12" s="2" customFormat="1" ht="16.350000000000001" customHeight="1" x14ac:dyDescent="0.25">
      <c r="A2" s="175" t="s">
        <v>84</v>
      </c>
      <c r="B2" s="176"/>
      <c r="C2" s="251">
        <f>D2-1</f>
        <v>2023</v>
      </c>
      <c r="D2" s="251">
        <f>E2-1</f>
        <v>2024</v>
      </c>
      <c r="E2" s="251">
        <f>MAIN!C5</f>
        <v>2025</v>
      </c>
      <c r="F2" s="181">
        <v>2026</v>
      </c>
      <c r="G2" s="181">
        <v>2027</v>
      </c>
      <c r="H2" s="181">
        <v>2028</v>
      </c>
      <c r="I2" s="181">
        <v>2029</v>
      </c>
      <c r="J2" s="181">
        <v>2030</v>
      </c>
      <c r="K2" s="203"/>
      <c r="L2" s="203"/>
    </row>
    <row r="3" spans="1:12" x14ac:dyDescent="0.25">
      <c r="A3" s="11" t="s">
        <v>122</v>
      </c>
      <c r="B3" s="4" t="s">
        <v>85</v>
      </c>
      <c r="D3" s="232"/>
      <c r="E3" s="23"/>
      <c r="F3" s="233">
        <f>IncState!F16</f>
        <v>4823421.28</v>
      </c>
      <c r="G3" s="233">
        <f>IncState!G16</f>
        <v>5884573.9616</v>
      </c>
      <c r="H3" s="233">
        <f>IncState!H16</f>
        <v>7179180.2331520002</v>
      </c>
      <c r="I3" s="233">
        <f>IncState!I16</f>
        <v>8758599.88444544</v>
      </c>
      <c r="J3" s="233">
        <f>IncState!J16</f>
        <v>10685491.859023437</v>
      </c>
      <c r="K3" s="211"/>
      <c r="L3" s="211"/>
    </row>
    <row r="4" spans="1:12" x14ac:dyDescent="0.25">
      <c r="B4" s="4" t="s">
        <v>54</v>
      </c>
      <c r="E4" s="27"/>
      <c r="F4" s="4">
        <f>IncState!F20</f>
        <v>-50456.17439999897</v>
      </c>
      <c r="G4" s="4">
        <f>IncState!G20</f>
        <v>56134.94646400027</v>
      </c>
      <c r="H4" s="4">
        <f>IncState!H20</f>
        <v>212068.23934912123</v>
      </c>
      <c r="I4" s="4">
        <f>IncState!I20</f>
        <v>433895.24969483633</v>
      </c>
      <c r="J4" s="4">
        <f>IncState!J20</f>
        <v>743062.04180816934</v>
      </c>
    </row>
    <row r="5" spans="1:12" x14ac:dyDescent="0.25">
      <c r="B5" s="30" t="s">
        <v>90</v>
      </c>
      <c r="C5" s="30"/>
      <c r="D5" s="30"/>
      <c r="E5" s="39"/>
      <c r="F5" s="43">
        <f>Assumptions!F17</f>
        <v>0.21</v>
      </c>
      <c r="G5" s="43">
        <f>Assumptions!G17</f>
        <v>0.21</v>
      </c>
      <c r="H5" s="43">
        <f>Assumptions!H17</f>
        <v>0.21</v>
      </c>
      <c r="I5" s="43">
        <f>Assumptions!I17</f>
        <v>0.21</v>
      </c>
      <c r="J5" s="43">
        <f>Assumptions!J17</f>
        <v>0.21</v>
      </c>
      <c r="K5" s="43"/>
      <c r="L5" s="43"/>
    </row>
    <row r="6" spans="1:12" x14ac:dyDescent="0.25">
      <c r="C6" s="5"/>
      <c r="D6" s="5"/>
      <c r="E6" s="23"/>
      <c r="F6" s="5"/>
      <c r="G6" s="5"/>
      <c r="H6" s="5"/>
      <c r="I6" s="5"/>
      <c r="J6" s="5"/>
      <c r="K6" s="168"/>
      <c r="L6" s="168"/>
    </row>
    <row r="7" spans="1:12" x14ac:dyDescent="0.25">
      <c r="A7" s="24" t="s">
        <v>122</v>
      </c>
      <c r="B7" s="21" t="s">
        <v>86</v>
      </c>
      <c r="C7" s="117"/>
      <c r="D7" s="117"/>
      <c r="E7" s="117"/>
      <c r="F7" s="131">
        <f t="shared" ref="F7:J7" si="0">F4*(1-F5)</f>
        <v>-39860.377775999186</v>
      </c>
      <c r="G7" s="131">
        <f t="shared" ref="G7:J7" si="1">G4*(1-G5)</f>
        <v>44346.607706560215</v>
      </c>
      <c r="H7" s="131">
        <f t="shared" si="1"/>
        <v>167533.90908580579</v>
      </c>
      <c r="I7" s="131">
        <f t="shared" si="1"/>
        <v>342777.24725892069</v>
      </c>
      <c r="J7" s="131">
        <f t="shared" si="1"/>
        <v>587019.0130284538</v>
      </c>
      <c r="K7" s="211"/>
      <c r="L7" s="211"/>
    </row>
    <row r="8" spans="1:12" x14ac:dyDescent="0.25">
      <c r="B8" s="4" t="s">
        <v>15</v>
      </c>
      <c r="C8" s="117"/>
      <c r="D8" s="117"/>
      <c r="E8" s="118"/>
      <c r="F8" s="132">
        <f>CashFlow!F4</f>
        <v>233793.88263316092</v>
      </c>
      <c r="G8" s="132">
        <f>CashFlow!G4</f>
        <v>255481.90096727791</v>
      </c>
      <c r="H8" s="132">
        <f>CashFlow!H4</f>
        <v>290306.15751687862</v>
      </c>
      <c r="I8" s="132">
        <f>CashFlow!I4</f>
        <v>338804.38827364508</v>
      </c>
      <c r="J8" s="132">
        <f>CashFlow!J4</f>
        <v>402294.08953103307</v>
      </c>
      <c r="K8" s="210"/>
      <c r="L8" s="210"/>
    </row>
    <row r="9" spans="1:12" x14ac:dyDescent="0.25">
      <c r="B9" s="4" t="s">
        <v>53</v>
      </c>
      <c r="C9" s="5"/>
      <c r="D9" s="5"/>
      <c r="E9" s="23"/>
      <c r="F9" s="269">
        <f>CashFlow!F5</f>
        <v>263177</v>
      </c>
      <c r="G9" s="269">
        <f>CashFlow!G5</f>
        <v>263177</v>
      </c>
      <c r="H9" s="269">
        <f>CashFlow!H5</f>
        <v>263177</v>
      </c>
      <c r="I9" s="269">
        <f>CashFlow!I5</f>
        <v>263177</v>
      </c>
      <c r="J9" s="269">
        <f>CashFlow!J5</f>
        <v>263177</v>
      </c>
      <c r="K9" s="210"/>
      <c r="L9" s="210"/>
    </row>
    <row r="10" spans="1:12" x14ac:dyDescent="0.25">
      <c r="B10" s="4" t="s">
        <v>87</v>
      </c>
      <c r="C10" s="5"/>
      <c r="D10" s="5"/>
      <c r="E10" s="23"/>
      <c r="F10" s="269">
        <f>CashFlow!F6</f>
        <v>297732.75280000013</v>
      </c>
      <c r="G10" s="269">
        <f>CashFlow!G6</f>
        <v>420074.24641600018</v>
      </c>
      <c r="H10" s="269">
        <f>CashFlow!H6</f>
        <v>512490.58062751964</v>
      </c>
      <c r="I10" s="269">
        <f>CashFlow!I6</f>
        <v>625238.50836557569</v>
      </c>
      <c r="J10" s="269">
        <f>CashFlow!J6</f>
        <v>762790.98020600108</v>
      </c>
      <c r="K10" s="210"/>
      <c r="L10" s="210"/>
    </row>
    <row r="11" spans="1:12" x14ac:dyDescent="0.25">
      <c r="B11" s="4" t="s">
        <v>162</v>
      </c>
      <c r="C11" s="5"/>
      <c r="D11" s="5"/>
      <c r="E11" s="23"/>
      <c r="F11" s="269">
        <f>CashFlow!F7</f>
        <v>-30240.98000000001</v>
      </c>
      <c r="G11" s="269">
        <f>CashFlow!G7</f>
        <v>-36893.995599999995</v>
      </c>
      <c r="H11" s="269">
        <f>CashFlow!H7</f>
        <v>-45010.674632000009</v>
      </c>
      <c r="I11" s="269">
        <f>CashFlow!I7</f>
        <v>-54913.023051039985</v>
      </c>
      <c r="J11" s="269">
        <f>CashFlow!J7</f>
        <v>-66993.888122268836</v>
      </c>
      <c r="K11" s="210"/>
      <c r="L11" s="210"/>
    </row>
    <row r="12" spans="1:12" x14ac:dyDescent="0.25">
      <c r="B12" s="4" t="s">
        <v>163</v>
      </c>
      <c r="E12" s="27"/>
      <c r="F12" s="269">
        <f>CashFlow!F8</f>
        <v>259078.16000000015</v>
      </c>
      <c r="G12" s="269">
        <f>CashFlow!G8</f>
        <v>316075.35519999987</v>
      </c>
      <c r="H12" s="269">
        <f>CashFlow!H8</f>
        <v>385611.93334400025</v>
      </c>
      <c r="I12" s="269">
        <f>CashFlow!I8</f>
        <v>470446.55867967987</v>
      </c>
      <c r="J12" s="269">
        <f>CashFlow!J8</f>
        <v>573944.80158920959</v>
      </c>
      <c r="K12" s="210"/>
      <c r="L12" s="210"/>
    </row>
    <row r="13" spans="1:12" x14ac:dyDescent="0.25">
      <c r="B13" s="4" t="s">
        <v>88</v>
      </c>
      <c r="E13" s="27"/>
      <c r="F13" s="129">
        <f>CashFlow!F12</f>
        <v>-310919.44</v>
      </c>
      <c r="G13" s="129">
        <f>CashFlow!G12</f>
        <v>-379321.71679999999</v>
      </c>
      <c r="H13" s="129">
        <f>CashFlow!H12</f>
        <v>-462772.494496</v>
      </c>
      <c r="I13" s="129">
        <f>CashFlow!I12</f>
        <v>-564582.44328511995</v>
      </c>
      <c r="J13" s="129">
        <f>CashFlow!J12</f>
        <v>-688790.58080784639</v>
      </c>
      <c r="K13" s="129"/>
      <c r="L13" s="129"/>
    </row>
    <row r="14" spans="1:12" x14ac:dyDescent="0.25">
      <c r="E14" s="61"/>
      <c r="F14" s="133"/>
      <c r="G14" s="133"/>
      <c r="H14" s="133"/>
      <c r="I14" s="133"/>
      <c r="J14" s="133"/>
      <c r="K14" s="133"/>
      <c r="L14" s="133"/>
    </row>
    <row r="15" spans="1:12" s="11" customFormat="1" x14ac:dyDescent="0.25">
      <c r="A15" s="24" t="s">
        <v>122</v>
      </c>
      <c r="B15" s="34" t="s">
        <v>89</v>
      </c>
      <c r="C15" s="34"/>
      <c r="D15" s="34"/>
      <c r="E15" s="34"/>
      <c r="F15" s="34">
        <f>SUM(F7:F13)</f>
        <v>672760.99765716214</v>
      </c>
      <c r="G15" s="34">
        <f t="shared" ref="G15:J15" si="2">SUM(G7:G13)</f>
        <v>882939.39788983809</v>
      </c>
      <c r="H15" s="34">
        <f t="shared" si="2"/>
        <v>1111336.4114462044</v>
      </c>
      <c r="I15" s="34">
        <f t="shared" si="2"/>
        <v>1420948.2362416615</v>
      </c>
      <c r="J15" s="34">
        <f t="shared" si="2"/>
        <v>1833441.4154245821</v>
      </c>
    </row>
    <row r="16" spans="1:12" x14ac:dyDescent="0.25">
      <c r="B16" s="64"/>
      <c r="C16" s="64"/>
      <c r="D16" s="64"/>
      <c r="E16" s="64"/>
      <c r="F16" s="64"/>
      <c r="G16" s="64"/>
      <c r="H16" s="64"/>
      <c r="I16" s="82"/>
      <c r="J16" s="82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B13" sqref="B13:E14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52" t="str">
        <f>CoName</f>
        <v>Crowdstrike Holdings</v>
      </c>
    </row>
    <row r="2" spans="1:13" x14ac:dyDescent="0.25">
      <c r="G2" s="143"/>
    </row>
    <row r="3" spans="1:13" x14ac:dyDescent="0.25">
      <c r="A3" s="27" t="s">
        <v>122</v>
      </c>
      <c r="B3" s="158" t="s">
        <v>98</v>
      </c>
      <c r="C3" s="159"/>
      <c r="D3" s="159"/>
      <c r="E3" s="160"/>
      <c r="F3" s="11"/>
      <c r="G3" s="75" t="s">
        <v>106</v>
      </c>
      <c r="H3" s="75" t="s">
        <v>101</v>
      </c>
      <c r="I3" s="75" t="s">
        <v>102</v>
      </c>
      <c r="J3" s="75" t="s">
        <v>103</v>
      </c>
      <c r="K3" s="75" t="s">
        <v>104</v>
      </c>
      <c r="L3" s="75" t="s">
        <v>109</v>
      </c>
      <c r="M3" s="75" t="s">
        <v>105</v>
      </c>
    </row>
    <row r="4" spans="1:13" x14ac:dyDescent="0.25">
      <c r="A4" s="27"/>
      <c r="B4" s="255" t="s">
        <v>164</v>
      </c>
      <c r="C4" s="65"/>
      <c r="D4" s="70"/>
      <c r="E4" s="256">
        <f>Assumptions!F17</f>
        <v>0.21</v>
      </c>
      <c r="G4" s="135"/>
      <c r="H4" s="136"/>
      <c r="I4" s="78"/>
      <c r="J4" s="79"/>
      <c r="K4" s="138"/>
      <c r="L4" s="149">
        <f>E4</f>
        <v>0.21</v>
      </c>
      <c r="M4" s="139">
        <f>H4/((1+K4*(1-L4)))</f>
        <v>0</v>
      </c>
    </row>
    <row r="5" spans="1:13" x14ac:dyDescent="0.25">
      <c r="A5" s="27"/>
      <c r="B5" s="65" t="s">
        <v>91</v>
      </c>
      <c r="C5" s="65"/>
      <c r="D5" s="70"/>
      <c r="E5" s="134">
        <v>0.04</v>
      </c>
      <c r="G5" s="135"/>
      <c r="H5" s="136"/>
      <c r="I5" s="78"/>
      <c r="J5" s="79"/>
      <c r="K5" s="138"/>
      <c r="L5" s="149">
        <f>L4</f>
        <v>0.21</v>
      </c>
      <c r="M5" s="139">
        <f t="shared" ref="M5:M7" si="0">H5/((1+K5*(1-L5)))</f>
        <v>0</v>
      </c>
    </row>
    <row r="6" spans="1:13" x14ac:dyDescent="0.25">
      <c r="A6" s="27"/>
      <c r="B6" s="65" t="s">
        <v>92</v>
      </c>
      <c r="C6" s="65"/>
      <c r="D6" s="70"/>
      <c r="E6" s="134">
        <v>0.05</v>
      </c>
      <c r="G6" s="135"/>
      <c r="H6" s="137"/>
      <c r="I6" s="80"/>
      <c r="J6" s="79"/>
      <c r="K6" s="138"/>
      <c r="L6" s="149">
        <f t="shared" ref="L6:L7" si="1">L5</f>
        <v>0.21</v>
      </c>
      <c r="M6" s="139">
        <f t="shared" si="0"/>
        <v>0</v>
      </c>
    </row>
    <row r="7" spans="1:13" x14ac:dyDescent="0.25">
      <c r="A7" s="27"/>
      <c r="B7" s="65" t="s">
        <v>93</v>
      </c>
      <c r="C7" s="65"/>
      <c r="D7" s="70"/>
      <c r="E7" s="215">
        <f>1.09*0.66</f>
        <v>0.71940000000000004</v>
      </c>
      <c r="G7" s="135"/>
      <c r="H7" s="137"/>
      <c r="I7" s="80"/>
      <c r="J7" s="81"/>
      <c r="K7" s="138"/>
      <c r="L7" s="149">
        <f t="shared" si="1"/>
        <v>0.21</v>
      </c>
      <c r="M7" s="139">
        <f t="shared" si="0"/>
        <v>0</v>
      </c>
    </row>
    <row r="8" spans="1:13" x14ac:dyDescent="0.25">
      <c r="A8" s="27"/>
      <c r="B8" s="65" t="s">
        <v>94</v>
      </c>
      <c r="C8" s="65"/>
      <c r="D8" s="70"/>
      <c r="E8" s="134">
        <f>E5+E6*E7</f>
        <v>7.597000000000001E-2</v>
      </c>
      <c r="L8" s="64"/>
    </row>
    <row r="9" spans="1:13" x14ac:dyDescent="0.25">
      <c r="A9" s="27"/>
      <c r="B9" s="66" t="s">
        <v>95</v>
      </c>
      <c r="C9" s="66"/>
      <c r="D9" s="71"/>
      <c r="E9" s="140">
        <f>1-E10</f>
        <v>0.99423078226229522</v>
      </c>
      <c r="G9" s="4" t="s">
        <v>107</v>
      </c>
      <c r="L9" s="27"/>
      <c r="M9" s="214">
        <f>AVERAGE(M4:M7)</f>
        <v>0</v>
      </c>
    </row>
    <row r="10" spans="1:13" x14ac:dyDescent="0.25">
      <c r="A10" s="27"/>
      <c r="B10" s="67" t="s">
        <v>96</v>
      </c>
      <c r="C10" s="67"/>
      <c r="D10" s="72"/>
      <c r="E10" s="141">
        <f>MAIN!F8/MAIN!F6</f>
        <v>5.7692177377047706E-3</v>
      </c>
      <c r="M10" s="64"/>
    </row>
    <row r="11" spans="1:13" x14ac:dyDescent="0.25">
      <c r="A11" s="27"/>
      <c r="B11" s="157" t="s">
        <v>178</v>
      </c>
      <c r="C11" s="68"/>
      <c r="D11" s="73"/>
      <c r="E11" s="142">
        <f>Assumptions!F24</f>
        <v>3.5365055384330019E-2</v>
      </c>
      <c r="G11" s="4" t="s">
        <v>108</v>
      </c>
      <c r="L11" s="27"/>
      <c r="M11" s="214">
        <f>M9*(1+E10*(1-E4))</f>
        <v>0</v>
      </c>
    </row>
    <row r="12" spans="1:13" x14ac:dyDescent="0.25">
      <c r="A12" s="27"/>
      <c r="B12" s="69" t="s">
        <v>97</v>
      </c>
      <c r="C12" s="69"/>
      <c r="D12" s="74"/>
      <c r="E12" s="142">
        <f>E11*(1-E4)</f>
        <v>2.7938393753620717E-2</v>
      </c>
      <c r="M12" s="64"/>
    </row>
    <row r="13" spans="1:13" s="11" customFormat="1" x14ac:dyDescent="0.25">
      <c r="A13" s="24" t="s">
        <v>122</v>
      </c>
      <c r="B13" s="158" t="s">
        <v>98</v>
      </c>
      <c r="C13" s="159"/>
      <c r="D13" s="160"/>
      <c r="E13" s="154">
        <f>WACC!E8*WACC!E9+WACC!E12*WACC!E10</f>
        <v>7.5692895205272948E-2</v>
      </c>
      <c r="F13" s="4"/>
    </row>
    <row r="14" spans="1:13" s="11" customFormat="1" x14ac:dyDescent="0.25">
      <c r="A14" s="24"/>
      <c r="B14" s="75" t="s">
        <v>99</v>
      </c>
      <c r="C14" s="75"/>
      <c r="D14" s="112"/>
      <c r="E14" s="144">
        <v>2.5000000000000001E-2</v>
      </c>
      <c r="F14" s="4"/>
    </row>
    <row r="15" spans="1:13" x14ac:dyDescent="0.25">
      <c r="B15" s="64"/>
      <c r="C15" s="64"/>
      <c r="D15" s="64"/>
      <c r="E15" s="6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topLeftCell="B1" zoomScaleNormal="100" workbookViewId="0">
      <selection activeCell="P16" sqref="M7:P16"/>
    </sheetView>
  </sheetViews>
  <sheetFormatPr defaultColWidth="11.7109375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8" width="12.42578125" style="4" bestFit="1" customWidth="1"/>
    <col min="9" max="16384" width="11.7109375" style="4"/>
  </cols>
  <sheetData>
    <row r="1" spans="1:16" ht="19.5" x14ac:dyDescent="0.3">
      <c r="A1" s="252" t="str">
        <f>CoName</f>
        <v>Crowdstrike Holdings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/>
      <c r="J1" s="41"/>
      <c r="K1" s="41"/>
      <c r="L1" s="41"/>
      <c r="M1" s="41"/>
    </row>
    <row r="2" spans="1:16" x14ac:dyDescent="0.25">
      <c r="A2" s="75" t="s">
        <v>110</v>
      </c>
      <c r="B2" s="19"/>
      <c r="C2" s="42"/>
      <c r="D2" s="75">
        <v>0.5</v>
      </c>
      <c r="E2" s="75">
        <f>D2+1</f>
        <v>1.5</v>
      </c>
      <c r="F2" s="75">
        <f t="shared" ref="F2:H2" si="0">E2+1</f>
        <v>2.5</v>
      </c>
      <c r="G2" s="75">
        <f t="shared" si="0"/>
        <v>3.5</v>
      </c>
      <c r="H2" s="75">
        <f t="shared" si="0"/>
        <v>4.5</v>
      </c>
      <c r="I2" s="155"/>
      <c r="J2" s="155"/>
      <c r="K2" s="155"/>
      <c r="L2" s="155"/>
      <c r="M2" s="155"/>
      <c r="N2" s="155"/>
    </row>
    <row r="3" spans="1:16" x14ac:dyDescent="0.25">
      <c r="B3" s="4" t="s">
        <v>183</v>
      </c>
      <c r="D3" s="8">
        <f>1/(1+$K$3)^D2</f>
        <v>0.96417496313543805</v>
      </c>
      <c r="E3" s="8">
        <f t="shared" ref="E3:H3" si="1">1/(1+$K$3)^E2</f>
        <v>0.89632921016127554</v>
      </c>
      <c r="F3" s="8">
        <f t="shared" si="1"/>
        <v>0.83325753489357235</v>
      </c>
      <c r="G3" s="8">
        <f t="shared" si="1"/>
        <v>0.77462400152281674</v>
      </c>
      <c r="H3" s="8">
        <f t="shared" si="1"/>
        <v>0.72011631291382316</v>
      </c>
      <c r="I3" s="158" t="s">
        <v>98</v>
      </c>
      <c r="J3" s="159"/>
      <c r="K3" s="154">
        <f>WACC!E13</f>
        <v>7.5692895205272948E-2</v>
      </c>
    </row>
    <row r="4" spans="1:16" x14ac:dyDescent="0.25">
      <c r="B4" s="4" t="s">
        <v>184</v>
      </c>
      <c r="D4" s="4">
        <f>D3*'Free Cash Flow'!F15</f>
        <v>648659.31011505483</v>
      </c>
      <c r="E4" s="4">
        <f>E3*'Free Cash Flow'!G15</f>
        <v>791404.37313087075</v>
      </c>
      <c r="F4" s="4">
        <f>F3*'Free Cash Flow'!H15</f>
        <v>926029.43863913312</v>
      </c>
      <c r="G4" s="4">
        <f>G3*'Free Cash Flow'!I15</f>
        <v>1100700.6087143046</v>
      </c>
      <c r="H4" s="4">
        <f>H3*'Free Cash Flow'!J15</f>
        <v>1320291.0720190513</v>
      </c>
      <c r="I4" s="75" t="s">
        <v>99</v>
      </c>
      <c r="J4" s="75"/>
      <c r="K4" s="144">
        <v>2.5000000000000001E-2</v>
      </c>
    </row>
    <row r="5" spans="1:16" x14ac:dyDescent="0.25">
      <c r="G5" s="143"/>
      <c r="H5" s="4">
        <f>(H4*(1+K4))/(K3-K4)</f>
        <v>26696016.144660067</v>
      </c>
    </row>
    <row r="6" spans="1:16" x14ac:dyDescent="0.25">
      <c r="A6" s="75" t="s">
        <v>111</v>
      </c>
      <c r="B6" s="19"/>
      <c r="C6" s="42"/>
      <c r="D6" s="84"/>
      <c r="E6" s="75" t="s">
        <v>169</v>
      </c>
      <c r="F6" s="19"/>
      <c r="G6" s="42"/>
      <c r="H6" s="84" t="s">
        <v>165</v>
      </c>
    </row>
    <row r="7" spans="1:16" x14ac:dyDescent="0.25">
      <c r="B7" s="4" t="s">
        <v>112</v>
      </c>
      <c r="C7" s="4">
        <f>SUM(D4:H4)</f>
        <v>4787084.8026184142</v>
      </c>
      <c r="E7" s="4" t="s">
        <v>112</v>
      </c>
      <c r="G7" s="4">
        <f>C7</f>
        <v>4787084.8026184142</v>
      </c>
      <c r="I7" s="165"/>
      <c r="J7" s="165"/>
      <c r="K7" s="165" t="s">
        <v>197</v>
      </c>
      <c r="L7" s="165"/>
      <c r="M7" s="165"/>
      <c r="N7" s="165"/>
      <c r="O7" s="165" t="s">
        <v>199</v>
      </c>
      <c r="P7" s="165"/>
    </row>
    <row r="8" spans="1:16" x14ac:dyDescent="0.25">
      <c r="B8" s="4" t="s">
        <v>113</v>
      </c>
      <c r="C8" s="4">
        <f>H5*H3</f>
        <v>19224236.715580504</v>
      </c>
      <c r="E8" s="4" t="s">
        <v>170</v>
      </c>
      <c r="G8" s="4">
        <f>G10*H3*IncState!J24</f>
        <v>20286153.703138966</v>
      </c>
      <c r="I8" s="165">
        <f>C18</f>
        <v>112.52620893996799</v>
      </c>
      <c r="J8" s="221">
        <f>K8-E23</f>
        <v>2.2500000000000003E-2</v>
      </c>
      <c r="K8" s="221">
        <v>2.5000000000000001E-2</v>
      </c>
      <c r="L8" s="221">
        <f>K8+E23</f>
        <v>2.75E-2</v>
      </c>
      <c r="M8" s="165">
        <f>G18</f>
        <v>116.75771018580204</v>
      </c>
      <c r="N8" s="220">
        <f>O8-L23</f>
        <v>18</v>
      </c>
      <c r="O8" s="220">
        <v>20</v>
      </c>
      <c r="P8" s="220">
        <f>O8+L23</f>
        <v>22</v>
      </c>
    </row>
    <row r="9" spans="1:16" x14ac:dyDescent="0.25">
      <c r="B9" s="4" t="s">
        <v>114</v>
      </c>
      <c r="C9" s="4">
        <f>SUM(C7:C8)</f>
        <v>24011321.518198919</v>
      </c>
      <c r="E9" s="4" t="s">
        <v>114</v>
      </c>
      <c r="G9" s="4">
        <f>SUM(G7:G8)</f>
        <v>25073238.50575738</v>
      </c>
      <c r="I9" s="223">
        <f>I10+$E$22</f>
        <v>8.5692895205272956E-2</v>
      </c>
      <c r="J9" s="270">
        <f t="dataTable" ref="J9:L13" dt2D="1" dtr="1" r1="K4" r2="K3"/>
        <v>91.830910278838886</v>
      </c>
      <c r="K9" s="271">
        <v>94.297795119858677</v>
      </c>
      <c r="L9" s="270">
        <v>96.97663752307902</v>
      </c>
      <c r="M9" s="223">
        <f t="shared" ref="M9:M10" si="2">I9</f>
        <v>8.5692895205272956E-2</v>
      </c>
      <c r="N9" s="270">
        <f t="dataTable" ref="N9:P13" dt2D="1" dtr="1" r1="G10" r2="K3" ca="1"/>
        <v>105.2127872690986</v>
      </c>
      <c r="O9" s="271">
        <v>112.96667460086493</v>
      </c>
      <c r="P9" s="270">
        <v>120.7205619326313</v>
      </c>
    </row>
    <row r="10" spans="1:16" x14ac:dyDescent="0.25">
      <c r="C10" s="83"/>
      <c r="E10" s="4" t="s">
        <v>115</v>
      </c>
      <c r="G10" s="83">
        <v>20</v>
      </c>
      <c r="I10" s="223">
        <f>I11+$E$22</f>
        <v>8.0692895205272952E-2</v>
      </c>
      <c r="J10" s="270">
        <v>99.5197471982368</v>
      </c>
      <c r="K10" s="271">
        <v>102.5489114323522</v>
      </c>
      <c r="L10" s="270">
        <v>105.86280957899724</v>
      </c>
      <c r="M10" s="223">
        <f t="shared" si="2"/>
        <v>8.0692895205272952E-2</v>
      </c>
      <c r="N10" s="270">
        <v>106.92200374758809</v>
      </c>
      <c r="O10" s="271">
        <v>114.83863896471026</v>
      </c>
      <c r="P10" s="270">
        <v>122.75527418183243</v>
      </c>
    </row>
    <row r="11" spans="1:16" x14ac:dyDescent="0.25">
      <c r="I11" s="223">
        <v>7.5692895205272948E-2</v>
      </c>
      <c r="J11" s="271">
        <v>108.74784467788055</v>
      </c>
      <c r="K11" s="271">
        <v>112.52620893996799</v>
      </c>
      <c r="L11" s="271">
        <v>116.69657748463626</v>
      </c>
      <c r="M11" s="223">
        <f>I11</f>
        <v>7.5692895205272948E-2</v>
      </c>
      <c r="N11" s="271">
        <v>108.67413249811692</v>
      </c>
      <c r="O11" s="271">
        <v>116.75771018580204</v>
      </c>
      <c r="P11" s="271">
        <v>124.84128787348716</v>
      </c>
    </row>
    <row r="12" spans="1:16" x14ac:dyDescent="0.25">
      <c r="B12" s="27" t="s">
        <v>116</v>
      </c>
      <c r="C12" s="37">
        <f>MAIN!F7</f>
        <v>4972436</v>
      </c>
      <c r="E12" s="27" t="s">
        <v>116</v>
      </c>
      <c r="F12" s="152"/>
      <c r="G12" s="37">
        <f>C12</f>
        <v>4972436</v>
      </c>
      <c r="I12" s="223">
        <f>I11-$E$22</f>
        <v>7.0692895205272943E-2</v>
      </c>
      <c r="J12" s="270">
        <v>120.00060548170805</v>
      </c>
      <c r="K12" s="271">
        <v>124.80302272628366</v>
      </c>
      <c r="L12" s="270">
        <v>130.16136672938663</v>
      </c>
      <c r="M12" s="223">
        <f t="shared" ref="M12:M13" si="3">I12</f>
        <v>7.0692895205272943E-2</v>
      </c>
      <c r="N12" s="270">
        <v>110.4704689544505</v>
      </c>
      <c r="O12" s="271">
        <v>118.72531206404365</v>
      </c>
      <c r="P12" s="270">
        <v>126.9801551736368</v>
      </c>
    </row>
    <row r="13" spans="1:16" x14ac:dyDescent="0.25">
      <c r="B13" s="27" t="s">
        <v>117</v>
      </c>
      <c r="C13" s="37">
        <f>MAIN!F8</f>
        <v>744727</v>
      </c>
      <c r="E13" s="27" t="s">
        <v>117</v>
      </c>
      <c r="F13" s="152"/>
      <c r="G13" s="37">
        <f t="shared" ref="G13:G14" si="4">C13</f>
        <v>744727</v>
      </c>
      <c r="I13" s="223">
        <f>I12-$E$22</f>
        <v>6.5692895205272939E-2</v>
      </c>
      <c r="J13" s="270">
        <v>133.9886302213051</v>
      </c>
      <c r="K13" s="271">
        <v>140.23493946854808</v>
      </c>
      <c r="L13" s="270">
        <v>147.29898054964025</v>
      </c>
      <c r="M13" s="223">
        <f t="shared" si="3"/>
        <v>6.5692895205272939E-2</v>
      </c>
      <c r="N13" s="270">
        <v>112.31235412265575</v>
      </c>
      <c r="O13" s="271">
        <v>120.74291852578177</v>
      </c>
      <c r="P13" s="270">
        <v>129.17348292890779</v>
      </c>
    </row>
    <row r="14" spans="1:16" x14ac:dyDescent="0.25">
      <c r="B14" s="27" t="s">
        <v>118</v>
      </c>
      <c r="C14" s="77">
        <v>0</v>
      </c>
      <c r="E14" s="4" t="s">
        <v>118</v>
      </c>
      <c r="F14" s="27"/>
      <c r="G14" s="37">
        <f t="shared" si="4"/>
        <v>0</v>
      </c>
      <c r="I14" s="165"/>
      <c r="J14" s="165"/>
      <c r="K14" s="165"/>
      <c r="L14" s="165"/>
      <c r="M14" s="165"/>
      <c r="N14" s="165"/>
      <c r="O14" s="165"/>
      <c r="P14" s="165"/>
    </row>
    <row r="15" spans="1:16" x14ac:dyDescent="0.25">
      <c r="B15" s="4" t="s">
        <v>119</v>
      </c>
      <c r="C15" s="64">
        <f>C9+C12-SUM(C13:C14)</f>
        <v>28239030.518198919</v>
      </c>
      <c r="E15" s="4" t="s">
        <v>119</v>
      </c>
      <c r="G15" s="64">
        <f>G9+G12-SUM(G13:G14)</f>
        <v>29300947.50575738</v>
      </c>
      <c r="I15" s="165"/>
      <c r="J15" s="165"/>
      <c r="K15" s="165" t="s">
        <v>198</v>
      </c>
      <c r="L15" s="165"/>
      <c r="M15" s="165"/>
      <c r="N15" s="165"/>
      <c r="O15" s="165" t="s">
        <v>198</v>
      </c>
      <c r="P15" s="165"/>
    </row>
    <row r="16" spans="1:16" x14ac:dyDescent="0.25">
      <c r="I16" s="165"/>
      <c r="J16" s="165"/>
      <c r="K16" s="271">
        <f>AVERAGE(J9:L13)</f>
        <v>115.03299916071462</v>
      </c>
      <c r="L16" s="165"/>
      <c r="M16" s="165"/>
      <c r="N16" s="165"/>
      <c r="O16" s="271">
        <f>AVERAGE(N9:P13)</f>
        <v>116.80625086824054</v>
      </c>
      <c r="P16" s="165"/>
    </row>
    <row r="17" spans="1:17" x14ac:dyDescent="0.25">
      <c r="B17" s="4" t="s">
        <v>120</v>
      </c>
      <c r="C17" s="4">
        <f>MAIN!F5</f>
        <v>250955.14</v>
      </c>
      <c r="E17" s="4" t="s">
        <v>120</v>
      </c>
      <c r="G17" s="4">
        <f>C17</f>
        <v>250955.14</v>
      </c>
    </row>
    <row r="18" spans="1:17" x14ac:dyDescent="0.25">
      <c r="A18" s="4" t="s">
        <v>122</v>
      </c>
      <c r="B18" s="145" t="s">
        <v>121</v>
      </c>
      <c r="C18" s="153">
        <f>C15/C17</f>
        <v>112.52620893996799</v>
      </c>
      <c r="E18" s="145" t="s">
        <v>121</v>
      </c>
      <c r="F18" s="152"/>
      <c r="G18" s="153">
        <f>G15/G17</f>
        <v>116.75771018580204</v>
      </c>
    </row>
    <row r="19" spans="1:17" x14ac:dyDescent="0.25">
      <c r="C19" s="21"/>
    </row>
    <row r="20" spans="1:17" x14ac:dyDescent="0.25">
      <c r="A20" s="113" t="s">
        <v>143</v>
      </c>
      <c r="B20" s="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212"/>
    </row>
    <row r="21" spans="1:17" x14ac:dyDescent="0.25">
      <c r="B21" s="114"/>
      <c r="C21" s="114"/>
      <c r="D21" s="114"/>
      <c r="E21" s="114"/>
      <c r="F21" s="114"/>
      <c r="G21" s="114"/>
      <c r="H21" s="114"/>
      <c r="I21" s="114"/>
    </row>
    <row r="22" spans="1:17" x14ac:dyDescent="0.25">
      <c r="B22" s="114"/>
      <c r="C22" s="114" t="s">
        <v>144</v>
      </c>
      <c r="D22" s="114"/>
      <c r="E22" s="115">
        <v>5.0000000000000001E-3</v>
      </c>
      <c r="F22" s="114"/>
      <c r="G22" s="114"/>
      <c r="J22" s="114" t="s">
        <v>144</v>
      </c>
      <c r="K22" s="114"/>
      <c r="L22" s="115">
        <v>5.0000000000000001E-3</v>
      </c>
    </row>
    <row r="23" spans="1:17" x14ac:dyDescent="0.25">
      <c r="B23" s="114"/>
      <c r="C23" s="114" t="s">
        <v>145</v>
      </c>
      <c r="D23" s="114"/>
      <c r="E23" s="146">
        <v>2.5000000000000001E-3</v>
      </c>
      <c r="F23" s="114"/>
      <c r="G23" s="114"/>
      <c r="J23" s="114" t="s">
        <v>168</v>
      </c>
      <c r="K23" s="114"/>
      <c r="L23" s="151">
        <v>2</v>
      </c>
    </row>
    <row r="24" spans="1:17" x14ac:dyDescent="0.25">
      <c r="B24" s="114"/>
      <c r="C24" s="114"/>
      <c r="D24" s="114"/>
      <c r="E24" s="163"/>
      <c r="F24" s="114"/>
      <c r="G24" s="114"/>
      <c r="J24" s="114"/>
      <c r="K24" s="114"/>
      <c r="L24" s="162"/>
    </row>
    <row r="25" spans="1:17" x14ac:dyDescent="0.25">
      <c r="B25" s="114"/>
      <c r="C25" s="114"/>
      <c r="D25" s="114"/>
      <c r="E25" s="114"/>
      <c r="F25" s="114"/>
      <c r="H25" s="114"/>
      <c r="I25" s="165"/>
      <c r="P25" s="165"/>
    </row>
    <row r="26" spans="1:17" x14ac:dyDescent="0.25">
      <c r="B26" s="155"/>
      <c r="C26" s="161"/>
      <c r="D26" s="114"/>
      <c r="E26" s="234"/>
      <c r="F26" s="235"/>
      <c r="G26" s="234"/>
      <c r="I26" s="114"/>
      <c r="J26" s="234"/>
    </row>
    <row r="27" spans="1:17" x14ac:dyDescent="0.25">
      <c r="B27" s="155"/>
      <c r="C27" s="236"/>
      <c r="E27" s="114"/>
      <c r="F27" s="237"/>
      <c r="G27" s="237"/>
      <c r="H27" s="237"/>
      <c r="I27" s="165"/>
      <c r="J27" s="165"/>
      <c r="N27" s="238"/>
      <c r="P27" s="165"/>
    </row>
    <row r="28" spans="1:17" x14ac:dyDescent="0.25">
      <c r="B28" s="155"/>
      <c r="C28" s="236"/>
      <c r="E28" s="239"/>
      <c r="F28" s="165"/>
      <c r="G28" s="165"/>
      <c r="H28" s="221"/>
      <c r="I28" s="221"/>
      <c r="J28" s="221"/>
      <c r="N28" s="240"/>
      <c r="O28" s="47"/>
      <c r="P28" s="47"/>
      <c r="Q28" s="47"/>
    </row>
    <row r="29" spans="1:17" x14ac:dyDescent="0.25">
      <c r="E29" s="217"/>
      <c r="F29" s="165"/>
      <c r="G29" s="241"/>
      <c r="H29" s="242"/>
      <c r="I29" s="242"/>
      <c r="J29" s="242"/>
      <c r="N29" s="243"/>
      <c r="O29" s="161"/>
      <c r="P29" s="161"/>
      <c r="Q29" s="161"/>
    </row>
    <row r="30" spans="1:17" x14ac:dyDescent="0.25">
      <c r="F30" s="221"/>
      <c r="G30" s="242"/>
      <c r="H30" s="222"/>
      <c r="I30" s="222"/>
      <c r="J30" s="222"/>
      <c r="K30" s="244"/>
      <c r="M30" s="47"/>
      <c r="N30" s="161"/>
      <c r="O30" s="83"/>
      <c r="P30" s="83"/>
      <c r="Q30" s="83"/>
    </row>
    <row r="31" spans="1:17" x14ac:dyDescent="0.25">
      <c r="F31" s="221"/>
      <c r="G31" s="242"/>
      <c r="H31" s="222"/>
      <c r="I31" s="222"/>
      <c r="J31" s="222"/>
      <c r="K31" s="244"/>
      <c r="M31" s="47"/>
      <c r="N31" s="161"/>
      <c r="O31" s="83"/>
      <c r="P31" s="83"/>
      <c r="Q31" s="83"/>
    </row>
    <row r="32" spans="1:17" x14ac:dyDescent="0.25">
      <c r="D32" s="47"/>
      <c r="E32" s="143"/>
      <c r="F32" s="221"/>
      <c r="G32" s="242"/>
      <c r="H32" s="222"/>
      <c r="I32" s="222"/>
      <c r="J32" s="222"/>
      <c r="K32" s="244"/>
      <c r="L32" s="143"/>
      <c r="M32" s="47"/>
      <c r="N32" s="161"/>
      <c r="O32" s="83"/>
      <c r="P32" s="83"/>
      <c r="Q32" s="83"/>
    </row>
    <row r="33" spans="2:17" x14ac:dyDescent="0.25">
      <c r="D33" s="47"/>
      <c r="E33" s="217"/>
      <c r="F33" s="221"/>
      <c r="G33" s="242"/>
      <c r="H33" s="222"/>
      <c r="I33" s="222"/>
      <c r="J33" s="222"/>
      <c r="K33" s="238"/>
      <c r="M33" s="47"/>
      <c r="N33" s="161"/>
      <c r="O33" s="83"/>
      <c r="P33" s="83"/>
      <c r="Q33" s="83"/>
    </row>
    <row r="34" spans="2:17" x14ac:dyDescent="0.25">
      <c r="D34" s="47"/>
      <c r="E34" s="217"/>
      <c r="F34" s="221"/>
      <c r="G34" s="242"/>
      <c r="H34" s="222"/>
      <c r="I34" s="222"/>
      <c r="J34" s="222"/>
      <c r="K34" s="238"/>
      <c r="M34" s="47"/>
      <c r="N34" s="161"/>
      <c r="O34" s="83"/>
      <c r="P34" s="83"/>
      <c r="Q34" s="83"/>
    </row>
    <row r="35" spans="2:17" x14ac:dyDescent="0.25">
      <c r="B35" s="245"/>
      <c r="C35" s="245"/>
      <c r="D35" s="245"/>
      <c r="E35" s="246"/>
      <c r="F35" s="247"/>
      <c r="G35" s="246"/>
    </row>
    <row r="36" spans="2:17" x14ac:dyDescent="0.25">
      <c r="B36" s="114"/>
      <c r="C36" s="114"/>
      <c r="D36" s="114"/>
      <c r="E36" s="114"/>
      <c r="F36" s="235"/>
      <c r="G36" s="235"/>
      <c r="H36" s="235"/>
      <c r="I36" s="165"/>
      <c r="J36" s="165"/>
      <c r="P36" s="165"/>
    </row>
    <row r="37" spans="2:17" x14ac:dyDescent="0.25">
      <c r="F37" s="223"/>
      <c r="G37" s="223"/>
      <c r="H37" s="221"/>
      <c r="I37" s="221"/>
      <c r="J37" s="221"/>
      <c r="M37" s="165"/>
      <c r="O37" s="83"/>
      <c r="P37" s="83"/>
      <c r="Q37" s="83"/>
    </row>
    <row r="38" spans="2:17" x14ac:dyDescent="0.25">
      <c r="E38" s="47"/>
      <c r="F38" s="220"/>
      <c r="G38" s="248"/>
      <c r="H38" s="242"/>
      <c r="I38" s="242"/>
      <c r="J38" s="242"/>
      <c r="L38" s="83"/>
      <c r="M38" s="83"/>
      <c r="N38" s="249"/>
      <c r="O38" s="164"/>
      <c r="P38" s="164"/>
      <c r="Q38" s="164"/>
    </row>
    <row r="39" spans="2:17" x14ac:dyDescent="0.25">
      <c r="E39" s="47"/>
      <c r="F39" s="221"/>
      <c r="G39" s="242"/>
      <c r="H39" s="220"/>
      <c r="I39" s="220"/>
      <c r="J39" s="220"/>
      <c r="K39" s="47"/>
      <c r="M39" s="47"/>
      <c r="N39" s="161"/>
      <c r="O39" s="250"/>
      <c r="P39" s="250"/>
      <c r="Q39" s="250"/>
    </row>
    <row r="40" spans="2:17" x14ac:dyDescent="0.25">
      <c r="D40" s="8"/>
      <c r="E40" s="47"/>
      <c r="F40" s="221"/>
      <c r="G40" s="242"/>
      <c r="H40" s="220"/>
      <c r="I40" s="220"/>
      <c r="J40" s="220"/>
      <c r="K40" s="8"/>
      <c r="L40" s="47"/>
      <c r="M40" s="47"/>
      <c r="N40" s="161"/>
      <c r="O40" s="250"/>
      <c r="P40" s="250"/>
      <c r="Q40" s="250"/>
    </row>
    <row r="41" spans="2:17" x14ac:dyDescent="0.25">
      <c r="D41" s="8"/>
      <c r="E41" s="143"/>
      <c r="F41" s="221"/>
      <c r="G41" s="242"/>
      <c r="H41" s="220"/>
      <c r="I41" s="220"/>
      <c r="J41" s="220"/>
      <c r="K41" s="8"/>
      <c r="L41" s="143"/>
      <c r="M41" s="47"/>
      <c r="N41" s="161"/>
      <c r="O41" s="250"/>
      <c r="P41" s="250"/>
      <c r="Q41" s="250"/>
    </row>
    <row r="42" spans="2:17" x14ac:dyDescent="0.25">
      <c r="D42" s="8"/>
      <c r="E42" s="47"/>
      <c r="F42" s="221"/>
      <c r="G42" s="242"/>
      <c r="H42" s="220"/>
      <c r="I42" s="220"/>
      <c r="J42" s="220"/>
      <c r="K42" s="8"/>
      <c r="L42" s="47"/>
      <c r="M42" s="47"/>
      <c r="N42" s="161"/>
      <c r="O42" s="250"/>
      <c r="P42" s="250"/>
      <c r="Q42" s="250"/>
    </row>
    <row r="43" spans="2:17" x14ac:dyDescent="0.25">
      <c r="D43" s="8"/>
      <c r="E43" s="8"/>
      <c r="F43" s="221"/>
      <c r="G43" s="242"/>
      <c r="H43" s="220"/>
      <c r="I43" s="220"/>
      <c r="J43" s="220"/>
      <c r="K43" s="8"/>
      <c r="L43" s="47"/>
      <c r="M43" s="47"/>
      <c r="N43" s="161"/>
      <c r="O43" s="250"/>
      <c r="P43" s="250"/>
      <c r="Q43" s="250"/>
    </row>
    <row r="44" spans="2:17" x14ac:dyDescent="0.25">
      <c r="D44" s="8"/>
      <c r="E44" s="8"/>
      <c r="F44" s="83"/>
      <c r="G44" s="83"/>
      <c r="H44" s="83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www.w3.org/XML/1998/namespace"/>
    <ds:schemaRef ds:uri="http://purl.org/dc/elements/1.1/"/>
    <ds:schemaRef ds:uri="88a26cf8-717e-46a4-ac0d-03f11284dc6b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2025-12-02T19:11:32Z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