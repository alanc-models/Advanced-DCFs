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639" documentId="8_{0B5E6CC5-222A-4F9E-956E-5BE58A64E890}" xr6:coauthVersionLast="47" xr6:coauthVersionMax="47" xr10:uidLastSave="{809739DD-2FBD-48CA-BEE3-57F227EE41BD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2" l="1"/>
  <c r="E34" i="12"/>
  <c r="H30" i="12"/>
  <c r="H31" i="12"/>
  <c r="H28" i="12"/>
  <c r="H27" i="12"/>
  <c r="H29" i="12"/>
  <c r="K26" i="12"/>
  <c r="I26" i="12"/>
  <c r="C31" i="12"/>
  <c r="C30" i="12"/>
  <c r="C27" i="12"/>
  <c r="C28" i="12"/>
  <c r="D26" i="12"/>
  <c r="F26" i="12"/>
  <c r="H39" i="7"/>
  <c r="I39" i="7"/>
  <c r="J39" i="7"/>
  <c r="K39" i="7"/>
  <c r="L39" i="7"/>
  <c r="M39" i="7"/>
  <c r="N39" i="7"/>
  <c r="O39" i="7"/>
  <c r="G39" i="7"/>
  <c r="H16" i="7"/>
  <c r="I16" i="7"/>
  <c r="J16" i="7"/>
  <c r="K16" i="7"/>
  <c r="L16" i="7"/>
  <c r="M16" i="7"/>
  <c r="N16" i="7"/>
  <c r="O16" i="7"/>
  <c r="G16" i="7"/>
  <c r="G34" i="13"/>
  <c r="H34" i="13"/>
  <c r="I34" i="13"/>
  <c r="J34" i="13"/>
  <c r="K34" i="13"/>
  <c r="L34" i="13"/>
  <c r="M34" i="13"/>
  <c r="N34" i="13"/>
  <c r="O34" i="13"/>
  <c r="F34" i="13"/>
  <c r="G17" i="12"/>
  <c r="G13" i="12"/>
  <c r="G12" i="12"/>
  <c r="C17" i="12"/>
  <c r="C13" i="12"/>
  <c r="C12" i="12"/>
  <c r="L11" i="13"/>
  <c r="M11" i="13"/>
  <c r="N11" i="13" s="1"/>
  <c r="O11" i="13" s="1"/>
  <c r="K11" i="13"/>
  <c r="H33" i="13"/>
  <c r="I33" i="13" s="1"/>
  <c r="J33" i="13" s="1"/>
  <c r="K33" i="13" s="1"/>
  <c r="L33" i="13" s="1"/>
  <c r="M33" i="13" s="1"/>
  <c r="N33" i="13" s="1"/>
  <c r="O33" i="13" s="1"/>
  <c r="G33" i="13"/>
  <c r="F33" i="13"/>
  <c r="G13" i="13"/>
  <c r="H13" i="13"/>
  <c r="I13" i="13"/>
  <c r="J13" i="13" s="1"/>
  <c r="K13" i="13" s="1"/>
  <c r="L13" i="13" s="1"/>
  <c r="M13" i="13" s="1"/>
  <c r="F13" i="13"/>
  <c r="G12" i="13"/>
  <c r="H12" i="13" s="1"/>
  <c r="I12" i="13" s="1"/>
  <c r="J12" i="13" s="1"/>
  <c r="K12" i="13" s="1"/>
  <c r="F12" i="13"/>
  <c r="F11" i="13"/>
  <c r="G11" i="13"/>
  <c r="H11" i="13"/>
  <c r="I11" i="13" s="1"/>
  <c r="J11" i="13" s="1"/>
  <c r="AB2" i="32"/>
  <c r="AC2" i="32"/>
  <c r="AD2" i="32" s="1"/>
  <c r="AE2" i="32" s="1"/>
  <c r="AF2" i="32" s="1"/>
  <c r="AB10" i="32"/>
  <c r="AC10" i="32"/>
  <c r="AD10" i="32"/>
  <c r="AE10" i="32"/>
  <c r="AF10" i="32"/>
  <c r="I6" i="13"/>
  <c r="D3" i="12"/>
  <c r="K7" i="12"/>
  <c r="E9" i="11"/>
  <c r="E7" i="11"/>
  <c r="K2" i="10"/>
  <c r="L2" i="10"/>
  <c r="M2" i="10" s="1"/>
  <c r="N2" i="10" s="1"/>
  <c r="O2" i="10" s="1"/>
  <c r="K5" i="10"/>
  <c r="L5" i="10"/>
  <c r="M5" i="10"/>
  <c r="N5" i="10"/>
  <c r="O5" i="10"/>
  <c r="K9" i="10"/>
  <c r="L9" i="10"/>
  <c r="M9" i="10"/>
  <c r="N9" i="10"/>
  <c r="O9" i="10"/>
  <c r="K2" i="9"/>
  <c r="L2" i="9"/>
  <c r="M2" i="9"/>
  <c r="N2" i="9"/>
  <c r="O2" i="9"/>
  <c r="K5" i="9"/>
  <c r="L5" i="9"/>
  <c r="M5" i="9"/>
  <c r="N5" i="9"/>
  <c r="O5" i="9"/>
  <c r="K14" i="9"/>
  <c r="L14" i="9"/>
  <c r="M14" i="9"/>
  <c r="N14" i="9"/>
  <c r="O14" i="9"/>
  <c r="O17" i="9" s="1"/>
  <c r="K15" i="9"/>
  <c r="L15" i="9"/>
  <c r="M15" i="9"/>
  <c r="N15" i="9"/>
  <c r="O15" i="9"/>
  <c r="K16" i="9"/>
  <c r="K17" i="9" s="1"/>
  <c r="L16" i="9"/>
  <c r="M16" i="9"/>
  <c r="N16" i="9"/>
  <c r="O16" i="9"/>
  <c r="L17" i="9"/>
  <c r="M17" i="9"/>
  <c r="N17" i="9"/>
  <c r="K2" i="8"/>
  <c r="L2" i="8" s="1"/>
  <c r="K4" i="8"/>
  <c r="L4" i="8"/>
  <c r="M4" i="8"/>
  <c r="N4" i="8"/>
  <c r="O4" i="8"/>
  <c r="K5" i="8"/>
  <c r="L5" i="8"/>
  <c r="M5" i="8"/>
  <c r="N5" i="8"/>
  <c r="O5" i="8"/>
  <c r="K6" i="8"/>
  <c r="L6" i="8"/>
  <c r="M6" i="8"/>
  <c r="N6" i="8"/>
  <c r="O6" i="8"/>
  <c r="K7" i="8"/>
  <c r="L7" i="8"/>
  <c r="M7" i="8"/>
  <c r="N7" i="8"/>
  <c r="O7" i="8"/>
  <c r="K9" i="8"/>
  <c r="L9" i="8"/>
  <c r="M9" i="8"/>
  <c r="N9" i="8"/>
  <c r="O9" i="8"/>
  <c r="K10" i="8"/>
  <c r="L10" i="8"/>
  <c r="L26" i="8" s="1"/>
  <c r="M10" i="8"/>
  <c r="N10" i="8"/>
  <c r="O10" i="8"/>
  <c r="K12" i="8"/>
  <c r="L12" i="8"/>
  <c r="M12" i="8"/>
  <c r="N12" i="8"/>
  <c r="O12" i="8"/>
  <c r="K13" i="8"/>
  <c r="L13" i="8"/>
  <c r="M13" i="8"/>
  <c r="N13" i="8"/>
  <c r="O13" i="8"/>
  <c r="K14" i="8"/>
  <c r="L14" i="8"/>
  <c r="M14" i="8"/>
  <c r="N14" i="8"/>
  <c r="O14" i="8"/>
  <c r="K16" i="8"/>
  <c r="K25" i="8"/>
  <c r="L25" i="8"/>
  <c r="M25" i="8"/>
  <c r="N25" i="8"/>
  <c r="O25" i="8"/>
  <c r="K26" i="8"/>
  <c r="M26" i="8"/>
  <c r="N26" i="8"/>
  <c r="O26" i="8"/>
  <c r="K37" i="8"/>
  <c r="L37" i="8"/>
  <c r="M37" i="8"/>
  <c r="N37" i="8"/>
  <c r="O37" i="8"/>
  <c r="K2" i="7"/>
  <c r="L2" i="7"/>
  <c r="M2" i="7"/>
  <c r="N2" i="7"/>
  <c r="O2" i="7"/>
  <c r="K8" i="7"/>
  <c r="K24" i="7" s="1"/>
  <c r="L8" i="7"/>
  <c r="L24" i="7" s="1"/>
  <c r="M8" i="7"/>
  <c r="M24" i="7" s="1"/>
  <c r="N8" i="7"/>
  <c r="N24" i="7" s="1"/>
  <c r="O8" i="7"/>
  <c r="O24" i="7" s="1"/>
  <c r="K9" i="7"/>
  <c r="K27" i="7" s="1"/>
  <c r="L9" i="7"/>
  <c r="L27" i="7" s="1"/>
  <c r="M9" i="7"/>
  <c r="N9" i="7"/>
  <c r="O9" i="7"/>
  <c r="K10" i="7"/>
  <c r="L10" i="7"/>
  <c r="M10" i="7"/>
  <c r="N10" i="7"/>
  <c r="O10" i="7"/>
  <c r="K11" i="7"/>
  <c r="L11" i="7"/>
  <c r="M11" i="7"/>
  <c r="N11" i="7"/>
  <c r="O11" i="7"/>
  <c r="K12" i="7"/>
  <c r="K37" i="7" s="1"/>
  <c r="K38" i="7" s="1"/>
  <c r="K15" i="5" s="1"/>
  <c r="L12" i="7"/>
  <c r="L37" i="7" s="1"/>
  <c r="L38" i="7" s="1"/>
  <c r="L15" i="5" s="1"/>
  <c r="M12" i="7"/>
  <c r="M37" i="7" s="1"/>
  <c r="M38" i="7" s="1"/>
  <c r="M15" i="5" s="1"/>
  <c r="N12" i="7"/>
  <c r="N37" i="7" s="1"/>
  <c r="N38" i="7" s="1"/>
  <c r="N15" i="5" s="1"/>
  <c r="O12" i="7"/>
  <c r="O37" i="7" s="1"/>
  <c r="O38" i="7" s="1"/>
  <c r="O15" i="5" s="1"/>
  <c r="K13" i="7"/>
  <c r="L13" i="7"/>
  <c r="M13" i="7"/>
  <c r="N13" i="7"/>
  <c r="O13" i="7"/>
  <c r="K14" i="7"/>
  <c r="L14" i="7"/>
  <c r="M14" i="7"/>
  <c r="N14" i="7"/>
  <c r="N41" i="7" s="1"/>
  <c r="O14" i="7"/>
  <c r="O41" i="7" s="1"/>
  <c r="M27" i="7"/>
  <c r="N27" i="7"/>
  <c r="O27" i="7"/>
  <c r="K28" i="7"/>
  <c r="L28" i="7"/>
  <c r="M28" i="7"/>
  <c r="N28" i="7"/>
  <c r="O28" i="7"/>
  <c r="K30" i="7"/>
  <c r="L30" i="7"/>
  <c r="M30" i="7"/>
  <c r="N30" i="7"/>
  <c r="O30" i="7"/>
  <c r="K31" i="7"/>
  <c r="L31" i="7"/>
  <c r="M31" i="7"/>
  <c r="N31" i="7"/>
  <c r="O31" i="7"/>
  <c r="K40" i="7"/>
  <c r="L40" i="7"/>
  <c r="M40" i="7"/>
  <c r="N40" i="7"/>
  <c r="O40" i="7"/>
  <c r="K41" i="7"/>
  <c r="L41" i="7"/>
  <c r="M41" i="7"/>
  <c r="K2" i="6"/>
  <c r="L2" i="6"/>
  <c r="M2" i="6"/>
  <c r="M11" i="6" s="1"/>
  <c r="K4" i="6"/>
  <c r="L4" i="6"/>
  <c r="M4" i="6"/>
  <c r="N4" i="6"/>
  <c r="O4" i="6"/>
  <c r="K5" i="6"/>
  <c r="K21" i="6" s="1"/>
  <c r="L5" i="6"/>
  <c r="M5" i="6"/>
  <c r="N5" i="6"/>
  <c r="O5" i="6"/>
  <c r="O21" i="6" s="1"/>
  <c r="K6" i="6"/>
  <c r="L6" i="6"/>
  <c r="M6" i="6"/>
  <c r="N6" i="6"/>
  <c r="O6" i="6"/>
  <c r="K8" i="6"/>
  <c r="L8" i="6"/>
  <c r="M8" i="6"/>
  <c r="N8" i="6"/>
  <c r="O8" i="6"/>
  <c r="O18" i="6" s="1"/>
  <c r="K9" i="6"/>
  <c r="K19" i="6" s="1"/>
  <c r="L9" i="6"/>
  <c r="L19" i="6" s="1"/>
  <c r="M9" i="6"/>
  <c r="M19" i="6" s="1"/>
  <c r="N9" i="6"/>
  <c r="N19" i="6" s="1"/>
  <c r="O9" i="6"/>
  <c r="O19" i="6" s="1"/>
  <c r="K11" i="6"/>
  <c r="K30" i="6" s="1"/>
  <c r="L11" i="6"/>
  <c r="L30" i="6" s="1"/>
  <c r="K12" i="6"/>
  <c r="L12" i="6"/>
  <c r="M12" i="6"/>
  <c r="N12" i="6"/>
  <c r="O12" i="6"/>
  <c r="K13" i="6"/>
  <c r="L13" i="6"/>
  <c r="M13" i="6"/>
  <c r="N13" i="6"/>
  <c r="O13" i="6"/>
  <c r="K14" i="6"/>
  <c r="L14" i="6"/>
  <c r="M14" i="6"/>
  <c r="N14" i="6"/>
  <c r="O14" i="6"/>
  <c r="K17" i="6"/>
  <c r="K18" i="6"/>
  <c r="L18" i="6"/>
  <c r="M18" i="6"/>
  <c r="N18" i="6"/>
  <c r="L21" i="6"/>
  <c r="M21" i="6"/>
  <c r="N21" i="6"/>
  <c r="K25" i="6"/>
  <c r="L25" i="6"/>
  <c r="M25" i="6"/>
  <c r="N25" i="6"/>
  <c r="O25" i="6"/>
  <c r="K2" i="5"/>
  <c r="L2" i="5" s="1"/>
  <c r="K11" i="5"/>
  <c r="L11" i="5"/>
  <c r="M11" i="5"/>
  <c r="N11" i="5"/>
  <c r="O11" i="5"/>
  <c r="K16" i="5"/>
  <c r="L16" i="5"/>
  <c r="M16" i="5"/>
  <c r="N16" i="5"/>
  <c r="O16" i="5"/>
  <c r="K2" i="13"/>
  <c r="L2" i="13"/>
  <c r="M2" i="13" s="1"/>
  <c r="K14" i="13"/>
  <c r="L14" i="13"/>
  <c r="M14" i="13"/>
  <c r="N14" i="13"/>
  <c r="O14" i="13"/>
  <c r="K17" i="13"/>
  <c r="L17" i="13"/>
  <c r="M17" i="13"/>
  <c r="N17" i="13"/>
  <c r="O17" i="13"/>
  <c r="K18" i="13"/>
  <c r="K39" i="13" s="1"/>
  <c r="L18" i="13"/>
  <c r="L39" i="13" s="1"/>
  <c r="M18" i="13"/>
  <c r="M39" i="13" s="1"/>
  <c r="N18" i="13"/>
  <c r="N39" i="13" s="1"/>
  <c r="O18" i="13"/>
  <c r="O39" i="13" s="1"/>
  <c r="K19" i="13"/>
  <c r="K40" i="13" s="1"/>
  <c r="L19" i="13"/>
  <c r="L40" i="13" s="1"/>
  <c r="M19" i="13"/>
  <c r="M40" i="13" s="1"/>
  <c r="N19" i="13"/>
  <c r="N40" i="13" s="1"/>
  <c r="O19" i="13"/>
  <c r="O40" i="13" s="1"/>
  <c r="K20" i="13"/>
  <c r="K41" i="13" s="1"/>
  <c r="K22" i="13"/>
  <c r="K31" i="13" s="1"/>
  <c r="K37" i="13" s="1"/>
  <c r="K43" i="13" s="1"/>
  <c r="K53" i="13" s="1"/>
  <c r="K24" i="13"/>
  <c r="L24" i="13"/>
  <c r="M24" i="13" s="1"/>
  <c r="N24" i="13" s="1"/>
  <c r="O24" i="13" s="1"/>
  <c r="K25" i="13"/>
  <c r="L25" i="13"/>
  <c r="M25" i="13"/>
  <c r="N25" i="13"/>
  <c r="O25" i="13"/>
  <c r="K26" i="13"/>
  <c r="L26" i="13"/>
  <c r="M26" i="13" s="1"/>
  <c r="N26" i="13" s="1"/>
  <c r="O26" i="13" s="1"/>
  <c r="K45" i="13"/>
  <c r="L45" i="13"/>
  <c r="M45" i="13"/>
  <c r="N45" i="13" s="1"/>
  <c r="O45" i="13" s="1"/>
  <c r="K46" i="13"/>
  <c r="L46" i="13"/>
  <c r="M46" i="13"/>
  <c r="N46" i="13"/>
  <c r="O46" i="13" s="1"/>
  <c r="K47" i="13"/>
  <c r="L47" i="13" s="1"/>
  <c r="M47" i="13" s="1"/>
  <c r="N47" i="13" s="1"/>
  <c r="O47" i="13" s="1"/>
  <c r="K48" i="13"/>
  <c r="L48" i="13"/>
  <c r="M48" i="13"/>
  <c r="N48" i="13"/>
  <c r="O48" i="13"/>
  <c r="K50" i="13"/>
  <c r="L50" i="13" s="1"/>
  <c r="M50" i="13" s="1"/>
  <c r="N50" i="13" s="1"/>
  <c r="O50" i="13" s="1"/>
  <c r="K51" i="13"/>
  <c r="L51" i="13"/>
  <c r="M51" i="13"/>
  <c r="N51" i="13"/>
  <c r="O51" i="13"/>
  <c r="K55" i="13"/>
  <c r="L55" i="13" s="1"/>
  <c r="M55" i="13" s="1"/>
  <c r="N55" i="13" s="1"/>
  <c r="O55" i="13" s="1"/>
  <c r="K56" i="13"/>
  <c r="L56" i="13" s="1"/>
  <c r="M56" i="13" s="1"/>
  <c r="N56" i="13" s="1"/>
  <c r="O56" i="13" s="1"/>
  <c r="K57" i="13"/>
  <c r="L57" i="13"/>
  <c r="M57" i="13"/>
  <c r="N57" i="13"/>
  <c r="O57" i="13"/>
  <c r="G3" i="10"/>
  <c r="H3" i="10"/>
  <c r="G5" i="10"/>
  <c r="H5" i="10"/>
  <c r="I5" i="10"/>
  <c r="J5" i="10"/>
  <c r="G9" i="10"/>
  <c r="H9" i="10"/>
  <c r="I9" i="10"/>
  <c r="J9" i="10"/>
  <c r="G11" i="10"/>
  <c r="H11" i="10"/>
  <c r="G12" i="10"/>
  <c r="H12" i="10"/>
  <c r="F9" i="10"/>
  <c r="F11" i="10"/>
  <c r="F12" i="10"/>
  <c r="F21" i="9"/>
  <c r="G5" i="9"/>
  <c r="H5" i="9"/>
  <c r="I5" i="9"/>
  <c r="J5" i="9"/>
  <c r="G7" i="9"/>
  <c r="H7" i="9"/>
  <c r="G8" i="9"/>
  <c r="H8" i="9"/>
  <c r="G14" i="9"/>
  <c r="H14" i="9"/>
  <c r="I14" i="9"/>
  <c r="J14" i="9"/>
  <c r="G16" i="9"/>
  <c r="H16" i="9"/>
  <c r="I16" i="9"/>
  <c r="J16" i="9"/>
  <c r="G17" i="8"/>
  <c r="G19" i="5" s="1"/>
  <c r="H17" i="8"/>
  <c r="G19" i="8"/>
  <c r="H19" i="8"/>
  <c r="H21" i="5" s="1"/>
  <c r="G21" i="8"/>
  <c r="G22" i="5" s="1"/>
  <c r="H21" i="8"/>
  <c r="H22" i="5" s="1"/>
  <c r="G25" i="8"/>
  <c r="H25" i="8"/>
  <c r="I25" i="8"/>
  <c r="J25" i="8"/>
  <c r="G26" i="8"/>
  <c r="H26" i="8"/>
  <c r="I26" i="8"/>
  <c r="J26" i="8"/>
  <c r="G27" i="8"/>
  <c r="H27" i="8"/>
  <c r="G34" i="8"/>
  <c r="G24" i="5" s="1"/>
  <c r="H34" i="8"/>
  <c r="H24" i="5" s="1"/>
  <c r="G37" i="8"/>
  <c r="G39" i="8" s="1"/>
  <c r="H37" i="8"/>
  <c r="I37" i="8"/>
  <c r="J37" i="8"/>
  <c r="G38" i="8"/>
  <c r="H38" i="8"/>
  <c r="H39" i="8"/>
  <c r="G17" i="7"/>
  <c r="H17" i="7" s="1"/>
  <c r="G24" i="7"/>
  <c r="H24" i="7"/>
  <c r="I24" i="7"/>
  <c r="J24" i="7"/>
  <c r="G27" i="7"/>
  <c r="H27" i="7"/>
  <c r="I27" i="7"/>
  <c r="J27" i="7"/>
  <c r="G28" i="7"/>
  <c r="H28" i="7"/>
  <c r="I28" i="7"/>
  <c r="J28" i="7"/>
  <c r="G30" i="7"/>
  <c r="H30" i="7"/>
  <c r="I30" i="7"/>
  <c r="J30" i="7"/>
  <c r="G31" i="7"/>
  <c r="H31" i="7"/>
  <c r="I31" i="7"/>
  <c r="J31" i="7"/>
  <c r="G37" i="7"/>
  <c r="H37" i="7"/>
  <c r="H38" i="7" s="1"/>
  <c r="H15" i="5" s="1"/>
  <c r="I37" i="7"/>
  <c r="I38" i="7" s="1"/>
  <c r="I15" i="5" s="1"/>
  <c r="J37" i="7"/>
  <c r="J38" i="7" s="1"/>
  <c r="J15" i="5" s="1"/>
  <c r="G38" i="7"/>
  <c r="G15" i="5" s="1"/>
  <c r="G40" i="7"/>
  <c r="H40" i="7"/>
  <c r="I40" i="7"/>
  <c r="J40" i="7"/>
  <c r="G41" i="7"/>
  <c r="H41" i="7"/>
  <c r="I41" i="7"/>
  <c r="J41" i="7"/>
  <c r="F31" i="7"/>
  <c r="F30" i="7"/>
  <c r="F32" i="6"/>
  <c r="G12" i="6"/>
  <c r="H12" i="6" s="1"/>
  <c r="G13" i="6"/>
  <c r="H13" i="6"/>
  <c r="I13" i="6"/>
  <c r="J13" i="6"/>
  <c r="G16" i="6"/>
  <c r="G24" i="6" s="1"/>
  <c r="H16" i="6"/>
  <c r="H24" i="6" s="1"/>
  <c r="I16" i="6"/>
  <c r="I24" i="6" s="1"/>
  <c r="J16" i="6"/>
  <c r="G17" i="6"/>
  <c r="G18" i="6"/>
  <c r="H18" i="6"/>
  <c r="I18" i="6"/>
  <c r="J18" i="6"/>
  <c r="G19" i="6"/>
  <c r="H19" i="6"/>
  <c r="I19" i="6"/>
  <c r="J19" i="6"/>
  <c r="G20" i="6"/>
  <c r="G26" i="6" s="1"/>
  <c r="G21" i="6"/>
  <c r="H21" i="6"/>
  <c r="I21" i="6"/>
  <c r="J21" i="6"/>
  <c r="G22" i="6"/>
  <c r="J24" i="6"/>
  <c r="G10" i="5"/>
  <c r="G18" i="5" s="1"/>
  <c r="H10" i="5"/>
  <c r="H18" i="5" s="1"/>
  <c r="I10" i="5"/>
  <c r="I18" i="5" s="1"/>
  <c r="J10" i="5"/>
  <c r="J18" i="5" s="1"/>
  <c r="G11" i="5"/>
  <c r="G16" i="5" s="1"/>
  <c r="H11" i="5"/>
  <c r="H16" i="5" s="1"/>
  <c r="I11" i="5"/>
  <c r="I16" i="5" s="1"/>
  <c r="J11" i="5"/>
  <c r="J16" i="5" s="1"/>
  <c r="H19" i="5"/>
  <c r="G21" i="5"/>
  <c r="B22" i="9"/>
  <c r="F16" i="9"/>
  <c r="F14" i="9"/>
  <c r="F8" i="9"/>
  <c r="F7" i="9"/>
  <c r="F5" i="9"/>
  <c r="F19" i="5"/>
  <c r="F21" i="5"/>
  <c r="F22" i="5"/>
  <c r="F24" i="5"/>
  <c r="E25" i="5"/>
  <c r="E24" i="5"/>
  <c r="E23" i="5"/>
  <c r="E22" i="5"/>
  <c r="E21" i="5"/>
  <c r="E20" i="5"/>
  <c r="E19" i="5"/>
  <c r="G20" i="13"/>
  <c r="H20" i="13"/>
  <c r="I20" i="13" s="1"/>
  <c r="J20" i="13" s="1"/>
  <c r="F15" i="5"/>
  <c r="F13" i="5"/>
  <c r="E17" i="5"/>
  <c r="F38" i="8"/>
  <c r="F37" i="8"/>
  <c r="F28" i="6"/>
  <c r="F27" i="6"/>
  <c r="F26" i="6"/>
  <c r="F25" i="6"/>
  <c r="F22" i="6"/>
  <c r="F21" i="6"/>
  <c r="F20" i="6"/>
  <c r="F19" i="6"/>
  <c r="F18" i="6"/>
  <c r="F17" i="6"/>
  <c r="E20" i="6"/>
  <c r="F34" i="8"/>
  <c r="F14" i="6"/>
  <c r="F13" i="6"/>
  <c r="F12" i="6"/>
  <c r="E12" i="6"/>
  <c r="E2" i="6"/>
  <c r="F2" i="6" s="1"/>
  <c r="G2" i="6" s="1"/>
  <c r="H2" i="6" s="1"/>
  <c r="I2" i="6" s="1"/>
  <c r="J2" i="6" s="1"/>
  <c r="D2" i="6"/>
  <c r="F27" i="8"/>
  <c r="F26" i="8"/>
  <c r="F25" i="8"/>
  <c r="F6" i="5"/>
  <c r="E9" i="5"/>
  <c r="F21" i="8"/>
  <c r="F19" i="8"/>
  <c r="F17" i="8"/>
  <c r="F38" i="7"/>
  <c r="F41" i="7"/>
  <c r="F40" i="7"/>
  <c r="F37" i="7"/>
  <c r="F28" i="7"/>
  <c r="F27" i="7"/>
  <c r="F24" i="7"/>
  <c r="F17" i="7"/>
  <c r="G6" i="13"/>
  <c r="H6" i="13"/>
  <c r="F6" i="13"/>
  <c r="J6" i="13"/>
  <c r="X8" i="32"/>
  <c r="Y8" i="32"/>
  <c r="Z8" i="32" s="1"/>
  <c r="W8" i="32"/>
  <c r="V9" i="32"/>
  <c r="W10" i="32"/>
  <c r="X10" i="32"/>
  <c r="Y10" i="32"/>
  <c r="Z10" i="32"/>
  <c r="AA10" i="32"/>
  <c r="V10" i="32"/>
  <c r="N10" i="32"/>
  <c r="O10" i="32"/>
  <c r="P10" i="32"/>
  <c r="Q10" i="32"/>
  <c r="R10" i="32"/>
  <c r="S10" i="32"/>
  <c r="T10" i="32"/>
  <c r="M10" i="32"/>
  <c r="U6" i="32"/>
  <c r="V6" i="32" s="1"/>
  <c r="U5" i="32"/>
  <c r="V5" i="32" s="1"/>
  <c r="U4" i="32"/>
  <c r="V4" i="32" s="1"/>
  <c r="U3" i="32"/>
  <c r="V3" i="32" s="1"/>
  <c r="L9" i="32"/>
  <c r="M9" i="32"/>
  <c r="N9" i="32"/>
  <c r="O9" i="32"/>
  <c r="P9" i="32"/>
  <c r="Q9" i="32"/>
  <c r="R9" i="32"/>
  <c r="S9" i="32"/>
  <c r="T9" i="32"/>
  <c r="K9" i="32"/>
  <c r="J9" i="32"/>
  <c r="I9" i="32"/>
  <c r="H9" i="32"/>
  <c r="P4" i="32"/>
  <c r="Q7" i="32"/>
  <c r="Q6" i="32"/>
  <c r="Q5" i="32"/>
  <c r="Q4" i="32"/>
  <c r="Q3" i="32"/>
  <c r="Q8" i="32" s="1"/>
  <c r="L7" i="32"/>
  <c r="L6" i="32"/>
  <c r="L5" i="32"/>
  <c r="L4" i="32"/>
  <c r="L3" i="32"/>
  <c r="L8" i="32" s="1"/>
  <c r="G4" i="32"/>
  <c r="G5" i="32"/>
  <c r="G6" i="32"/>
  <c r="G7" i="32"/>
  <c r="G3" i="32"/>
  <c r="C5" i="32"/>
  <c r="H5" i="32"/>
  <c r="H8" i="32" s="1"/>
  <c r="D5" i="32"/>
  <c r="I5" i="32"/>
  <c r="I8" i="32" s="1"/>
  <c r="E5" i="32"/>
  <c r="E8" i="32" s="1"/>
  <c r="J5" i="32"/>
  <c r="J8" i="32" s="1"/>
  <c r="F5" i="32"/>
  <c r="F8" i="32" s="1"/>
  <c r="K5" i="32"/>
  <c r="K8" i="32" s="1"/>
  <c r="R8" i="32"/>
  <c r="P8" i="32"/>
  <c r="O8" i="32"/>
  <c r="N8" i="32"/>
  <c r="M8" i="32"/>
  <c r="G8" i="32"/>
  <c r="D8" i="32"/>
  <c r="C8" i="32"/>
  <c r="S8" i="32"/>
  <c r="T8" i="32"/>
  <c r="L2" i="32"/>
  <c r="Q2" i="32" s="1"/>
  <c r="V2" i="32" s="1"/>
  <c r="W2" i="32" s="1"/>
  <c r="X2" i="32" s="1"/>
  <c r="Y2" i="32" s="1"/>
  <c r="Z2" i="32" s="1"/>
  <c r="AA2" i="32" s="1"/>
  <c r="A1" i="32"/>
  <c r="D33" i="13"/>
  <c r="E33" i="13"/>
  <c r="E26" i="13"/>
  <c r="C34" i="8"/>
  <c r="C33" i="8"/>
  <c r="C27" i="8"/>
  <c r="C25" i="8"/>
  <c r="C21" i="8"/>
  <c r="C18" i="8"/>
  <c r="D34" i="8"/>
  <c r="D33" i="8"/>
  <c r="D27" i="8"/>
  <c r="D26" i="8"/>
  <c r="D25" i="8"/>
  <c r="D21" i="8"/>
  <c r="D18" i="8"/>
  <c r="E41" i="8"/>
  <c r="E34" i="8"/>
  <c r="E33" i="8"/>
  <c r="E27" i="8"/>
  <c r="E25" i="8"/>
  <c r="E21" i="8"/>
  <c r="E18" i="8"/>
  <c r="D17" i="8"/>
  <c r="C17" i="8"/>
  <c r="E17" i="8"/>
  <c r="E37" i="7"/>
  <c r="D37" i="7"/>
  <c r="C37" i="7"/>
  <c r="D33" i="7"/>
  <c r="D20" i="7"/>
  <c r="E20" i="7"/>
  <c r="F8" i="3"/>
  <c r="F7" i="3"/>
  <c r="K7" i="7" l="1"/>
  <c r="L12" i="13"/>
  <c r="K6" i="7"/>
  <c r="K5" i="7"/>
  <c r="M2" i="8"/>
  <c r="L16" i="8"/>
  <c r="K20" i="6"/>
  <c r="M16" i="6"/>
  <c r="M24" i="6" s="1"/>
  <c r="M30" i="6"/>
  <c r="L16" i="6"/>
  <c r="L24" i="6" s="1"/>
  <c r="N2" i="6"/>
  <c r="K16" i="6"/>
  <c r="K24" i="6" s="1"/>
  <c r="L10" i="5"/>
  <c r="L18" i="5" s="1"/>
  <c r="M2" i="5"/>
  <c r="K10" i="5"/>
  <c r="K18" i="5" s="1"/>
  <c r="N2" i="13"/>
  <c r="M22" i="13"/>
  <c r="M31" i="13" s="1"/>
  <c r="M37" i="13" s="1"/>
  <c r="M43" i="13" s="1"/>
  <c r="M53" i="13" s="1"/>
  <c r="L20" i="13"/>
  <c r="L22" i="13"/>
  <c r="L31" i="13" s="1"/>
  <c r="L37" i="13" s="1"/>
  <c r="L43" i="13" s="1"/>
  <c r="L53" i="13" s="1"/>
  <c r="J15" i="9"/>
  <c r="J17" i="9" s="1"/>
  <c r="I15" i="9"/>
  <c r="I17" i="9" s="1"/>
  <c r="H15" i="9"/>
  <c r="H17" i="9" s="1"/>
  <c r="G15" i="9"/>
  <c r="G17" i="9" s="1"/>
  <c r="I12" i="6"/>
  <c r="H14" i="6"/>
  <c r="H25" i="6"/>
  <c r="G14" i="6"/>
  <c r="G28" i="6" s="1"/>
  <c r="G25" i="6"/>
  <c r="G27" i="6" s="1"/>
  <c r="H17" i="6"/>
  <c r="H20" i="6" s="1"/>
  <c r="U7" i="32"/>
  <c r="V7" i="32" s="1"/>
  <c r="V8" i="32" s="1"/>
  <c r="D18" i="13"/>
  <c r="D39" i="13" s="1"/>
  <c r="C18" i="13"/>
  <c r="C39" i="13" s="1"/>
  <c r="E15" i="13"/>
  <c r="D47" i="13"/>
  <c r="D15" i="13"/>
  <c r="E55" i="13"/>
  <c r="F55" i="13" s="1"/>
  <c r="F12" i="8" s="1"/>
  <c r="E13" i="13"/>
  <c r="D10" i="13"/>
  <c r="E10" i="13"/>
  <c r="D34" i="13"/>
  <c r="E34" i="13"/>
  <c r="E57" i="13"/>
  <c r="D57" i="13"/>
  <c r="C57" i="13"/>
  <c r="E56" i="13"/>
  <c r="D56" i="13"/>
  <c r="C56" i="13"/>
  <c r="C55" i="13"/>
  <c r="E50" i="13"/>
  <c r="F50" i="13" s="1"/>
  <c r="G50" i="13" s="1"/>
  <c r="D50" i="13"/>
  <c r="C50" i="13"/>
  <c r="E51" i="13"/>
  <c r="D51" i="13"/>
  <c r="C51" i="13"/>
  <c r="E48" i="13"/>
  <c r="F48" i="13" s="1"/>
  <c r="D48" i="13"/>
  <c r="C48" i="13"/>
  <c r="C47" i="13"/>
  <c r="E46" i="13"/>
  <c r="D46" i="13"/>
  <c r="C46" i="13"/>
  <c r="E45" i="13"/>
  <c r="D45" i="13"/>
  <c r="C45" i="13"/>
  <c r="E18" i="13"/>
  <c r="E39" i="13" s="1"/>
  <c r="E16" i="13"/>
  <c r="D16" i="13"/>
  <c r="C16" i="13"/>
  <c r="C15" i="13"/>
  <c r="E14" i="13"/>
  <c r="F14" i="13" s="1"/>
  <c r="F8" i="7" s="1"/>
  <c r="D14" i="13"/>
  <c r="C14" i="13"/>
  <c r="D13" i="13"/>
  <c r="C13" i="13"/>
  <c r="E12" i="13"/>
  <c r="D12" i="13"/>
  <c r="C12" i="13"/>
  <c r="C11" i="13"/>
  <c r="E20" i="13"/>
  <c r="E41" i="13" s="1"/>
  <c r="D20" i="13"/>
  <c r="D41" i="13" s="1"/>
  <c r="C20" i="13"/>
  <c r="C41" i="13" s="1"/>
  <c r="E19" i="13"/>
  <c r="E40" i="13" s="1"/>
  <c r="D19" i="13"/>
  <c r="D40" i="13" s="1"/>
  <c r="C19" i="13"/>
  <c r="C40" i="13" s="1"/>
  <c r="F3" i="10"/>
  <c r="F6" i="3"/>
  <c r="B39" i="13"/>
  <c r="G8" i="13"/>
  <c r="H8" i="13"/>
  <c r="I8" i="13"/>
  <c r="J8" i="13"/>
  <c r="F8" i="13"/>
  <c r="G7" i="13"/>
  <c r="H7" i="13"/>
  <c r="I7" i="13"/>
  <c r="J7" i="13"/>
  <c r="F7" i="13"/>
  <c r="E2" i="8"/>
  <c r="E16" i="8" s="1"/>
  <c r="D2" i="8"/>
  <c r="D2" i="7"/>
  <c r="E2" i="7" s="1"/>
  <c r="F2" i="7" s="1"/>
  <c r="G2" i="7" s="1"/>
  <c r="H2" i="7" s="1"/>
  <c r="I2" i="7" s="1"/>
  <c r="J2" i="7" s="1"/>
  <c r="D11" i="6"/>
  <c r="D16" i="6" s="1"/>
  <c r="D24" i="6" s="1"/>
  <c r="C22" i="13"/>
  <c r="C31" i="13" s="1"/>
  <c r="C37" i="13" s="1"/>
  <c r="C43" i="13" s="1"/>
  <c r="C53" i="13" s="1"/>
  <c r="D2" i="13"/>
  <c r="E2" i="13" s="1"/>
  <c r="G9" i="7"/>
  <c r="H9" i="7"/>
  <c r="I9" i="7"/>
  <c r="J9" i="7"/>
  <c r="G10" i="7"/>
  <c r="H10" i="7"/>
  <c r="I10" i="7"/>
  <c r="J10" i="7"/>
  <c r="A1" i="10"/>
  <c r="C22" i="8"/>
  <c r="D22" i="8"/>
  <c r="E22" i="8"/>
  <c r="D28" i="8"/>
  <c r="C28" i="8"/>
  <c r="E28" i="8"/>
  <c r="E35" i="8"/>
  <c r="C35" i="8"/>
  <c r="D35" i="8"/>
  <c r="C39" i="8"/>
  <c r="D39" i="8"/>
  <c r="D42" i="8" s="1"/>
  <c r="E39" i="8"/>
  <c r="C10" i="5"/>
  <c r="C18" i="5" s="1"/>
  <c r="D2" i="5"/>
  <c r="E2" i="5" s="1"/>
  <c r="G10" i="13"/>
  <c r="G4" i="7" s="1"/>
  <c r="H10" i="13"/>
  <c r="H4" i="7" s="1"/>
  <c r="I10" i="13"/>
  <c r="I4" i="7" s="1"/>
  <c r="I17" i="7" s="1"/>
  <c r="J10" i="13"/>
  <c r="J4" i="7" s="1"/>
  <c r="F3" i="5"/>
  <c r="F7" i="5" s="1"/>
  <c r="C11" i="6"/>
  <c r="C30" i="6" s="1"/>
  <c r="F25" i="13"/>
  <c r="G25" i="13" s="1"/>
  <c r="F24" i="13"/>
  <c r="F4" i="6" s="1"/>
  <c r="F26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6" i="8"/>
  <c r="C16" i="8"/>
  <c r="F10" i="7"/>
  <c r="F16" i="7"/>
  <c r="E16" i="7"/>
  <c r="D16" i="7"/>
  <c r="C16" i="7"/>
  <c r="A1" i="3"/>
  <c r="A1" i="13"/>
  <c r="A1" i="5"/>
  <c r="A1" i="6"/>
  <c r="A1" i="7"/>
  <c r="A1" i="8"/>
  <c r="A1" i="9"/>
  <c r="A1" i="11"/>
  <c r="A1" i="12"/>
  <c r="C21" i="7"/>
  <c r="F8" i="6"/>
  <c r="F11" i="5"/>
  <c r="B21" i="5"/>
  <c r="B20" i="5"/>
  <c r="F9" i="6"/>
  <c r="G9" i="6"/>
  <c r="H9" i="6"/>
  <c r="I9" i="6"/>
  <c r="J9" i="6"/>
  <c r="J8" i="6"/>
  <c r="I8" i="6"/>
  <c r="H8" i="6"/>
  <c r="G8" i="6"/>
  <c r="E2" i="12"/>
  <c r="F9" i="7"/>
  <c r="F11" i="9" l="1"/>
  <c r="F12" i="9" s="1"/>
  <c r="F13" i="10" s="1"/>
  <c r="L7" i="7"/>
  <c r="M12" i="13"/>
  <c r="L6" i="7"/>
  <c r="L5" i="7"/>
  <c r="AB9" i="32"/>
  <c r="K6" i="13"/>
  <c r="AA8" i="32"/>
  <c r="I38" i="8"/>
  <c r="I27" i="8"/>
  <c r="I34" i="8"/>
  <c r="I24" i="5" s="1"/>
  <c r="I17" i="8"/>
  <c r="I19" i="5" s="1"/>
  <c r="I19" i="8"/>
  <c r="I21" i="5" s="1"/>
  <c r="I3" i="10"/>
  <c r="I21" i="8"/>
  <c r="I22" i="5" s="1"/>
  <c r="F2" i="12"/>
  <c r="E3" i="12"/>
  <c r="M16" i="8"/>
  <c r="N2" i="8"/>
  <c r="L17" i="6"/>
  <c r="L20" i="6" s="1"/>
  <c r="K26" i="6"/>
  <c r="K27" i="6" s="1"/>
  <c r="K22" i="6"/>
  <c r="K28" i="6" s="1"/>
  <c r="O2" i="6"/>
  <c r="O11" i="6" s="1"/>
  <c r="N11" i="6"/>
  <c r="N2" i="5"/>
  <c r="M10" i="5"/>
  <c r="M18" i="5" s="1"/>
  <c r="O2" i="13"/>
  <c r="O22" i="13" s="1"/>
  <c r="O31" i="13" s="1"/>
  <c r="O37" i="13" s="1"/>
  <c r="O43" i="13" s="1"/>
  <c r="O53" i="13" s="1"/>
  <c r="N22" i="13"/>
  <c r="N31" i="13" s="1"/>
  <c r="N37" i="13" s="1"/>
  <c r="N43" i="13" s="1"/>
  <c r="N53" i="13" s="1"/>
  <c r="L41" i="13"/>
  <c r="M20" i="13"/>
  <c r="F16" i="5"/>
  <c r="F15" i="9"/>
  <c r="F17" i="9" s="1"/>
  <c r="J17" i="7"/>
  <c r="H26" i="6"/>
  <c r="I17" i="6"/>
  <c r="I20" i="6" s="1"/>
  <c r="H22" i="6"/>
  <c r="H28" i="6" s="1"/>
  <c r="H27" i="6"/>
  <c r="I14" i="6"/>
  <c r="I25" i="6"/>
  <c r="J12" i="6"/>
  <c r="U8" i="32"/>
  <c r="E11" i="11"/>
  <c r="C42" i="8"/>
  <c r="C33" i="7"/>
  <c r="C17" i="13" s="1"/>
  <c r="C25" i="7"/>
  <c r="F18" i="13"/>
  <c r="F12" i="7" s="1"/>
  <c r="D11" i="13"/>
  <c r="D55" i="13"/>
  <c r="D21" i="7"/>
  <c r="D25" i="7" s="1"/>
  <c r="E47" i="13"/>
  <c r="F47" i="13" s="1"/>
  <c r="F6" i="8" s="1"/>
  <c r="E11" i="13"/>
  <c r="E10" i="11"/>
  <c r="F9" i="3"/>
  <c r="D22" i="13"/>
  <c r="D31" i="13" s="1"/>
  <c r="D37" i="13" s="1"/>
  <c r="D43" i="13" s="1"/>
  <c r="D53" i="13" s="1"/>
  <c r="F2" i="13"/>
  <c r="E22" i="13"/>
  <c r="E31" i="13" s="1"/>
  <c r="E37" i="13" s="1"/>
  <c r="E43" i="13" s="1"/>
  <c r="E53" i="13" s="1"/>
  <c r="F2" i="8"/>
  <c r="F11" i="6"/>
  <c r="F30" i="6" s="1"/>
  <c r="E11" i="6"/>
  <c r="E16" i="6" s="1"/>
  <c r="E24" i="6" s="1"/>
  <c r="F5" i="6"/>
  <c r="F10" i="8"/>
  <c r="G5" i="6"/>
  <c r="H25" i="13"/>
  <c r="G26" i="13"/>
  <c r="G6" i="6" s="1"/>
  <c r="G55" i="13"/>
  <c r="G14" i="13"/>
  <c r="G24" i="13"/>
  <c r="G4" i="6" s="1"/>
  <c r="D10" i="5"/>
  <c r="D18" i="5" s="1"/>
  <c r="E10" i="5"/>
  <c r="E18" i="5" s="1"/>
  <c r="F2" i="5"/>
  <c r="D30" i="6"/>
  <c r="D30" i="8"/>
  <c r="D44" i="8" s="1"/>
  <c r="C16" i="6"/>
  <c r="C24" i="6" s="1"/>
  <c r="E42" i="8"/>
  <c r="E30" i="8"/>
  <c r="C30" i="8"/>
  <c r="G10" i="8"/>
  <c r="H50" i="13"/>
  <c r="H10" i="8" s="1"/>
  <c r="F4" i="5"/>
  <c r="F7" i="8"/>
  <c r="G48" i="13"/>
  <c r="F45" i="13"/>
  <c r="F56" i="13"/>
  <c r="F46" i="13"/>
  <c r="E21" i="7"/>
  <c r="E25" i="7" s="1"/>
  <c r="F51" i="13"/>
  <c r="F57" i="13"/>
  <c r="G4" i="5" l="1"/>
  <c r="H4" i="5" s="1"/>
  <c r="I4" i="5" s="1"/>
  <c r="J4" i="5" s="1"/>
  <c r="K4" i="5" s="1"/>
  <c r="L4" i="5" s="1"/>
  <c r="M4" i="5" s="1"/>
  <c r="N4" i="5" s="1"/>
  <c r="O4" i="5" s="1"/>
  <c r="F8" i="5"/>
  <c r="N13" i="13"/>
  <c r="M7" i="7"/>
  <c r="N12" i="13"/>
  <c r="M6" i="7"/>
  <c r="M5" i="7"/>
  <c r="K7" i="13"/>
  <c r="K10" i="13"/>
  <c r="K4" i="7" s="1"/>
  <c r="K8" i="13"/>
  <c r="AB8" i="32"/>
  <c r="L6" i="13"/>
  <c r="AC9" i="32"/>
  <c r="I7" i="9"/>
  <c r="I11" i="10" s="1"/>
  <c r="J27" i="8"/>
  <c r="J17" i="8"/>
  <c r="J19" i="5" s="1"/>
  <c r="J19" i="8"/>
  <c r="J21" i="5" s="1"/>
  <c r="J21" i="8"/>
  <c r="J22" i="5" s="1"/>
  <c r="J38" i="8"/>
  <c r="J34" i="8"/>
  <c r="J24" i="5" s="1"/>
  <c r="J3" i="10"/>
  <c r="K17" i="7"/>
  <c r="I8" i="9"/>
  <c r="I12" i="10" s="1"/>
  <c r="I39" i="8"/>
  <c r="G2" i="12"/>
  <c r="F3" i="12"/>
  <c r="N16" i="8"/>
  <c r="O2" i="8"/>
  <c r="O16" i="8" s="1"/>
  <c r="N30" i="6"/>
  <c r="N16" i="6"/>
  <c r="N24" i="6" s="1"/>
  <c r="O16" i="6"/>
  <c r="O24" i="6" s="1"/>
  <c r="O30" i="6"/>
  <c r="L26" i="6"/>
  <c r="L27" i="6" s="1"/>
  <c r="L22" i="6"/>
  <c r="L28" i="6" s="1"/>
  <c r="M17" i="6"/>
  <c r="M20" i="6" s="1"/>
  <c r="O2" i="5"/>
  <c r="O10" i="5" s="1"/>
  <c r="O18" i="5" s="1"/>
  <c r="N10" i="5"/>
  <c r="N18" i="5" s="1"/>
  <c r="M41" i="13"/>
  <c r="N20" i="13"/>
  <c r="J25" i="6"/>
  <c r="J14" i="6"/>
  <c r="I27" i="6"/>
  <c r="I26" i="6"/>
  <c r="J17" i="6"/>
  <c r="J20" i="6" s="1"/>
  <c r="I22" i="6"/>
  <c r="I28" i="6" s="1"/>
  <c r="E30" i="6"/>
  <c r="C44" i="8"/>
  <c r="C36" i="7"/>
  <c r="C43" i="7" s="1"/>
  <c r="F39" i="13"/>
  <c r="G18" i="13"/>
  <c r="G12" i="7" s="1"/>
  <c r="G47" i="13"/>
  <c r="H47" i="13" s="1"/>
  <c r="H6" i="8" s="1"/>
  <c r="G2" i="13"/>
  <c r="F22" i="13"/>
  <c r="F31" i="13" s="1"/>
  <c r="F37" i="13" s="1"/>
  <c r="F43" i="13" s="1"/>
  <c r="F53" i="13" s="1"/>
  <c r="H18" i="13"/>
  <c r="G39" i="13"/>
  <c r="F16" i="8"/>
  <c r="G2" i="8"/>
  <c r="G11" i="6"/>
  <c r="F16" i="6"/>
  <c r="F24" i="6" s="1"/>
  <c r="E44" i="8"/>
  <c r="H26" i="13"/>
  <c r="I26" i="13" s="1"/>
  <c r="H5" i="6"/>
  <c r="I25" i="13"/>
  <c r="G6" i="7"/>
  <c r="G19" i="7" s="1"/>
  <c r="I50" i="13"/>
  <c r="J50" i="13" s="1"/>
  <c r="H24" i="13"/>
  <c r="H14" i="13"/>
  <c r="G8" i="7"/>
  <c r="G12" i="8"/>
  <c r="H55" i="13"/>
  <c r="G2" i="5"/>
  <c r="F10" i="5"/>
  <c r="F18" i="5" s="1"/>
  <c r="G3" i="5"/>
  <c r="G7" i="5" s="1"/>
  <c r="H4" i="6"/>
  <c r="I24" i="13"/>
  <c r="F5" i="8"/>
  <c r="G46" i="13"/>
  <c r="G45" i="13"/>
  <c r="H45" i="13" s="1"/>
  <c r="I45" i="13" s="1"/>
  <c r="J45" i="13" s="1"/>
  <c r="F4" i="8"/>
  <c r="F6" i="7"/>
  <c r="F19" i="7" s="1"/>
  <c r="F14" i="8"/>
  <c r="G57" i="13"/>
  <c r="G51" i="13"/>
  <c r="F9" i="8"/>
  <c r="E33" i="7"/>
  <c r="F13" i="8"/>
  <c r="G56" i="13"/>
  <c r="G7" i="8"/>
  <c r="H48" i="13"/>
  <c r="F23" i="7" l="1"/>
  <c r="F4" i="9" s="1"/>
  <c r="F8" i="10" s="1"/>
  <c r="F9" i="5"/>
  <c r="G11" i="9"/>
  <c r="G12" i="9" s="1"/>
  <c r="G13" i="10" s="1"/>
  <c r="N7" i="7"/>
  <c r="O13" i="13"/>
  <c r="O7" i="7" s="1"/>
  <c r="N6" i="7"/>
  <c r="O12" i="13"/>
  <c r="O6" i="7" s="1"/>
  <c r="O5" i="7"/>
  <c r="N5" i="7"/>
  <c r="L8" i="13"/>
  <c r="L7" i="13"/>
  <c r="L10" i="13"/>
  <c r="L4" i="7" s="1"/>
  <c r="M6" i="13"/>
  <c r="AD9" i="32"/>
  <c r="AC8" i="32"/>
  <c r="J39" i="8"/>
  <c r="J8" i="9"/>
  <c r="J12" i="10" s="1"/>
  <c r="J7" i="9"/>
  <c r="J11" i="10" s="1"/>
  <c r="K34" i="8"/>
  <c r="K24" i="5" s="1"/>
  <c r="K3" i="10"/>
  <c r="K17" i="8"/>
  <c r="K21" i="8"/>
  <c r="K22" i="5" s="1"/>
  <c r="L17" i="7"/>
  <c r="K18" i="7"/>
  <c r="K19" i="8"/>
  <c r="K21" i="5" s="1"/>
  <c r="K38" i="8"/>
  <c r="K27" i="8"/>
  <c r="K20" i="7"/>
  <c r="K19" i="7"/>
  <c r="H2" i="12"/>
  <c r="G3" i="12"/>
  <c r="M26" i="6"/>
  <c r="M27" i="6" s="1"/>
  <c r="N17" i="6"/>
  <c r="N20" i="6" s="1"/>
  <c r="M22" i="6"/>
  <c r="M28" i="6" s="1"/>
  <c r="O20" i="13"/>
  <c r="O41" i="13" s="1"/>
  <c r="N41" i="13"/>
  <c r="J26" i="6"/>
  <c r="J27" i="6" s="1"/>
  <c r="J22" i="6"/>
  <c r="J28" i="6" s="1"/>
  <c r="C42" i="7"/>
  <c r="I10" i="8"/>
  <c r="I47" i="13"/>
  <c r="J47" i="13" s="1"/>
  <c r="J6" i="8" s="1"/>
  <c r="G6" i="8"/>
  <c r="D36" i="7"/>
  <c r="D17" i="13"/>
  <c r="E36" i="7"/>
  <c r="E17" i="13"/>
  <c r="H2" i="13"/>
  <c r="G22" i="13"/>
  <c r="G31" i="13" s="1"/>
  <c r="G37" i="13" s="1"/>
  <c r="G43" i="13" s="1"/>
  <c r="G53" i="13" s="1"/>
  <c r="H39" i="13"/>
  <c r="I18" i="13"/>
  <c r="H12" i="7"/>
  <c r="G16" i="8"/>
  <c r="H2" i="8"/>
  <c r="G30" i="6"/>
  <c r="H11" i="6"/>
  <c r="H6" i="6"/>
  <c r="J25" i="13"/>
  <c r="I5" i="6"/>
  <c r="H12" i="8"/>
  <c r="I55" i="13"/>
  <c r="G5" i="7"/>
  <c r="G18" i="7" s="1"/>
  <c r="I14" i="13"/>
  <c r="H8" i="7"/>
  <c r="G7" i="7"/>
  <c r="G20" i="7" s="1"/>
  <c r="H6" i="7"/>
  <c r="H19" i="7" s="1"/>
  <c r="H2" i="5"/>
  <c r="I4" i="6"/>
  <c r="J24" i="13"/>
  <c r="H3" i="5"/>
  <c r="H7" i="5" s="1"/>
  <c r="H11" i="9" s="1"/>
  <c r="H12" i="9" s="1"/>
  <c r="H13" i="10" s="1"/>
  <c r="J10" i="8"/>
  <c r="J26" i="13"/>
  <c r="I6" i="6"/>
  <c r="H56" i="13"/>
  <c r="G13" i="8"/>
  <c r="F5" i="7"/>
  <c r="F18" i="7" s="1"/>
  <c r="H51" i="13"/>
  <c r="G9" i="8"/>
  <c r="H57" i="13"/>
  <c r="G14" i="8"/>
  <c r="F39" i="8"/>
  <c r="I48" i="13"/>
  <c r="H7" i="8"/>
  <c r="F7" i="7"/>
  <c r="F20" i="7" s="1"/>
  <c r="G4" i="8"/>
  <c r="H46" i="13"/>
  <c r="G5" i="8"/>
  <c r="F24" i="8" l="1"/>
  <c r="F28" i="8" s="1"/>
  <c r="G6" i="5"/>
  <c r="AD8" i="32"/>
  <c r="M8" i="13"/>
  <c r="M7" i="13"/>
  <c r="M10" i="13"/>
  <c r="M4" i="7" s="1"/>
  <c r="N6" i="13"/>
  <c r="AE9" i="32"/>
  <c r="K21" i="7"/>
  <c r="K33" i="8"/>
  <c r="K23" i="5" s="1"/>
  <c r="K20" i="8"/>
  <c r="K20" i="5" s="1"/>
  <c r="K39" i="8"/>
  <c r="K8" i="9"/>
  <c r="K12" i="10" s="1"/>
  <c r="L34" i="8"/>
  <c r="L24" i="5" s="1"/>
  <c r="L3" i="10"/>
  <c r="L17" i="8"/>
  <c r="L27" i="8"/>
  <c r="L38" i="8"/>
  <c r="L19" i="8"/>
  <c r="L21" i="5" s="1"/>
  <c r="L21" i="8"/>
  <c r="L22" i="5" s="1"/>
  <c r="L18" i="7"/>
  <c r="L19" i="7"/>
  <c r="L20" i="7"/>
  <c r="M17" i="7"/>
  <c r="K19" i="5"/>
  <c r="L7" i="9"/>
  <c r="L11" i="10" s="1"/>
  <c r="K7" i="9"/>
  <c r="K11" i="10" s="1"/>
  <c r="I2" i="12"/>
  <c r="H3" i="12"/>
  <c r="G8" i="12" s="1"/>
  <c r="N22" i="6"/>
  <c r="N28" i="6" s="1"/>
  <c r="O17" i="6"/>
  <c r="O20" i="6" s="1"/>
  <c r="N26" i="6"/>
  <c r="N27" i="6" s="1"/>
  <c r="G21" i="7"/>
  <c r="G33" i="8"/>
  <c r="G23" i="5" s="1"/>
  <c r="G20" i="8"/>
  <c r="G20" i="5" s="1"/>
  <c r="F21" i="7"/>
  <c r="F20" i="8"/>
  <c r="F20" i="5" s="1"/>
  <c r="F33" i="8"/>
  <c r="F23" i="5" s="1"/>
  <c r="D42" i="7"/>
  <c r="D43" i="7"/>
  <c r="E42" i="7"/>
  <c r="E43" i="7"/>
  <c r="I6" i="8"/>
  <c r="G17" i="13"/>
  <c r="F5" i="10"/>
  <c r="E4" i="11"/>
  <c r="L4" i="11" s="1"/>
  <c r="L5" i="11" s="1"/>
  <c r="L6" i="11" s="1"/>
  <c r="L7" i="11" s="1"/>
  <c r="I2" i="13"/>
  <c r="H22" i="13"/>
  <c r="H31" i="13" s="1"/>
  <c r="H37" i="13" s="1"/>
  <c r="H43" i="13" s="1"/>
  <c r="H53" i="13" s="1"/>
  <c r="I39" i="13"/>
  <c r="J18" i="13"/>
  <c r="I12" i="7"/>
  <c r="I2" i="8"/>
  <c r="H16" i="8"/>
  <c r="H30" i="6"/>
  <c r="J11" i="6"/>
  <c r="I11" i="6"/>
  <c r="J5" i="6"/>
  <c r="I6" i="7"/>
  <c r="I19" i="7" s="1"/>
  <c r="H7" i="7"/>
  <c r="H20" i="7" s="1"/>
  <c r="J14" i="13"/>
  <c r="I8" i="7"/>
  <c r="H5" i="7"/>
  <c r="H18" i="7" s="1"/>
  <c r="J55" i="13"/>
  <c r="I12" i="8"/>
  <c r="I2" i="5"/>
  <c r="I3" i="5"/>
  <c r="I7" i="5" s="1"/>
  <c r="I11" i="9" s="1"/>
  <c r="I12" i="9" s="1"/>
  <c r="I13" i="10" s="1"/>
  <c r="J4" i="6"/>
  <c r="J6" i="6"/>
  <c r="F19" i="13"/>
  <c r="J48" i="13"/>
  <c r="I7" i="8"/>
  <c r="H14" i="8"/>
  <c r="I57" i="13"/>
  <c r="I51" i="13"/>
  <c r="H9" i="8"/>
  <c r="I46" i="13"/>
  <c r="H5" i="8"/>
  <c r="H4" i="8"/>
  <c r="I56" i="13"/>
  <c r="H13" i="8"/>
  <c r="G8" i="5" l="1"/>
  <c r="G23" i="7" s="1"/>
  <c r="G4" i="9" s="1"/>
  <c r="G8" i="10" s="1"/>
  <c r="G9" i="5"/>
  <c r="K3" i="5"/>
  <c r="K7" i="5" s="1"/>
  <c r="K11" i="9" s="1"/>
  <c r="K12" i="9" s="1"/>
  <c r="K13" i="10" s="1"/>
  <c r="K25" i="5"/>
  <c r="F25" i="5"/>
  <c r="G25" i="5"/>
  <c r="G26" i="5" s="1"/>
  <c r="G6" i="9" s="1"/>
  <c r="G10" i="10" s="1"/>
  <c r="O6" i="13"/>
  <c r="AE8" i="32"/>
  <c r="AF9" i="32"/>
  <c r="N10" i="13"/>
  <c r="N4" i="7" s="1"/>
  <c r="N8" i="13"/>
  <c r="N7" i="13"/>
  <c r="L19" i="5"/>
  <c r="L21" i="7"/>
  <c r="L33" i="8"/>
  <c r="L23" i="5" s="1"/>
  <c r="L20" i="8"/>
  <c r="L20" i="5" s="1"/>
  <c r="L39" i="8"/>
  <c r="L8" i="9"/>
  <c r="L12" i="10" s="1"/>
  <c r="M34" i="8"/>
  <c r="M24" i="5" s="1"/>
  <c r="M3" i="10"/>
  <c r="M17" i="8"/>
  <c r="M27" i="8"/>
  <c r="M21" i="8"/>
  <c r="M22" i="5" s="1"/>
  <c r="M19" i="8"/>
  <c r="M21" i="5" s="1"/>
  <c r="M38" i="8"/>
  <c r="M18" i="7"/>
  <c r="M19" i="7"/>
  <c r="M20" i="7"/>
  <c r="N17" i="7"/>
  <c r="M7" i="9"/>
  <c r="M11" i="10" s="1"/>
  <c r="K4" i="10"/>
  <c r="K7" i="10" s="1"/>
  <c r="K33" i="7"/>
  <c r="J2" i="12"/>
  <c r="I3" i="12"/>
  <c r="O22" i="6"/>
  <c r="O28" i="6" s="1"/>
  <c r="O26" i="6"/>
  <c r="O27" i="6" s="1"/>
  <c r="F26" i="5"/>
  <c r="F6" i="9" s="1"/>
  <c r="F10" i="10" s="1"/>
  <c r="H33" i="8"/>
  <c r="H23" i="5" s="1"/>
  <c r="H20" i="8"/>
  <c r="H20" i="5" s="1"/>
  <c r="H25" i="5" s="1"/>
  <c r="H21" i="7"/>
  <c r="G4" i="10"/>
  <c r="G7" i="10" s="1"/>
  <c r="G33" i="7"/>
  <c r="G25" i="7"/>
  <c r="F25" i="7"/>
  <c r="F33" i="7"/>
  <c r="F4" i="10"/>
  <c r="G11" i="7"/>
  <c r="H17" i="13"/>
  <c r="J2" i="13"/>
  <c r="J22" i="13" s="1"/>
  <c r="J31" i="13" s="1"/>
  <c r="J37" i="13" s="1"/>
  <c r="J43" i="13" s="1"/>
  <c r="J53" i="13" s="1"/>
  <c r="I22" i="13"/>
  <c r="I31" i="13" s="1"/>
  <c r="I37" i="13" s="1"/>
  <c r="I43" i="13" s="1"/>
  <c r="I53" i="13" s="1"/>
  <c r="J39" i="13"/>
  <c r="J12" i="7"/>
  <c r="G19" i="13"/>
  <c r="G40" i="13" s="1"/>
  <c r="F40" i="13"/>
  <c r="I16" i="8"/>
  <c r="J2" i="8"/>
  <c r="J16" i="8" s="1"/>
  <c r="I30" i="6"/>
  <c r="J30" i="6"/>
  <c r="J12" i="8"/>
  <c r="I5" i="7"/>
  <c r="I18" i="7" s="1"/>
  <c r="J8" i="7"/>
  <c r="I7" i="7"/>
  <c r="I20" i="7" s="1"/>
  <c r="J6" i="7"/>
  <c r="J19" i="7" s="1"/>
  <c r="J2" i="5"/>
  <c r="J3" i="5"/>
  <c r="J7" i="5" s="1"/>
  <c r="J11" i="9" s="1"/>
  <c r="J12" i="9" s="1"/>
  <c r="J13" i="10" s="1"/>
  <c r="I4" i="8"/>
  <c r="F20" i="13"/>
  <c r="I5" i="8"/>
  <c r="J46" i="13"/>
  <c r="J51" i="13"/>
  <c r="I9" i="8"/>
  <c r="I14" i="8"/>
  <c r="J57" i="13"/>
  <c r="J7" i="8"/>
  <c r="J56" i="13"/>
  <c r="I13" i="8"/>
  <c r="F11" i="7"/>
  <c r="E12" i="11"/>
  <c r="F13" i="7"/>
  <c r="G24" i="8" l="1"/>
  <c r="G28" i="8" s="1"/>
  <c r="H6" i="5"/>
  <c r="H8" i="5" s="1"/>
  <c r="H23" i="7" s="1"/>
  <c r="H4" i="9" s="1"/>
  <c r="H8" i="10" s="1"/>
  <c r="H9" i="5"/>
  <c r="H24" i="8" s="1"/>
  <c r="H28" i="8" s="1"/>
  <c r="L3" i="5"/>
  <c r="L7" i="5" s="1"/>
  <c r="L11" i="9" s="1"/>
  <c r="L12" i="9" s="1"/>
  <c r="L13" i="10" s="1"/>
  <c r="I6" i="5"/>
  <c r="G15" i="10"/>
  <c r="E4" i="12" s="1"/>
  <c r="H26" i="5"/>
  <c r="H6" i="9" s="1"/>
  <c r="H10" i="10" s="1"/>
  <c r="AF8" i="32"/>
  <c r="O8" i="13"/>
  <c r="O10" i="13"/>
  <c r="O4" i="7" s="1"/>
  <c r="O7" i="13"/>
  <c r="M21" i="7"/>
  <c r="M4" i="10" s="1"/>
  <c r="M7" i="10" s="1"/>
  <c r="K35" i="7"/>
  <c r="K36" i="7"/>
  <c r="N17" i="8"/>
  <c r="N19" i="5" s="1"/>
  <c r="N3" i="10"/>
  <c r="N21" i="8"/>
  <c r="N22" i="5" s="1"/>
  <c r="N38" i="8"/>
  <c r="N19" i="8"/>
  <c r="N21" i="5" s="1"/>
  <c r="N27" i="8"/>
  <c r="N34" i="8"/>
  <c r="N24" i="5" s="1"/>
  <c r="N18" i="7"/>
  <c r="O17" i="7"/>
  <c r="N19" i="7"/>
  <c r="N20" i="7"/>
  <c r="M39" i="8"/>
  <c r="M8" i="9"/>
  <c r="M12" i="10" s="1"/>
  <c r="L4" i="10"/>
  <c r="L7" i="10" s="1"/>
  <c r="L33" i="7"/>
  <c r="L25" i="5"/>
  <c r="M33" i="8"/>
  <c r="M23" i="5" s="1"/>
  <c r="M20" i="8"/>
  <c r="M20" i="5" s="1"/>
  <c r="M19" i="5"/>
  <c r="K2" i="12"/>
  <c r="J3" i="12"/>
  <c r="G35" i="7"/>
  <c r="G36" i="7" s="1"/>
  <c r="H4" i="10"/>
  <c r="H7" i="10" s="1"/>
  <c r="H33" i="7"/>
  <c r="I20" i="8"/>
  <c r="I20" i="5" s="1"/>
  <c r="I33" i="8"/>
  <c r="I23" i="5" s="1"/>
  <c r="I21" i="7"/>
  <c r="F35" i="7"/>
  <c r="F36" i="7" s="1"/>
  <c r="H11" i="7"/>
  <c r="I17" i="13"/>
  <c r="G13" i="7"/>
  <c r="G41" i="13"/>
  <c r="F41" i="13"/>
  <c r="H19" i="13"/>
  <c r="H40" i="13" s="1"/>
  <c r="G14" i="7"/>
  <c r="J7" i="7"/>
  <c r="J20" i="7" s="1"/>
  <c r="J5" i="7"/>
  <c r="J18" i="7" s="1"/>
  <c r="J9" i="8"/>
  <c r="M4" i="11"/>
  <c r="J14" i="8"/>
  <c r="J13" i="8"/>
  <c r="F7" i="10"/>
  <c r="F15" i="10" s="1"/>
  <c r="D4" i="12" s="1"/>
  <c r="J5" i="8"/>
  <c r="F14" i="7"/>
  <c r="J4" i="8"/>
  <c r="H25" i="7" l="1"/>
  <c r="H15" i="10"/>
  <c r="F4" i="12" s="1"/>
  <c r="M33" i="7"/>
  <c r="I8" i="5"/>
  <c r="I23" i="7" s="1"/>
  <c r="I4" i="9" s="1"/>
  <c r="I8" i="10" s="1"/>
  <c r="I9" i="5"/>
  <c r="M3" i="5"/>
  <c r="M7" i="5" s="1"/>
  <c r="M11" i="9" s="1"/>
  <c r="M12" i="9" s="1"/>
  <c r="N21" i="7"/>
  <c r="N33" i="7" s="1"/>
  <c r="N35" i="7" s="1"/>
  <c r="N36" i="7" s="1"/>
  <c r="L26" i="5"/>
  <c r="L6" i="9" s="1"/>
  <c r="L10" i="10" s="1"/>
  <c r="N33" i="8"/>
  <c r="N23" i="5" s="1"/>
  <c r="N20" i="8"/>
  <c r="N20" i="5" s="1"/>
  <c r="M13" i="10"/>
  <c r="O17" i="8"/>
  <c r="O19" i="5" s="1"/>
  <c r="O3" i="10"/>
  <c r="O21" i="8"/>
  <c r="O22" i="5" s="1"/>
  <c r="O34" i="8"/>
  <c r="O24" i="5" s="1"/>
  <c r="O38" i="8"/>
  <c r="O19" i="8"/>
  <c r="O21" i="5" s="1"/>
  <c r="O27" i="8"/>
  <c r="O19" i="7"/>
  <c r="O18" i="7"/>
  <c r="O20" i="7"/>
  <c r="N39" i="8"/>
  <c r="N8" i="9"/>
  <c r="N12" i="10" s="1"/>
  <c r="O7" i="9"/>
  <c r="O11" i="10" s="1"/>
  <c r="K3" i="9"/>
  <c r="K42" i="7"/>
  <c r="K43" i="7"/>
  <c r="K14" i="5"/>
  <c r="M25" i="5"/>
  <c r="L35" i="7"/>
  <c r="L36" i="7" s="1"/>
  <c r="M35" i="7"/>
  <c r="M36" i="7" s="1"/>
  <c r="N7" i="9"/>
  <c r="N11" i="10" s="1"/>
  <c r="L2" i="12"/>
  <c r="K3" i="12"/>
  <c r="G14" i="5"/>
  <c r="G43" i="7"/>
  <c r="G42" i="7"/>
  <c r="J20" i="8"/>
  <c r="J20" i="5" s="1"/>
  <c r="J33" i="8"/>
  <c r="J23" i="5" s="1"/>
  <c r="J21" i="7"/>
  <c r="I4" i="10"/>
  <c r="I7" i="10" s="1"/>
  <c r="I33" i="7"/>
  <c r="I25" i="5"/>
  <c r="H35" i="7"/>
  <c r="H36" i="7" s="1"/>
  <c r="F14" i="5"/>
  <c r="F17" i="5" s="1"/>
  <c r="F43" i="7"/>
  <c r="F42" i="7"/>
  <c r="I19" i="13"/>
  <c r="I40" i="13" s="1"/>
  <c r="H41" i="13"/>
  <c r="H13" i="7"/>
  <c r="J17" i="13"/>
  <c r="J11" i="7" s="1"/>
  <c r="I11" i="7"/>
  <c r="H14" i="7"/>
  <c r="I41" i="13"/>
  <c r="J19" i="13"/>
  <c r="J40" i="13" s="1"/>
  <c r="I13" i="7"/>
  <c r="F3" i="9"/>
  <c r="F9" i="9" s="1"/>
  <c r="F19" i="9" s="1"/>
  <c r="F22" i="9" s="1"/>
  <c r="F23" i="9" s="1"/>
  <c r="M5" i="11"/>
  <c r="N25" i="5" l="1"/>
  <c r="I25" i="7"/>
  <c r="O3" i="5"/>
  <c r="O7" i="5" s="1"/>
  <c r="N3" i="5"/>
  <c r="N7" i="5" s="1"/>
  <c r="N11" i="9" s="1"/>
  <c r="N12" i="9" s="1"/>
  <c r="I24" i="8"/>
  <c r="I28" i="8" s="1"/>
  <c r="J6" i="5"/>
  <c r="N4" i="10"/>
  <c r="N7" i="10" s="1"/>
  <c r="M3" i="9"/>
  <c r="M42" i="7"/>
  <c r="M43" i="7"/>
  <c r="M14" i="5"/>
  <c r="L3" i="9"/>
  <c r="L43" i="7"/>
  <c r="L14" i="5"/>
  <c r="L42" i="7"/>
  <c r="N3" i="9"/>
  <c r="N42" i="7"/>
  <c r="N14" i="5"/>
  <c r="N43" i="7"/>
  <c r="O11" i="9"/>
  <c r="O12" i="9" s="1"/>
  <c r="N13" i="10"/>
  <c r="J25" i="5"/>
  <c r="K26" i="5" s="1"/>
  <c r="K6" i="9" s="1"/>
  <c r="K10" i="10" s="1"/>
  <c r="O21" i="7"/>
  <c r="O33" i="8"/>
  <c r="O23" i="5" s="1"/>
  <c r="O20" i="8"/>
  <c r="O20" i="5" s="1"/>
  <c r="O39" i="8"/>
  <c r="O8" i="9"/>
  <c r="O12" i="10" s="1"/>
  <c r="N26" i="5"/>
  <c r="N6" i="9" s="1"/>
  <c r="N10" i="10" s="1"/>
  <c r="M26" i="5"/>
  <c r="M6" i="9" s="1"/>
  <c r="M10" i="10" s="1"/>
  <c r="M2" i="12"/>
  <c r="M3" i="12" s="1"/>
  <c r="L3" i="12"/>
  <c r="H42" i="7"/>
  <c r="H14" i="5"/>
  <c r="H43" i="7"/>
  <c r="I26" i="5"/>
  <c r="I6" i="9" s="1"/>
  <c r="I10" i="10" s="1"/>
  <c r="I15" i="10" s="1"/>
  <c r="G4" i="12" s="1"/>
  <c r="I35" i="7"/>
  <c r="I36" i="7" s="1"/>
  <c r="J4" i="10"/>
  <c r="J7" i="10" s="1"/>
  <c r="J33" i="7"/>
  <c r="F18" i="8"/>
  <c r="G21" i="9" s="1"/>
  <c r="F32" i="8"/>
  <c r="F41" i="8"/>
  <c r="G13" i="5"/>
  <c r="G17" i="5" s="1"/>
  <c r="J13" i="7"/>
  <c r="J41" i="13"/>
  <c r="I14" i="7"/>
  <c r="G3" i="9"/>
  <c r="G9" i="9" s="1"/>
  <c r="G19" i="9" s="1"/>
  <c r="G22" i="9" s="1"/>
  <c r="M6" i="11"/>
  <c r="M7" i="11"/>
  <c r="J8" i="5" l="1"/>
  <c r="J23" i="7" s="1"/>
  <c r="J26" i="5"/>
  <c r="J6" i="9" s="1"/>
  <c r="J10" i="10" s="1"/>
  <c r="O25" i="5"/>
  <c r="O26" i="5" s="1"/>
  <c r="O6" i="9" s="1"/>
  <c r="O10" i="10" s="1"/>
  <c r="O4" i="10"/>
  <c r="O7" i="10" s="1"/>
  <c r="O33" i="7"/>
  <c r="O13" i="10"/>
  <c r="G23" i="9"/>
  <c r="G32" i="8" s="1"/>
  <c r="J35" i="7"/>
  <c r="J36" i="7" s="1"/>
  <c r="I42" i="7"/>
  <c r="I43" i="7"/>
  <c r="I14" i="5"/>
  <c r="H13" i="5"/>
  <c r="H17" i="5" s="1"/>
  <c r="G41" i="8"/>
  <c r="F31" i="6"/>
  <c r="F33" i="6" s="1"/>
  <c r="J14" i="7"/>
  <c r="M9" i="11"/>
  <c r="M11" i="11" s="1"/>
  <c r="E8" i="11" s="1"/>
  <c r="E13" i="11" s="1"/>
  <c r="H3" i="9"/>
  <c r="H9" i="9" s="1"/>
  <c r="H19" i="9" s="1"/>
  <c r="H22" i="9" s="1"/>
  <c r="F22" i="8"/>
  <c r="F30" i="8" s="1"/>
  <c r="F35" i="8"/>
  <c r="J9" i="5" l="1"/>
  <c r="K6" i="5" s="1"/>
  <c r="J24" i="8"/>
  <c r="J28" i="8" s="1"/>
  <c r="J4" i="9"/>
  <c r="J8" i="10" s="1"/>
  <c r="J15" i="10" s="1"/>
  <c r="H4" i="12" s="1"/>
  <c r="J25" i="7"/>
  <c r="O35" i="7"/>
  <c r="O36" i="7" s="1"/>
  <c r="J42" i="7"/>
  <c r="J14" i="5"/>
  <c r="J43" i="7"/>
  <c r="G35" i="8"/>
  <c r="G42" i="8" s="1"/>
  <c r="G18" i="8"/>
  <c r="H21" i="9" s="1"/>
  <c r="H23" i="9" s="1"/>
  <c r="H32" i="8" s="1"/>
  <c r="I13" i="5"/>
  <c r="I17" i="5" s="1"/>
  <c r="H41" i="8"/>
  <c r="F42" i="8"/>
  <c r="F44" i="8" s="1"/>
  <c r="J3" i="9"/>
  <c r="J9" i="9" s="1"/>
  <c r="J19" i="9" s="1"/>
  <c r="J22" i="9" s="1"/>
  <c r="I3" i="9"/>
  <c r="I9" i="9" s="1"/>
  <c r="I19" i="9" s="1"/>
  <c r="I22" i="9" s="1"/>
  <c r="K8" i="5" l="1"/>
  <c r="K23" i="7" s="1"/>
  <c r="O3" i="9"/>
  <c r="O42" i="7"/>
  <c r="O14" i="5"/>
  <c r="O43" i="7"/>
  <c r="G22" i="8"/>
  <c r="G30" i="8" s="1"/>
  <c r="G44" i="8" s="1"/>
  <c r="J13" i="5"/>
  <c r="J17" i="5" s="1"/>
  <c r="I41" i="8"/>
  <c r="K9" i="5" l="1"/>
  <c r="K4" i="9"/>
  <c r="K25" i="7"/>
  <c r="J41" i="8"/>
  <c r="K13" i="5"/>
  <c r="K17" i="5" s="1"/>
  <c r="H18" i="8"/>
  <c r="I21" i="9" s="1"/>
  <c r="I23" i="9" s="1"/>
  <c r="I32" i="8" s="1"/>
  <c r="H35" i="8"/>
  <c r="H42" i="8" s="1"/>
  <c r="F10" i="13"/>
  <c r="K8" i="10" l="1"/>
  <c r="K15" i="10" s="1"/>
  <c r="I4" i="12" s="1"/>
  <c r="K9" i="9"/>
  <c r="K19" i="9" s="1"/>
  <c r="K22" i="9" s="1"/>
  <c r="L6" i="5"/>
  <c r="K24" i="8"/>
  <c r="K28" i="8" s="1"/>
  <c r="L13" i="5"/>
  <c r="L17" i="5" s="1"/>
  <c r="K41" i="8"/>
  <c r="H22" i="8"/>
  <c r="H30" i="8" s="1"/>
  <c r="H44" i="8" s="1"/>
  <c r="F4" i="7"/>
  <c r="L8" i="5" l="1"/>
  <c r="L23" i="7" s="1"/>
  <c r="L9" i="5"/>
  <c r="M13" i="5"/>
  <c r="M17" i="5" s="1"/>
  <c r="L41" i="8"/>
  <c r="I35" i="8"/>
  <c r="I42" i="8" s="1"/>
  <c r="I18" i="8"/>
  <c r="J21" i="9" s="1"/>
  <c r="J23" i="9" s="1"/>
  <c r="J32" i="8" s="1"/>
  <c r="L24" i="8" l="1"/>
  <c r="L28" i="8" s="1"/>
  <c r="M6" i="5"/>
  <c r="L25" i="7"/>
  <c r="L4" i="9"/>
  <c r="N13" i="5"/>
  <c r="N17" i="5" s="1"/>
  <c r="M41" i="8"/>
  <c r="I22" i="8"/>
  <c r="I30" i="8" s="1"/>
  <c r="I44" i="8" s="1"/>
  <c r="L8" i="10" l="1"/>
  <c r="L15" i="10" s="1"/>
  <c r="J4" i="12" s="1"/>
  <c r="L9" i="9"/>
  <c r="L19" i="9" s="1"/>
  <c r="L22" i="9" s="1"/>
  <c r="M8" i="5"/>
  <c r="M23" i="7" s="1"/>
  <c r="M9" i="5"/>
  <c r="O13" i="5"/>
  <c r="O17" i="5" s="1"/>
  <c r="O41" i="8" s="1"/>
  <c r="N41" i="8"/>
  <c r="J35" i="8"/>
  <c r="J42" i="8" s="1"/>
  <c r="J18" i="8"/>
  <c r="N6" i="5" l="1"/>
  <c r="M24" i="8"/>
  <c r="M28" i="8" s="1"/>
  <c r="M25" i="7"/>
  <c r="M4" i="9"/>
  <c r="J22" i="8"/>
  <c r="J30" i="8" s="1"/>
  <c r="J44" i="8" s="1"/>
  <c r="K21" i="9"/>
  <c r="K23" i="9" s="1"/>
  <c r="M9" i="9" l="1"/>
  <c r="M19" i="9" s="1"/>
  <c r="M22" i="9" s="1"/>
  <c r="M8" i="10"/>
  <c r="M15" i="10" s="1"/>
  <c r="K4" i="12" s="1"/>
  <c r="N8" i="5"/>
  <c r="N23" i="7" s="1"/>
  <c r="K18" i="8"/>
  <c r="K32" i="8"/>
  <c r="K35" i="8" s="1"/>
  <c r="K42" i="8" s="1"/>
  <c r="N9" i="5" l="1"/>
  <c r="O6" i="5" s="1"/>
  <c r="N4" i="9"/>
  <c r="N25" i="7"/>
  <c r="L21" i="9"/>
  <c r="L23" i="9" s="1"/>
  <c r="K22" i="8"/>
  <c r="K30" i="8" s="1"/>
  <c r="K44" i="8" s="1"/>
  <c r="N24" i="8" l="1"/>
  <c r="N28" i="8" s="1"/>
  <c r="N9" i="9"/>
  <c r="N19" i="9" s="1"/>
  <c r="N22" i="9" s="1"/>
  <c r="N8" i="10"/>
  <c r="N15" i="10" s="1"/>
  <c r="L4" i="12" s="1"/>
  <c r="O8" i="5"/>
  <c r="O23" i="7" s="1"/>
  <c r="L18" i="8"/>
  <c r="L32" i="8"/>
  <c r="L35" i="8" s="1"/>
  <c r="L42" i="8" s="1"/>
  <c r="O9" i="5" l="1"/>
  <c r="O24" i="8" s="1"/>
  <c r="O28" i="8" s="1"/>
  <c r="O25" i="7"/>
  <c r="O4" i="9"/>
  <c r="M21" i="9"/>
  <c r="M23" i="9" s="1"/>
  <c r="L22" i="8"/>
  <c r="L30" i="8" s="1"/>
  <c r="L44" i="8" s="1"/>
  <c r="O9" i="9" l="1"/>
  <c r="O19" i="9" s="1"/>
  <c r="O22" i="9" s="1"/>
  <c r="O8" i="10"/>
  <c r="O15" i="10" s="1"/>
  <c r="M4" i="12" s="1"/>
  <c r="M18" i="8"/>
  <c r="M32" i="8"/>
  <c r="M35" i="8" s="1"/>
  <c r="M42" i="8" s="1"/>
  <c r="M5" i="12" l="1"/>
  <c r="C8" i="12" s="1"/>
  <c r="C7" i="12"/>
  <c r="N21" i="9"/>
  <c r="N23" i="9" s="1"/>
  <c r="M22" i="8"/>
  <c r="M30" i="8" s="1"/>
  <c r="M44" i="8" s="1"/>
  <c r="C9" i="12" l="1"/>
  <c r="C15" i="12" s="1"/>
  <c r="C18" i="12" s="1"/>
  <c r="G7" i="12"/>
  <c r="N18" i="8"/>
  <c r="N32" i="8"/>
  <c r="N35" i="8" s="1"/>
  <c r="N42" i="8" s="1"/>
  <c r="G9" i="12" l="1"/>
  <c r="G15" i="12" s="1"/>
  <c r="G18" i="12" s="1"/>
  <c r="C26" i="12"/>
  <c r="J5" i="3"/>
  <c r="J6" i="3" s="1"/>
  <c r="O21" i="9"/>
  <c r="O23" i="9" s="1"/>
  <c r="N22" i="8"/>
  <c r="N30" i="8" s="1"/>
  <c r="N44" i="8" s="1"/>
  <c r="I5" i="3" l="1"/>
  <c r="H26" i="12"/>
  <c r="K5" i="3"/>
  <c r="K6" i="3" s="1"/>
  <c r="I6" i="3"/>
  <c r="O18" i="8"/>
  <c r="O22" i="8" s="1"/>
  <c r="O30" i="8" s="1"/>
  <c r="O32" i="8"/>
  <c r="O35" i="8" s="1"/>
  <c r="O42" i="8" s="1"/>
  <c r="O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<sst xmlns="http://schemas.openxmlformats.org/spreadsheetml/2006/main" count="417" uniqueCount="231">
  <si>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</si>
  <si>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</si>
  <si>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</si>
  <si>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</si>
  <si>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</si>
  <si>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</si>
  <si>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</si>
  <si>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</si>
  <si>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</si>
  <si>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</si>
  <si>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</si>
  <si>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</si>
  <si>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</si>
  <si>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</si>
  <si>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</si>
  <si>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</si>
  <si>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</si>
  <si>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</si>
  <si>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</si>
  <si>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</si>
  <si>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</si>
  <si>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</si>
  <si>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</si>
  <si>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</si>
  <si>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</si>
  <si>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</si>
  <si>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</si>
  <si>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</si>
  <si>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</si>
  <si>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</si>
  <si>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</si>
  <si>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</si>
  <si>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</si>
  <si>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</si>
  <si>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</si>
  <si>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</si>
  <si>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</si>
  <si>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</si>
  <si>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</si>
  <si>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</si>
  <si>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</si>
  <si>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</si>
  <si>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</si>
  <si>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</si>
  <si>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</si>
  <si>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</si>
  <si>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</si>
  <si>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</si>
  <si>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</si>
  <si>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</si>
  <si>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</si>
  <si>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</si>
  <si>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</si>
  <si>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</si>
  <si>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</si>
  <si>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</si>
  <si>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</si>
  <si>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</si>
  <si>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</si>
  <si>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</si>
  <si>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</si>
  <si>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</si>
  <si>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</si>
  <si>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</si>
  <si>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</si>
  <si>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</si>
  <si>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</si>
  <si>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</si>
  <si>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</si>
  <si>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</si>
  <si>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</si>
  <si>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</si>
  <si>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</si>
  <si>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</si>
  <si>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</si>
  <si>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</si>
  <si>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</si>
  <si>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</si>
  <si>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</si>
  <si>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</si>
  <si>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</si>
  <si>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</si>
  <si>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</si>
  <si>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</si>
  <si>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</si>
  <si>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</si>
  <si>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</si>
  <si>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</si>
  <si>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</si>
  <si>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</si>
  <si>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</si>
  <si>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</si>
  <si>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</si>
  <si>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</si>
  <si>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</si>
  <si>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</si>
  <si>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</si>
  <si>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</si>
  <si>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</si>
  <si>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</si>
  <si>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</si>
  <si>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</si>
  <si>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</si>
  <si>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</si>
  <si>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</si>
  <si>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</si>
  <si>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</si>
  <si>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</si>
  <si>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</si>
  <si>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</si>
  <si>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</si>
  <si>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</si>
  <si>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</si>
  <si>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</si>
  <si>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</si>
  <si>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</si>
  <si>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</si>
  <si>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</si>
  <si>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</si>
  <si>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</si>
  <si>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</si>
  <si>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</si>
  <si>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</si>
  <si>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</si>
  <si>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</si>
  <si>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</si>
  <si>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</si>
  <si>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</si>
  <si>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</si>
  <si>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</si>
  <si>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</si>
  <si>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</si>
  <si>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</si>
  <si>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</si>
  <si>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</si>
  <si>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</si>
  <si>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</si>
  <si>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</si>
  <si>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</si>
  <si>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</si>
  <si>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</si>
  <si>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</si>
  <si>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</si>
  <si>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</si>
  <si>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</si>
  <si>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</si>
  <si>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</si>
  <si>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</si>
  <si>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</si>
  <si>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</si>
  <si>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</si>
  <si>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</si>
  <si>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</si>
  <si>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</si>
  <si>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</si>
  <si>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</si>
  <si>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</si>
  <si>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</si>
  <si>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</si>
  <si>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</si>
  <si>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</si>
  <si>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</si>
  <si>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</si>
  <si>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</si>
  <si>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</si>
  <si>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</si>
  <si>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</si>
  <si>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</si>
  <si>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</si>
  <si>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</si>
  <si>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</si>
  <si>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</si>
  <si>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</si>
  <si>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</si>
  <si>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</si>
  <si>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</si>
  <si>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</si>
  <si>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</si>
  <si>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</si>
  <si>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R&amp;D</t>
  </si>
  <si>
    <t>R&amp;D % of sales</t>
  </si>
  <si>
    <t>Investments in unconsolidated entities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</si>
  <si>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</si>
  <si>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</si>
  <si>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</si>
  <si>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</si>
  <si>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</si>
  <si>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</si>
  <si>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</si>
  <si>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</si>
  <si>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Intel Corp.</t>
  </si>
  <si>
    <t>CCG</t>
  </si>
  <si>
    <t>DCAI</t>
  </si>
  <si>
    <t>Intel Foundry</t>
  </si>
  <si>
    <t>Other</t>
  </si>
  <si>
    <t>Eliminations</t>
  </si>
  <si>
    <t>TOTAL REVENUES</t>
  </si>
  <si>
    <t>Q123</t>
  </si>
  <si>
    <t>Q223</t>
  </si>
  <si>
    <t>Q122</t>
  </si>
  <si>
    <t>Q222</t>
  </si>
  <si>
    <t>Q322</t>
  </si>
  <si>
    <t>Q422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</si>
  <si>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</si>
  <si>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</si>
  <si>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</si>
  <si>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</si>
  <si>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</si>
  <si>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</si>
  <si>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</si>
  <si>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</si>
  <si>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</si>
  <si>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</si>
  <si>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y/y</t>
  </si>
  <si>
    <t>(inc) / dec in LT Assets</t>
  </si>
  <si>
    <t>inc / (dec) in LT liabilities</t>
  </si>
  <si>
    <t>Cash Flow From Operations</t>
  </si>
  <si>
    <t xml:space="preserve">Capex </t>
  </si>
  <si>
    <t>Cash Flow From Investing</t>
  </si>
  <si>
    <t>Cash Flow From Financing</t>
  </si>
  <si>
    <t>Dividends Paid</t>
  </si>
  <si>
    <t>Debt issuance / (repayments)</t>
  </si>
  <si>
    <t>Net Changes in Cash</t>
  </si>
  <si>
    <t>Beginning Balance</t>
  </si>
  <si>
    <t>Ending Balance</t>
  </si>
  <si>
    <t>Average</t>
  </si>
  <si>
    <t>LTGR</t>
  </si>
  <si>
    <t>Exit Mult.</t>
  </si>
  <si>
    <t>Sum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</si>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</sst>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74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73" fontId="45" fillId="0" borderId="0" xfId="0" applyNumberFormat="1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9" fontId="40" fillId="0" borderId="18" xfId="0" applyNumberFormat="1" applyFont="1" applyBorder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69" fontId="40" fillId="0" borderId="0" xfId="4" applyFont="1" applyBorder="1"/>
    <xf numFmtId="178" fontId="33" fillId="34" borderId="0" xfId="0" applyNumberFormat="1" applyFont="1" applyFill="1"/>
    <xf numFmtId="167" fontId="45" fillId="35" borderId="0" xfId="0" applyFont="1" applyFill="1"/>
    <xf numFmtId="175" fontId="33" fillId="0" borderId="0" xfId="0" applyNumberFormat="1" applyFont="1"/>
    <xf numFmtId="175" fontId="59" fillId="0" borderId="0" xfId="3" applyNumberFormat="1" applyFont="1" applyFill="1" applyBorder="1"/>
    <xf numFmtId="173" fontId="56" fillId="40" borderId="1" xfId="0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38" fillId="0" borderId="0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2" fontId="38" fillId="0" borderId="16" xfId="57" applyNumberFormat="1" applyFont="1" applyBorder="1"/>
    <xf numFmtId="166" fontId="37" fillId="0" borderId="0" xfId="0" applyNumberFormat="1" applyFont="1" applyBorder="1"/>
    <xf numFmtId="178" fontId="33" fillId="42" borderId="0" xfId="0" applyNumberFormat="1" applyFont="1" applyFill="1"/>
    <xf numFmtId="178" fontId="33" fillId="42" borderId="0" xfId="0" applyNumberFormat="1" applyFont="1" applyFill="1" applyAlignment="1">
      <alignment horizontal="right"/>
    </xf>
    <xf numFmtId="178" fontId="33" fillId="0" borderId="0" xfId="0" applyNumberFormat="1" applyFont="1" applyFill="1"/>
    <xf numFmtId="37" fontId="39" fillId="0" borderId="0" xfId="0" applyNumberFormat="1" applyFont="1"/>
    <xf numFmtId="37" fontId="39" fillId="0" borderId="18" xfId="0" applyNumberFormat="1" applyFont="1" applyBorder="1"/>
    <xf numFmtId="37" fontId="39" fillId="0" borderId="0" xfId="0" applyNumberFormat="1" applyFont="1" applyBorder="1"/>
    <xf numFmtId="37" fontId="45" fillId="0" borderId="0" xfId="0" applyNumberFormat="1" applyFont="1"/>
    <xf numFmtId="37" fontId="45" fillId="0" borderId="18" xfId="0" applyNumberFormat="1" applyFont="1" applyBorder="1"/>
    <xf numFmtId="37" fontId="45" fillId="0" borderId="0" xfId="0" applyNumberFormat="1" applyFont="1" applyBorder="1"/>
    <xf numFmtId="37" fontId="45" fillId="0" borderId="21" xfId="0" applyNumberFormat="1" applyFont="1" applyBorder="1"/>
    <xf numFmtId="37" fontId="45" fillId="0" borderId="23" xfId="0" applyNumberFormat="1" applyFont="1" applyBorder="1"/>
    <xf numFmtId="9" fontId="39" fillId="0" borderId="15" xfId="0" applyNumberFormat="1" applyFont="1" applyBorder="1"/>
    <xf numFmtId="9" fontId="39" fillId="43" borderId="15" xfId="0" applyNumberFormat="1" applyFont="1" applyFill="1" applyBorder="1"/>
    <xf numFmtId="9" fontId="37" fillId="43" borderId="15" xfId="0" applyNumberFormat="1" applyFont="1" applyFill="1" applyBorder="1"/>
    <xf numFmtId="173" fontId="39" fillId="0" borderId="18" xfId="4" applyNumberFormat="1" applyFont="1" applyFill="1" applyBorder="1"/>
    <xf numFmtId="179" fontId="37" fillId="0" borderId="0" xfId="0" applyNumberFormat="1" applyFont="1" applyBorder="1"/>
    <xf numFmtId="167" fontId="37" fillId="0" borderId="0" xfId="0" applyFont="1" applyBorder="1"/>
    <xf numFmtId="167" fontId="39" fillId="0" borderId="0" xfId="0" applyFont="1" applyFill="1"/>
    <xf numFmtId="179" fontId="39" fillId="0" borderId="0" xfId="4" applyNumberFormat="1" applyFont="1" applyBorder="1"/>
    <xf numFmtId="10" fontId="70" fillId="33" borderId="1" xfId="3" applyNumberFormat="1" applyFont="1" applyAlignment="1">
      <alignment horizontal="center"/>
    </xf>
    <xf numFmtId="180" fontId="39" fillId="0" borderId="0" xfId="0" applyNumberFormat="1" applyFont="1"/>
    <xf numFmtId="173" fontId="39" fillId="0" borderId="0" xfId="59" applyNumberFormat="1" applyFont="1" applyAlignment="1" applyProtection="1">
      <alignment horizontal="center"/>
    </xf>
    <xf numFmtId="182" fontId="39" fillId="0" borderId="0" xfId="59" applyNumberFormat="1" applyFont="1" applyAlignment="1" applyProtection="1">
      <alignment horizontal="center"/>
    </xf>
    <xf numFmtId="182" fontId="39" fillId="0" borderId="0" xfId="0" applyNumberFormat="1" applyFont="1" applyAlignment="1">
      <alignment horizontal="center"/>
    </xf>
    <xf numFmtId="182" fontId="45" fillId="0" borderId="0" xfId="0" applyNumberFormat="1" applyFont="1" applyAlignment="1">
      <alignment horizontal="center"/>
    </xf>
    <xf numFmtId="180" fontId="39" fillId="0" borderId="0" xfId="0" applyNumberFormat="1" applyFont="1" applyAlignment="1">
      <alignment horizontal="center"/>
    </xf>
    <xf numFmtId="176" fontId="39" fillId="0" borderId="0" xfId="59" applyNumberFormat="1" applyFont="1" applyAlignment="1" applyProtection="1">
      <alignment horizontal="center"/>
    </xf>
    <xf numFmtId="182" fontId="45" fillId="0" borderId="0" xfId="59" applyNumberFormat="1" applyFont="1" applyAlignment="1" applyProtection="1">
      <alignment horizontal="center"/>
    </xf>
    <xf numFmtId="182" fontId="45" fillId="0" borderId="0" xfId="4" applyNumberFormat="1" applyFont="1" applyFill="1" applyBorder="1" applyAlignment="1" applyProtection="1">
      <alignment horizontal="center"/>
    </xf>
    <xf numFmtId="10" fontId="45" fillId="0" borderId="0" xfId="4" applyNumberFormat="1" applyFont="1" applyFill="1" applyBorder="1" applyAlignment="1" applyProtection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0000FF"/>
      <color rgb="FF44546A"/>
      <color rgb="FFEA4335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E6" sqref="E6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23" t="str">
        <f>CoName</f>
        <v>Intel Corp.</v>
      </c>
      <c r="B1" s="2"/>
      <c r="C1" s="2"/>
      <c r="D1" s="154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6" customFormat="1" x14ac:dyDescent="0.25">
      <c r="A2" s="65" t="s">
        <v>186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190</v>
      </c>
      <c r="E4" s="4" t="s">
        <v>170</v>
      </c>
      <c r="F4" s="201">
        <v>35.92</v>
      </c>
      <c r="H4" s="168" t="s">
        <v>187</v>
      </c>
      <c r="I4" s="167" t="s">
        <v>185</v>
      </c>
      <c r="J4" s="167" t="s">
        <v>184</v>
      </c>
      <c r="K4" s="167" t="s">
        <v>225</v>
      </c>
    </row>
    <row r="5" spans="1:15" x14ac:dyDescent="0.25">
      <c r="B5" s="4" t="s">
        <v>4</v>
      </c>
      <c r="C5" s="52">
        <v>247.43</v>
      </c>
      <c r="E5" s="4" t="s">
        <v>175</v>
      </c>
      <c r="F5" s="160">
        <v>4770</v>
      </c>
      <c r="H5" s="167" t="s">
        <v>177</v>
      </c>
      <c r="I5" s="208">
        <f>'DCF Model'!G18</f>
        <v>44.281909311073022</v>
      </c>
      <c r="J5" s="207">
        <f>'DCF Model'!C18</f>
        <v>35.608006796217651</v>
      </c>
      <c r="K5" s="207">
        <f>AVERAGE(I5:J5)</f>
        <v>39.944958053645337</v>
      </c>
    </row>
    <row r="6" spans="1:15" x14ac:dyDescent="0.25">
      <c r="B6" s="4" t="s">
        <v>5</v>
      </c>
      <c r="C6" s="51" t="s">
        <v>9</v>
      </c>
      <c r="E6" s="4" t="s">
        <v>104</v>
      </c>
      <c r="F6" s="160">
        <f>F5*F4</f>
        <v>171338.4</v>
      </c>
      <c r="H6" s="167" t="s">
        <v>178</v>
      </c>
      <c r="I6" s="263">
        <f>I5/$F$4-1</f>
        <v>0.23279257547530685</v>
      </c>
      <c r="J6" s="202">
        <f>J5/$F$4-1</f>
        <v>-8.6857796153215761E-3</v>
      </c>
      <c r="K6" s="263">
        <f>K5/$F$4-1</f>
        <v>0.11205339792999269</v>
      </c>
    </row>
    <row r="7" spans="1:15" x14ac:dyDescent="0.25">
      <c r="B7" s="4" t="s">
        <v>6</v>
      </c>
      <c r="C7" s="51" t="s">
        <v>8</v>
      </c>
      <c r="E7" s="4" t="s">
        <v>176</v>
      </c>
      <c r="F7" s="51">
        <f>11141+19794</f>
        <v>30935</v>
      </c>
    </row>
    <row r="8" spans="1:15" x14ac:dyDescent="0.25">
      <c r="B8" s="4" t="s">
        <v>2</v>
      </c>
      <c r="C8" s="51" t="s">
        <v>87</v>
      </c>
      <c r="E8" s="4" t="s">
        <v>146</v>
      </c>
      <c r="F8" s="51">
        <f>2496+11430</f>
        <v>13926</v>
      </c>
    </row>
    <row r="9" spans="1:15" x14ac:dyDescent="0.25">
      <c r="B9" s="4" t="s">
        <v>7</v>
      </c>
      <c r="C9" s="51">
        <v>0</v>
      </c>
      <c r="E9" s="4" t="s">
        <v>118</v>
      </c>
      <c r="F9" s="51">
        <f>F6-F7+F8</f>
        <v>154329.4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F10"/>
  <sheetViews>
    <sheetView showGridLines="0" topLeftCell="B1" workbookViewId="0">
      <pane xSplit="1" ySplit="2" topLeftCell="T3" activePane="bottomRight" state="frozen"/>
      <selection activeCell="B1" sqref="B1"/>
      <selection pane="topRight" activeCell="C1" sqref="C1"/>
      <selection pane="bottomLeft" activeCell="B3" sqref="B3"/>
      <selection pane="bottomRight" activeCell="AA10" sqref="AA10"/>
    </sheetView>
  </sheetViews>
  <sheetFormatPr defaultColWidth="11.7109375" defaultRowHeight="15" x14ac:dyDescent="0.25"/>
  <cols>
    <col min="1" max="1" width="2" style="4" bestFit="1" customWidth="1"/>
    <col min="2" max="2" width="16.42578125" style="4" bestFit="1" customWidth="1"/>
    <col min="3" max="16384" width="11.7109375" style="4"/>
  </cols>
  <sheetData>
    <row r="1" spans="1:32" ht="19.5" x14ac:dyDescent="0.3">
      <c r="A1" s="223" t="str">
        <f>CoName</f>
        <v>Intel Corp.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32" s="246" customFormat="1" x14ac:dyDescent="0.25">
      <c r="A2" s="244" t="s">
        <v>51</v>
      </c>
      <c r="B2" s="244"/>
      <c r="C2" s="245" t="s">
        <v>199</v>
      </c>
      <c r="D2" s="245" t="s">
        <v>200</v>
      </c>
      <c r="E2" s="245" t="s">
        <v>201</v>
      </c>
      <c r="F2" s="245" t="s">
        <v>202</v>
      </c>
      <c r="G2" s="245">
        <v>2022</v>
      </c>
      <c r="H2" s="245" t="s">
        <v>197</v>
      </c>
      <c r="I2" s="245" t="s">
        <v>198</v>
      </c>
      <c r="J2" s="245" t="s">
        <v>203</v>
      </c>
      <c r="K2" s="245" t="s">
        <v>204</v>
      </c>
      <c r="L2" s="245">
        <f>G2+1</f>
        <v>2023</v>
      </c>
      <c r="M2" s="245" t="s">
        <v>205</v>
      </c>
      <c r="N2" s="245" t="s">
        <v>206</v>
      </c>
      <c r="O2" s="245" t="s">
        <v>207</v>
      </c>
      <c r="P2" s="245" t="s">
        <v>208</v>
      </c>
      <c r="Q2" s="245">
        <f>L2+1</f>
        <v>2024</v>
      </c>
      <c r="R2" s="245" t="s">
        <v>209</v>
      </c>
      <c r="S2" s="245" t="s">
        <v>210</v>
      </c>
      <c r="T2" s="245" t="s">
        <v>211</v>
      </c>
      <c r="U2" s="245" t="s">
        <v>212</v>
      </c>
      <c r="V2" s="245">
        <f>Q2+1</f>
        <v>2025</v>
      </c>
      <c r="W2" s="245">
        <f>V2+1</f>
        <v>2026</v>
      </c>
      <c r="X2" s="245">
        <f t="shared" ref="X2:AA2" si="0">W2+1</f>
        <v>2027</v>
      </c>
      <c r="Y2" s="245">
        <f t="shared" si="0"/>
        <v>2028</v>
      </c>
      <c r="Z2" s="245">
        <f t="shared" si="0"/>
        <v>2029</v>
      </c>
      <c r="AA2" s="245">
        <f t="shared" si="0"/>
        <v>2030</v>
      </c>
      <c r="AB2" s="245">
        <f t="shared" ref="AB2:AF2" si="1">AA2+1</f>
        <v>2031</v>
      </c>
      <c r="AC2" s="245">
        <f t="shared" si="1"/>
        <v>2032</v>
      </c>
      <c r="AD2" s="245">
        <f t="shared" si="1"/>
        <v>2033</v>
      </c>
      <c r="AE2" s="245">
        <f t="shared" si="1"/>
        <v>2034</v>
      </c>
      <c r="AF2" s="245">
        <f t="shared" si="1"/>
        <v>2035</v>
      </c>
    </row>
    <row r="3" spans="1:32" s="247" customFormat="1" x14ac:dyDescent="0.25">
      <c r="B3" s="247" t="s">
        <v>191</v>
      </c>
      <c r="C3" s="247">
        <v>9322</v>
      </c>
      <c r="D3" s="247">
        <v>7678</v>
      </c>
      <c r="E3" s="247">
        <v>8128</v>
      </c>
      <c r="F3" s="248">
        <v>6645</v>
      </c>
      <c r="G3" s="248">
        <f>SUM(C3:F3)</f>
        <v>31773</v>
      </c>
      <c r="H3" s="247">
        <v>5767</v>
      </c>
      <c r="I3" s="247">
        <v>6780</v>
      </c>
      <c r="J3" s="247">
        <v>7687</v>
      </c>
      <c r="K3" s="248">
        <v>8844</v>
      </c>
      <c r="L3" s="248">
        <f>SUM(H3:K3)</f>
        <v>29078</v>
      </c>
      <c r="M3" s="247">
        <v>8273</v>
      </c>
      <c r="N3" s="247">
        <v>8143</v>
      </c>
      <c r="O3" s="247">
        <v>8161</v>
      </c>
      <c r="P3" s="248">
        <v>8017</v>
      </c>
      <c r="Q3" s="248">
        <f>SUM(M3:P3)</f>
        <v>32594</v>
      </c>
      <c r="R3" s="247">
        <v>7629</v>
      </c>
      <c r="S3" s="247">
        <v>7871</v>
      </c>
      <c r="T3" s="247">
        <v>8535</v>
      </c>
      <c r="U3" s="248">
        <f>P3*(1+U9)</f>
        <v>8337.68</v>
      </c>
      <c r="V3" s="249">
        <f>SUM(R3:U3)</f>
        <v>32372.68</v>
      </c>
      <c r="W3" s="249"/>
    </row>
    <row r="4" spans="1:32" s="247" customFormat="1" x14ac:dyDescent="0.25">
      <c r="B4" s="247" t="s">
        <v>192</v>
      </c>
      <c r="C4" s="247">
        <v>6074</v>
      </c>
      <c r="D4" s="247">
        <v>4695</v>
      </c>
      <c r="E4" s="247">
        <v>4255</v>
      </c>
      <c r="F4" s="248">
        <v>4421</v>
      </c>
      <c r="G4" s="248">
        <f t="shared" ref="G4:G7" si="2">SUM(C4:F4)</f>
        <v>19445</v>
      </c>
      <c r="H4" s="247">
        <v>3718</v>
      </c>
      <c r="I4" s="247">
        <v>4004</v>
      </c>
      <c r="J4" s="247">
        <v>3814</v>
      </c>
      <c r="K4" s="248">
        <v>3985</v>
      </c>
      <c r="L4" s="248">
        <f t="shared" ref="L4:L7" si="3">SUM(H4:K4)</f>
        <v>15521</v>
      </c>
      <c r="M4" s="247">
        <v>3828</v>
      </c>
      <c r="N4" s="247">
        <v>3805</v>
      </c>
      <c r="O4" s="247">
        <v>4141</v>
      </c>
      <c r="P4" s="248">
        <f>3387+1623</f>
        <v>5010</v>
      </c>
      <c r="Q4" s="248">
        <f t="shared" ref="Q4:Q7" si="4">SUM(M4:P4)</f>
        <v>16784</v>
      </c>
      <c r="R4" s="247">
        <v>4126</v>
      </c>
      <c r="S4" s="247">
        <v>3939</v>
      </c>
      <c r="T4" s="247">
        <v>4117</v>
      </c>
      <c r="U4" s="248">
        <f>P4*(1+U9)</f>
        <v>5210.4000000000005</v>
      </c>
      <c r="V4" s="249">
        <f t="shared" ref="V4:V7" si="5">SUM(R4:U4)</f>
        <v>17392.400000000001</v>
      </c>
      <c r="W4" s="249"/>
    </row>
    <row r="5" spans="1:32" s="247" customFormat="1" x14ac:dyDescent="0.25">
      <c r="B5" s="247" t="s">
        <v>193</v>
      </c>
      <c r="C5" s="247">
        <f>2139+394+156</f>
        <v>2689</v>
      </c>
      <c r="D5" s="247">
        <f>2211+460+57</f>
        <v>2728</v>
      </c>
      <c r="E5" s="247">
        <f>2133+450+78</f>
        <v>2661</v>
      </c>
      <c r="F5" s="248">
        <f>1926+565+178</f>
        <v>2669</v>
      </c>
      <c r="G5" s="248">
        <f t="shared" si="2"/>
        <v>10747</v>
      </c>
      <c r="H5" s="247">
        <f>1489+458+118</f>
        <v>2065</v>
      </c>
      <c r="I5" s="247">
        <f>1363+454+232</f>
        <v>2049</v>
      </c>
      <c r="J5" s="247">
        <f>1450+530+311</f>
        <v>2291</v>
      </c>
      <c r="K5" s="248">
        <f>1471+637+291</f>
        <v>2399</v>
      </c>
      <c r="L5" s="248">
        <f t="shared" si="3"/>
        <v>8804</v>
      </c>
      <c r="M5" s="247">
        <v>4356</v>
      </c>
      <c r="N5" s="247">
        <v>4282</v>
      </c>
      <c r="O5" s="247">
        <v>4339</v>
      </c>
      <c r="P5" s="248">
        <v>4502</v>
      </c>
      <c r="Q5" s="248">
        <f t="shared" si="4"/>
        <v>17479</v>
      </c>
      <c r="R5" s="247">
        <v>4667</v>
      </c>
      <c r="S5" s="247">
        <v>4417</v>
      </c>
      <c r="T5" s="247">
        <v>4235</v>
      </c>
      <c r="U5" s="248">
        <f>P5*(1+U9)</f>
        <v>4682.08</v>
      </c>
      <c r="V5" s="249">
        <f t="shared" si="5"/>
        <v>18001.080000000002</v>
      </c>
      <c r="W5" s="249"/>
    </row>
    <row r="6" spans="1:32" s="247" customFormat="1" x14ac:dyDescent="0.25">
      <c r="B6" s="247" t="s">
        <v>194</v>
      </c>
      <c r="C6" s="247">
        <v>268</v>
      </c>
      <c r="D6" s="247">
        <v>220</v>
      </c>
      <c r="E6" s="247">
        <v>294</v>
      </c>
      <c r="F6" s="248">
        <v>307</v>
      </c>
      <c r="G6" s="248">
        <f t="shared" si="2"/>
        <v>1089</v>
      </c>
      <c r="H6" s="247">
        <v>165</v>
      </c>
      <c r="I6" s="247">
        <v>115</v>
      </c>
      <c r="J6" s="247">
        <v>186</v>
      </c>
      <c r="K6" s="248">
        <v>178</v>
      </c>
      <c r="L6" s="248">
        <f t="shared" si="3"/>
        <v>644</v>
      </c>
      <c r="M6" s="247">
        <v>643</v>
      </c>
      <c r="N6" s="247">
        <v>881</v>
      </c>
      <c r="O6" s="247">
        <v>964</v>
      </c>
      <c r="P6" s="248">
        <v>1042</v>
      </c>
      <c r="Q6" s="248">
        <f t="shared" si="4"/>
        <v>3530</v>
      </c>
      <c r="R6" s="247">
        <v>943</v>
      </c>
      <c r="S6" s="247">
        <v>1054</v>
      </c>
      <c r="T6" s="247">
        <v>993</v>
      </c>
      <c r="U6" s="248">
        <f>P6*(1+U9)</f>
        <v>1083.68</v>
      </c>
      <c r="V6" s="249">
        <f t="shared" si="5"/>
        <v>4073.6800000000003</v>
      </c>
      <c r="W6" s="249"/>
    </row>
    <row r="7" spans="1:32" s="247" customFormat="1" x14ac:dyDescent="0.25">
      <c r="B7" s="247" t="s">
        <v>195</v>
      </c>
      <c r="C7" s="247">
        <v>0</v>
      </c>
      <c r="D7" s="247">
        <v>0</v>
      </c>
      <c r="E7" s="247">
        <v>0</v>
      </c>
      <c r="F7" s="248">
        <v>0</v>
      </c>
      <c r="G7" s="248">
        <f t="shared" si="2"/>
        <v>0</v>
      </c>
      <c r="H7" s="247">
        <v>0</v>
      </c>
      <c r="I7" s="247">
        <v>0</v>
      </c>
      <c r="J7" s="247">
        <v>0</v>
      </c>
      <c r="K7" s="248">
        <v>0</v>
      </c>
      <c r="L7" s="248">
        <f t="shared" si="3"/>
        <v>0</v>
      </c>
      <c r="M7" s="247">
        <v>-4376</v>
      </c>
      <c r="N7" s="247">
        <v>-4278</v>
      </c>
      <c r="O7" s="247">
        <v>-4321</v>
      </c>
      <c r="P7" s="248">
        <v>-4311</v>
      </c>
      <c r="Q7" s="248">
        <f t="shared" si="4"/>
        <v>-17286</v>
      </c>
      <c r="R7" s="247">
        <v>-4698</v>
      </c>
      <c r="S7" s="247">
        <v>-4421</v>
      </c>
      <c r="T7" s="247">
        <v>-4227</v>
      </c>
      <c r="U7" s="248">
        <f>-U10*SUM(U3:U6)</f>
        <v>-5794.152000000001</v>
      </c>
      <c r="V7" s="249">
        <f t="shared" si="5"/>
        <v>-19140.152000000002</v>
      </c>
      <c r="W7" s="249"/>
    </row>
    <row r="8" spans="1:32" s="250" customFormat="1" x14ac:dyDescent="0.25">
      <c r="A8" s="250" t="s">
        <v>126</v>
      </c>
      <c r="B8" s="250" t="s">
        <v>196</v>
      </c>
      <c r="C8" s="250">
        <f t="shared" ref="C8:R8" si="6">SUM(C3:C7)</f>
        <v>18353</v>
      </c>
      <c r="D8" s="250">
        <f t="shared" si="6"/>
        <v>15321</v>
      </c>
      <c r="E8" s="250">
        <f t="shared" si="6"/>
        <v>15338</v>
      </c>
      <c r="F8" s="251">
        <f t="shared" si="6"/>
        <v>14042</v>
      </c>
      <c r="G8" s="253">
        <f t="shared" si="6"/>
        <v>63054</v>
      </c>
      <c r="H8" s="250">
        <f t="shared" si="6"/>
        <v>11715</v>
      </c>
      <c r="I8" s="250">
        <f t="shared" si="6"/>
        <v>12948</v>
      </c>
      <c r="J8" s="250">
        <f t="shared" si="6"/>
        <v>13978</v>
      </c>
      <c r="K8" s="251">
        <f t="shared" si="6"/>
        <v>15406</v>
      </c>
      <c r="L8" s="253">
        <f t="shared" si="6"/>
        <v>54047</v>
      </c>
      <c r="M8" s="250">
        <f t="shared" si="6"/>
        <v>12724</v>
      </c>
      <c r="N8" s="250">
        <f t="shared" si="6"/>
        <v>12833</v>
      </c>
      <c r="O8" s="250">
        <f t="shared" si="6"/>
        <v>13284</v>
      </c>
      <c r="P8" s="251">
        <f t="shared" si="6"/>
        <v>14260</v>
      </c>
      <c r="Q8" s="253">
        <f t="shared" si="6"/>
        <v>53101</v>
      </c>
      <c r="R8" s="250">
        <f t="shared" si="6"/>
        <v>12667</v>
      </c>
      <c r="S8" s="250">
        <f t="shared" ref="R8:S8" si="7">SUM(S3:S7)</f>
        <v>12860</v>
      </c>
      <c r="T8" s="250">
        <f>SUM(T3:T7)</f>
        <v>13653</v>
      </c>
      <c r="U8" s="251">
        <f t="shared" ref="U8:V8" si="8">SUM(U3:U7)</f>
        <v>13519.688000000002</v>
      </c>
      <c r="V8" s="254">
        <f t="shared" si="8"/>
        <v>52699.687999999995</v>
      </c>
      <c r="W8" s="252">
        <f>V8*(1+W9)</f>
        <v>54017.180199999988</v>
      </c>
      <c r="X8" s="252">
        <f t="shared" ref="X8:AA8" si="9">W8*(1+X9)</f>
        <v>59418.898219999988</v>
      </c>
      <c r="Y8" s="252">
        <f t="shared" si="9"/>
        <v>68331.732952999984</v>
      </c>
      <c r="Z8" s="252">
        <f t="shared" si="9"/>
        <v>81998.079543599975</v>
      </c>
      <c r="AA8" s="252">
        <f t="shared" si="9"/>
        <v>102497.59942949997</v>
      </c>
      <c r="AB8" s="252">
        <f t="shared" ref="AB8" si="10">AA8*(1+AB9)</f>
        <v>128121.99928687495</v>
      </c>
      <c r="AC8" s="252">
        <f t="shared" ref="AC8" si="11">AB8*(1+AC9)</f>
        <v>160152.49910859368</v>
      </c>
      <c r="AD8" s="252">
        <f t="shared" ref="AD8" si="12">AC8*(1+AD9)</f>
        <v>200190.6238857421</v>
      </c>
      <c r="AE8" s="252">
        <f t="shared" ref="AE8" si="13">AD8*(1+AE9)</f>
        <v>250238.27985717764</v>
      </c>
      <c r="AF8" s="252">
        <f t="shared" ref="AF8" si="14">AE8*(1+AF9)</f>
        <v>312797.84982147207</v>
      </c>
    </row>
    <row r="9" spans="1:32" s="255" customFormat="1" x14ac:dyDescent="0.25">
      <c r="B9" s="255" t="s">
        <v>213</v>
      </c>
      <c r="H9" s="255">
        <f>H8/C8-1</f>
        <v>-0.36168473818994173</v>
      </c>
      <c r="I9" s="255">
        <f t="shared" ref="I9:K9" si="15">I8/D8-1</f>
        <v>-0.15488545134129628</v>
      </c>
      <c r="J9" s="255">
        <f t="shared" si="15"/>
        <v>-8.8668666058156265E-2</v>
      </c>
      <c r="K9" s="255">
        <f t="shared" si="15"/>
        <v>9.7137159948725182E-2</v>
      </c>
      <c r="L9" s="255">
        <f t="shared" ref="L9" si="16">L8/G8-1</f>
        <v>-0.14284581469851243</v>
      </c>
      <c r="M9" s="255">
        <f t="shared" ref="M9" si="17">M8/H8-1</f>
        <v>8.6128894579598825E-2</v>
      </c>
      <c r="N9" s="255">
        <f t="shared" ref="N9" si="18">N8/I8-1</f>
        <v>-8.8816805684275302E-3</v>
      </c>
      <c r="O9" s="255">
        <f t="shared" ref="O9" si="19">O8/J8-1</f>
        <v>-4.9649449134353985E-2</v>
      </c>
      <c r="P9" s="255">
        <f t="shared" ref="P9" si="20">P8/K8-1</f>
        <v>-7.4386602622354969E-2</v>
      </c>
      <c r="Q9" s="255">
        <f t="shared" ref="Q9" si="21">Q8/L8-1</f>
        <v>-1.7503284178585266E-2</v>
      </c>
      <c r="R9" s="255">
        <f t="shared" ref="R9" si="22">R8/M8-1</f>
        <v>-4.4797233574347395E-3</v>
      </c>
      <c r="S9" s="255">
        <f t="shared" ref="S9" si="23">S8/N8-1</f>
        <v>2.1039507519675649E-3</v>
      </c>
      <c r="T9" s="255">
        <f t="shared" ref="T9" si="24">T8/O8-1</f>
        <v>2.7777777777777679E-2</v>
      </c>
      <c r="U9" s="257">
        <v>0.04</v>
      </c>
      <c r="V9" s="256">
        <f t="shared" ref="V9" si="25">V8/Q8-1</f>
        <v>-7.5575224572043131E-3</v>
      </c>
      <c r="W9" s="257">
        <v>2.5000000000000001E-2</v>
      </c>
      <c r="X9" s="257">
        <v>0.1</v>
      </c>
      <c r="Y9" s="257">
        <v>0.15</v>
      </c>
      <c r="Z9" s="257">
        <v>0.2</v>
      </c>
      <c r="AA9" s="257">
        <v>0.25</v>
      </c>
      <c r="AB9" s="257">
        <f t="shared" ref="AB9:AF9" si="26">AA9</f>
        <v>0.25</v>
      </c>
      <c r="AC9" s="257">
        <f t="shared" si="26"/>
        <v>0.25</v>
      </c>
      <c r="AD9" s="257">
        <f t="shared" si="26"/>
        <v>0.25</v>
      </c>
      <c r="AE9" s="257">
        <f t="shared" si="26"/>
        <v>0.25</v>
      </c>
      <c r="AF9" s="257">
        <f t="shared" si="26"/>
        <v>0.25</v>
      </c>
    </row>
    <row r="10" spans="1:32" s="187" customFormat="1" x14ac:dyDescent="0.25">
      <c r="B10" s="187" t="s">
        <v>195</v>
      </c>
      <c r="M10" s="187">
        <f>-M7/M8</f>
        <v>0.34391700723043067</v>
      </c>
      <c r="N10" s="187">
        <f t="shared" ref="N10:AA10" si="27">-N7/N8</f>
        <v>0.3333593080339749</v>
      </c>
      <c r="O10" s="187">
        <f t="shared" si="27"/>
        <v>0.32527853056308342</v>
      </c>
      <c r="P10" s="187">
        <f t="shared" si="27"/>
        <v>0.30231416549789619</v>
      </c>
      <c r="Q10" s="187">
        <f t="shared" si="27"/>
        <v>0.32553059264420631</v>
      </c>
      <c r="R10" s="187">
        <f t="shared" si="27"/>
        <v>0.37088497671113918</v>
      </c>
      <c r="S10" s="187">
        <f t="shared" si="27"/>
        <v>0.34377916018662519</v>
      </c>
      <c r="T10" s="187">
        <f t="shared" si="27"/>
        <v>0.30960228521204131</v>
      </c>
      <c r="U10" s="187">
        <v>0.3</v>
      </c>
      <c r="V10" s="187">
        <f>U10</f>
        <v>0.3</v>
      </c>
      <c r="W10" s="187">
        <f t="shared" ref="W10:AA10" si="28">V10</f>
        <v>0.3</v>
      </c>
      <c r="X10" s="187">
        <f t="shared" si="28"/>
        <v>0.3</v>
      </c>
      <c r="Y10" s="187">
        <f t="shared" si="28"/>
        <v>0.3</v>
      </c>
      <c r="Z10" s="187">
        <f t="shared" si="28"/>
        <v>0.3</v>
      </c>
      <c r="AA10" s="187">
        <f t="shared" si="28"/>
        <v>0.3</v>
      </c>
      <c r="AB10" s="187">
        <f t="shared" ref="AB10:AF10" si="29">AA10</f>
        <v>0.3</v>
      </c>
      <c r="AC10" s="187">
        <f t="shared" si="29"/>
        <v>0.3</v>
      </c>
      <c r="AD10" s="187">
        <f t="shared" si="29"/>
        <v>0.3</v>
      </c>
      <c r="AE10" s="187">
        <f t="shared" si="29"/>
        <v>0.3</v>
      </c>
      <c r="AF10" s="187">
        <f t="shared" si="29"/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60"/>
  <sheetViews>
    <sheetView showGridLines="0" topLeftCell="C1" zoomScaleNormal="100" workbookViewId="0">
      <selection activeCell="F34" sqref="F34:O34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5" width="11.7109375" style="4" customWidth="1"/>
    <col min="16" max="20" width="11.42578125" style="4" customWidth="1"/>
    <col min="21" max="16384" width="9" style="4"/>
  </cols>
  <sheetData>
    <row r="1" spans="1:20" ht="19.5" x14ac:dyDescent="0.3">
      <c r="A1" s="223" t="str">
        <f>CoName</f>
        <v>Intel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20" x14ac:dyDescent="0.25">
      <c r="A2" s="64" t="s">
        <v>126</v>
      </c>
      <c r="B2" s="231" t="s">
        <v>127</v>
      </c>
      <c r="C2" s="231">
        <v>2022</v>
      </c>
      <c r="D2" s="231">
        <f>C2+1</f>
        <v>2023</v>
      </c>
      <c r="E2" s="231">
        <f t="shared" ref="E2:J2" si="0">D2+1</f>
        <v>2024</v>
      </c>
      <c r="F2" s="231">
        <f t="shared" si="0"/>
        <v>2025</v>
      </c>
      <c r="G2" s="231">
        <f t="shared" si="0"/>
        <v>2026</v>
      </c>
      <c r="H2" s="231">
        <f t="shared" si="0"/>
        <v>2027</v>
      </c>
      <c r="I2" s="231">
        <f t="shared" si="0"/>
        <v>2028</v>
      </c>
      <c r="J2" s="231">
        <f t="shared" si="0"/>
        <v>2029</v>
      </c>
      <c r="K2" s="231">
        <f t="shared" ref="K2" si="1">J2+1</f>
        <v>2030</v>
      </c>
      <c r="L2" s="231">
        <f t="shared" ref="L2" si="2">K2+1</f>
        <v>2031</v>
      </c>
      <c r="M2" s="231">
        <f t="shared" ref="M2" si="3">L2+1</f>
        <v>2032</v>
      </c>
      <c r="N2" s="231">
        <f t="shared" ref="N2" si="4">M2+1</f>
        <v>2033</v>
      </c>
      <c r="O2" s="231">
        <f t="shared" ref="O2" si="5">N2+1</f>
        <v>2034</v>
      </c>
    </row>
    <row r="3" spans="1:20" x14ac:dyDescent="0.25">
      <c r="A3" s="86"/>
      <c r="B3" s="159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</row>
    <row r="4" spans="1:20" x14ac:dyDescent="0.25">
      <c r="B4" s="94" t="s">
        <v>133</v>
      </c>
      <c r="C4"/>
      <c r="D4" s="228">
        <v>1</v>
      </c>
      <c r="E4"/>
      <c r="F4"/>
      <c r="G4" s="89"/>
      <c r="H4" s="89"/>
      <c r="I4" s="89"/>
      <c r="J4" s="89"/>
      <c r="K4" s="89"/>
      <c r="L4" s="89"/>
      <c r="M4" s="89"/>
      <c r="N4" s="89"/>
      <c r="O4" s="89"/>
    </row>
    <row r="5" spans="1:20" x14ac:dyDescent="0.25">
      <c r="B5" s="88"/>
      <c r="C5" s="90"/>
      <c r="D5" s="113" t="s">
        <v>128</v>
      </c>
      <c r="E5" s="91"/>
    </row>
    <row r="6" spans="1:20" x14ac:dyDescent="0.25">
      <c r="B6" s="92" t="s">
        <v>134</v>
      </c>
      <c r="D6" s="101">
        <v>0</v>
      </c>
      <c r="E6" s="93"/>
      <c r="F6" s="101">
        <f>'Quarterly Projections'!V9</f>
        <v>-7.5575224572043131E-3</v>
      </c>
      <c r="G6" s="101">
        <f>'Quarterly Projections'!W9</f>
        <v>2.5000000000000001E-2</v>
      </c>
      <c r="H6" s="101">
        <f>'Quarterly Projections'!X9</f>
        <v>0.1</v>
      </c>
      <c r="I6" s="101">
        <f>'Quarterly Projections'!Y9</f>
        <v>0.15</v>
      </c>
      <c r="J6" s="101">
        <f>'Quarterly Projections'!Z9</f>
        <v>0.2</v>
      </c>
      <c r="K6" s="101">
        <f>'Quarterly Projections'!AA9</f>
        <v>0.25</v>
      </c>
      <c r="L6" s="101">
        <f>'Quarterly Projections'!AB9</f>
        <v>0.25</v>
      </c>
      <c r="M6" s="101">
        <f>'Quarterly Projections'!AC9</f>
        <v>0.25</v>
      </c>
      <c r="N6" s="101">
        <f>'Quarterly Projections'!AD9</f>
        <v>0.25</v>
      </c>
      <c r="O6" s="101">
        <f>'Quarterly Projections'!AE9</f>
        <v>0.25</v>
      </c>
      <c r="P6" s="209"/>
      <c r="Q6" s="209"/>
      <c r="R6" s="209"/>
      <c r="S6" s="209"/>
      <c r="T6" s="209"/>
    </row>
    <row r="7" spans="1:20" x14ac:dyDescent="0.25">
      <c r="B7" s="4" t="s">
        <v>130</v>
      </c>
      <c r="D7" s="101">
        <v>2.5000000000000001E-2</v>
      </c>
      <c r="E7" s="93"/>
      <c r="F7" s="101">
        <f>F6+$D$7</f>
        <v>1.7442477542795688E-2</v>
      </c>
      <c r="G7" s="101">
        <f t="shared" ref="G7:J7" si="6">G6+$D$7</f>
        <v>0.05</v>
      </c>
      <c r="H7" s="101">
        <f t="shared" si="6"/>
        <v>0.125</v>
      </c>
      <c r="I7" s="101">
        <f t="shared" si="6"/>
        <v>0.17499999999999999</v>
      </c>
      <c r="J7" s="101">
        <f t="shared" si="6"/>
        <v>0.22500000000000001</v>
      </c>
      <c r="K7" s="101">
        <f t="shared" ref="K7:O7" si="7">K6+$D$7</f>
        <v>0.27500000000000002</v>
      </c>
      <c r="L7" s="101">
        <f t="shared" si="7"/>
        <v>0.27500000000000002</v>
      </c>
      <c r="M7" s="101">
        <f t="shared" si="7"/>
        <v>0.27500000000000002</v>
      </c>
      <c r="N7" s="101">
        <f t="shared" si="7"/>
        <v>0.27500000000000002</v>
      </c>
      <c r="O7" s="101">
        <f t="shared" si="7"/>
        <v>0.27500000000000002</v>
      </c>
      <c r="P7" s="169"/>
      <c r="Q7" s="169"/>
      <c r="R7" s="169"/>
      <c r="S7" s="169"/>
      <c r="T7" s="169"/>
    </row>
    <row r="8" spans="1:20" x14ac:dyDescent="0.25">
      <c r="B8" s="4" t="s">
        <v>129</v>
      </c>
      <c r="D8" s="101">
        <v>-2.5000000000000001E-2</v>
      </c>
      <c r="E8" s="93"/>
      <c r="F8" s="101">
        <f>F6+$D$8</f>
        <v>-3.2557522457204315E-2</v>
      </c>
      <c r="G8" s="101">
        <f t="shared" ref="G8:J8" si="8">G6+$D$8</f>
        <v>0</v>
      </c>
      <c r="H8" s="101">
        <f t="shared" si="8"/>
        <v>7.5000000000000011E-2</v>
      </c>
      <c r="I8" s="101">
        <f t="shared" si="8"/>
        <v>0.125</v>
      </c>
      <c r="J8" s="101">
        <f t="shared" si="8"/>
        <v>0.17500000000000002</v>
      </c>
      <c r="K8" s="101">
        <f t="shared" ref="K8:O8" si="9">K6+$D$8</f>
        <v>0.22500000000000001</v>
      </c>
      <c r="L8" s="101">
        <f t="shared" si="9"/>
        <v>0.22500000000000001</v>
      </c>
      <c r="M8" s="101">
        <f t="shared" si="9"/>
        <v>0.22500000000000001</v>
      </c>
      <c r="N8" s="101">
        <f t="shared" si="9"/>
        <v>0.22500000000000001</v>
      </c>
      <c r="O8" s="101">
        <f t="shared" si="9"/>
        <v>0.22500000000000001</v>
      </c>
    </row>
    <row r="10" spans="1:20" x14ac:dyDescent="0.25">
      <c r="B10" s="118" t="s">
        <v>151</v>
      </c>
      <c r="C10" s="187"/>
      <c r="D10" s="240">
        <f>IncState!D17/IncState!C17-1</f>
        <v>-0.13997525930155108</v>
      </c>
      <c r="E10" s="188">
        <f>IncState!E17/IncState!D17-1</f>
        <v>-2.0782621523935951E-2</v>
      </c>
      <c r="F10" s="105">
        <f t="shared" ref="F10" si="10">CHOOSE(ScenarioREV,F6,F7,F8)</f>
        <v>-7.5575224572043131E-3</v>
      </c>
      <c r="G10" s="105">
        <f t="shared" ref="G10:J10" si="11">CHOOSE(ScenarioREV,G6,G7,G8)</f>
        <v>2.5000000000000001E-2</v>
      </c>
      <c r="H10" s="105">
        <f t="shared" si="11"/>
        <v>0.1</v>
      </c>
      <c r="I10" s="105">
        <f t="shared" si="11"/>
        <v>0.15</v>
      </c>
      <c r="J10" s="105">
        <f t="shared" si="11"/>
        <v>0.2</v>
      </c>
      <c r="K10" s="105">
        <f t="shared" ref="K10:O10" si="12">CHOOSE(ScenarioREV,K6,K7,K8)</f>
        <v>0.25</v>
      </c>
      <c r="L10" s="105">
        <f t="shared" si="12"/>
        <v>0.25</v>
      </c>
      <c r="M10" s="105">
        <f t="shared" si="12"/>
        <v>0.25</v>
      </c>
      <c r="N10" s="105">
        <f t="shared" si="12"/>
        <v>0.25</v>
      </c>
      <c r="O10" s="105">
        <f t="shared" si="12"/>
        <v>0.25</v>
      </c>
    </row>
    <row r="11" spans="1:20" x14ac:dyDescent="0.25">
      <c r="B11" s="4" t="s">
        <v>135</v>
      </c>
      <c r="C11" s="8">
        <f>IncState!C18/IncState!C17</f>
        <v>0.57392076632727507</v>
      </c>
      <c r="D11" s="8">
        <f>IncState!D18/IncState!D17</f>
        <v>0.59963487497233903</v>
      </c>
      <c r="E11" s="8">
        <f>IncState!E18/IncState!E17</f>
        <v>0.67335831716916816</v>
      </c>
      <c r="F11" s="101">
        <f>E11-0.05</f>
        <v>0.62335831716916812</v>
      </c>
      <c r="G11" s="101">
        <f t="shared" ref="G11:J11" si="13">F11-0.05</f>
        <v>0.57335831716916807</v>
      </c>
      <c r="H11" s="101">
        <f t="shared" si="13"/>
        <v>0.52335831716916803</v>
      </c>
      <c r="I11" s="101">
        <f t="shared" si="13"/>
        <v>0.47335831716916804</v>
      </c>
      <c r="J11" s="101">
        <f t="shared" si="13"/>
        <v>0.42335831716916805</v>
      </c>
      <c r="K11" s="101">
        <f>J11-0.02</f>
        <v>0.40335831716916803</v>
      </c>
      <c r="L11" s="101">
        <f t="shared" ref="L11:O11" si="14">K11-0.02</f>
        <v>0.38335831716916802</v>
      </c>
      <c r="M11" s="101">
        <f t="shared" si="14"/>
        <v>0.363358317169168</v>
      </c>
      <c r="N11" s="101">
        <f t="shared" si="14"/>
        <v>0.34335831716916798</v>
      </c>
      <c r="O11" s="101">
        <f t="shared" si="14"/>
        <v>0.32335831716916796</v>
      </c>
    </row>
    <row r="12" spans="1:20" x14ac:dyDescent="0.25">
      <c r="B12" s="4" t="s">
        <v>180</v>
      </c>
      <c r="C12" s="8">
        <f>IncState!C19/IncState!C17</f>
        <v>0.27798395026485234</v>
      </c>
      <c r="D12" s="8">
        <f>IncState!D19/IncState!D17</f>
        <v>0.29589879766910082</v>
      </c>
      <c r="E12" s="8">
        <f>IncState!E19/IncState!E17</f>
        <v>0.31159488521873413</v>
      </c>
      <c r="F12" s="101">
        <f>E12-0.02</f>
        <v>0.29159488521873411</v>
      </c>
      <c r="G12" s="101">
        <f t="shared" ref="G12:K12" si="15">F12-0.02</f>
        <v>0.27159488521873409</v>
      </c>
      <c r="H12" s="101">
        <f t="shared" si="15"/>
        <v>0.25159488521873408</v>
      </c>
      <c r="I12" s="101">
        <f t="shared" si="15"/>
        <v>0.23159488521873409</v>
      </c>
      <c r="J12" s="101">
        <f t="shared" si="15"/>
        <v>0.2115948852187341</v>
      </c>
      <c r="K12" s="101">
        <f t="shared" si="15"/>
        <v>0.19159488521873411</v>
      </c>
      <c r="L12" s="101">
        <f t="shared" ref="G11:O13" si="16">K12</f>
        <v>0.19159488521873411</v>
      </c>
      <c r="M12" s="101">
        <f t="shared" si="16"/>
        <v>0.19159488521873411</v>
      </c>
      <c r="N12" s="101">
        <f t="shared" si="16"/>
        <v>0.19159488521873411</v>
      </c>
      <c r="O12" s="101">
        <f t="shared" si="16"/>
        <v>0.19159488521873411</v>
      </c>
    </row>
    <row r="13" spans="1:20" x14ac:dyDescent="0.25">
      <c r="B13" s="4" t="s">
        <v>45</v>
      </c>
      <c r="C13" s="8">
        <f>IncState!C20/IncState!C17</f>
        <v>0.1110793922669458</v>
      </c>
      <c r="D13" s="8">
        <f>IncState!D20/IncState!D17</f>
        <v>0.10275134616803128</v>
      </c>
      <c r="E13" s="8">
        <f>IncState!E20/IncState!E17</f>
        <v>0.2349673264156984</v>
      </c>
      <c r="F13" s="101">
        <f>E13-0.02</f>
        <v>0.21496732641569841</v>
      </c>
      <c r="G13" s="101">
        <f t="shared" ref="G13:M13" si="17">F13-0.02</f>
        <v>0.19496732641569842</v>
      </c>
      <c r="H13" s="101">
        <f t="shared" si="17"/>
        <v>0.17496732641569843</v>
      </c>
      <c r="I13" s="101">
        <f t="shared" si="17"/>
        <v>0.15496732641569844</v>
      </c>
      <c r="J13" s="101">
        <f t="shared" si="17"/>
        <v>0.13496732641569845</v>
      </c>
      <c r="K13" s="101">
        <f t="shared" si="17"/>
        <v>0.11496732641569844</v>
      </c>
      <c r="L13" s="101">
        <f t="shared" si="17"/>
        <v>9.4967326415698439E-2</v>
      </c>
      <c r="M13" s="101">
        <f t="shared" si="17"/>
        <v>7.4967326415698435E-2</v>
      </c>
      <c r="N13" s="101">
        <f t="shared" si="16"/>
        <v>7.4967326415698435E-2</v>
      </c>
      <c r="O13" s="101">
        <f t="shared" si="16"/>
        <v>7.4967326415698435E-2</v>
      </c>
    </row>
    <row r="14" spans="1:20" x14ac:dyDescent="0.25">
      <c r="B14" s="4" t="s">
        <v>137</v>
      </c>
      <c r="C14" s="4">
        <f>IncState!C24</f>
        <v>1907</v>
      </c>
      <c r="D14" s="4">
        <f>IncState!D24</f>
        <v>1755</v>
      </c>
      <c r="E14" s="4">
        <f>IncState!E24</f>
        <v>1428</v>
      </c>
      <c r="F14" s="102">
        <f>E14</f>
        <v>1428</v>
      </c>
      <c r="G14" s="102">
        <f t="shared" ref="G14:J14" si="18">F14</f>
        <v>1428</v>
      </c>
      <c r="H14" s="102">
        <f t="shared" si="18"/>
        <v>1428</v>
      </c>
      <c r="I14" s="102">
        <f t="shared" si="18"/>
        <v>1428</v>
      </c>
      <c r="J14" s="102">
        <f t="shared" si="18"/>
        <v>1428</v>
      </c>
      <c r="K14" s="102">
        <f t="shared" ref="K14" si="19">J14</f>
        <v>1428</v>
      </c>
      <c r="L14" s="102">
        <f t="shared" ref="L14" si="20">K14</f>
        <v>1428</v>
      </c>
      <c r="M14" s="102">
        <f t="shared" ref="M14" si="21">L14</f>
        <v>1428</v>
      </c>
      <c r="N14" s="102">
        <f t="shared" ref="N14" si="22">M14</f>
        <v>1428</v>
      </c>
      <c r="O14" s="102">
        <f t="shared" ref="O14" si="23">N14</f>
        <v>1428</v>
      </c>
    </row>
    <row r="15" spans="1:20" x14ac:dyDescent="0.25">
      <c r="B15" s="4" t="s">
        <v>138</v>
      </c>
      <c r="C15" s="4">
        <f>IncState!C27</f>
        <v>2</v>
      </c>
      <c r="D15" s="4">
        <f>IncState!D27</f>
        <v>-62</v>
      </c>
      <c r="E15" s="4">
        <f>IncState!E27</f>
        <v>6970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</row>
    <row r="16" spans="1:20" x14ac:dyDescent="0.25">
      <c r="B16" s="4" t="s">
        <v>140</v>
      </c>
      <c r="C16" s="4">
        <f>IncState!C28</f>
        <v>1073</v>
      </c>
      <c r="D16" s="4">
        <f>IncState!D28</f>
        <v>172</v>
      </c>
      <c r="E16" s="4">
        <f>IncState!E28</f>
        <v>15</v>
      </c>
      <c r="F16" s="102">
        <v>0</v>
      </c>
      <c r="G16" s="102">
        <v>0</v>
      </c>
      <c r="H16" s="102">
        <v>0</v>
      </c>
      <c r="I16" s="102">
        <v>0</v>
      </c>
      <c r="J16" s="102">
        <v>0</v>
      </c>
      <c r="K16" s="102">
        <v>0</v>
      </c>
      <c r="L16" s="102">
        <v>0</v>
      </c>
      <c r="M16" s="102">
        <v>0</v>
      </c>
      <c r="N16" s="102">
        <v>0</v>
      </c>
      <c r="O16" s="102">
        <v>0</v>
      </c>
    </row>
    <row r="17" spans="1:15" x14ac:dyDescent="0.25">
      <c r="B17" s="4" t="s">
        <v>48</v>
      </c>
      <c r="C17" s="8">
        <f>IncState!C35/IncState!C33</f>
        <v>-7.3192239858906522E-2</v>
      </c>
      <c r="D17" s="8">
        <f>IncState!D35/IncState!D33</f>
        <v>-1.3833333333333333</v>
      </c>
      <c r="E17" s="8">
        <f>IncState!E35/IncState!E33</f>
        <v>-1.7900490852298081</v>
      </c>
      <c r="F17" s="101">
        <v>0.12</v>
      </c>
      <c r="G17" s="101">
        <f t="shared" ref="G17:J17" si="24">F17</f>
        <v>0.12</v>
      </c>
      <c r="H17" s="101">
        <f t="shared" si="24"/>
        <v>0.12</v>
      </c>
      <c r="I17" s="101">
        <f t="shared" si="24"/>
        <v>0.12</v>
      </c>
      <c r="J17" s="101">
        <f t="shared" si="24"/>
        <v>0.12</v>
      </c>
      <c r="K17" s="101">
        <f t="shared" ref="K17:K20" si="25">J17</f>
        <v>0.12</v>
      </c>
      <c r="L17" s="101">
        <f t="shared" ref="L17:L20" si="26">K17</f>
        <v>0.12</v>
      </c>
      <c r="M17" s="101">
        <f t="shared" ref="M17:M20" si="27">L17</f>
        <v>0.12</v>
      </c>
      <c r="N17" s="101">
        <f t="shared" ref="N17:N20" si="28">M17</f>
        <v>0.12</v>
      </c>
      <c r="O17" s="101">
        <f t="shared" ref="O17:O20" si="29">N17</f>
        <v>0.12</v>
      </c>
    </row>
    <row r="18" spans="1:15" s="234" customFormat="1" x14ac:dyDescent="0.25">
      <c r="B18" s="234" t="s">
        <v>141</v>
      </c>
      <c r="C18" s="234">
        <f>IncState!C37</f>
        <v>1.4598344693281402</v>
      </c>
      <c r="D18" s="234">
        <f>IncState!D37</f>
        <v>0.7369928400954654</v>
      </c>
      <c r="E18" s="234">
        <f>IncState!E37</f>
        <v>0.37359813084112148</v>
      </c>
      <c r="F18" s="235">
        <f>E18</f>
        <v>0.37359813084112148</v>
      </c>
      <c r="G18" s="235">
        <f t="shared" ref="G18:J18" si="30">F18</f>
        <v>0.37359813084112148</v>
      </c>
      <c r="H18" s="235">
        <f t="shared" si="30"/>
        <v>0.37359813084112148</v>
      </c>
      <c r="I18" s="235">
        <f t="shared" si="30"/>
        <v>0.37359813084112148</v>
      </c>
      <c r="J18" s="235">
        <f t="shared" si="30"/>
        <v>0.37359813084112148</v>
      </c>
      <c r="K18" s="235">
        <f t="shared" si="25"/>
        <v>0.37359813084112148</v>
      </c>
      <c r="L18" s="235">
        <f t="shared" si="26"/>
        <v>0.37359813084112148</v>
      </c>
      <c r="M18" s="235">
        <f t="shared" si="27"/>
        <v>0.37359813084112148</v>
      </c>
      <c r="N18" s="235">
        <f t="shared" si="28"/>
        <v>0.37359813084112148</v>
      </c>
      <c r="O18" s="235">
        <f t="shared" si="29"/>
        <v>0.37359813084112148</v>
      </c>
    </row>
    <row r="19" spans="1:15" x14ac:dyDescent="0.25">
      <c r="B19" s="4" t="s">
        <v>49</v>
      </c>
      <c r="C19" s="4">
        <f>IncState!C40</f>
        <v>4108</v>
      </c>
      <c r="D19" s="4">
        <f>IncState!D40</f>
        <v>4190</v>
      </c>
      <c r="E19" s="4">
        <f>IncState!E40</f>
        <v>4280</v>
      </c>
      <c r="F19" s="102">
        <f>E19</f>
        <v>4280</v>
      </c>
      <c r="G19" s="102">
        <f t="shared" ref="G19:J19" si="31">F19</f>
        <v>4280</v>
      </c>
      <c r="H19" s="102">
        <f t="shared" si="31"/>
        <v>4280</v>
      </c>
      <c r="I19" s="102">
        <f t="shared" si="31"/>
        <v>4280</v>
      </c>
      <c r="J19" s="102">
        <f t="shared" si="31"/>
        <v>4280</v>
      </c>
      <c r="K19" s="102">
        <f t="shared" si="25"/>
        <v>4280</v>
      </c>
      <c r="L19" s="102">
        <f t="shared" si="26"/>
        <v>4280</v>
      </c>
      <c r="M19" s="102">
        <f t="shared" si="27"/>
        <v>4280</v>
      </c>
      <c r="N19" s="102">
        <f t="shared" si="28"/>
        <v>4280</v>
      </c>
      <c r="O19" s="102">
        <f t="shared" si="29"/>
        <v>4280</v>
      </c>
    </row>
    <row r="20" spans="1:15" x14ac:dyDescent="0.25">
      <c r="B20" s="4" t="s">
        <v>50</v>
      </c>
      <c r="C20" s="4">
        <f>IncState!C41</f>
        <v>4123</v>
      </c>
      <c r="D20" s="4">
        <f>IncState!D41</f>
        <v>4212</v>
      </c>
      <c r="E20" s="4">
        <f>IncState!E41</f>
        <v>4280</v>
      </c>
      <c r="F20" s="102">
        <f>E20</f>
        <v>4280</v>
      </c>
      <c r="G20" s="102">
        <f t="shared" ref="G20:J20" si="32">F20</f>
        <v>4280</v>
      </c>
      <c r="H20" s="102">
        <f t="shared" si="32"/>
        <v>4280</v>
      </c>
      <c r="I20" s="102">
        <f t="shared" si="32"/>
        <v>4280</v>
      </c>
      <c r="J20" s="102">
        <f t="shared" si="32"/>
        <v>4280</v>
      </c>
      <c r="K20" s="102">
        <f t="shared" si="25"/>
        <v>4280</v>
      </c>
      <c r="L20" s="102">
        <f t="shared" si="26"/>
        <v>4280</v>
      </c>
      <c r="M20" s="102">
        <f t="shared" si="27"/>
        <v>4280</v>
      </c>
      <c r="N20" s="102">
        <f t="shared" si="28"/>
        <v>4280</v>
      </c>
      <c r="O20" s="102">
        <f t="shared" si="29"/>
        <v>4280</v>
      </c>
    </row>
    <row r="21" spans="1:15" x14ac:dyDescent="0.25">
      <c r="F21" s="104"/>
      <c r="G21" s="104"/>
      <c r="H21" s="104"/>
      <c r="I21" s="104"/>
      <c r="J21" s="104"/>
      <c r="K21" s="104"/>
      <c r="L21" s="104"/>
      <c r="M21" s="104"/>
      <c r="N21" s="104"/>
      <c r="O21" s="104"/>
    </row>
    <row r="22" spans="1:15" x14ac:dyDescent="0.25">
      <c r="A22" s="64" t="s">
        <v>126</v>
      </c>
      <c r="B22" s="107" t="s">
        <v>146</v>
      </c>
      <c r="C22" s="231">
        <f>C2</f>
        <v>2022</v>
      </c>
      <c r="D22" s="231">
        <f t="shared" ref="D22:J22" si="33">D2</f>
        <v>2023</v>
      </c>
      <c r="E22" s="231">
        <f t="shared" si="33"/>
        <v>2024</v>
      </c>
      <c r="F22" s="231">
        <f t="shared" si="33"/>
        <v>2025</v>
      </c>
      <c r="G22" s="231">
        <f t="shared" si="33"/>
        <v>2026</v>
      </c>
      <c r="H22" s="231">
        <f t="shared" si="33"/>
        <v>2027</v>
      </c>
      <c r="I22" s="231">
        <f t="shared" si="33"/>
        <v>2028</v>
      </c>
      <c r="J22" s="231">
        <f t="shared" si="33"/>
        <v>2029</v>
      </c>
      <c r="K22" s="231">
        <f t="shared" ref="K22:O22" si="34">K2</f>
        <v>2030</v>
      </c>
      <c r="L22" s="231">
        <f t="shared" si="34"/>
        <v>2031</v>
      </c>
      <c r="M22" s="231">
        <f t="shared" si="34"/>
        <v>2032</v>
      </c>
      <c r="N22" s="231">
        <f t="shared" si="34"/>
        <v>2033</v>
      </c>
      <c r="O22" s="231">
        <f t="shared" si="34"/>
        <v>2034</v>
      </c>
    </row>
    <row r="23" spans="1:15" x14ac:dyDescent="0.25">
      <c r="A23" s="86"/>
      <c r="B23" s="159"/>
      <c r="C23" s="192"/>
      <c r="D23" s="192"/>
      <c r="E23" s="192"/>
      <c r="F23" s="193"/>
      <c r="G23" s="193"/>
      <c r="H23" s="193"/>
      <c r="I23" s="193"/>
      <c r="J23" s="193"/>
      <c r="K23" s="193"/>
      <c r="L23" s="193"/>
      <c r="M23" s="193"/>
      <c r="N23" s="193"/>
      <c r="O23" s="193"/>
    </row>
    <row r="24" spans="1:15" x14ac:dyDescent="0.25">
      <c r="B24" s="4" t="s">
        <v>139</v>
      </c>
      <c r="E24" s="8">
        <v>0.05</v>
      </c>
      <c r="F24" s="101">
        <f>E24</f>
        <v>0.05</v>
      </c>
      <c r="G24" s="101">
        <f t="shared" ref="G24:J24" si="35">F24</f>
        <v>0.05</v>
      </c>
      <c r="H24" s="101">
        <f t="shared" si="35"/>
        <v>0.05</v>
      </c>
      <c r="I24" s="101">
        <f t="shared" si="35"/>
        <v>0.05</v>
      </c>
      <c r="J24" s="101">
        <f t="shared" si="35"/>
        <v>0.05</v>
      </c>
      <c r="K24" s="101">
        <f t="shared" ref="K24:K26" si="36">J24</f>
        <v>0.05</v>
      </c>
      <c r="L24" s="101">
        <f t="shared" ref="L24:L26" si="37">K24</f>
        <v>0.05</v>
      </c>
      <c r="M24" s="101">
        <f t="shared" ref="M24:M26" si="38">L24</f>
        <v>0.05</v>
      </c>
      <c r="N24" s="101">
        <f t="shared" ref="N24:N26" si="39">M24</f>
        <v>0.05</v>
      </c>
      <c r="O24" s="101">
        <f t="shared" ref="O24:O26" si="40">N24</f>
        <v>0.05</v>
      </c>
    </row>
    <row r="25" spans="1:15" x14ac:dyDescent="0.25">
      <c r="B25" s="4" t="s">
        <v>26</v>
      </c>
      <c r="E25" s="8">
        <v>3.9324999999999999E-2</v>
      </c>
      <c r="F25" s="101">
        <f>E25</f>
        <v>3.9324999999999999E-2</v>
      </c>
      <c r="G25" s="101">
        <f t="shared" ref="G25:J25" si="41">F25</f>
        <v>3.9324999999999999E-2</v>
      </c>
      <c r="H25" s="101">
        <f t="shared" si="41"/>
        <v>3.9324999999999999E-2</v>
      </c>
      <c r="I25" s="101">
        <f t="shared" si="41"/>
        <v>3.9324999999999999E-2</v>
      </c>
      <c r="J25" s="101">
        <f t="shared" si="41"/>
        <v>3.9324999999999999E-2</v>
      </c>
      <c r="K25" s="101">
        <f t="shared" si="36"/>
        <v>3.9324999999999999E-2</v>
      </c>
      <c r="L25" s="101">
        <f t="shared" si="37"/>
        <v>3.9324999999999999E-2</v>
      </c>
      <c r="M25" s="101">
        <f t="shared" si="38"/>
        <v>3.9324999999999999E-2</v>
      </c>
      <c r="N25" s="101">
        <f t="shared" si="39"/>
        <v>3.9324999999999999E-2</v>
      </c>
      <c r="O25" s="101">
        <f t="shared" si="40"/>
        <v>3.9324999999999999E-2</v>
      </c>
    </row>
    <row r="26" spans="1:15" x14ac:dyDescent="0.25">
      <c r="B26" s="4" t="s">
        <v>27</v>
      </c>
      <c r="C26" s="8"/>
      <c r="D26" s="8"/>
      <c r="E26" s="8">
        <f>IncState!E30/BalSheet!E18</f>
        <v>0.16705837046300664</v>
      </c>
      <c r="F26" s="127">
        <f>E26</f>
        <v>0.16705837046300664</v>
      </c>
      <c r="G26" s="127">
        <f t="shared" ref="G26:J26" si="42">F26</f>
        <v>0.16705837046300664</v>
      </c>
      <c r="H26" s="127">
        <f t="shared" si="42"/>
        <v>0.16705837046300664</v>
      </c>
      <c r="I26" s="127">
        <f t="shared" si="42"/>
        <v>0.16705837046300664</v>
      </c>
      <c r="J26" s="127">
        <f t="shared" si="42"/>
        <v>0.16705837046300664</v>
      </c>
      <c r="K26" s="127">
        <f t="shared" si="36"/>
        <v>0.16705837046300664</v>
      </c>
      <c r="L26" s="127">
        <f t="shared" si="37"/>
        <v>0.16705837046300664</v>
      </c>
      <c r="M26" s="127">
        <f t="shared" si="38"/>
        <v>0.16705837046300664</v>
      </c>
      <c r="N26" s="127">
        <f t="shared" si="39"/>
        <v>0.16705837046300664</v>
      </c>
      <c r="O26" s="127">
        <f t="shared" si="40"/>
        <v>0.16705837046300664</v>
      </c>
    </row>
    <row r="27" spans="1:15" x14ac:dyDescent="0.25">
      <c r="F27" s="104"/>
      <c r="G27" s="104"/>
      <c r="H27" s="104"/>
      <c r="I27" s="104"/>
      <c r="J27" s="104"/>
      <c r="K27" s="104"/>
      <c r="L27" s="104"/>
      <c r="M27" s="104"/>
      <c r="N27" s="104"/>
      <c r="O27" s="104"/>
    </row>
    <row r="28" spans="1:15" x14ac:dyDescent="0.25">
      <c r="B28" s="4" t="s">
        <v>28</v>
      </c>
      <c r="F28" s="102">
        <v>0</v>
      </c>
      <c r="G28" s="102">
        <v>0</v>
      </c>
      <c r="H28" s="102">
        <v>0</v>
      </c>
      <c r="I28" s="102">
        <v>0</v>
      </c>
      <c r="J28" s="102">
        <v>0</v>
      </c>
      <c r="K28" s="102">
        <v>0</v>
      </c>
      <c r="L28" s="102">
        <v>0</v>
      </c>
      <c r="M28" s="102">
        <v>0</v>
      </c>
      <c r="N28" s="102">
        <v>0</v>
      </c>
      <c r="O28" s="102">
        <v>0</v>
      </c>
    </row>
    <row r="29" spans="1:15" x14ac:dyDescent="0.25">
      <c r="B29" s="4" t="s">
        <v>29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</row>
    <row r="30" spans="1:15" x14ac:dyDescent="0.25">
      <c r="F30" s="104"/>
      <c r="G30" s="104"/>
      <c r="H30" s="104"/>
      <c r="I30" s="104"/>
      <c r="J30" s="104"/>
      <c r="K30" s="104"/>
      <c r="L30" s="104"/>
      <c r="M30" s="104"/>
      <c r="N30" s="104"/>
      <c r="O30" s="104"/>
    </row>
    <row r="31" spans="1:15" x14ac:dyDescent="0.25">
      <c r="A31" s="64" t="s">
        <v>126</v>
      </c>
      <c r="B31" s="107" t="s">
        <v>143</v>
      </c>
      <c r="C31" s="231">
        <f>C22</f>
        <v>2022</v>
      </c>
      <c r="D31" s="231">
        <f t="shared" ref="D31:J31" si="43">D22</f>
        <v>2023</v>
      </c>
      <c r="E31" s="231">
        <f t="shared" si="43"/>
        <v>2024</v>
      </c>
      <c r="F31" s="231">
        <f t="shared" si="43"/>
        <v>2025</v>
      </c>
      <c r="G31" s="231">
        <f t="shared" si="43"/>
        <v>2026</v>
      </c>
      <c r="H31" s="231">
        <f t="shared" si="43"/>
        <v>2027</v>
      </c>
      <c r="I31" s="231">
        <f t="shared" si="43"/>
        <v>2028</v>
      </c>
      <c r="J31" s="231">
        <f t="shared" si="43"/>
        <v>2029</v>
      </c>
      <c r="K31" s="231">
        <f t="shared" ref="K31:O31" si="44">K22</f>
        <v>2030</v>
      </c>
      <c r="L31" s="231">
        <f t="shared" si="44"/>
        <v>2031</v>
      </c>
      <c r="M31" s="231">
        <f t="shared" si="44"/>
        <v>2032</v>
      </c>
      <c r="N31" s="231">
        <f t="shared" si="44"/>
        <v>2033</v>
      </c>
      <c r="O31" s="231">
        <f t="shared" si="44"/>
        <v>2034</v>
      </c>
    </row>
    <row r="32" spans="1:15" x14ac:dyDescent="0.25">
      <c r="A32" s="86"/>
      <c r="B32" s="159"/>
      <c r="C32" s="192"/>
      <c r="D32" s="192"/>
      <c r="E32" s="192"/>
      <c r="F32" s="193"/>
      <c r="G32" s="193"/>
      <c r="H32" s="193"/>
      <c r="I32" s="193"/>
      <c r="J32" s="193"/>
      <c r="K32" s="193"/>
      <c r="L32" s="193"/>
      <c r="M32" s="193"/>
      <c r="N32" s="193"/>
      <c r="O32" s="193"/>
    </row>
    <row r="33" spans="1:15" x14ac:dyDescent="0.25">
      <c r="B33" s="4" t="s">
        <v>144</v>
      </c>
      <c r="D33" s="8">
        <f>25750/IncState!D17</f>
        <v>0.4748469425389098</v>
      </c>
      <c r="E33" s="8">
        <f>23944/IncState!E17</f>
        <v>0.45091429539933336</v>
      </c>
      <c r="F33" s="200">
        <f>E33-0.05</f>
        <v>0.40091429539933338</v>
      </c>
      <c r="G33" s="200">
        <f>F33-0.01</f>
        <v>0.39091429539933337</v>
      </c>
      <c r="H33" s="200">
        <f t="shared" ref="H33:O33" si="45">G33-0.01</f>
        <v>0.38091429539933336</v>
      </c>
      <c r="I33" s="200">
        <f t="shared" si="45"/>
        <v>0.37091429539933335</v>
      </c>
      <c r="J33" s="200">
        <f t="shared" si="45"/>
        <v>0.36091429539933334</v>
      </c>
      <c r="K33" s="200">
        <f t="shared" si="45"/>
        <v>0.35091429539933333</v>
      </c>
      <c r="L33" s="200">
        <f t="shared" si="45"/>
        <v>0.34091429539933332</v>
      </c>
      <c r="M33" s="200">
        <f t="shared" si="45"/>
        <v>0.33091429539933331</v>
      </c>
      <c r="N33" s="200">
        <f t="shared" si="45"/>
        <v>0.3209142953993333</v>
      </c>
      <c r="O33" s="200">
        <f t="shared" si="45"/>
        <v>0.3109142953993333</v>
      </c>
    </row>
    <row r="34" spans="1:15" x14ac:dyDescent="0.25">
      <c r="B34" s="4" t="s">
        <v>156</v>
      </c>
      <c r="D34" s="8">
        <f>IncState!D23/BalSheet!C24</f>
        <v>9.7044274053920354E-2</v>
      </c>
      <c r="E34" s="8">
        <f>IncState!E23/BalSheet!D24</f>
        <v>0.10296232681821474</v>
      </c>
      <c r="F34" s="101">
        <f>E34-0.005</f>
        <v>9.7962326818214734E-2</v>
      </c>
      <c r="G34" s="101">
        <f t="shared" ref="G34:O34" si="46">F34-0.005</f>
        <v>9.296232681821473E-2</v>
      </c>
      <c r="H34" s="101">
        <f t="shared" si="46"/>
        <v>8.7962326818214726E-2</v>
      </c>
      <c r="I34" s="101">
        <f t="shared" si="46"/>
        <v>8.2962326818214721E-2</v>
      </c>
      <c r="J34" s="101">
        <f t="shared" si="46"/>
        <v>7.7962326818214717E-2</v>
      </c>
      <c r="K34" s="101">
        <f t="shared" si="46"/>
        <v>7.2962326818214712E-2</v>
      </c>
      <c r="L34" s="101">
        <f t="shared" si="46"/>
        <v>6.7962326818214708E-2</v>
      </c>
      <c r="M34" s="101">
        <f t="shared" si="46"/>
        <v>6.2962326818214703E-2</v>
      </c>
      <c r="N34" s="101">
        <f t="shared" si="46"/>
        <v>5.7962326818214706E-2</v>
      </c>
      <c r="O34" s="101">
        <f t="shared" si="46"/>
        <v>5.2962326818214708E-2</v>
      </c>
    </row>
    <row r="35" spans="1:15" x14ac:dyDescent="0.25">
      <c r="B35" s="4" t="s">
        <v>145</v>
      </c>
      <c r="F35" s="106">
        <v>10000</v>
      </c>
      <c r="G35" s="106">
        <v>10000</v>
      </c>
      <c r="H35" s="106">
        <v>10000</v>
      </c>
      <c r="I35" s="106">
        <v>10000</v>
      </c>
      <c r="J35" s="106">
        <v>10000</v>
      </c>
      <c r="K35" s="106">
        <v>10000</v>
      </c>
      <c r="L35" s="106">
        <v>10000</v>
      </c>
      <c r="M35" s="106">
        <v>10000</v>
      </c>
      <c r="N35" s="106">
        <v>10000</v>
      </c>
      <c r="O35" s="106">
        <v>10000</v>
      </c>
    </row>
    <row r="36" spans="1:15" x14ac:dyDescent="0.25"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spans="1:15" x14ac:dyDescent="0.25">
      <c r="A37" s="64" t="s">
        <v>126</v>
      </c>
      <c r="B37" s="107" t="s">
        <v>61</v>
      </c>
      <c r="C37" s="231">
        <f>C31</f>
        <v>2022</v>
      </c>
      <c r="D37" s="231">
        <f t="shared" ref="D37:J37" si="47">D31</f>
        <v>2023</v>
      </c>
      <c r="E37" s="231">
        <f t="shared" si="47"/>
        <v>2024</v>
      </c>
      <c r="F37" s="231">
        <f t="shared" si="47"/>
        <v>2025</v>
      </c>
      <c r="G37" s="231">
        <f t="shared" si="47"/>
        <v>2026</v>
      </c>
      <c r="H37" s="231">
        <f t="shared" si="47"/>
        <v>2027</v>
      </c>
      <c r="I37" s="231">
        <f t="shared" si="47"/>
        <v>2028</v>
      </c>
      <c r="J37" s="231">
        <f t="shared" si="47"/>
        <v>2029</v>
      </c>
      <c r="K37" s="231">
        <f t="shared" ref="K37:O37" si="48">K31</f>
        <v>2030</v>
      </c>
      <c r="L37" s="231">
        <f t="shared" si="48"/>
        <v>2031</v>
      </c>
      <c r="M37" s="231">
        <f t="shared" si="48"/>
        <v>2032</v>
      </c>
      <c r="N37" s="231">
        <f t="shared" si="48"/>
        <v>2033</v>
      </c>
      <c r="O37" s="231">
        <f t="shared" si="48"/>
        <v>2034</v>
      </c>
    </row>
    <row r="38" spans="1:15" x14ac:dyDescent="0.25">
      <c r="A38" s="86"/>
      <c r="B38" s="159"/>
      <c r="C38" s="192"/>
      <c r="D38" s="192"/>
      <c r="E38" s="192"/>
      <c r="F38" s="229"/>
      <c r="G38" s="229"/>
      <c r="H38" s="229"/>
      <c r="I38" s="229"/>
      <c r="J38" s="229"/>
      <c r="K38" s="229"/>
      <c r="L38" s="229"/>
      <c r="M38" s="229"/>
      <c r="N38" s="229"/>
      <c r="O38" s="229"/>
    </row>
    <row r="39" spans="1:15" s="234" customFormat="1" x14ac:dyDescent="0.25">
      <c r="B39" s="234" t="str">
        <f>B18</f>
        <v>Dividend Payout Rate</v>
      </c>
      <c r="C39" s="234">
        <f>C18</f>
        <v>1.4598344693281402</v>
      </c>
      <c r="D39" s="234">
        <f t="shared" ref="D39:E39" si="49">D18</f>
        <v>0.7369928400954654</v>
      </c>
      <c r="E39" s="234">
        <f t="shared" si="49"/>
        <v>0.37359813084112148</v>
      </c>
      <c r="F39" s="235">
        <f>F18</f>
        <v>0.37359813084112148</v>
      </c>
      <c r="G39" s="235">
        <f t="shared" ref="G39:J39" si="50">G18</f>
        <v>0.37359813084112148</v>
      </c>
      <c r="H39" s="235">
        <f t="shared" si="50"/>
        <v>0.37359813084112148</v>
      </c>
      <c r="I39" s="235">
        <f t="shared" si="50"/>
        <v>0.37359813084112148</v>
      </c>
      <c r="J39" s="235">
        <f t="shared" si="50"/>
        <v>0.37359813084112148</v>
      </c>
      <c r="K39" s="235">
        <f t="shared" ref="K39:O39" si="51">K18</f>
        <v>0.37359813084112148</v>
      </c>
      <c r="L39" s="235">
        <f t="shared" si="51"/>
        <v>0.37359813084112148</v>
      </c>
      <c r="M39" s="235">
        <f t="shared" si="51"/>
        <v>0.37359813084112148</v>
      </c>
      <c r="N39" s="235">
        <f t="shared" si="51"/>
        <v>0.37359813084112148</v>
      </c>
      <c r="O39" s="235">
        <f t="shared" si="51"/>
        <v>0.37359813084112148</v>
      </c>
    </row>
    <row r="40" spans="1:15" x14ac:dyDescent="0.25">
      <c r="B40" s="4" t="s">
        <v>49</v>
      </c>
      <c r="C40" s="4">
        <f>C19</f>
        <v>4108</v>
      </c>
      <c r="D40" s="4">
        <f t="shared" ref="D40:E40" si="52">D19</f>
        <v>4190</v>
      </c>
      <c r="E40" s="4">
        <f t="shared" si="52"/>
        <v>4280</v>
      </c>
      <c r="F40" s="102">
        <f>F19</f>
        <v>4280</v>
      </c>
      <c r="G40" s="102">
        <f t="shared" ref="G40:J41" si="53">G19</f>
        <v>4280</v>
      </c>
      <c r="H40" s="102">
        <f t="shared" si="53"/>
        <v>4280</v>
      </c>
      <c r="I40" s="102">
        <f t="shared" si="53"/>
        <v>4280</v>
      </c>
      <c r="J40" s="102">
        <f t="shared" si="53"/>
        <v>4280</v>
      </c>
      <c r="K40" s="102">
        <f t="shared" ref="K40:O40" si="54">K19</f>
        <v>4280</v>
      </c>
      <c r="L40" s="102">
        <f t="shared" si="54"/>
        <v>4280</v>
      </c>
      <c r="M40" s="102">
        <f t="shared" si="54"/>
        <v>4280</v>
      </c>
      <c r="N40" s="102">
        <f t="shared" si="54"/>
        <v>4280</v>
      </c>
      <c r="O40" s="102">
        <f t="shared" si="54"/>
        <v>4280</v>
      </c>
    </row>
    <row r="41" spans="1:15" x14ac:dyDescent="0.25">
      <c r="B41" s="4" t="s">
        <v>50</v>
      </c>
      <c r="C41" s="4">
        <f t="shared" ref="C41:E41" si="55">C20</f>
        <v>4123</v>
      </c>
      <c r="D41" s="4">
        <f t="shared" si="55"/>
        <v>4212</v>
      </c>
      <c r="E41" s="4">
        <f t="shared" si="55"/>
        <v>4280</v>
      </c>
      <c r="F41" s="102">
        <f>F20</f>
        <v>4280</v>
      </c>
      <c r="G41" s="102">
        <f t="shared" si="53"/>
        <v>4280</v>
      </c>
      <c r="H41" s="102">
        <f t="shared" si="53"/>
        <v>4280</v>
      </c>
      <c r="I41" s="102">
        <f t="shared" si="53"/>
        <v>4280</v>
      </c>
      <c r="J41" s="102">
        <f t="shared" si="53"/>
        <v>4280</v>
      </c>
      <c r="K41" s="102">
        <f t="shared" ref="K41:O41" si="56">K20</f>
        <v>4280</v>
      </c>
      <c r="L41" s="102">
        <f t="shared" si="56"/>
        <v>4280</v>
      </c>
      <c r="M41" s="102">
        <f t="shared" si="56"/>
        <v>4280</v>
      </c>
      <c r="N41" s="102">
        <f t="shared" si="56"/>
        <v>4280</v>
      </c>
      <c r="O41" s="102">
        <f t="shared" si="56"/>
        <v>4280</v>
      </c>
    </row>
    <row r="42" spans="1:15" x14ac:dyDescent="0.25"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1:15" x14ac:dyDescent="0.25">
      <c r="A43" s="64" t="s">
        <v>126</v>
      </c>
      <c r="B43" s="107" t="s">
        <v>131</v>
      </c>
      <c r="C43" s="231">
        <f>C37</f>
        <v>2022</v>
      </c>
      <c r="D43" s="231">
        <f t="shared" ref="D43:J43" si="57">D37</f>
        <v>2023</v>
      </c>
      <c r="E43" s="231">
        <f t="shared" si="57"/>
        <v>2024</v>
      </c>
      <c r="F43" s="231">
        <f t="shared" si="57"/>
        <v>2025</v>
      </c>
      <c r="G43" s="231">
        <f t="shared" si="57"/>
        <v>2026</v>
      </c>
      <c r="H43" s="231">
        <f t="shared" si="57"/>
        <v>2027</v>
      </c>
      <c r="I43" s="231">
        <f t="shared" si="57"/>
        <v>2028</v>
      </c>
      <c r="J43" s="231">
        <f t="shared" si="57"/>
        <v>2029</v>
      </c>
      <c r="K43" s="231">
        <f t="shared" ref="K43:O43" si="58">K37</f>
        <v>2030</v>
      </c>
      <c r="L43" s="231">
        <f t="shared" si="58"/>
        <v>2031</v>
      </c>
      <c r="M43" s="231">
        <f t="shared" si="58"/>
        <v>2032</v>
      </c>
      <c r="N43" s="231">
        <f t="shared" si="58"/>
        <v>2033</v>
      </c>
      <c r="O43" s="231">
        <f t="shared" si="58"/>
        <v>2034</v>
      </c>
    </row>
    <row r="44" spans="1:15" x14ac:dyDescent="0.25">
      <c r="A44" s="86"/>
      <c r="B44" s="159"/>
      <c r="C44" s="192"/>
      <c r="D44" s="192"/>
      <c r="E44" s="192"/>
      <c r="F44" s="229"/>
      <c r="G44" s="229"/>
      <c r="H44" s="229"/>
      <c r="I44" s="229"/>
      <c r="J44" s="229"/>
      <c r="K44" s="229"/>
      <c r="L44" s="229"/>
      <c r="M44" s="229"/>
      <c r="N44" s="229"/>
      <c r="O44" s="229"/>
    </row>
    <row r="45" spans="1:15" x14ac:dyDescent="0.25">
      <c r="B45" s="4" t="s">
        <v>142</v>
      </c>
      <c r="C45" s="8">
        <f>BalSheet!C17/IncState!C17</f>
        <v>1.4999999999999999E-2</v>
      </c>
      <c r="D45" s="8">
        <f>BalSheet!D17/IncState!D17</f>
        <v>1.4999999999999999E-2</v>
      </c>
      <c r="E45" s="8">
        <f>BalSheet!E17/IncState!E17</f>
        <v>1.4999999999999999E-2</v>
      </c>
      <c r="F45" s="101">
        <f>E45</f>
        <v>1.4999999999999999E-2</v>
      </c>
      <c r="G45" s="101">
        <f t="shared" ref="G45:J45" si="59">F45</f>
        <v>1.4999999999999999E-2</v>
      </c>
      <c r="H45" s="101">
        <f t="shared" si="59"/>
        <v>1.4999999999999999E-2</v>
      </c>
      <c r="I45" s="101">
        <f t="shared" si="59"/>
        <v>1.4999999999999999E-2</v>
      </c>
      <c r="J45" s="101">
        <f t="shared" si="59"/>
        <v>1.4999999999999999E-2</v>
      </c>
      <c r="K45" s="101">
        <f t="shared" ref="K45:K48" si="60">J45</f>
        <v>1.4999999999999999E-2</v>
      </c>
      <c r="L45" s="101">
        <f t="shared" ref="L45:L48" si="61">K45</f>
        <v>1.4999999999999999E-2</v>
      </c>
      <c r="M45" s="101">
        <f t="shared" ref="M45:M48" si="62">L45</f>
        <v>1.4999999999999999E-2</v>
      </c>
      <c r="N45" s="101">
        <f t="shared" ref="N45:N48" si="63">M45</f>
        <v>1.4999999999999999E-2</v>
      </c>
      <c r="O45" s="101">
        <f t="shared" ref="O45:O48" si="64">N45</f>
        <v>1.4999999999999999E-2</v>
      </c>
    </row>
    <row r="46" spans="1:15" x14ac:dyDescent="0.25">
      <c r="B46" s="4" t="s">
        <v>154</v>
      </c>
      <c r="C46" s="8">
        <f>BalSheet!C19/IncState!C17</f>
        <v>6.5546991467630919E-2</v>
      </c>
      <c r="D46" s="8">
        <f>BalSheet!D19/IncState!D17</f>
        <v>6.2735118389024125E-2</v>
      </c>
      <c r="E46" s="8">
        <f>BalSheet!E19/IncState!E17</f>
        <v>6.5497824899719406E-2</v>
      </c>
      <c r="F46" s="101">
        <f>E46</f>
        <v>6.5497824899719406E-2</v>
      </c>
      <c r="G46" s="101">
        <f t="shared" ref="G46:J46" si="65">F46</f>
        <v>6.5497824899719406E-2</v>
      </c>
      <c r="H46" s="101">
        <f t="shared" si="65"/>
        <v>6.5497824899719406E-2</v>
      </c>
      <c r="I46" s="101">
        <f t="shared" si="65"/>
        <v>6.5497824899719406E-2</v>
      </c>
      <c r="J46" s="101">
        <f t="shared" si="65"/>
        <v>6.5497824899719406E-2</v>
      </c>
      <c r="K46" s="101">
        <f t="shared" si="60"/>
        <v>6.5497824899719406E-2</v>
      </c>
      <c r="L46" s="101">
        <f t="shared" si="61"/>
        <v>6.5497824899719406E-2</v>
      </c>
      <c r="M46" s="101">
        <f t="shared" si="62"/>
        <v>6.5497824899719406E-2</v>
      </c>
      <c r="N46" s="101">
        <f t="shared" si="63"/>
        <v>6.5497824899719406E-2</v>
      </c>
      <c r="O46" s="101">
        <f t="shared" si="64"/>
        <v>6.5497824899719406E-2</v>
      </c>
    </row>
    <row r="47" spans="1:15" x14ac:dyDescent="0.25">
      <c r="B47" s="4" t="s">
        <v>65</v>
      </c>
      <c r="C47" s="8">
        <f>BalSheet!C20/IncState!C18</f>
        <v>0.36542500276334694</v>
      </c>
      <c r="D47" s="8">
        <f>BalSheet!D20/IncState!D18</f>
        <v>0.34219023895193285</v>
      </c>
      <c r="E47" s="8">
        <f>BalSheet!E20/IncState!E18</f>
        <v>0.34114554200693592</v>
      </c>
      <c r="F47" s="101">
        <f t="shared" ref="F47:J47" si="66">E47</f>
        <v>0.34114554200693592</v>
      </c>
      <c r="G47" s="101">
        <f t="shared" si="66"/>
        <v>0.34114554200693592</v>
      </c>
      <c r="H47" s="101">
        <f t="shared" si="66"/>
        <v>0.34114554200693592</v>
      </c>
      <c r="I47" s="101">
        <f t="shared" si="66"/>
        <v>0.34114554200693592</v>
      </c>
      <c r="J47" s="101">
        <f t="shared" si="66"/>
        <v>0.34114554200693592</v>
      </c>
      <c r="K47" s="101">
        <f t="shared" si="60"/>
        <v>0.34114554200693592</v>
      </c>
      <c r="L47" s="101">
        <f t="shared" si="61"/>
        <v>0.34114554200693592</v>
      </c>
      <c r="M47" s="101">
        <f t="shared" si="62"/>
        <v>0.34114554200693592</v>
      </c>
      <c r="N47" s="101">
        <f t="shared" si="63"/>
        <v>0.34114554200693592</v>
      </c>
      <c r="O47" s="101">
        <f t="shared" si="64"/>
        <v>0.34114554200693592</v>
      </c>
    </row>
    <row r="48" spans="1:15" x14ac:dyDescent="0.25">
      <c r="B48" s="4" t="s">
        <v>66</v>
      </c>
      <c r="C48" s="8">
        <f>BalSheet!C21/IncState!C17</f>
        <v>0.34741650014273479</v>
      </c>
      <c r="D48" s="8">
        <f>BalSheet!D21/IncState!D17</f>
        <v>0.39944309212952717</v>
      </c>
      <c r="E48" s="8">
        <f>BalSheet!E21/IncState!E17</f>
        <v>0.44065083520084369</v>
      </c>
      <c r="F48" s="101">
        <f t="shared" ref="F48:J48" si="67">E48</f>
        <v>0.44065083520084369</v>
      </c>
      <c r="G48" s="101">
        <f t="shared" si="67"/>
        <v>0.44065083520084369</v>
      </c>
      <c r="H48" s="101">
        <f t="shared" si="67"/>
        <v>0.44065083520084369</v>
      </c>
      <c r="I48" s="101">
        <f t="shared" si="67"/>
        <v>0.44065083520084369</v>
      </c>
      <c r="J48" s="101">
        <f t="shared" si="67"/>
        <v>0.44065083520084369</v>
      </c>
      <c r="K48" s="101">
        <f t="shared" si="60"/>
        <v>0.44065083520084369</v>
      </c>
      <c r="L48" s="101">
        <f t="shared" si="61"/>
        <v>0.44065083520084369</v>
      </c>
      <c r="M48" s="101">
        <f t="shared" si="62"/>
        <v>0.44065083520084369</v>
      </c>
      <c r="N48" s="101">
        <f t="shared" si="63"/>
        <v>0.44065083520084369</v>
      </c>
      <c r="O48" s="101">
        <f t="shared" si="64"/>
        <v>0.44065083520084369</v>
      </c>
    </row>
    <row r="49" spans="1:15" x14ac:dyDescent="0.25">
      <c r="E49" s="8"/>
      <c r="F49" s="104"/>
      <c r="G49" s="104"/>
      <c r="H49" s="104"/>
      <c r="I49" s="104"/>
      <c r="J49" s="104"/>
      <c r="K49" s="104"/>
      <c r="L49" s="104"/>
      <c r="M49" s="104"/>
      <c r="N49" s="104"/>
      <c r="O49" s="104"/>
    </row>
    <row r="50" spans="1:15" x14ac:dyDescent="0.25">
      <c r="B50" s="4" t="s">
        <v>181</v>
      </c>
      <c r="C50" s="4">
        <f>BalSheet!C26</f>
        <v>5912</v>
      </c>
      <c r="D50" s="4">
        <f>BalSheet!D26</f>
        <v>5829</v>
      </c>
      <c r="E50" s="4">
        <f>BalSheet!E26</f>
        <v>5383</v>
      </c>
      <c r="F50" s="102">
        <f>E50</f>
        <v>5383</v>
      </c>
      <c r="G50" s="102">
        <f t="shared" ref="G50:J50" si="68">F50</f>
        <v>5383</v>
      </c>
      <c r="H50" s="102">
        <f t="shared" si="68"/>
        <v>5383</v>
      </c>
      <c r="I50" s="102">
        <f t="shared" si="68"/>
        <v>5383</v>
      </c>
      <c r="J50" s="102">
        <f t="shared" si="68"/>
        <v>5383</v>
      </c>
      <c r="K50" s="102">
        <f t="shared" ref="K50:K51" si="69">J50</f>
        <v>5383</v>
      </c>
      <c r="L50" s="102">
        <f t="shared" ref="L50:L51" si="70">K50</f>
        <v>5383</v>
      </c>
      <c r="M50" s="102">
        <f t="shared" ref="M50:M51" si="71">L50</f>
        <v>5383</v>
      </c>
      <c r="N50" s="102">
        <f t="shared" ref="N50:N51" si="72">M50</f>
        <v>5383</v>
      </c>
      <c r="O50" s="102">
        <f t="shared" ref="O50:O51" si="73">N50</f>
        <v>5383</v>
      </c>
    </row>
    <row r="51" spans="1:15" x14ac:dyDescent="0.25">
      <c r="B51" s="4" t="s">
        <v>67</v>
      </c>
      <c r="C51" s="8">
        <f>BalSheet!C27/IncState!C17</f>
        <v>0.17944936086529006</v>
      </c>
      <c r="D51" s="8">
        <f>BalSheet!D27/IncState!D17</f>
        <v>0.25165965921664085</v>
      </c>
      <c r="E51" s="8">
        <f>BalSheet!E27/IncState!E17</f>
        <v>0.14076947703433079</v>
      </c>
      <c r="F51" s="101">
        <f>E51</f>
        <v>0.14076947703433079</v>
      </c>
      <c r="G51" s="101">
        <f t="shared" ref="G51:J51" si="74">F51</f>
        <v>0.14076947703433079</v>
      </c>
      <c r="H51" s="101">
        <f t="shared" si="74"/>
        <v>0.14076947703433079</v>
      </c>
      <c r="I51" s="101">
        <f t="shared" si="74"/>
        <v>0.14076947703433079</v>
      </c>
      <c r="J51" s="101">
        <f t="shared" si="74"/>
        <v>0.14076947703433079</v>
      </c>
      <c r="K51" s="101">
        <f t="shared" si="69"/>
        <v>0.14076947703433079</v>
      </c>
      <c r="L51" s="101">
        <f t="shared" si="70"/>
        <v>0.14076947703433079</v>
      </c>
      <c r="M51" s="101">
        <f t="shared" si="71"/>
        <v>0.14076947703433079</v>
      </c>
      <c r="N51" s="101">
        <f t="shared" si="72"/>
        <v>0.14076947703433079</v>
      </c>
      <c r="O51" s="101">
        <f t="shared" si="73"/>
        <v>0.14076947703433079</v>
      </c>
    </row>
    <row r="52" spans="1:15" x14ac:dyDescent="0.25">
      <c r="F52" s="30"/>
      <c r="G52" s="30"/>
      <c r="H52" s="30"/>
      <c r="I52" s="30"/>
      <c r="J52" s="30"/>
      <c r="K52" s="30"/>
      <c r="L52" s="30"/>
      <c r="M52" s="30"/>
      <c r="N52" s="30"/>
      <c r="O52" s="30"/>
    </row>
    <row r="53" spans="1:15" x14ac:dyDescent="0.25">
      <c r="A53" s="64" t="s">
        <v>126</v>
      </c>
      <c r="B53" s="107" t="s">
        <v>132</v>
      </c>
      <c r="C53" s="231">
        <f>C43</f>
        <v>2022</v>
      </c>
      <c r="D53" s="231">
        <f t="shared" ref="D53:J53" si="75">D43</f>
        <v>2023</v>
      </c>
      <c r="E53" s="231">
        <f t="shared" si="75"/>
        <v>2024</v>
      </c>
      <c r="F53" s="231">
        <f t="shared" si="75"/>
        <v>2025</v>
      </c>
      <c r="G53" s="231">
        <f t="shared" si="75"/>
        <v>2026</v>
      </c>
      <c r="H53" s="231">
        <f t="shared" si="75"/>
        <v>2027</v>
      </c>
      <c r="I53" s="231">
        <f t="shared" si="75"/>
        <v>2028</v>
      </c>
      <c r="J53" s="231">
        <f t="shared" si="75"/>
        <v>2029</v>
      </c>
      <c r="K53" s="231">
        <f t="shared" ref="K53:O53" si="76">K43</f>
        <v>2030</v>
      </c>
      <c r="L53" s="231">
        <f t="shared" si="76"/>
        <v>2031</v>
      </c>
      <c r="M53" s="231">
        <f t="shared" si="76"/>
        <v>2032</v>
      </c>
      <c r="N53" s="231">
        <f t="shared" si="76"/>
        <v>2033</v>
      </c>
      <c r="O53" s="231">
        <f t="shared" si="76"/>
        <v>2034</v>
      </c>
    </row>
    <row r="54" spans="1:15" x14ac:dyDescent="0.25">
      <c r="A54" s="86"/>
      <c r="B54" s="159"/>
      <c r="C54" s="192"/>
      <c r="D54" s="192"/>
      <c r="E54" s="192"/>
      <c r="F54" s="229"/>
      <c r="G54" s="229"/>
      <c r="H54" s="229"/>
      <c r="I54" s="229"/>
      <c r="J54" s="229"/>
      <c r="K54" s="229"/>
      <c r="L54" s="229"/>
      <c r="M54" s="229"/>
      <c r="N54" s="229"/>
      <c r="O54" s="229"/>
    </row>
    <row r="55" spans="1:15" x14ac:dyDescent="0.25">
      <c r="B55" s="4" t="s">
        <v>155</v>
      </c>
      <c r="C55" s="8">
        <f>BalSheet!C33/IncState!C18</f>
        <v>0.32734608157400241</v>
      </c>
      <c r="D55" s="8">
        <f>BalSheet!D33/IncState!D18</f>
        <v>0.29784420456991728</v>
      </c>
      <c r="E55" s="8">
        <f>BalSheet!E33/IncState!E18</f>
        <v>0.4002684864078756</v>
      </c>
      <c r="F55" s="101">
        <f t="shared" ref="F55:J55" si="77">E55</f>
        <v>0.4002684864078756</v>
      </c>
      <c r="G55" s="101">
        <f t="shared" si="77"/>
        <v>0.4002684864078756</v>
      </c>
      <c r="H55" s="101">
        <f t="shared" si="77"/>
        <v>0.4002684864078756</v>
      </c>
      <c r="I55" s="101">
        <f t="shared" si="77"/>
        <v>0.4002684864078756</v>
      </c>
      <c r="J55" s="101">
        <f t="shared" si="77"/>
        <v>0.4002684864078756</v>
      </c>
      <c r="K55" s="101">
        <f t="shared" ref="K55:K57" si="78">J55</f>
        <v>0.4002684864078756</v>
      </c>
      <c r="L55" s="101">
        <f t="shared" ref="L55:L57" si="79">K55</f>
        <v>0.4002684864078756</v>
      </c>
      <c r="M55" s="101">
        <f t="shared" ref="M55:M57" si="80">L55</f>
        <v>0.4002684864078756</v>
      </c>
      <c r="N55" s="101">
        <f t="shared" ref="N55:N57" si="81">M55</f>
        <v>0.4002684864078756</v>
      </c>
      <c r="O55" s="101">
        <f t="shared" ref="O55:O57" si="82">N55</f>
        <v>0.4002684864078756</v>
      </c>
    </row>
    <row r="56" spans="1:15" x14ac:dyDescent="0.25">
      <c r="B56" s="4" t="s">
        <v>68</v>
      </c>
      <c r="C56" s="8">
        <f>BalSheet!C34/IncState!C17</f>
        <v>0.25283090684175469</v>
      </c>
      <c r="D56" s="8">
        <f>BalSheet!D34/IncState!D17</f>
        <v>0.29652578003983182</v>
      </c>
      <c r="E56" s="8">
        <f>BalSheet!E34/IncState!E17</f>
        <v>0.33191465320803754</v>
      </c>
      <c r="F56" s="101">
        <f t="shared" ref="F56:J56" si="83">E56</f>
        <v>0.33191465320803754</v>
      </c>
      <c r="G56" s="101">
        <f t="shared" si="83"/>
        <v>0.33191465320803754</v>
      </c>
      <c r="H56" s="101">
        <f t="shared" si="83"/>
        <v>0.33191465320803754</v>
      </c>
      <c r="I56" s="101">
        <f t="shared" si="83"/>
        <v>0.33191465320803754</v>
      </c>
      <c r="J56" s="101">
        <f t="shared" si="83"/>
        <v>0.33191465320803754</v>
      </c>
      <c r="K56" s="101">
        <f t="shared" si="78"/>
        <v>0.33191465320803754</v>
      </c>
      <c r="L56" s="101">
        <f t="shared" si="79"/>
        <v>0.33191465320803754</v>
      </c>
      <c r="M56" s="101">
        <f t="shared" si="80"/>
        <v>0.33191465320803754</v>
      </c>
      <c r="N56" s="101">
        <f t="shared" si="81"/>
        <v>0.33191465320803754</v>
      </c>
      <c r="O56" s="101">
        <f t="shared" si="82"/>
        <v>0.33191465320803754</v>
      </c>
    </row>
    <row r="57" spans="1:15" x14ac:dyDescent="0.25">
      <c r="B57" s="4" t="s">
        <v>69</v>
      </c>
      <c r="C57" s="8">
        <f>BalSheet!C38/IncState!C17</f>
        <v>0.14238589145811525</v>
      </c>
      <c r="D57" s="8">
        <f>BalSheet!D38/IncState!D17</f>
        <v>0.12126576676255808</v>
      </c>
      <c r="E57" s="8">
        <f>BalSheet!E38/IncState!E17</f>
        <v>0.17899851226907215</v>
      </c>
      <c r="F57" s="101">
        <f t="shared" ref="F57:J57" si="84">E57</f>
        <v>0.17899851226907215</v>
      </c>
      <c r="G57" s="101">
        <f t="shared" si="84"/>
        <v>0.17899851226907215</v>
      </c>
      <c r="H57" s="101">
        <f t="shared" si="84"/>
        <v>0.17899851226907215</v>
      </c>
      <c r="I57" s="101">
        <f t="shared" si="84"/>
        <v>0.17899851226907215</v>
      </c>
      <c r="J57" s="101">
        <f t="shared" si="84"/>
        <v>0.17899851226907215</v>
      </c>
      <c r="K57" s="101">
        <f t="shared" si="78"/>
        <v>0.17899851226907215</v>
      </c>
      <c r="L57" s="101">
        <f t="shared" si="79"/>
        <v>0.17899851226907215</v>
      </c>
      <c r="M57" s="101">
        <f t="shared" si="80"/>
        <v>0.17899851226907215</v>
      </c>
      <c r="N57" s="101">
        <f t="shared" si="81"/>
        <v>0.17899851226907215</v>
      </c>
      <c r="O57" s="101">
        <f t="shared" si="82"/>
        <v>0.17899851226907215</v>
      </c>
    </row>
    <row r="58" spans="1:15" x14ac:dyDescent="0.25">
      <c r="F58" s="122"/>
      <c r="G58" s="30"/>
      <c r="H58" s="30"/>
      <c r="I58" s="30"/>
      <c r="J58" s="30"/>
      <c r="K58" s="30"/>
      <c r="L58" s="30"/>
      <c r="M58" s="30"/>
      <c r="N58" s="30"/>
      <c r="O58" s="30"/>
    </row>
    <row r="59" spans="1:15" x14ac:dyDescent="0.25">
      <c r="F59" s="123"/>
      <c r="G59" s="95"/>
      <c r="H59" s="95"/>
      <c r="I59" s="95"/>
      <c r="J59" s="95"/>
      <c r="K59" s="95"/>
      <c r="L59" s="95"/>
      <c r="M59" s="95"/>
      <c r="N59" s="95"/>
      <c r="O59" s="95"/>
    </row>
    <row r="60" spans="1:15" x14ac:dyDescent="0.25">
      <c r="F60" s="95"/>
      <c r="G60" s="95"/>
      <c r="H60" s="95"/>
      <c r="I60" s="95"/>
      <c r="J60" s="95"/>
      <c r="K60" s="95"/>
      <c r="L60" s="95"/>
      <c r="M60" s="95"/>
      <c r="N60" s="95"/>
      <c r="O60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P7:T7 D7:D8 F23:O30 F39:O41 F45:O51 F55:O57 F59:O60 F6:O8 F11:O21 F32:O35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O40"/>
  <sheetViews>
    <sheetView showGridLines="0" topLeftCell="C1" zoomScaleNormal="100" workbookViewId="0">
      <selection activeCell="D63" sqref="D6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5" width="11.7109375" style="6" customWidth="1"/>
    <col min="16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5" s="2" customFormat="1" ht="19.5" x14ac:dyDescent="0.3">
      <c r="A1" s="223" t="str">
        <f>CoName</f>
        <v>Intel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x14ac:dyDescent="0.25">
      <c r="A2" s="21" t="s">
        <v>11</v>
      </c>
      <c r="B2" s="20"/>
      <c r="C2" s="190">
        <v>2022</v>
      </c>
      <c r="D2" s="222">
        <f>C2+1</f>
        <v>2023</v>
      </c>
      <c r="E2" s="222">
        <f t="shared" ref="E2:J2" si="0">D2+1</f>
        <v>2024</v>
      </c>
      <c r="F2" s="222">
        <f t="shared" si="0"/>
        <v>2025</v>
      </c>
      <c r="G2" s="222">
        <f t="shared" si="0"/>
        <v>2026</v>
      </c>
      <c r="H2" s="222">
        <f t="shared" si="0"/>
        <v>2027</v>
      </c>
      <c r="I2" s="222">
        <f t="shared" si="0"/>
        <v>2028</v>
      </c>
      <c r="J2" s="222">
        <f t="shared" si="0"/>
        <v>2029</v>
      </c>
      <c r="K2" s="222">
        <f t="shared" ref="K2" si="1">J2+1</f>
        <v>2030</v>
      </c>
      <c r="L2" s="222">
        <f t="shared" ref="L2" si="2">K2+1</f>
        <v>2031</v>
      </c>
      <c r="M2" s="222">
        <f t="shared" ref="M2" si="3">L2+1</f>
        <v>2032</v>
      </c>
      <c r="N2" s="222">
        <f t="shared" ref="N2" si="4">M2+1</f>
        <v>2033</v>
      </c>
      <c r="O2" s="222">
        <f t="shared" ref="O2" si="5">N2+1</f>
        <v>2034</v>
      </c>
    </row>
    <row r="3" spans="1:15" x14ac:dyDescent="0.25">
      <c r="B3" s="4" t="s">
        <v>12</v>
      </c>
      <c r="C3" s="29"/>
      <c r="D3" s="29"/>
      <c r="E3" s="40"/>
      <c r="F3" s="194">
        <f>Assumptions!F33</f>
        <v>0.40091429539933338</v>
      </c>
      <c r="G3" s="194">
        <f>Assumptions!G33</f>
        <v>0.39091429539933337</v>
      </c>
      <c r="H3" s="194">
        <f>Assumptions!H33</f>
        <v>0.38091429539933336</v>
      </c>
      <c r="I3" s="194">
        <f>Assumptions!I33</f>
        <v>0.37091429539933335</v>
      </c>
      <c r="J3" s="194">
        <f>Assumptions!J33</f>
        <v>0.36091429539933334</v>
      </c>
      <c r="K3" s="194">
        <f>Assumptions!K33</f>
        <v>0.35091429539933333</v>
      </c>
      <c r="L3" s="194">
        <f>Assumptions!L33</f>
        <v>0.34091429539933332</v>
      </c>
      <c r="M3" s="194">
        <f>Assumptions!M33</f>
        <v>0.33091429539933331</v>
      </c>
      <c r="N3" s="194">
        <f>Assumptions!N33</f>
        <v>0.3209142953993333</v>
      </c>
      <c r="O3" s="194">
        <f>Assumptions!O33</f>
        <v>0.3109142953993333</v>
      </c>
    </row>
    <row r="4" spans="1:15" x14ac:dyDescent="0.25">
      <c r="B4" s="4" t="s">
        <v>136</v>
      </c>
      <c r="C4" s="29"/>
      <c r="D4" s="29"/>
      <c r="E4" s="40"/>
      <c r="F4" s="194">
        <f>Assumptions!F34</f>
        <v>9.7962326818214734E-2</v>
      </c>
      <c r="G4" s="194">
        <f>F4</f>
        <v>9.7962326818214734E-2</v>
      </c>
      <c r="H4" s="194">
        <f t="shared" ref="H4:J4" si="6">G4</f>
        <v>9.7962326818214734E-2</v>
      </c>
      <c r="I4" s="194">
        <f t="shared" si="6"/>
        <v>9.7962326818214734E-2</v>
      </c>
      <c r="J4" s="194">
        <f t="shared" si="6"/>
        <v>9.7962326818214734E-2</v>
      </c>
      <c r="K4" s="194">
        <f t="shared" ref="K4" si="7">J4</f>
        <v>9.7962326818214734E-2</v>
      </c>
      <c r="L4" s="194">
        <f t="shared" ref="L4" si="8">K4</f>
        <v>9.7962326818214734E-2</v>
      </c>
      <c r="M4" s="194">
        <f t="shared" ref="M4" si="9">L4</f>
        <v>9.7962326818214734E-2</v>
      </c>
      <c r="N4" s="194">
        <f t="shared" ref="N4" si="10">M4</f>
        <v>9.7962326818214734E-2</v>
      </c>
      <c r="O4" s="194">
        <f t="shared" ref="O4" si="11">N4</f>
        <v>9.7962326818214734E-2</v>
      </c>
    </row>
    <row r="5" spans="1:15" x14ac:dyDescent="0.25">
      <c r="E5" s="28"/>
      <c r="F5" s="78"/>
      <c r="G5" s="66"/>
      <c r="H5" s="84"/>
      <c r="I5" s="66"/>
      <c r="J5" s="66"/>
      <c r="K5" s="66"/>
      <c r="L5" s="66"/>
      <c r="M5" s="66"/>
      <c r="N5" s="66"/>
      <c r="O5" s="66"/>
    </row>
    <row r="6" spans="1:15" x14ac:dyDescent="0.25">
      <c r="B6" s="4" t="s">
        <v>13</v>
      </c>
      <c r="E6" s="28"/>
      <c r="F6" s="4">
        <f>E9</f>
        <v>107919</v>
      </c>
      <c r="G6" s="4">
        <f t="shared" ref="G6:J6" si="12">F9</f>
        <v>118475.06193438979</v>
      </c>
      <c r="H6" s="4">
        <f t="shared" si="12"/>
        <v>127985.05713470669</v>
      </c>
      <c r="I6" s="4">
        <f t="shared" si="12"/>
        <v>138080.85088870468</v>
      </c>
      <c r="J6" s="4">
        <f t="shared" si="12"/>
        <v>149899.34602828562</v>
      </c>
      <c r="K6" s="4">
        <f t="shared" ref="K6:O6" si="13">J9</f>
        <v>164809.13640540291</v>
      </c>
      <c r="L6" s="4">
        <f t="shared" si="13"/>
        <v>184631.9228061552</v>
      </c>
      <c r="M6" s="4">
        <f t="shared" si="13"/>
        <v>210223.57115518212</v>
      </c>
      <c r="N6" s="4">
        <f t="shared" si="13"/>
        <v>242626.33237174861</v>
      </c>
      <c r="O6" s="4">
        <f t="shared" si="13"/>
        <v>283102.12531508843</v>
      </c>
    </row>
    <row r="7" spans="1:15" x14ac:dyDescent="0.25">
      <c r="B7" s="4" t="s">
        <v>14</v>
      </c>
      <c r="C7" s="13"/>
      <c r="D7" s="13"/>
      <c r="E7" s="128"/>
      <c r="F7" s="4">
        <f>F3*IncState!F17</f>
        <v>21128.058282284703</v>
      </c>
      <c r="G7" s="4">
        <f>G3*IncState!G17</f>
        <v>21116.087937341817</v>
      </c>
      <c r="H7" s="4">
        <f>H3*IncState!H17</f>
        <v>22633.507748876</v>
      </c>
      <c r="I7" s="4">
        <f>I3*IncState!I17</f>
        <v>25345.216581677396</v>
      </c>
      <c r="J7" s="4">
        <f>J3*IncState!J17</f>
        <v>29594.279102576875</v>
      </c>
      <c r="K7" s="4">
        <f>K3*IncState!K17</f>
        <v>35967.872883926095</v>
      </c>
      <c r="L7" s="4">
        <f>L3*IncState!L17</f>
        <v>43678.621112038862</v>
      </c>
      <c r="M7" s="4">
        <f>M3*IncState!M17</f>
        <v>52996.751398962631</v>
      </c>
      <c r="N7" s="4">
        <f>N3*IncState!N17</f>
        <v>64244.033009845873</v>
      </c>
      <c r="O7" s="4">
        <f>O3*IncState!O17</f>
        <v>77802.658463735555</v>
      </c>
    </row>
    <row r="8" spans="1:15" x14ac:dyDescent="0.25">
      <c r="B8" s="4" t="s">
        <v>15</v>
      </c>
      <c r="E8" s="28"/>
      <c r="F8" s="4">
        <f>F4*F6</f>
        <v>10571.996347894916</v>
      </c>
      <c r="G8" s="4">
        <f t="shared" ref="G8:J8" si="14">G4*G6</f>
        <v>11606.092737024925</v>
      </c>
      <c r="H8" s="4">
        <f t="shared" si="14"/>
        <v>12537.713994878022</v>
      </c>
      <c r="I8" s="4">
        <f t="shared" si="14"/>
        <v>13526.721442096465</v>
      </c>
      <c r="J8" s="4">
        <f t="shared" si="14"/>
        <v>14684.488725459576</v>
      </c>
      <c r="K8" s="4">
        <f t="shared" ref="K8:O8" si="15">K4*K6</f>
        <v>16145.086483173813</v>
      </c>
      <c r="L8" s="4">
        <f t="shared" si="15"/>
        <v>18086.972763011971</v>
      </c>
      <c r="M8" s="4">
        <f t="shared" si="15"/>
        <v>20593.99018239617</v>
      </c>
      <c r="N8" s="4">
        <f t="shared" si="15"/>
        <v>23768.24006650603</v>
      </c>
      <c r="O8" s="4">
        <f t="shared" si="15"/>
        <v>27733.342923047876</v>
      </c>
    </row>
    <row r="9" spans="1:15" x14ac:dyDescent="0.25">
      <c r="B9" s="4" t="s">
        <v>16</v>
      </c>
      <c r="E9" s="28">
        <f>BalSheet!E24</f>
        <v>107919</v>
      </c>
      <c r="F9" s="4">
        <f>F6+F7-F8</f>
        <v>118475.06193438979</v>
      </c>
      <c r="G9" s="4">
        <f t="shared" ref="G9:J9" si="16">G6+G7-G8</f>
        <v>127985.05713470669</v>
      </c>
      <c r="H9" s="4">
        <f t="shared" si="16"/>
        <v>138080.85088870468</v>
      </c>
      <c r="I9" s="4">
        <f t="shared" si="16"/>
        <v>149899.34602828562</v>
      </c>
      <c r="J9" s="4">
        <f t="shared" si="16"/>
        <v>164809.13640540291</v>
      </c>
      <c r="K9" s="4">
        <f t="shared" ref="K9" si="17">K6+K7-K8</f>
        <v>184631.9228061552</v>
      </c>
      <c r="L9" s="4">
        <f t="shared" ref="L9" si="18">L6+L7-L8</f>
        <v>210223.57115518212</v>
      </c>
      <c r="M9" s="4">
        <f t="shared" ref="M9" si="19">M6+M7-M8</f>
        <v>242626.33237174861</v>
      </c>
      <c r="N9" s="4">
        <f t="shared" ref="N9" si="20">N6+N7-N8</f>
        <v>283102.12531508843</v>
      </c>
      <c r="O9" s="4">
        <f t="shared" ref="O9" si="21">O6+O7-O8</f>
        <v>333171.44085577608</v>
      </c>
    </row>
    <row r="10" spans="1:15" x14ac:dyDescent="0.25">
      <c r="A10" s="21" t="s">
        <v>17</v>
      </c>
      <c r="B10" s="42"/>
      <c r="C10" s="210">
        <f t="shared" ref="C10:J10" si="22">C2</f>
        <v>2022</v>
      </c>
      <c r="D10" s="210">
        <f t="shared" si="22"/>
        <v>2023</v>
      </c>
      <c r="E10" s="210">
        <f t="shared" si="22"/>
        <v>2024</v>
      </c>
      <c r="F10" s="210">
        <f t="shared" si="22"/>
        <v>2025</v>
      </c>
      <c r="G10" s="210">
        <f t="shared" ref="G10:J10" si="23">G2</f>
        <v>2026</v>
      </c>
      <c r="H10" s="210">
        <f t="shared" si="23"/>
        <v>2027</v>
      </c>
      <c r="I10" s="210">
        <f t="shared" si="23"/>
        <v>2028</v>
      </c>
      <c r="J10" s="210">
        <f t="shared" si="23"/>
        <v>2029</v>
      </c>
      <c r="K10" s="210">
        <f t="shared" ref="K10:O10" si="24">K2</f>
        <v>2030</v>
      </c>
      <c r="L10" s="210">
        <f t="shared" si="24"/>
        <v>2031</v>
      </c>
      <c r="M10" s="210">
        <f t="shared" si="24"/>
        <v>2032</v>
      </c>
      <c r="N10" s="210">
        <f t="shared" si="24"/>
        <v>2033</v>
      </c>
      <c r="O10" s="210">
        <f t="shared" si="24"/>
        <v>2034</v>
      </c>
    </row>
    <row r="11" spans="1:15" x14ac:dyDescent="0.25">
      <c r="B11" s="4" t="s">
        <v>18</v>
      </c>
      <c r="E11" s="28"/>
      <c r="F11" s="224">
        <f>Assumptions!F35</f>
        <v>10000</v>
      </c>
      <c r="G11" s="224">
        <f>Assumptions!G35</f>
        <v>10000</v>
      </c>
      <c r="H11" s="224">
        <f>Assumptions!H35</f>
        <v>10000</v>
      </c>
      <c r="I11" s="224">
        <f>Assumptions!I35</f>
        <v>10000</v>
      </c>
      <c r="J11" s="224">
        <f>Assumptions!J35</f>
        <v>10000</v>
      </c>
      <c r="K11" s="224">
        <f>Assumptions!K35</f>
        <v>10000</v>
      </c>
      <c r="L11" s="224">
        <f>Assumptions!L35</f>
        <v>10000</v>
      </c>
      <c r="M11" s="224">
        <f>Assumptions!M35</f>
        <v>10000</v>
      </c>
      <c r="N11" s="224">
        <f>Assumptions!N35</f>
        <v>10000</v>
      </c>
      <c r="O11" s="224">
        <f>Assumptions!O35</f>
        <v>10000</v>
      </c>
    </row>
    <row r="12" spans="1:15" x14ac:dyDescent="0.25">
      <c r="E12" s="28"/>
      <c r="F12" s="78"/>
      <c r="G12" s="78"/>
      <c r="H12" s="78"/>
      <c r="I12" s="78"/>
      <c r="J12" s="78"/>
      <c r="K12" s="78"/>
      <c r="L12" s="78"/>
      <c r="M12" s="78"/>
      <c r="N12" s="78"/>
      <c r="O12" s="78"/>
    </row>
    <row r="13" spans="1:15" x14ac:dyDescent="0.25">
      <c r="B13" s="4" t="s">
        <v>19</v>
      </c>
      <c r="E13" s="28"/>
      <c r="F13" s="4">
        <f>E17</f>
        <v>105032</v>
      </c>
      <c r="G13" s="4">
        <f t="shared" ref="G13:J13" si="25">F17</f>
        <v>107407.8412271846</v>
      </c>
      <c r="H13" s="4">
        <f t="shared" si="25"/>
        <v>113911.21415688883</v>
      </c>
      <c r="I13" s="4">
        <f t="shared" si="25"/>
        <v>124930.80111858748</v>
      </c>
      <c r="J13" s="4">
        <f t="shared" si="25"/>
        <v>141755.04937441851</v>
      </c>
      <c r="K13" s="4">
        <f t="shared" ref="K13:O13" si="26">J17</f>
        <v>166758.19518126888</v>
      </c>
      <c r="L13" s="4">
        <f t="shared" si="26"/>
        <v>201323.75068970944</v>
      </c>
      <c r="M13" s="4">
        <f t="shared" si="26"/>
        <v>246940.33945015812</v>
      </c>
      <c r="N13" s="4">
        <f t="shared" si="26"/>
        <v>307498.19336934149</v>
      </c>
      <c r="O13" s="4">
        <f t="shared" si="26"/>
        <v>384618.61574870977</v>
      </c>
    </row>
    <row r="14" spans="1:15" x14ac:dyDescent="0.25">
      <c r="B14" s="4" t="s">
        <v>20</v>
      </c>
      <c r="E14" s="28"/>
      <c r="F14" s="4">
        <f>IncState!F36</f>
        <v>-6025.1587728153982</v>
      </c>
      <c r="G14" s="4">
        <f>IncState!G36</f>
        <v>-1897.6270702957722</v>
      </c>
      <c r="H14" s="4">
        <f>IncState!H36</f>
        <v>2618.5869616986433</v>
      </c>
      <c r="I14" s="4">
        <f>IncState!I36</f>
        <v>8423.2482558310403</v>
      </c>
      <c r="J14" s="4">
        <f>IncState!J36</f>
        <v>16602.145806850367</v>
      </c>
      <c r="K14" s="4">
        <f>IncState!K36</f>
        <v>26164.555508440561</v>
      </c>
      <c r="L14" s="4">
        <f>IncState!L36</f>
        <v>37215.588760448692</v>
      </c>
      <c r="M14" s="4">
        <f>IncState!M36</f>
        <v>52156.853919183355</v>
      </c>
      <c r="N14" s="4">
        <f>IncState!N36</f>
        <v>68719.422379368247</v>
      </c>
      <c r="O14" s="4">
        <f>IncState!O36</f>
        <v>90303.47169969666</v>
      </c>
    </row>
    <row r="15" spans="1:15" x14ac:dyDescent="0.25">
      <c r="B15" s="4" t="s">
        <v>21</v>
      </c>
      <c r="E15" s="28"/>
      <c r="F15" s="4">
        <f>IncState!F38*-1</f>
        <v>-1599</v>
      </c>
      <c r="G15" s="4">
        <f>IncState!G38*-1</f>
        <v>-1599</v>
      </c>
      <c r="H15" s="4">
        <f>IncState!H38*-1</f>
        <v>-1599</v>
      </c>
      <c r="I15" s="4">
        <f>IncState!I38*-1</f>
        <v>-1599</v>
      </c>
      <c r="J15" s="4">
        <f>IncState!J38*-1</f>
        <v>-1599</v>
      </c>
      <c r="K15" s="4">
        <f>IncState!K38*-1</f>
        <v>-1599</v>
      </c>
      <c r="L15" s="4">
        <f>IncState!L38*-1</f>
        <v>-1599</v>
      </c>
      <c r="M15" s="4">
        <f>IncState!M38*-1</f>
        <v>-1599</v>
      </c>
      <c r="N15" s="4">
        <f>IncState!N38*-1</f>
        <v>-1599</v>
      </c>
      <c r="O15" s="4">
        <f>IncState!O38*-1</f>
        <v>-1599</v>
      </c>
    </row>
    <row r="16" spans="1:15" x14ac:dyDescent="0.25">
      <c r="B16" s="4" t="s">
        <v>22</v>
      </c>
      <c r="E16" s="28"/>
      <c r="F16" s="4">
        <f>F11</f>
        <v>10000</v>
      </c>
      <c r="G16" s="4">
        <f t="shared" ref="G16:J16" si="27">G11</f>
        <v>10000</v>
      </c>
      <c r="H16" s="4">
        <f t="shared" si="27"/>
        <v>10000</v>
      </c>
      <c r="I16" s="4">
        <f t="shared" si="27"/>
        <v>10000</v>
      </c>
      <c r="J16" s="4">
        <f t="shared" si="27"/>
        <v>10000</v>
      </c>
      <c r="K16" s="4">
        <f t="shared" ref="K16:O16" si="28">K11</f>
        <v>10000</v>
      </c>
      <c r="L16" s="4">
        <f t="shared" si="28"/>
        <v>10000</v>
      </c>
      <c r="M16" s="4">
        <f t="shared" si="28"/>
        <v>10000</v>
      </c>
      <c r="N16" s="4">
        <f t="shared" si="28"/>
        <v>10000</v>
      </c>
      <c r="O16" s="4">
        <f t="shared" si="28"/>
        <v>10000</v>
      </c>
    </row>
    <row r="17" spans="1:15" x14ac:dyDescent="0.25">
      <c r="B17" s="4" t="s">
        <v>23</v>
      </c>
      <c r="E17" s="28">
        <f>BalSheet!E41</f>
        <v>105032</v>
      </c>
      <c r="F17" s="4">
        <f>SUM(F13:F16)</f>
        <v>107407.8412271846</v>
      </c>
      <c r="G17" s="4">
        <f t="shared" ref="G17:J17" si="29">SUM(G13:G16)</f>
        <v>113911.21415688883</v>
      </c>
      <c r="H17" s="4">
        <f t="shared" si="29"/>
        <v>124930.80111858748</v>
      </c>
      <c r="I17" s="4">
        <f t="shared" si="29"/>
        <v>141755.04937441851</v>
      </c>
      <c r="J17" s="4">
        <f t="shared" si="29"/>
        <v>166758.19518126888</v>
      </c>
      <c r="K17" s="4">
        <f t="shared" ref="K17" si="30">SUM(K13:K16)</f>
        <v>201323.75068970944</v>
      </c>
      <c r="L17" s="4">
        <f t="shared" ref="L17" si="31">SUM(L13:L16)</f>
        <v>246940.33945015812</v>
      </c>
      <c r="M17" s="4">
        <f t="shared" ref="M17" si="32">SUM(M13:M16)</f>
        <v>307498.19336934149</v>
      </c>
      <c r="N17" s="4">
        <f t="shared" ref="N17" si="33">SUM(N13:N16)</f>
        <v>384618.61574870977</v>
      </c>
      <c r="O17" s="4">
        <f t="shared" ref="O17" si="34">SUM(O13:O16)</f>
        <v>483323.08744840644</v>
      </c>
    </row>
    <row r="18" spans="1:15" x14ac:dyDescent="0.25">
      <c r="A18" s="21" t="s">
        <v>24</v>
      </c>
      <c r="B18" s="42"/>
      <c r="C18" s="210">
        <f>C10</f>
        <v>2022</v>
      </c>
      <c r="D18" s="210">
        <f t="shared" ref="D18:J18" si="35">D10</f>
        <v>2023</v>
      </c>
      <c r="E18" s="210">
        <f t="shared" si="35"/>
        <v>2024</v>
      </c>
      <c r="F18" s="210">
        <f t="shared" si="35"/>
        <v>2025</v>
      </c>
      <c r="G18" s="210">
        <f t="shared" ref="G18:J18" si="36">G10</f>
        <v>2026</v>
      </c>
      <c r="H18" s="210">
        <f t="shared" si="36"/>
        <v>2027</v>
      </c>
      <c r="I18" s="210">
        <f t="shared" si="36"/>
        <v>2028</v>
      </c>
      <c r="J18" s="210">
        <f t="shared" si="36"/>
        <v>2029</v>
      </c>
      <c r="K18" s="210">
        <f t="shared" ref="K18:O18" si="37">K10</f>
        <v>2030</v>
      </c>
      <c r="L18" s="210">
        <f t="shared" si="37"/>
        <v>2031</v>
      </c>
      <c r="M18" s="210">
        <f t="shared" si="37"/>
        <v>2032</v>
      </c>
      <c r="N18" s="210">
        <f t="shared" si="37"/>
        <v>2033</v>
      </c>
      <c r="O18" s="210">
        <f t="shared" si="37"/>
        <v>2034</v>
      </c>
    </row>
    <row r="19" spans="1:15" x14ac:dyDescent="0.25">
      <c r="A19" s="87"/>
      <c r="B19" s="170" t="s">
        <v>159</v>
      </c>
      <c r="C19" s="192"/>
      <c r="D19" s="192"/>
      <c r="E19" s="196">
        <f>BalSheet!E17</f>
        <v>796.51499999999999</v>
      </c>
      <c r="F19" s="259">
        <f>BalSheet!F17</f>
        <v>790.49531999999988</v>
      </c>
      <c r="G19" s="259">
        <f>BalSheet!G17</f>
        <v>810.25770299999976</v>
      </c>
      <c r="H19" s="259">
        <f>BalSheet!H17</f>
        <v>891.28347329999974</v>
      </c>
      <c r="I19" s="259">
        <f>BalSheet!I17</f>
        <v>1024.9759942949997</v>
      </c>
      <c r="J19" s="259">
        <f>BalSheet!J17</f>
        <v>1229.9711931539996</v>
      </c>
      <c r="K19" s="259">
        <f>BalSheet!K17</f>
        <v>1537.4639914424995</v>
      </c>
      <c r="L19" s="259">
        <f>BalSheet!L17</f>
        <v>1921.8299893031242</v>
      </c>
      <c r="M19" s="259">
        <f>BalSheet!M17</f>
        <v>2402.2874866289053</v>
      </c>
      <c r="N19" s="259">
        <f>BalSheet!N17</f>
        <v>3002.8593582861313</v>
      </c>
      <c r="O19" s="259">
        <f>BalSheet!O17</f>
        <v>3753.5741978576643</v>
      </c>
    </row>
    <row r="20" spans="1:15" x14ac:dyDescent="0.25">
      <c r="B20" s="4" t="str">
        <f>BalSheet!B20</f>
        <v>Inventories</v>
      </c>
      <c r="D20" s="98"/>
      <c r="E20" s="99">
        <f>BalSheet!E20</f>
        <v>12198</v>
      </c>
      <c r="F20" s="260">
        <f>BalSheet!F20</f>
        <v>11206.900159749201</v>
      </c>
      <c r="G20" s="260">
        <f>BalSheet!G20</f>
        <v>10565.686652892162</v>
      </c>
      <c r="H20" s="260">
        <f>BalSheet!H20</f>
        <v>10608.730706245535</v>
      </c>
      <c r="I20" s="260">
        <f>BalSheet!I20</f>
        <v>11034.487008456146</v>
      </c>
      <c r="J20" s="260">
        <f>BalSheet!J20</f>
        <v>11842.720445675912</v>
      </c>
      <c r="K20" s="260">
        <f>BalSheet!K20</f>
        <v>14104.068574859159</v>
      </c>
      <c r="L20" s="260">
        <f>BalSheet!L20</f>
        <v>16755.920740779282</v>
      </c>
      <c r="M20" s="260">
        <f>BalSheet!M20</f>
        <v>19852.194703730769</v>
      </c>
      <c r="N20" s="260">
        <f>BalSheet!N20</f>
        <v>23449.360601859298</v>
      </c>
      <c r="O20" s="260">
        <f>BalSheet!O20</f>
        <v>27604.34728006892</v>
      </c>
    </row>
    <row r="21" spans="1:15" x14ac:dyDescent="0.25">
      <c r="B21" s="4" t="str">
        <f>BalSheet!B19</f>
        <v>Accounts receivable</v>
      </c>
      <c r="C21" s="98"/>
      <c r="D21" s="98"/>
      <c r="E21" s="99">
        <f>BalSheet!E19</f>
        <v>3478</v>
      </c>
      <c r="F21" s="260">
        <f>BalSheet!F19</f>
        <v>3451.7149368938435</v>
      </c>
      <c r="G21" s="260">
        <f>BalSheet!G19</f>
        <v>3538.0078103161895</v>
      </c>
      <c r="H21" s="260">
        <f>BalSheet!H19</f>
        <v>3891.8085913478085</v>
      </c>
      <c r="I21" s="260">
        <f>BalSheet!I19</f>
        <v>4475.5798800499797</v>
      </c>
      <c r="J21" s="260">
        <f>BalSheet!J19</f>
        <v>5370.6958560599751</v>
      </c>
      <c r="K21" s="260">
        <f>BalSheet!K19</f>
        <v>6713.3698200749686</v>
      </c>
      <c r="L21" s="260">
        <f>BalSheet!L19</f>
        <v>8391.7122750937106</v>
      </c>
      <c r="M21" s="260">
        <f>BalSheet!M19</f>
        <v>10489.640343867137</v>
      </c>
      <c r="N21" s="260">
        <f>BalSheet!N19</f>
        <v>13112.050429833922</v>
      </c>
      <c r="O21" s="260">
        <f>BalSheet!O19</f>
        <v>16390.063037292402</v>
      </c>
    </row>
    <row r="22" spans="1:15" x14ac:dyDescent="0.25">
      <c r="B22" s="4" t="s">
        <v>72</v>
      </c>
      <c r="C22" s="98"/>
      <c r="D22" s="98"/>
      <c r="E22" s="99">
        <f>BalSheet!E21</f>
        <v>23399</v>
      </c>
      <c r="F22" s="260">
        <f>BalSheet!F21</f>
        <v>23222.161532023878</v>
      </c>
      <c r="G22" s="260">
        <f>BalSheet!G21</f>
        <v>23802.715570324472</v>
      </c>
      <c r="H22" s="260">
        <f>BalSheet!H21</f>
        <v>26182.987127356919</v>
      </c>
      <c r="I22" s="260">
        <f>BalSheet!I21</f>
        <v>30110.435196460458</v>
      </c>
      <c r="J22" s="260">
        <f>BalSheet!J21</f>
        <v>36132.522235752542</v>
      </c>
      <c r="K22" s="260">
        <f>BalSheet!K21</f>
        <v>45165.652794690679</v>
      </c>
      <c r="L22" s="260">
        <f>BalSheet!L21</f>
        <v>56457.065993363351</v>
      </c>
      <c r="M22" s="260">
        <f>BalSheet!M21</f>
        <v>70571.332491704175</v>
      </c>
      <c r="N22" s="260">
        <f>BalSheet!N21</f>
        <v>88214.165614630227</v>
      </c>
      <c r="O22" s="260">
        <f>BalSheet!O21</f>
        <v>110267.70701828778</v>
      </c>
    </row>
    <row r="23" spans="1:15" x14ac:dyDescent="0.25">
      <c r="B23" s="4" t="s">
        <v>165</v>
      </c>
      <c r="C23" s="98"/>
      <c r="D23" s="98"/>
      <c r="E23" s="99">
        <f>BalSheet!E33</f>
        <v>14312</v>
      </c>
      <c r="F23" s="260">
        <f>BalSheet!F33</f>
        <v>13149.135521096128</v>
      </c>
      <c r="G23" s="260">
        <f>BalSheet!G33</f>
        <v>12396.795161189753</v>
      </c>
      <c r="H23" s="260">
        <f>BalSheet!H33</f>
        <v>12447.299054581579</v>
      </c>
      <c r="I23" s="260">
        <f>BalSheet!I33</f>
        <v>12946.841946632592</v>
      </c>
      <c r="J23" s="260">
        <f>BalSheet!J33</f>
        <v>13895.147976595641</v>
      </c>
      <c r="K23" s="260">
        <f>BalSheet!K33</f>
        <v>16548.403791062818</v>
      </c>
      <c r="L23" s="260">
        <f>BalSheet!L33</f>
        <v>19659.840764226352</v>
      </c>
      <c r="M23" s="260">
        <f>BalSheet!M33</f>
        <v>23292.720987030229</v>
      </c>
      <c r="N23" s="260">
        <f>BalSheet!N33</f>
        <v>27513.301273471901</v>
      </c>
      <c r="O23" s="260">
        <f>BalSheet!O33</f>
        <v>32388.376641445018</v>
      </c>
    </row>
    <row r="24" spans="1:15" x14ac:dyDescent="0.25">
      <c r="B24" s="4" t="s">
        <v>78</v>
      </c>
      <c r="C24" s="98"/>
      <c r="D24" s="98"/>
      <c r="E24" s="99">
        <f>BalSheet!E34</f>
        <v>17625</v>
      </c>
      <c r="F24" s="260">
        <f>BalSheet!F34</f>
        <v>17491.798666691775</v>
      </c>
      <c r="G24" s="260">
        <f>BalSheet!G34</f>
        <v>17929.093633359069</v>
      </c>
      <c r="H24" s="260">
        <f>BalSheet!H34</f>
        <v>19722.002996694973</v>
      </c>
      <c r="I24" s="260">
        <f>BalSheet!I34</f>
        <v>22680.303446199221</v>
      </c>
      <c r="J24" s="260">
        <f>BalSheet!J34</f>
        <v>27216.364135439064</v>
      </c>
      <c r="K24" s="260">
        <f>BalSheet!K34</f>
        <v>34020.455169298832</v>
      </c>
      <c r="L24" s="260">
        <f>BalSheet!L34</f>
        <v>42525.568961623532</v>
      </c>
      <c r="M24" s="260">
        <f>BalSheet!M34</f>
        <v>53156.961202029408</v>
      </c>
      <c r="N24" s="260">
        <f>BalSheet!N34</f>
        <v>66446.201502536758</v>
      </c>
      <c r="O24" s="260">
        <f>BalSheet!O34</f>
        <v>83057.751878170966</v>
      </c>
    </row>
    <row r="25" spans="1:15" x14ac:dyDescent="0.25">
      <c r="A25" s="11" t="s">
        <v>126</v>
      </c>
      <c r="B25" s="18" t="s">
        <v>24</v>
      </c>
      <c r="C25" s="19"/>
      <c r="D25" s="19"/>
      <c r="E25" s="19">
        <f>SUM(E19:E22)-SUM(E23:E24)</f>
        <v>7934.5149999999994</v>
      </c>
      <c r="F25" s="19">
        <f>SUM(F19:F22)-SUM(F23:F24)</f>
        <v>8030.3377608790179</v>
      </c>
      <c r="G25" s="19">
        <f t="shared" ref="G25:J25" si="38">SUM(G19:G22)-SUM(G23:G24)</f>
        <v>8390.7789419839974</v>
      </c>
      <c r="H25" s="19">
        <f t="shared" si="38"/>
        <v>9405.5078469737127</v>
      </c>
      <c r="I25" s="19">
        <f t="shared" si="38"/>
        <v>11018.332686429771</v>
      </c>
      <c r="J25" s="19">
        <f t="shared" si="38"/>
        <v>13464.39761860772</v>
      </c>
      <c r="K25" s="19">
        <f t="shared" ref="K25" si="39">SUM(K19:K22)-SUM(K23:K24)</f>
        <v>16951.696220705657</v>
      </c>
      <c r="L25" s="19">
        <f t="shared" ref="L25" si="40">SUM(L19:L22)-SUM(L23:L24)</f>
        <v>21341.119272689582</v>
      </c>
      <c r="M25" s="19">
        <f t="shared" ref="M25" si="41">SUM(M19:M22)-SUM(M23:M24)</f>
        <v>26865.772836871358</v>
      </c>
      <c r="N25" s="19">
        <f t="shared" ref="N25" si="42">SUM(N19:N22)-SUM(N23:N24)</f>
        <v>33818.93322860093</v>
      </c>
      <c r="O25" s="19">
        <f t="shared" ref="O25" si="43">SUM(O19:O22)-SUM(O23:O24)</f>
        <v>42569.563013890773</v>
      </c>
    </row>
    <row r="26" spans="1:15" s="11" customFormat="1" x14ac:dyDescent="0.25">
      <c r="A26" s="25"/>
      <c r="B26" s="11" t="s">
        <v>152</v>
      </c>
      <c r="F26" s="11">
        <f>E25-F25</f>
        <v>-95.82276087901846</v>
      </c>
      <c r="G26" s="11">
        <f t="shared" ref="G26:J26" si="44">F25-G25</f>
        <v>-360.44118110497948</v>
      </c>
      <c r="H26" s="11">
        <f t="shared" si="44"/>
        <v>-1014.7289049897154</v>
      </c>
      <c r="I26" s="11">
        <f t="shared" si="44"/>
        <v>-1612.8248394560578</v>
      </c>
      <c r="J26" s="11">
        <f t="shared" si="44"/>
        <v>-2446.0649321779492</v>
      </c>
      <c r="K26" s="11">
        <f t="shared" ref="K26" si="45">J25-K25</f>
        <v>-3487.298602097937</v>
      </c>
      <c r="L26" s="11">
        <f t="shared" ref="L26" si="46">K25-L25</f>
        <v>-4389.4230519839257</v>
      </c>
      <c r="M26" s="11">
        <f t="shared" ref="M26" si="47">L25-M25</f>
        <v>-5524.6535641817754</v>
      </c>
      <c r="N26" s="11">
        <f t="shared" ref="N26" si="48">M25-N25</f>
        <v>-6953.1603917295724</v>
      </c>
      <c r="O26" s="11">
        <f t="shared" ref="O26" si="49">N25-O25</f>
        <v>-8750.6297852898424</v>
      </c>
    </row>
    <row r="27" spans="1:15" x14ac:dyDescent="0.25">
      <c r="B27" s="66"/>
      <c r="C27" s="66"/>
      <c r="D27" s="66"/>
      <c r="E27" s="66"/>
      <c r="F27" s="66"/>
      <c r="G27" s="66"/>
      <c r="H27" s="84"/>
      <c r="I27" s="66"/>
      <c r="J27" s="66"/>
      <c r="K27" s="66"/>
      <c r="L27" s="66"/>
      <c r="M27" s="66"/>
      <c r="N27" s="66"/>
      <c r="O27" s="66"/>
    </row>
    <row r="28" spans="1:15" x14ac:dyDescent="0.25">
      <c r="H28" s="6"/>
      <c r="I28" s="4"/>
      <c r="J28" s="4"/>
      <c r="K28" s="4"/>
      <c r="L28" s="4"/>
      <c r="M28" s="4"/>
      <c r="N28" s="4"/>
      <c r="O28" s="4"/>
    </row>
    <row r="29" spans="1:15" x14ac:dyDescent="0.25">
      <c r="H29" s="6"/>
      <c r="I29" s="4"/>
      <c r="J29" s="4"/>
      <c r="K29" s="4"/>
      <c r="L29" s="4"/>
      <c r="M29" s="4"/>
      <c r="N29" s="4"/>
      <c r="O29" s="4"/>
    </row>
    <row r="30" spans="1:15" x14ac:dyDescent="0.25">
      <c r="H30" s="6"/>
      <c r="I30" s="4"/>
      <c r="J30" s="4"/>
      <c r="K30" s="4"/>
      <c r="L30" s="4"/>
      <c r="M30" s="4"/>
      <c r="N30" s="4"/>
      <c r="O30" s="4"/>
    </row>
    <row r="31" spans="1:15" x14ac:dyDescent="0.25">
      <c r="H31" s="6"/>
      <c r="I31" s="4"/>
      <c r="J31" s="4"/>
      <c r="K31" s="4"/>
      <c r="L31" s="4"/>
      <c r="M31" s="4"/>
      <c r="N31" s="4"/>
      <c r="O31" s="4"/>
    </row>
    <row r="32" spans="1:15" x14ac:dyDescent="0.25">
      <c r="H32" s="6"/>
      <c r="I32" s="4"/>
      <c r="J32" s="4"/>
      <c r="K32" s="4"/>
      <c r="L32" s="4"/>
      <c r="M32" s="4"/>
      <c r="N32" s="4"/>
      <c r="O32" s="4"/>
    </row>
    <row r="33" spans="8:15" x14ac:dyDescent="0.25">
      <c r="H33" s="6"/>
      <c r="I33" s="4"/>
      <c r="J33" s="4"/>
      <c r="K33" s="4"/>
      <c r="L33" s="4"/>
      <c r="M33" s="4"/>
      <c r="N33" s="4"/>
      <c r="O33" s="4"/>
    </row>
    <row r="34" spans="8:15" x14ac:dyDescent="0.25">
      <c r="H34" s="6"/>
      <c r="I34" s="4"/>
      <c r="J34" s="4"/>
      <c r="K34" s="4"/>
      <c r="L34" s="4"/>
      <c r="M34" s="4"/>
      <c r="N34" s="4"/>
      <c r="O34" s="4"/>
    </row>
    <row r="35" spans="8:15" x14ac:dyDescent="0.25">
      <c r="H35" s="6"/>
      <c r="I35" s="4"/>
      <c r="J35" s="4"/>
      <c r="K35" s="4"/>
      <c r="L35" s="4"/>
      <c r="M35" s="4"/>
      <c r="N35" s="4"/>
      <c r="O35" s="4"/>
    </row>
    <row r="36" spans="8:15" x14ac:dyDescent="0.25">
      <c r="H36" s="6"/>
      <c r="I36" s="4"/>
      <c r="J36" s="4"/>
      <c r="K36" s="4"/>
      <c r="L36" s="4"/>
      <c r="M36" s="4"/>
      <c r="N36" s="4"/>
      <c r="O36" s="4"/>
    </row>
    <row r="37" spans="8:15" x14ac:dyDescent="0.25">
      <c r="H37" s="6"/>
      <c r="I37" s="4"/>
      <c r="J37" s="4"/>
      <c r="K37" s="4"/>
      <c r="L37" s="4"/>
      <c r="M37" s="4"/>
      <c r="N37" s="4"/>
      <c r="O37" s="4"/>
    </row>
    <row r="38" spans="8:15" x14ac:dyDescent="0.25">
      <c r="H38" s="6"/>
      <c r="I38" s="4"/>
      <c r="J38" s="4"/>
      <c r="K38" s="4"/>
      <c r="L38" s="4"/>
      <c r="M38" s="4"/>
      <c r="N38" s="4"/>
      <c r="O38" s="4"/>
    </row>
    <row r="39" spans="8:15" x14ac:dyDescent="0.25">
      <c r="H39" s="6"/>
      <c r="I39" s="4"/>
      <c r="J39" s="4"/>
      <c r="K39" s="4"/>
      <c r="L39" s="4"/>
      <c r="M39" s="4"/>
      <c r="N39" s="4"/>
      <c r="O39" s="4"/>
    </row>
    <row r="40" spans="8:15" x14ac:dyDescent="0.25">
      <c r="H40" s="6"/>
      <c r="I40" s="4"/>
      <c r="J40" s="4"/>
      <c r="K40" s="4"/>
      <c r="L40" s="4"/>
      <c r="M40" s="4"/>
      <c r="N40" s="4"/>
      <c r="O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O34"/>
  <sheetViews>
    <sheetView showGridLines="0" topLeftCell="C1" zoomScaleNormal="100" workbookViewId="0">
      <selection activeCell="J33" sqref="J1:O104857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5" width="11.7109375" style="6" customWidth="1"/>
    <col min="16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5" s="2" customFormat="1" ht="19.5" x14ac:dyDescent="0.3">
      <c r="A1" s="223" t="str">
        <f>CoName</f>
        <v>Intel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s="2" customFormat="1" x14ac:dyDescent="0.25">
      <c r="A2" s="17" t="s">
        <v>10</v>
      </c>
      <c r="B2" s="191"/>
      <c r="C2" s="231">
        <v>2022</v>
      </c>
      <c r="D2" s="231">
        <f>C2+1</f>
        <v>2023</v>
      </c>
      <c r="E2" s="231">
        <f t="shared" ref="E2:J2" si="0">D2+1</f>
        <v>2024</v>
      </c>
      <c r="F2" s="231">
        <f t="shared" si="0"/>
        <v>2025</v>
      </c>
      <c r="G2" s="231">
        <f t="shared" si="0"/>
        <v>2026</v>
      </c>
      <c r="H2" s="231">
        <f t="shared" si="0"/>
        <v>2027</v>
      </c>
      <c r="I2" s="231">
        <f t="shared" si="0"/>
        <v>2028</v>
      </c>
      <c r="J2" s="231">
        <f t="shared" si="0"/>
        <v>2029</v>
      </c>
      <c r="K2" s="231">
        <f t="shared" ref="K2:O2" si="1">J2+1</f>
        <v>2030</v>
      </c>
      <c r="L2" s="231">
        <f t="shared" si="1"/>
        <v>2031</v>
      </c>
      <c r="M2" s="231">
        <f t="shared" si="1"/>
        <v>2032</v>
      </c>
      <c r="N2" s="231">
        <f t="shared" si="1"/>
        <v>2033</v>
      </c>
      <c r="O2" s="231">
        <f t="shared" si="1"/>
        <v>2034</v>
      </c>
    </row>
    <row r="3" spans="1:15" s="2" customFormat="1" x14ac:dyDescent="0.25">
      <c r="A3" s="87"/>
      <c r="B3" s="11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</row>
    <row r="4" spans="1:15" s="2" customFormat="1" x14ac:dyDescent="0.25">
      <c r="A4" s="11"/>
      <c r="B4" s="4" t="s">
        <v>25</v>
      </c>
      <c r="C4" s="30"/>
      <c r="D4" s="56"/>
      <c r="E4" s="60"/>
      <c r="F4" s="111">
        <f>Assumptions!F24</f>
        <v>0.05</v>
      </c>
      <c r="G4" s="111">
        <f>Assumptions!G24</f>
        <v>0.05</v>
      </c>
      <c r="H4" s="111">
        <f>Assumptions!H24</f>
        <v>0.05</v>
      </c>
      <c r="I4" s="111">
        <f>Assumptions!I24</f>
        <v>0.05</v>
      </c>
      <c r="J4" s="111">
        <f>Assumptions!J24</f>
        <v>0.05</v>
      </c>
      <c r="K4" s="111">
        <f>Assumptions!K24</f>
        <v>0.05</v>
      </c>
      <c r="L4" s="111">
        <f>Assumptions!L24</f>
        <v>0.05</v>
      </c>
      <c r="M4" s="111">
        <f>Assumptions!M24</f>
        <v>0.05</v>
      </c>
      <c r="N4" s="111">
        <f>Assumptions!N24</f>
        <v>0.05</v>
      </c>
      <c r="O4" s="111">
        <f>Assumptions!O24</f>
        <v>0.05</v>
      </c>
    </row>
    <row r="5" spans="1:15" s="2" customFormat="1" x14ac:dyDescent="0.25">
      <c r="A5" s="11"/>
      <c r="B5" s="4" t="s">
        <v>26</v>
      </c>
      <c r="C5" s="30"/>
      <c r="D5" s="57"/>
      <c r="E5" s="61"/>
      <c r="F5" s="111">
        <f>Assumptions!F25</f>
        <v>3.9324999999999999E-2</v>
      </c>
      <c r="G5" s="111">
        <f>Assumptions!G25</f>
        <v>3.9324999999999999E-2</v>
      </c>
      <c r="H5" s="111">
        <f>Assumptions!H25</f>
        <v>3.9324999999999999E-2</v>
      </c>
      <c r="I5" s="111">
        <f>Assumptions!I25</f>
        <v>3.9324999999999999E-2</v>
      </c>
      <c r="J5" s="111">
        <f>Assumptions!J25</f>
        <v>3.9324999999999999E-2</v>
      </c>
      <c r="K5" s="111">
        <f>Assumptions!K25</f>
        <v>3.9324999999999999E-2</v>
      </c>
      <c r="L5" s="111">
        <f>Assumptions!L25</f>
        <v>3.9324999999999999E-2</v>
      </c>
      <c r="M5" s="111">
        <f>Assumptions!M25</f>
        <v>3.9324999999999999E-2</v>
      </c>
      <c r="N5" s="111">
        <f>Assumptions!N25</f>
        <v>3.9324999999999999E-2</v>
      </c>
      <c r="O5" s="111">
        <f>Assumptions!O25</f>
        <v>3.9324999999999999E-2</v>
      </c>
    </row>
    <row r="6" spans="1:15" s="2" customFormat="1" x14ac:dyDescent="0.25">
      <c r="A6" s="11"/>
      <c r="B6" s="4" t="s">
        <v>27</v>
      </c>
      <c r="C6" s="30"/>
      <c r="D6" s="56"/>
      <c r="E6" s="60"/>
      <c r="F6" s="111">
        <f>Assumptions!F26</f>
        <v>0.16705837046300664</v>
      </c>
      <c r="G6" s="111">
        <f>Assumptions!G26</f>
        <v>0.16705837046300664</v>
      </c>
      <c r="H6" s="111">
        <f>Assumptions!H26</f>
        <v>0.16705837046300664</v>
      </c>
      <c r="I6" s="111">
        <f>Assumptions!I26</f>
        <v>0.16705837046300664</v>
      </c>
      <c r="J6" s="111">
        <f>Assumptions!J26</f>
        <v>0.16705837046300664</v>
      </c>
      <c r="K6" s="111">
        <f>Assumptions!K26</f>
        <v>0.16705837046300664</v>
      </c>
      <c r="L6" s="111">
        <f>Assumptions!L26</f>
        <v>0.16705837046300664</v>
      </c>
      <c r="M6" s="111">
        <f>Assumptions!M26</f>
        <v>0.16705837046300664</v>
      </c>
      <c r="N6" s="111">
        <f>Assumptions!N26</f>
        <v>0.16705837046300664</v>
      </c>
      <c r="O6" s="111">
        <f>Assumptions!O26</f>
        <v>0.16705837046300664</v>
      </c>
    </row>
    <row r="7" spans="1:15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110"/>
      <c r="L7" s="110"/>
      <c r="M7" s="110"/>
      <c r="N7" s="110"/>
      <c r="O7" s="110"/>
    </row>
    <row r="8" spans="1:15" s="2" customFormat="1" x14ac:dyDescent="0.25">
      <c r="A8" s="11"/>
      <c r="B8" s="4" t="s">
        <v>28</v>
      </c>
      <c r="C8" s="30"/>
      <c r="D8" s="58"/>
      <c r="E8" s="62"/>
      <c r="F8" s="112">
        <f>Assumptions!F28</f>
        <v>0</v>
      </c>
      <c r="G8" s="112">
        <f>Assumptions!G28</f>
        <v>0</v>
      </c>
      <c r="H8" s="112">
        <f>Assumptions!H28</f>
        <v>0</v>
      </c>
      <c r="I8" s="112">
        <f>Assumptions!I28</f>
        <v>0</v>
      </c>
      <c r="J8" s="112">
        <f>Assumptions!J28</f>
        <v>0</v>
      </c>
      <c r="K8" s="112">
        <f>Assumptions!K28</f>
        <v>0</v>
      </c>
      <c r="L8" s="112">
        <f>Assumptions!L28</f>
        <v>0</v>
      </c>
      <c r="M8" s="112">
        <f>Assumptions!M28</f>
        <v>0</v>
      </c>
      <c r="N8" s="112">
        <f>Assumptions!N28</f>
        <v>0</v>
      </c>
      <c r="O8" s="112">
        <f>Assumptions!O28</f>
        <v>0</v>
      </c>
    </row>
    <row r="9" spans="1:15" s="2" customFormat="1" x14ac:dyDescent="0.25">
      <c r="A9" s="11"/>
      <c r="B9" s="4" t="s">
        <v>29</v>
      </c>
      <c r="C9" s="30"/>
      <c r="D9" s="58"/>
      <c r="E9" s="62"/>
      <c r="F9" s="112">
        <f>Assumptions!F29</f>
        <v>0</v>
      </c>
      <c r="G9" s="112">
        <f>Assumptions!G29</f>
        <v>0</v>
      </c>
      <c r="H9" s="112">
        <f>Assumptions!H29</f>
        <v>0</v>
      </c>
      <c r="I9" s="112">
        <f>Assumptions!I29</f>
        <v>0</v>
      </c>
      <c r="J9" s="112">
        <f>Assumptions!J29</f>
        <v>0</v>
      </c>
      <c r="K9" s="112">
        <f>Assumptions!K29</f>
        <v>0</v>
      </c>
      <c r="L9" s="112">
        <f>Assumptions!L29</f>
        <v>0</v>
      </c>
      <c r="M9" s="112">
        <f>Assumptions!M29</f>
        <v>0</v>
      </c>
      <c r="N9" s="112">
        <f>Assumptions!N29</f>
        <v>0</v>
      </c>
      <c r="O9" s="112">
        <f>Assumptions!O29</f>
        <v>0</v>
      </c>
    </row>
    <row r="10" spans="1:15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1" spans="1:15" x14ac:dyDescent="0.25">
      <c r="A11" s="21" t="s">
        <v>30</v>
      </c>
      <c r="B11" s="54"/>
      <c r="C11" s="222">
        <f>C2</f>
        <v>2022</v>
      </c>
      <c r="D11" s="222">
        <f t="shared" ref="D11:J11" si="2">D2</f>
        <v>2023</v>
      </c>
      <c r="E11" s="222">
        <f t="shared" si="2"/>
        <v>2024</v>
      </c>
      <c r="F11" s="222">
        <f t="shared" si="2"/>
        <v>2025</v>
      </c>
      <c r="G11" s="222">
        <f t="shared" si="2"/>
        <v>2026</v>
      </c>
      <c r="H11" s="222">
        <f t="shared" si="2"/>
        <v>2027</v>
      </c>
      <c r="I11" s="222">
        <f t="shared" si="2"/>
        <v>2028</v>
      </c>
      <c r="J11" s="222">
        <f t="shared" si="2"/>
        <v>2029</v>
      </c>
      <c r="K11" s="222">
        <f t="shared" ref="K11:O11" si="3">K2</f>
        <v>2030</v>
      </c>
      <c r="L11" s="222">
        <f t="shared" si="3"/>
        <v>2031</v>
      </c>
      <c r="M11" s="222">
        <f t="shared" si="3"/>
        <v>2032</v>
      </c>
      <c r="N11" s="222">
        <f t="shared" si="3"/>
        <v>2033</v>
      </c>
      <c r="O11" s="222">
        <f t="shared" si="3"/>
        <v>2034</v>
      </c>
    </row>
    <row r="12" spans="1:15" x14ac:dyDescent="0.25">
      <c r="B12" s="4" t="s">
        <v>31</v>
      </c>
      <c r="E12" s="28">
        <f>BalSheet!E32</f>
        <v>3729</v>
      </c>
      <c r="F12" s="4">
        <f>E12</f>
        <v>3729</v>
      </c>
      <c r="G12" s="4">
        <f t="shared" ref="G12:J12" si="4">F12</f>
        <v>3729</v>
      </c>
      <c r="H12" s="4">
        <f t="shared" si="4"/>
        <v>3729</v>
      </c>
      <c r="I12" s="4">
        <f t="shared" si="4"/>
        <v>3729</v>
      </c>
      <c r="J12" s="4">
        <f t="shared" si="4"/>
        <v>3729</v>
      </c>
      <c r="K12" s="4">
        <f t="shared" ref="K12:O12" si="5">J12</f>
        <v>3729</v>
      </c>
      <c r="L12" s="4">
        <f t="shared" si="5"/>
        <v>3729</v>
      </c>
      <c r="M12" s="4">
        <f t="shared" si="5"/>
        <v>3729</v>
      </c>
      <c r="N12" s="4">
        <f t="shared" si="5"/>
        <v>3729</v>
      </c>
      <c r="O12" s="4">
        <f t="shared" si="5"/>
        <v>3729</v>
      </c>
    </row>
    <row r="13" spans="1:15" s="8" customFormat="1" x14ac:dyDescent="0.25">
      <c r="A13" s="12"/>
      <c r="B13" s="8" t="s">
        <v>32</v>
      </c>
      <c r="E13" s="258"/>
      <c r="F13" s="8">
        <f>F4</f>
        <v>0.05</v>
      </c>
      <c r="G13" s="8">
        <f t="shared" ref="G13:J13" si="6">G4</f>
        <v>0.05</v>
      </c>
      <c r="H13" s="8">
        <f t="shared" si="6"/>
        <v>0.05</v>
      </c>
      <c r="I13" s="8">
        <f t="shared" si="6"/>
        <v>0.05</v>
      </c>
      <c r="J13" s="8">
        <f t="shared" si="6"/>
        <v>0.05</v>
      </c>
      <c r="K13" s="8">
        <f t="shared" ref="K13:O13" si="7">K4</f>
        <v>0.05</v>
      </c>
      <c r="L13" s="8">
        <f t="shared" si="7"/>
        <v>0.05</v>
      </c>
      <c r="M13" s="8">
        <f t="shared" si="7"/>
        <v>0.05</v>
      </c>
      <c r="N13" s="8">
        <f t="shared" si="7"/>
        <v>0.05</v>
      </c>
      <c r="O13" s="8">
        <f t="shared" si="7"/>
        <v>0.05</v>
      </c>
    </row>
    <row r="14" spans="1:15" x14ac:dyDescent="0.25">
      <c r="B14" s="4" t="s">
        <v>33</v>
      </c>
      <c r="E14" s="28"/>
      <c r="F14" s="4">
        <f>F12*F13</f>
        <v>186.45000000000002</v>
      </c>
      <c r="G14" s="4">
        <f t="shared" ref="G14:J14" si="8">G12*G13</f>
        <v>186.45000000000002</v>
      </c>
      <c r="H14" s="4">
        <f t="shared" si="8"/>
        <v>186.45000000000002</v>
      </c>
      <c r="I14" s="4">
        <f t="shared" si="8"/>
        <v>186.45000000000002</v>
      </c>
      <c r="J14" s="4">
        <f t="shared" si="8"/>
        <v>186.45000000000002</v>
      </c>
      <c r="K14" s="4">
        <f t="shared" ref="K14" si="9">K12*K13</f>
        <v>186.45000000000002</v>
      </c>
      <c r="L14" s="4">
        <f t="shared" ref="L14" si="10">L12*L13</f>
        <v>186.45000000000002</v>
      </c>
      <c r="M14" s="4">
        <f t="shared" ref="M14" si="11">M12*M13</f>
        <v>186.45000000000002</v>
      </c>
      <c r="N14" s="4">
        <f t="shared" ref="N14" si="12">N12*N13</f>
        <v>186.45000000000002</v>
      </c>
      <c r="O14" s="4">
        <f t="shared" ref="O14" si="13">O12*O13</f>
        <v>186.45000000000002</v>
      </c>
    </row>
    <row r="15" spans="1:15" x14ac:dyDescent="0.25">
      <c r="E15" s="28"/>
      <c r="I15" s="4"/>
      <c r="J15" s="4"/>
      <c r="K15" s="4"/>
      <c r="L15" s="4"/>
      <c r="M15" s="4"/>
      <c r="N15" s="4"/>
      <c r="O15" s="4"/>
    </row>
    <row r="16" spans="1:15" x14ac:dyDescent="0.25">
      <c r="A16" s="230" t="s">
        <v>34</v>
      </c>
      <c r="B16" s="20"/>
      <c r="C16" s="222">
        <f t="shared" ref="C16:J16" si="14">C11</f>
        <v>2022</v>
      </c>
      <c r="D16" s="222">
        <f t="shared" si="14"/>
        <v>2023</v>
      </c>
      <c r="E16" s="222">
        <f t="shared" si="14"/>
        <v>2024</v>
      </c>
      <c r="F16" s="222">
        <f t="shared" si="14"/>
        <v>2025</v>
      </c>
      <c r="G16" s="222">
        <f t="shared" ref="G16:J16" si="15">G11</f>
        <v>2026</v>
      </c>
      <c r="H16" s="222">
        <f t="shared" si="15"/>
        <v>2027</v>
      </c>
      <c r="I16" s="222">
        <f t="shared" si="15"/>
        <v>2028</v>
      </c>
      <c r="J16" s="222">
        <f t="shared" si="15"/>
        <v>2029</v>
      </c>
      <c r="K16" s="222">
        <f t="shared" ref="K16:O16" si="16">K11</f>
        <v>2030</v>
      </c>
      <c r="L16" s="222">
        <f t="shared" si="16"/>
        <v>2031</v>
      </c>
      <c r="M16" s="222">
        <f t="shared" si="16"/>
        <v>2032</v>
      </c>
      <c r="N16" s="222">
        <f t="shared" si="16"/>
        <v>2033</v>
      </c>
      <c r="O16" s="222">
        <f t="shared" si="16"/>
        <v>2034</v>
      </c>
    </row>
    <row r="17" spans="1:15" x14ac:dyDescent="0.25">
      <c r="B17" s="4" t="s">
        <v>19</v>
      </c>
      <c r="E17" s="28"/>
      <c r="F17" s="4">
        <f>E20</f>
        <v>46282</v>
      </c>
      <c r="G17" s="4">
        <f t="shared" ref="G17:J17" si="17">F20</f>
        <v>46282</v>
      </c>
      <c r="H17" s="4">
        <f t="shared" si="17"/>
        <v>46282</v>
      </c>
      <c r="I17" s="4">
        <f t="shared" si="17"/>
        <v>46282</v>
      </c>
      <c r="J17" s="4">
        <f t="shared" si="17"/>
        <v>46282</v>
      </c>
      <c r="K17" s="4">
        <f t="shared" ref="K17:O17" si="18">J20</f>
        <v>46282</v>
      </c>
      <c r="L17" s="4">
        <f t="shared" si="18"/>
        <v>46282</v>
      </c>
      <c r="M17" s="4">
        <f t="shared" si="18"/>
        <v>46282</v>
      </c>
      <c r="N17" s="4">
        <f t="shared" si="18"/>
        <v>46282</v>
      </c>
      <c r="O17" s="4">
        <f t="shared" si="18"/>
        <v>46282</v>
      </c>
    </row>
    <row r="18" spans="1:15" x14ac:dyDescent="0.25">
      <c r="B18" s="4" t="s">
        <v>35</v>
      </c>
      <c r="E18" s="28"/>
      <c r="F18" s="4">
        <f>F8</f>
        <v>0</v>
      </c>
      <c r="G18" s="4">
        <f t="shared" ref="G18:J18" si="19">G8</f>
        <v>0</v>
      </c>
      <c r="H18" s="4">
        <f t="shared" si="19"/>
        <v>0</v>
      </c>
      <c r="I18" s="4">
        <f t="shared" si="19"/>
        <v>0</v>
      </c>
      <c r="J18" s="4">
        <f t="shared" si="19"/>
        <v>0</v>
      </c>
      <c r="K18" s="4">
        <f t="shared" ref="K18:O18" si="20">K8</f>
        <v>0</v>
      </c>
      <c r="L18" s="4">
        <f t="shared" si="20"/>
        <v>0</v>
      </c>
      <c r="M18" s="4">
        <f t="shared" si="20"/>
        <v>0</v>
      </c>
      <c r="N18" s="4">
        <f t="shared" si="20"/>
        <v>0</v>
      </c>
      <c r="O18" s="4">
        <f t="shared" si="20"/>
        <v>0</v>
      </c>
    </row>
    <row r="19" spans="1:15" x14ac:dyDescent="0.25">
      <c r="B19" s="4" t="s">
        <v>36</v>
      </c>
      <c r="E19" s="28"/>
      <c r="F19" s="4">
        <f>F9</f>
        <v>0</v>
      </c>
      <c r="G19" s="4">
        <f t="shared" ref="G19:J19" si="21">G9</f>
        <v>0</v>
      </c>
      <c r="H19" s="4">
        <f t="shared" si="21"/>
        <v>0</v>
      </c>
      <c r="I19" s="4">
        <f t="shared" si="21"/>
        <v>0</v>
      </c>
      <c r="J19" s="4">
        <f t="shared" si="21"/>
        <v>0</v>
      </c>
      <c r="K19" s="4">
        <f t="shared" ref="K19:O19" si="22">K9</f>
        <v>0</v>
      </c>
      <c r="L19" s="4">
        <f t="shared" si="22"/>
        <v>0</v>
      </c>
      <c r="M19" s="4">
        <f t="shared" si="22"/>
        <v>0</v>
      </c>
      <c r="N19" s="4">
        <f t="shared" si="22"/>
        <v>0</v>
      </c>
      <c r="O19" s="4">
        <f t="shared" si="22"/>
        <v>0</v>
      </c>
    </row>
    <row r="20" spans="1:15" x14ac:dyDescent="0.25">
      <c r="B20" s="4" t="s">
        <v>23</v>
      </c>
      <c r="C20" s="10"/>
      <c r="E20" s="28">
        <f>BalSheet!E37</f>
        <v>46282</v>
      </c>
      <c r="F20" s="4">
        <f>SUM(F17:F19)</f>
        <v>46282</v>
      </c>
      <c r="G20" s="4">
        <f t="shared" ref="G20:J20" si="23">SUM(G17:G19)</f>
        <v>46282</v>
      </c>
      <c r="H20" s="4">
        <f t="shared" si="23"/>
        <v>46282</v>
      </c>
      <c r="I20" s="4">
        <f t="shared" si="23"/>
        <v>46282</v>
      </c>
      <c r="J20" s="4">
        <f t="shared" si="23"/>
        <v>46282</v>
      </c>
      <c r="K20" s="4">
        <f t="shared" ref="K20" si="24">SUM(K17:K19)</f>
        <v>46282</v>
      </c>
      <c r="L20" s="4">
        <f t="shared" ref="L20" si="25">SUM(L17:L19)</f>
        <v>46282</v>
      </c>
      <c r="M20" s="4">
        <f t="shared" ref="M20" si="26">SUM(M17:M19)</f>
        <v>46282</v>
      </c>
      <c r="N20" s="4">
        <f t="shared" ref="N20" si="27">SUM(N17:N19)</f>
        <v>46282</v>
      </c>
      <c r="O20" s="4">
        <f t="shared" ref="O20" si="28">SUM(O17:O19)</f>
        <v>46282</v>
      </c>
    </row>
    <row r="21" spans="1:15" x14ac:dyDescent="0.25">
      <c r="B21" s="4" t="s">
        <v>32</v>
      </c>
      <c r="D21" s="48"/>
      <c r="E21" s="28"/>
      <c r="F21" s="8">
        <f>F5</f>
        <v>3.9324999999999999E-2</v>
      </c>
      <c r="G21" s="8">
        <f t="shared" ref="G21:J21" si="29">G5</f>
        <v>3.9324999999999999E-2</v>
      </c>
      <c r="H21" s="8">
        <f t="shared" si="29"/>
        <v>3.9324999999999999E-2</v>
      </c>
      <c r="I21" s="8">
        <f t="shared" si="29"/>
        <v>3.9324999999999999E-2</v>
      </c>
      <c r="J21" s="8">
        <f t="shared" si="29"/>
        <v>3.9324999999999999E-2</v>
      </c>
      <c r="K21" s="8">
        <f t="shared" ref="K21:O21" si="30">K5</f>
        <v>3.9324999999999999E-2</v>
      </c>
      <c r="L21" s="8">
        <f t="shared" si="30"/>
        <v>3.9324999999999999E-2</v>
      </c>
      <c r="M21" s="8">
        <f t="shared" si="30"/>
        <v>3.9324999999999999E-2</v>
      </c>
      <c r="N21" s="8">
        <f t="shared" si="30"/>
        <v>3.9324999999999999E-2</v>
      </c>
      <c r="O21" s="8">
        <f t="shared" si="30"/>
        <v>3.9324999999999999E-2</v>
      </c>
    </row>
    <row r="22" spans="1:15" x14ac:dyDescent="0.25">
      <c r="B22" s="4" t="s">
        <v>33</v>
      </c>
      <c r="E22" s="28"/>
      <c r="F22" s="4">
        <f>F20*F21</f>
        <v>1820.0396499999999</v>
      </c>
      <c r="G22" s="4">
        <f t="shared" ref="G22:J22" si="31">G20*G21</f>
        <v>1820.0396499999999</v>
      </c>
      <c r="H22" s="4">
        <f t="shared" si="31"/>
        <v>1820.0396499999999</v>
      </c>
      <c r="I22" s="4">
        <f t="shared" si="31"/>
        <v>1820.0396499999999</v>
      </c>
      <c r="J22" s="4">
        <f t="shared" si="31"/>
        <v>1820.0396499999999</v>
      </c>
      <c r="K22" s="4">
        <f t="shared" ref="K22" si="32">K20*K21</f>
        <v>1820.0396499999999</v>
      </c>
      <c r="L22" s="4">
        <f t="shared" ref="L22" si="33">L20*L21</f>
        <v>1820.0396499999999</v>
      </c>
      <c r="M22" s="4">
        <f t="shared" ref="M22" si="34">M20*M21</f>
        <v>1820.0396499999999</v>
      </c>
      <c r="N22" s="4">
        <f t="shared" ref="N22" si="35">N20*N21</f>
        <v>1820.0396499999999</v>
      </c>
      <c r="O22" s="4">
        <f t="shared" ref="O22" si="36">O20*O21</f>
        <v>1820.0396499999999</v>
      </c>
    </row>
    <row r="23" spans="1:15" x14ac:dyDescent="0.25">
      <c r="E23" s="28"/>
      <c r="I23" s="4"/>
      <c r="J23" s="4"/>
      <c r="K23" s="4"/>
      <c r="L23" s="4"/>
      <c r="M23" s="4"/>
      <c r="N23" s="4"/>
      <c r="O23" s="4"/>
    </row>
    <row r="24" spans="1:15" x14ac:dyDescent="0.25">
      <c r="A24" s="21" t="s">
        <v>37</v>
      </c>
      <c r="B24" s="42"/>
      <c r="C24" s="222">
        <f>C16</f>
        <v>2022</v>
      </c>
      <c r="D24" s="222">
        <f t="shared" ref="D24:J24" si="37">D16</f>
        <v>2023</v>
      </c>
      <c r="E24" s="222">
        <f t="shared" si="37"/>
        <v>2024</v>
      </c>
      <c r="F24" s="222">
        <f t="shared" si="37"/>
        <v>2025</v>
      </c>
      <c r="G24" s="222">
        <f t="shared" ref="G24:J24" si="38">G16</f>
        <v>2026</v>
      </c>
      <c r="H24" s="222">
        <f t="shared" si="38"/>
        <v>2027</v>
      </c>
      <c r="I24" s="222">
        <f t="shared" si="38"/>
        <v>2028</v>
      </c>
      <c r="J24" s="222">
        <f t="shared" si="38"/>
        <v>2029</v>
      </c>
      <c r="K24" s="222">
        <f t="shared" ref="K24:O24" si="39">K16</f>
        <v>2030</v>
      </c>
      <c r="L24" s="222">
        <f t="shared" si="39"/>
        <v>2031</v>
      </c>
      <c r="M24" s="222">
        <f t="shared" si="39"/>
        <v>2032</v>
      </c>
      <c r="N24" s="222">
        <f t="shared" si="39"/>
        <v>2033</v>
      </c>
      <c r="O24" s="222">
        <f t="shared" si="39"/>
        <v>2034</v>
      </c>
    </row>
    <row r="25" spans="1:15" x14ac:dyDescent="0.25">
      <c r="A25" s="7"/>
      <c r="B25" s="4" t="s">
        <v>30</v>
      </c>
      <c r="E25" s="28"/>
      <c r="F25" s="4">
        <f>F12</f>
        <v>3729</v>
      </c>
      <c r="G25" s="4">
        <f t="shared" ref="G25:J25" si="40">G12</f>
        <v>3729</v>
      </c>
      <c r="H25" s="4">
        <f t="shared" si="40"/>
        <v>3729</v>
      </c>
      <c r="I25" s="4">
        <f t="shared" si="40"/>
        <v>3729</v>
      </c>
      <c r="J25" s="4">
        <f t="shared" si="40"/>
        <v>3729</v>
      </c>
      <c r="K25" s="4">
        <f t="shared" ref="K25:O25" si="41">K12</f>
        <v>3729</v>
      </c>
      <c r="L25" s="4">
        <f t="shared" si="41"/>
        <v>3729</v>
      </c>
      <c r="M25" s="4">
        <f t="shared" si="41"/>
        <v>3729</v>
      </c>
      <c r="N25" s="4">
        <f t="shared" si="41"/>
        <v>3729</v>
      </c>
      <c r="O25" s="4">
        <f t="shared" si="41"/>
        <v>3729</v>
      </c>
    </row>
    <row r="26" spans="1:15" x14ac:dyDescent="0.25">
      <c r="A26" s="7"/>
      <c r="B26" s="4" t="s">
        <v>38</v>
      </c>
      <c r="E26" s="28"/>
      <c r="F26" s="4">
        <f>F20</f>
        <v>46282</v>
      </c>
      <c r="G26" s="4">
        <f t="shared" ref="G26:J26" si="42">G20</f>
        <v>46282</v>
      </c>
      <c r="H26" s="4">
        <f t="shared" si="42"/>
        <v>46282</v>
      </c>
      <c r="I26" s="4">
        <f t="shared" si="42"/>
        <v>46282</v>
      </c>
      <c r="J26" s="4">
        <f t="shared" si="42"/>
        <v>46282</v>
      </c>
      <c r="K26" s="4">
        <f t="shared" ref="K26:O26" si="43">K20</f>
        <v>46282</v>
      </c>
      <c r="L26" s="4">
        <f t="shared" si="43"/>
        <v>46282</v>
      </c>
      <c r="M26" s="4">
        <f t="shared" si="43"/>
        <v>46282</v>
      </c>
      <c r="N26" s="4">
        <f t="shared" si="43"/>
        <v>46282</v>
      </c>
      <c r="O26" s="4">
        <f t="shared" si="43"/>
        <v>46282</v>
      </c>
    </row>
    <row r="27" spans="1:15" x14ac:dyDescent="0.25">
      <c r="A27" s="7"/>
      <c r="B27" s="11" t="s">
        <v>39</v>
      </c>
      <c r="D27" s="11"/>
      <c r="E27" s="25"/>
      <c r="F27" s="11">
        <f>SUM(F25:F26)</f>
        <v>50011</v>
      </c>
      <c r="G27" s="11">
        <f t="shared" ref="G27:J27" si="44">SUM(G25:G26)</f>
        <v>50011</v>
      </c>
      <c r="H27" s="11">
        <f t="shared" si="44"/>
        <v>50011</v>
      </c>
      <c r="I27" s="11">
        <f t="shared" si="44"/>
        <v>50011</v>
      </c>
      <c r="J27" s="11">
        <f t="shared" si="44"/>
        <v>50011</v>
      </c>
      <c r="K27" s="11">
        <f t="shared" ref="K27" si="45">SUM(K25:K26)</f>
        <v>50011</v>
      </c>
      <c r="L27" s="11">
        <f t="shared" ref="L27" si="46">SUM(L25:L26)</f>
        <v>50011</v>
      </c>
      <c r="M27" s="11">
        <f t="shared" ref="M27" si="47">SUM(M25:M26)</f>
        <v>50011</v>
      </c>
      <c r="N27" s="11">
        <f t="shared" ref="N27" si="48">SUM(N25:N26)</f>
        <v>50011</v>
      </c>
      <c r="O27" s="11">
        <f t="shared" ref="O27" si="49">SUM(O25:O26)</f>
        <v>50011</v>
      </c>
    </row>
    <row r="28" spans="1:15" x14ac:dyDescent="0.25">
      <c r="A28" s="7"/>
      <c r="B28" s="4" t="s">
        <v>40</v>
      </c>
      <c r="E28" s="28"/>
      <c r="F28" s="4">
        <f>SUM(F22,F14)</f>
        <v>2006.48965</v>
      </c>
      <c r="G28" s="4">
        <f t="shared" ref="G28:J28" si="50">SUM(G22,G14)</f>
        <v>2006.48965</v>
      </c>
      <c r="H28" s="4">
        <f t="shared" si="50"/>
        <v>2006.48965</v>
      </c>
      <c r="I28" s="4">
        <f t="shared" si="50"/>
        <v>2006.48965</v>
      </c>
      <c r="J28" s="4">
        <f t="shared" si="50"/>
        <v>2006.48965</v>
      </c>
      <c r="K28" s="4">
        <f t="shared" ref="K28:O28" si="51">SUM(K22,K14)</f>
        <v>2006.48965</v>
      </c>
      <c r="L28" s="4">
        <f t="shared" si="51"/>
        <v>2006.48965</v>
      </c>
      <c r="M28" s="4">
        <f t="shared" si="51"/>
        <v>2006.48965</v>
      </c>
      <c r="N28" s="4">
        <f t="shared" si="51"/>
        <v>2006.48965</v>
      </c>
      <c r="O28" s="4">
        <f t="shared" si="51"/>
        <v>2006.48965</v>
      </c>
    </row>
    <row r="29" spans="1:15" x14ac:dyDescent="0.25">
      <c r="A29" s="7"/>
      <c r="E29" s="28"/>
      <c r="I29" s="4"/>
      <c r="J29" s="4"/>
      <c r="K29" s="4"/>
      <c r="L29" s="4"/>
      <c r="M29" s="4"/>
      <c r="N29" s="4"/>
      <c r="O29" s="4"/>
    </row>
    <row r="30" spans="1:15" x14ac:dyDescent="0.25">
      <c r="A30" s="21" t="s">
        <v>41</v>
      </c>
      <c r="B30" s="42"/>
      <c r="C30" s="222">
        <f>C11</f>
        <v>2022</v>
      </c>
      <c r="D30" s="222">
        <f t="shared" ref="D30:J30" si="52">D11</f>
        <v>2023</v>
      </c>
      <c r="E30" s="222">
        <f t="shared" si="52"/>
        <v>2024</v>
      </c>
      <c r="F30" s="222">
        <f t="shared" si="52"/>
        <v>2025</v>
      </c>
      <c r="G30" s="222">
        <f t="shared" si="52"/>
        <v>2026</v>
      </c>
      <c r="H30" s="222">
        <f t="shared" si="52"/>
        <v>2027</v>
      </c>
      <c r="I30" s="222">
        <f t="shared" si="52"/>
        <v>2028</v>
      </c>
      <c r="J30" s="222">
        <f t="shared" si="52"/>
        <v>2029</v>
      </c>
      <c r="K30" s="222">
        <f t="shared" ref="K30:O30" si="53">K11</f>
        <v>2030</v>
      </c>
      <c r="L30" s="222">
        <f t="shared" si="53"/>
        <v>2031</v>
      </c>
      <c r="M30" s="222">
        <f t="shared" si="53"/>
        <v>2032</v>
      </c>
      <c r="N30" s="222">
        <f t="shared" si="53"/>
        <v>2033</v>
      </c>
      <c r="O30" s="222">
        <f t="shared" si="53"/>
        <v>2034</v>
      </c>
    </row>
    <row r="31" spans="1:15" x14ac:dyDescent="0.25">
      <c r="A31" s="7"/>
      <c r="B31" s="4" t="s">
        <v>171</v>
      </c>
      <c r="E31" s="28"/>
      <c r="F31" s="4">
        <f>BalSheet!F18</f>
        <v>589.09976132767315</v>
      </c>
      <c r="I31" s="4"/>
      <c r="J31" s="4"/>
      <c r="K31" s="4"/>
      <c r="L31" s="4"/>
      <c r="M31" s="4"/>
      <c r="N31" s="4"/>
      <c r="O31" s="4"/>
    </row>
    <row r="32" spans="1:15" x14ac:dyDescent="0.25">
      <c r="B32" s="4" t="s">
        <v>32</v>
      </c>
      <c r="D32" s="48"/>
      <c r="E32" s="24"/>
      <c r="F32" s="5">
        <f>F6</f>
        <v>0.16705837046300664</v>
      </c>
      <c r="G32" s="5"/>
      <c r="H32" s="5"/>
      <c r="I32" s="5"/>
      <c r="J32" s="5"/>
      <c r="K32" s="5"/>
      <c r="L32" s="5"/>
      <c r="M32" s="5"/>
      <c r="N32" s="5"/>
      <c r="O32" s="5"/>
    </row>
    <row r="33" spans="2:15" x14ac:dyDescent="0.25">
      <c r="B33" s="4" t="s">
        <v>41</v>
      </c>
      <c r="E33" s="28"/>
      <c r="F33" s="4">
        <f>F31*F32</f>
        <v>98.414046167547212</v>
      </c>
      <c r="I33" s="4"/>
      <c r="J33" s="4"/>
      <c r="K33" s="4"/>
      <c r="L33" s="4"/>
      <c r="M33" s="4"/>
      <c r="N33" s="4"/>
      <c r="O33" s="4"/>
    </row>
    <row r="34" spans="2:15" x14ac:dyDescent="0.25">
      <c r="E34" s="28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O45"/>
  <sheetViews>
    <sheetView showGridLines="0" topLeftCell="C1" zoomScaleNormal="100" workbookViewId="0">
      <selection activeCell="G39" sqref="G39:O39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5" width="11.7109375" style="4" customWidth="1"/>
    <col min="16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5" s="2" customFormat="1" ht="19.5" x14ac:dyDescent="0.3">
      <c r="A1" s="223" t="str">
        <f>CoName</f>
        <v>Intel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x14ac:dyDescent="0.25">
      <c r="A2" s="17" t="s">
        <v>10</v>
      </c>
      <c r="B2" s="16"/>
      <c r="C2" s="232">
        <v>2022</v>
      </c>
      <c r="D2" s="232">
        <f>C2+1</f>
        <v>2023</v>
      </c>
      <c r="E2" s="232">
        <f t="shared" ref="E2:J2" si="0">D2+1</f>
        <v>2024</v>
      </c>
      <c r="F2" s="232">
        <f t="shared" si="0"/>
        <v>2025</v>
      </c>
      <c r="G2" s="232">
        <f t="shared" si="0"/>
        <v>2026</v>
      </c>
      <c r="H2" s="232">
        <f t="shared" si="0"/>
        <v>2027</v>
      </c>
      <c r="I2" s="232">
        <f t="shared" si="0"/>
        <v>2028</v>
      </c>
      <c r="J2" s="232">
        <f t="shared" si="0"/>
        <v>2029</v>
      </c>
      <c r="K2" s="232">
        <f t="shared" ref="K2" si="1">J2+1</f>
        <v>2030</v>
      </c>
      <c r="L2" s="232">
        <f t="shared" ref="L2" si="2">K2+1</f>
        <v>2031</v>
      </c>
      <c r="M2" s="232">
        <f t="shared" ref="M2" si="3">L2+1</f>
        <v>2032</v>
      </c>
      <c r="N2" s="232">
        <f t="shared" ref="N2" si="4">M2+1</f>
        <v>2033</v>
      </c>
      <c r="O2" s="232">
        <f t="shared" ref="O2" si="5">N2+1</f>
        <v>2034</v>
      </c>
    </row>
    <row r="3" spans="1:15" x14ac:dyDescent="0.25">
      <c r="A3" s="87"/>
      <c r="C3" s="100"/>
      <c r="D3" s="100"/>
      <c r="E3" s="100"/>
    </row>
    <row r="4" spans="1:15" x14ac:dyDescent="0.25">
      <c r="B4" s="30" t="s">
        <v>43</v>
      </c>
      <c r="C4" s="31"/>
      <c r="D4" s="31"/>
      <c r="E4" s="32"/>
      <c r="F4" s="173">
        <f>Assumptions!F10</f>
        <v>-7.5575224572043131E-3</v>
      </c>
      <c r="G4" s="173">
        <f>Assumptions!G10</f>
        <v>2.5000000000000001E-2</v>
      </c>
      <c r="H4" s="173">
        <f>Assumptions!H10</f>
        <v>0.1</v>
      </c>
      <c r="I4" s="173">
        <f>Assumptions!I10</f>
        <v>0.15</v>
      </c>
      <c r="J4" s="173">
        <f>Assumptions!J10</f>
        <v>0.2</v>
      </c>
      <c r="K4" s="173">
        <f>Assumptions!K10</f>
        <v>0.25</v>
      </c>
      <c r="L4" s="173">
        <f>Assumptions!L10</f>
        <v>0.25</v>
      </c>
      <c r="M4" s="173">
        <f>Assumptions!M10</f>
        <v>0.25</v>
      </c>
      <c r="N4" s="173">
        <f>Assumptions!N10</f>
        <v>0.25</v>
      </c>
      <c r="O4" s="173">
        <f>Assumptions!O10</f>
        <v>0.25</v>
      </c>
    </row>
    <row r="5" spans="1:15" x14ac:dyDescent="0.25">
      <c r="B5" s="30" t="s">
        <v>44</v>
      </c>
      <c r="C5" s="31"/>
      <c r="D5" s="31"/>
      <c r="E5" s="31"/>
      <c r="F5" s="173">
        <f>Assumptions!F11</f>
        <v>0.62335831716916812</v>
      </c>
      <c r="G5" s="173">
        <f>Assumptions!G11</f>
        <v>0.57335831716916807</v>
      </c>
      <c r="H5" s="173">
        <f>Assumptions!H11</f>
        <v>0.52335831716916803</v>
      </c>
      <c r="I5" s="173">
        <f>Assumptions!I11</f>
        <v>0.47335831716916804</v>
      </c>
      <c r="J5" s="173">
        <f>Assumptions!J11</f>
        <v>0.42335831716916805</v>
      </c>
      <c r="K5" s="173">
        <f>Assumptions!K11</f>
        <v>0.40335831716916803</v>
      </c>
      <c r="L5" s="173">
        <f>Assumptions!L11</f>
        <v>0.38335831716916802</v>
      </c>
      <c r="M5" s="173">
        <f>Assumptions!M11</f>
        <v>0.363358317169168</v>
      </c>
      <c r="N5" s="173">
        <f>Assumptions!N11</f>
        <v>0.34335831716916798</v>
      </c>
      <c r="O5" s="173">
        <f>Assumptions!O11</f>
        <v>0.32335831716916796</v>
      </c>
    </row>
    <row r="6" spans="1:15" x14ac:dyDescent="0.25">
      <c r="B6" s="30" t="s">
        <v>180</v>
      </c>
      <c r="C6" s="189"/>
      <c r="D6" s="189"/>
      <c r="E6" s="32"/>
      <c r="F6" s="173">
        <f>Assumptions!F12</f>
        <v>0.29159488521873411</v>
      </c>
      <c r="G6" s="173">
        <f>Assumptions!G12</f>
        <v>0.27159488521873409</v>
      </c>
      <c r="H6" s="173">
        <f>Assumptions!H12</f>
        <v>0.25159488521873408</v>
      </c>
      <c r="I6" s="173">
        <f>Assumptions!I12</f>
        <v>0.23159488521873409</v>
      </c>
      <c r="J6" s="173">
        <f>Assumptions!J12</f>
        <v>0.2115948852187341</v>
      </c>
      <c r="K6" s="173">
        <f>Assumptions!K12</f>
        <v>0.19159488521873411</v>
      </c>
      <c r="L6" s="173">
        <f>Assumptions!L12</f>
        <v>0.19159488521873411</v>
      </c>
      <c r="M6" s="173">
        <f>Assumptions!M12</f>
        <v>0.19159488521873411</v>
      </c>
      <c r="N6" s="173">
        <f>Assumptions!N12</f>
        <v>0.19159488521873411</v>
      </c>
      <c r="O6" s="173">
        <f>Assumptions!O12</f>
        <v>0.19159488521873411</v>
      </c>
    </row>
    <row r="7" spans="1:15" x14ac:dyDescent="0.25">
      <c r="B7" s="30" t="s">
        <v>45</v>
      </c>
      <c r="C7" s="31"/>
      <c r="D7" s="31"/>
      <c r="E7" s="31"/>
      <c r="F7" s="173">
        <f>Assumptions!F13</f>
        <v>0.21496732641569841</v>
      </c>
      <c r="G7" s="173">
        <f>Assumptions!G13</f>
        <v>0.19496732641569842</v>
      </c>
      <c r="H7" s="173">
        <f>Assumptions!H13</f>
        <v>0.17496732641569843</v>
      </c>
      <c r="I7" s="173">
        <f>Assumptions!I13</f>
        <v>0.15496732641569844</v>
      </c>
      <c r="J7" s="173">
        <f>Assumptions!J13</f>
        <v>0.13496732641569845</v>
      </c>
      <c r="K7" s="173">
        <f>Assumptions!K13</f>
        <v>0.11496732641569844</v>
      </c>
      <c r="L7" s="173">
        <f>Assumptions!L13</f>
        <v>9.4967326415698439E-2</v>
      </c>
      <c r="M7" s="173">
        <f>Assumptions!M13</f>
        <v>7.4967326415698435E-2</v>
      </c>
      <c r="N7" s="173">
        <f>Assumptions!N13</f>
        <v>7.4967326415698435E-2</v>
      </c>
      <c r="O7" s="173">
        <f>Assumptions!O13</f>
        <v>7.4967326415698435E-2</v>
      </c>
    </row>
    <row r="8" spans="1:15" x14ac:dyDescent="0.25">
      <c r="A8" s="87"/>
      <c r="B8" s="4" t="s">
        <v>46</v>
      </c>
      <c r="C8" s="30"/>
      <c r="D8" s="30"/>
      <c r="E8" s="30"/>
      <c r="F8" s="174">
        <f>Assumptions!F14</f>
        <v>1428</v>
      </c>
      <c r="G8" s="174">
        <f>Assumptions!G14</f>
        <v>1428</v>
      </c>
      <c r="H8" s="174">
        <f>Assumptions!H14</f>
        <v>1428</v>
      </c>
      <c r="I8" s="174">
        <f>Assumptions!I14</f>
        <v>1428</v>
      </c>
      <c r="J8" s="174">
        <f>Assumptions!J14</f>
        <v>1428</v>
      </c>
      <c r="K8" s="174">
        <f>Assumptions!K14</f>
        <v>1428</v>
      </c>
      <c r="L8" s="174">
        <f>Assumptions!L14</f>
        <v>1428</v>
      </c>
      <c r="M8" s="174">
        <f>Assumptions!M14</f>
        <v>1428</v>
      </c>
      <c r="N8" s="174">
        <f>Assumptions!N14</f>
        <v>1428</v>
      </c>
      <c r="O8" s="174">
        <f>Assumptions!O14</f>
        <v>1428</v>
      </c>
    </row>
    <row r="9" spans="1:15" x14ac:dyDescent="0.25">
      <c r="A9" s="87"/>
      <c r="B9" s="4" t="s">
        <v>47</v>
      </c>
      <c r="C9" s="30"/>
      <c r="D9" s="30"/>
      <c r="E9" s="30"/>
      <c r="F9" s="175">
        <f>Assumptions!F15</f>
        <v>0</v>
      </c>
      <c r="G9" s="175">
        <f>Assumptions!G15</f>
        <v>0</v>
      </c>
      <c r="H9" s="175">
        <f>Assumptions!H15</f>
        <v>0</v>
      </c>
      <c r="I9" s="175">
        <f>Assumptions!I15</f>
        <v>0</v>
      </c>
      <c r="J9" s="175">
        <f>Assumptions!J15</f>
        <v>0</v>
      </c>
      <c r="K9" s="175">
        <f>Assumptions!K15</f>
        <v>0</v>
      </c>
      <c r="L9" s="175">
        <f>Assumptions!L15</f>
        <v>0</v>
      </c>
      <c r="M9" s="175">
        <f>Assumptions!M15</f>
        <v>0</v>
      </c>
      <c r="N9" s="175">
        <f>Assumptions!N15</f>
        <v>0</v>
      </c>
      <c r="O9" s="175">
        <f>Assumptions!O15</f>
        <v>0</v>
      </c>
    </row>
    <row r="10" spans="1:15" x14ac:dyDescent="0.25">
      <c r="B10" s="4" t="s">
        <v>147</v>
      </c>
      <c r="F10" s="175">
        <f>Assumptions!F16</f>
        <v>0</v>
      </c>
      <c r="G10" s="175">
        <f>Assumptions!G16</f>
        <v>0</v>
      </c>
      <c r="H10" s="175">
        <f>Assumptions!H16</f>
        <v>0</v>
      </c>
      <c r="I10" s="175">
        <f>Assumptions!I16</f>
        <v>0</v>
      </c>
      <c r="J10" s="175">
        <f>Assumptions!J16</f>
        <v>0</v>
      </c>
      <c r="K10" s="175">
        <f>Assumptions!K16</f>
        <v>0</v>
      </c>
      <c r="L10" s="175">
        <f>Assumptions!L16</f>
        <v>0</v>
      </c>
      <c r="M10" s="175">
        <f>Assumptions!M16</f>
        <v>0</v>
      </c>
      <c r="N10" s="175">
        <f>Assumptions!N16</f>
        <v>0</v>
      </c>
      <c r="O10" s="175">
        <f>Assumptions!O16</f>
        <v>0</v>
      </c>
    </row>
    <row r="11" spans="1:15" x14ac:dyDescent="0.25">
      <c r="B11" s="30" t="s">
        <v>48</v>
      </c>
      <c r="C11" s="43"/>
      <c r="D11" s="43"/>
      <c r="E11" s="43"/>
      <c r="F11" s="173">
        <f>Assumptions!F17</f>
        <v>0.12</v>
      </c>
      <c r="G11" s="173">
        <f>Assumptions!G17</f>
        <v>0.12</v>
      </c>
      <c r="H11" s="173">
        <f>Assumptions!H17</f>
        <v>0.12</v>
      </c>
      <c r="I11" s="173">
        <f>Assumptions!I17</f>
        <v>0.12</v>
      </c>
      <c r="J11" s="173">
        <f>Assumptions!J17</f>
        <v>0.12</v>
      </c>
      <c r="K11" s="173">
        <f>Assumptions!K17</f>
        <v>0.12</v>
      </c>
      <c r="L11" s="173">
        <f>Assumptions!L17</f>
        <v>0.12</v>
      </c>
      <c r="M11" s="173">
        <f>Assumptions!M17</f>
        <v>0.12</v>
      </c>
      <c r="N11" s="173">
        <f>Assumptions!N17</f>
        <v>0.12</v>
      </c>
      <c r="O11" s="173">
        <f>Assumptions!O17</f>
        <v>0.12</v>
      </c>
    </row>
    <row r="12" spans="1:15" s="234" customFormat="1" x14ac:dyDescent="0.25">
      <c r="A12" s="236"/>
      <c r="B12" s="234" t="s">
        <v>141</v>
      </c>
      <c r="E12" s="237"/>
      <c r="F12" s="238">
        <f>Assumptions!F18</f>
        <v>0.37359813084112148</v>
      </c>
      <c r="G12" s="238">
        <f>Assumptions!G18</f>
        <v>0.37359813084112148</v>
      </c>
      <c r="H12" s="238">
        <f>Assumptions!H18</f>
        <v>0.37359813084112148</v>
      </c>
      <c r="I12" s="238">
        <f>Assumptions!I18</f>
        <v>0.37359813084112148</v>
      </c>
      <c r="J12" s="238">
        <f>Assumptions!J18</f>
        <v>0.37359813084112148</v>
      </c>
      <c r="K12" s="238">
        <f>Assumptions!K18</f>
        <v>0.37359813084112148</v>
      </c>
      <c r="L12" s="238">
        <f>Assumptions!L18</f>
        <v>0.37359813084112148</v>
      </c>
      <c r="M12" s="238">
        <f>Assumptions!M18</f>
        <v>0.37359813084112148</v>
      </c>
      <c r="N12" s="238">
        <f>Assumptions!N18</f>
        <v>0.37359813084112148</v>
      </c>
      <c r="O12" s="238">
        <f>Assumptions!O18</f>
        <v>0.37359813084112148</v>
      </c>
    </row>
    <row r="13" spans="1:15" x14ac:dyDescent="0.25">
      <c r="B13" s="4" t="s">
        <v>49</v>
      </c>
      <c r="C13" s="30"/>
      <c r="D13" s="30"/>
      <c r="E13" s="39"/>
      <c r="F13" s="175">
        <f>Assumptions!F19</f>
        <v>4280</v>
      </c>
      <c r="G13" s="175">
        <f>Assumptions!G19</f>
        <v>4280</v>
      </c>
      <c r="H13" s="175">
        <f>Assumptions!H19</f>
        <v>4280</v>
      </c>
      <c r="I13" s="175">
        <f>Assumptions!I19</f>
        <v>4280</v>
      </c>
      <c r="J13" s="175">
        <f>Assumptions!J19</f>
        <v>4280</v>
      </c>
      <c r="K13" s="175">
        <f>Assumptions!K19</f>
        <v>4280</v>
      </c>
      <c r="L13" s="175">
        <f>Assumptions!L19</f>
        <v>4280</v>
      </c>
      <c r="M13" s="175">
        <f>Assumptions!M19</f>
        <v>4280</v>
      </c>
      <c r="N13" s="175">
        <f>Assumptions!N19</f>
        <v>4280</v>
      </c>
      <c r="O13" s="175">
        <f>Assumptions!O19</f>
        <v>4280</v>
      </c>
    </row>
    <row r="14" spans="1:15" x14ac:dyDescent="0.25">
      <c r="B14" s="4" t="s">
        <v>50</v>
      </c>
      <c r="C14" s="30"/>
      <c r="D14" s="30"/>
      <c r="E14" s="39"/>
      <c r="F14" s="175">
        <f>Assumptions!F20</f>
        <v>4280</v>
      </c>
      <c r="G14" s="175">
        <f>Assumptions!G20</f>
        <v>4280</v>
      </c>
      <c r="H14" s="175">
        <f>Assumptions!H20</f>
        <v>4280</v>
      </c>
      <c r="I14" s="175">
        <f>Assumptions!I20</f>
        <v>4280</v>
      </c>
      <c r="J14" s="175">
        <f>Assumptions!J20</f>
        <v>4280</v>
      </c>
      <c r="K14" s="175">
        <f>Assumptions!K20</f>
        <v>4280</v>
      </c>
      <c r="L14" s="175">
        <f>Assumptions!L20</f>
        <v>4280</v>
      </c>
      <c r="M14" s="175">
        <f>Assumptions!M20</f>
        <v>4280</v>
      </c>
      <c r="N14" s="175">
        <f>Assumptions!N20</f>
        <v>4280</v>
      </c>
      <c r="O14" s="175">
        <f>Assumptions!O20</f>
        <v>4280</v>
      </c>
    </row>
    <row r="15" spans="1:15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85" customHeight="1" x14ac:dyDescent="0.25">
      <c r="A16" s="176" t="s">
        <v>42</v>
      </c>
      <c r="B16" s="177"/>
      <c r="C16" s="151">
        <f>C39</f>
        <v>44926</v>
      </c>
      <c r="D16" s="151">
        <f t="shared" ref="D16:J16" si="6">D39</f>
        <v>45291</v>
      </c>
      <c r="E16" s="151">
        <f t="shared" si="6"/>
        <v>45657</v>
      </c>
      <c r="F16" s="151">
        <f t="shared" si="6"/>
        <v>46022</v>
      </c>
      <c r="G16" s="222">
        <f>G2</f>
        <v>2026</v>
      </c>
      <c r="H16" s="222">
        <f t="shared" ref="H16:O16" si="7">H2</f>
        <v>2027</v>
      </c>
      <c r="I16" s="222">
        <f t="shared" si="7"/>
        <v>2028</v>
      </c>
      <c r="J16" s="222">
        <f t="shared" si="7"/>
        <v>2029</v>
      </c>
      <c r="K16" s="222">
        <f t="shared" si="7"/>
        <v>2030</v>
      </c>
      <c r="L16" s="222">
        <f t="shared" si="7"/>
        <v>2031</v>
      </c>
      <c r="M16" s="222">
        <f t="shared" si="7"/>
        <v>2032</v>
      </c>
      <c r="N16" s="222">
        <f t="shared" si="7"/>
        <v>2033</v>
      </c>
      <c r="O16" s="222">
        <f t="shared" si="7"/>
        <v>2034</v>
      </c>
    </row>
    <row r="17" spans="1:15" x14ac:dyDescent="0.25">
      <c r="B17" s="4" t="s">
        <v>51</v>
      </c>
      <c r="C17" s="98">
        <v>63054</v>
      </c>
      <c r="D17" s="124">
        <v>54228</v>
      </c>
      <c r="E17" s="23">
        <v>53101</v>
      </c>
      <c r="F17" s="4">
        <f>E17*(1+F4)</f>
        <v>52699.687999999995</v>
      </c>
      <c r="G17" s="4">
        <f t="shared" ref="G17:J17" si="8">F17*(1+G4)</f>
        <v>54017.180199999988</v>
      </c>
      <c r="H17" s="4">
        <f t="shared" si="8"/>
        <v>59418.898219999988</v>
      </c>
      <c r="I17" s="4">
        <f t="shared" si="8"/>
        <v>68331.732952999984</v>
      </c>
      <c r="J17" s="4">
        <f t="shared" si="8"/>
        <v>81998.079543599975</v>
      </c>
      <c r="K17" s="4">
        <f t="shared" ref="K17:O17" si="9">J17*(1+K4)</f>
        <v>102497.59942949997</v>
      </c>
      <c r="L17" s="4">
        <f t="shared" si="9"/>
        <v>128121.99928687495</v>
      </c>
      <c r="M17" s="4">
        <f t="shared" si="9"/>
        <v>160152.49910859368</v>
      </c>
      <c r="N17" s="4">
        <f t="shared" si="9"/>
        <v>200190.6238857421</v>
      </c>
      <c r="O17" s="4">
        <f t="shared" si="9"/>
        <v>250238.27985717764</v>
      </c>
    </row>
    <row r="18" spans="1:15" x14ac:dyDescent="0.25">
      <c r="B18" s="4" t="s">
        <v>158</v>
      </c>
      <c r="C18" s="124">
        <v>36188</v>
      </c>
      <c r="D18" s="124">
        <v>32517</v>
      </c>
      <c r="E18" s="23">
        <v>35756</v>
      </c>
      <c r="F18" s="171">
        <f>F17*F5</f>
        <v>32850.788827020202</v>
      </c>
      <c r="G18" s="171">
        <f t="shared" ref="G18:J18" si="10">G17*G5</f>
        <v>30971.199537695698</v>
      </c>
      <c r="H18" s="171">
        <f t="shared" si="10"/>
        <v>31097.374580465268</v>
      </c>
      <c r="I18" s="171">
        <f t="shared" si="10"/>
        <v>32345.394119885059</v>
      </c>
      <c r="J18" s="171">
        <f t="shared" si="10"/>
        <v>34714.568966682069</v>
      </c>
      <c r="K18" s="171">
        <f t="shared" ref="K18" si="11">K17*K5</f>
        <v>41343.259219762585</v>
      </c>
      <c r="L18" s="171">
        <f t="shared" ref="L18" si="12">L17*L5</f>
        <v>49116.634038965727</v>
      </c>
      <c r="M18" s="171">
        <f t="shared" ref="M18" si="13">M17*M5</f>
        <v>58192.742566535278</v>
      </c>
      <c r="N18" s="171">
        <f t="shared" ref="N18" si="14">N17*N5</f>
        <v>68737.115730454258</v>
      </c>
      <c r="O18" s="171">
        <f t="shared" ref="O18" si="15">O17*O5</f>
        <v>80916.629065924266</v>
      </c>
    </row>
    <row r="19" spans="1:15" x14ac:dyDescent="0.25">
      <c r="B19" s="4" t="s">
        <v>179</v>
      </c>
      <c r="C19" s="124">
        <v>17528</v>
      </c>
      <c r="D19" s="124">
        <v>16046</v>
      </c>
      <c r="E19" s="23">
        <v>16546</v>
      </c>
      <c r="F19" s="171">
        <f>F17*F6</f>
        <v>15366.959473423098</v>
      </c>
      <c r="G19" s="171">
        <f t="shared" ref="G19:J19" si="16">G17*G6</f>
        <v>14670.789856258672</v>
      </c>
      <c r="H19" s="171">
        <f t="shared" si="16"/>
        <v>14949.490877484539</v>
      </c>
      <c r="I19" s="171">
        <f t="shared" si="16"/>
        <v>15825.279850047222</v>
      </c>
      <c r="J19" s="171">
        <f t="shared" si="16"/>
        <v>17350.374229184665</v>
      </c>
      <c r="K19" s="171">
        <f t="shared" ref="K19:O19" si="17">K17*K6</f>
        <v>19638.015797890832</v>
      </c>
      <c r="L19" s="171">
        <f t="shared" si="17"/>
        <v>24547.519747363542</v>
      </c>
      <c r="M19" s="171">
        <f t="shared" si="17"/>
        <v>30684.399684204422</v>
      </c>
      <c r="N19" s="171">
        <f t="shared" si="17"/>
        <v>38355.499605255529</v>
      </c>
      <c r="O19" s="171">
        <f t="shared" si="17"/>
        <v>47944.374506569409</v>
      </c>
    </row>
    <row r="20" spans="1:15" x14ac:dyDescent="0.25">
      <c r="B20" s="4" t="s">
        <v>52</v>
      </c>
      <c r="C20" s="124">
        <v>7004</v>
      </c>
      <c r="D20" s="124">
        <f>5634-62</f>
        <v>5572</v>
      </c>
      <c r="E20" s="23">
        <f>5507+6970</f>
        <v>12477</v>
      </c>
      <c r="F20" s="171">
        <f>F17*F7</f>
        <v>11328.711032301464</v>
      </c>
      <c r="G20" s="171">
        <f t="shared" ref="G20:J20" si="18">G17*G7</f>
        <v>10531.585204108998</v>
      </c>
      <c r="H20" s="171">
        <f t="shared" si="18"/>
        <v>10396.365760119899</v>
      </c>
      <c r="I20" s="171">
        <f t="shared" si="18"/>
        <v>10589.185965077886</v>
      </c>
      <c r="J20" s="171">
        <f t="shared" si="18"/>
        <v>11067.061567221463</v>
      </c>
      <c r="K20" s="171">
        <f t="shared" ref="K20:O20" si="19">K17*K7</f>
        <v>11783.874970436829</v>
      </c>
      <c r="L20" s="171">
        <f t="shared" si="19"/>
        <v>12167.403727308536</v>
      </c>
      <c r="M20" s="171">
        <f t="shared" si="19"/>
        <v>12006.204676963795</v>
      </c>
      <c r="N20" s="171">
        <f t="shared" si="19"/>
        <v>15007.755846204744</v>
      </c>
      <c r="O20" s="171">
        <f t="shared" si="19"/>
        <v>18759.694807755932</v>
      </c>
    </row>
    <row r="21" spans="1:15" s="11" customFormat="1" x14ac:dyDescent="0.25">
      <c r="A21" s="11" t="s">
        <v>126</v>
      </c>
      <c r="B21" s="18" t="s">
        <v>55</v>
      </c>
      <c r="C21" s="19">
        <f>C17-SUM(C18:C20)</f>
        <v>2334</v>
      </c>
      <c r="D21" s="19">
        <f t="shared" ref="D21:F21" si="20">D17-SUM(D18:D20)</f>
        <v>93</v>
      </c>
      <c r="E21" s="19">
        <f t="shared" si="20"/>
        <v>-11678</v>
      </c>
      <c r="F21" s="19">
        <f t="shared" si="20"/>
        <v>-6846.7713327447709</v>
      </c>
      <c r="G21" s="19">
        <f t="shared" ref="G21:J21" si="21">G17-SUM(G18:G20)</f>
        <v>-2156.3943980633776</v>
      </c>
      <c r="H21" s="19">
        <f t="shared" si="21"/>
        <v>2975.6670019302765</v>
      </c>
      <c r="I21" s="19">
        <f t="shared" si="21"/>
        <v>9571.8730179898193</v>
      </c>
      <c r="J21" s="19">
        <f t="shared" si="21"/>
        <v>18866.074780511779</v>
      </c>
      <c r="K21" s="19">
        <f t="shared" ref="K21:O21" si="22">K17-SUM(K18:K20)</f>
        <v>29732.449441409728</v>
      </c>
      <c r="L21" s="19">
        <f t="shared" si="22"/>
        <v>42290.441773237151</v>
      </c>
      <c r="M21" s="19">
        <f t="shared" si="22"/>
        <v>59269.152180890174</v>
      </c>
      <c r="N21" s="19">
        <f t="shared" si="22"/>
        <v>78090.252703827558</v>
      </c>
      <c r="O21" s="19">
        <f t="shared" si="22"/>
        <v>102617.58147692803</v>
      </c>
    </row>
    <row r="22" spans="1:15" s="11" customFormat="1" x14ac:dyDescent="0.25">
      <c r="E22" s="35"/>
    </row>
    <row r="23" spans="1:15" s="11" customFormat="1" x14ac:dyDescent="0.25">
      <c r="B23" s="4" t="s">
        <v>15</v>
      </c>
      <c r="C23" s="125">
        <v>11128</v>
      </c>
      <c r="D23" s="125">
        <v>7847</v>
      </c>
      <c r="E23" s="26">
        <v>9951</v>
      </c>
      <c r="F23" s="4">
        <f>Calcs!F8</f>
        <v>10571.996347894916</v>
      </c>
      <c r="G23" s="4">
        <f>Calcs!G8</f>
        <v>11606.092737024925</v>
      </c>
      <c r="H23" s="4">
        <f>Calcs!H8</f>
        <v>12537.713994878022</v>
      </c>
      <c r="I23" s="4">
        <f>Calcs!I8</f>
        <v>13526.721442096465</v>
      </c>
      <c r="J23" s="4">
        <f>Calcs!J8</f>
        <v>14684.488725459576</v>
      </c>
      <c r="K23" s="4">
        <f>Calcs!K8</f>
        <v>16145.086483173813</v>
      </c>
      <c r="L23" s="4">
        <f>Calcs!L8</f>
        <v>18086.972763011971</v>
      </c>
      <c r="M23" s="4">
        <f>Calcs!M8</f>
        <v>20593.99018239617</v>
      </c>
      <c r="N23" s="4">
        <f>Calcs!N8</f>
        <v>23768.24006650603</v>
      </c>
      <c r="O23" s="4">
        <f>Calcs!O8</f>
        <v>27733.342923047876</v>
      </c>
    </row>
    <row r="24" spans="1:15" s="11" customFormat="1" x14ac:dyDescent="0.25">
      <c r="B24" s="4" t="s">
        <v>54</v>
      </c>
      <c r="C24" s="98">
        <v>1907</v>
      </c>
      <c r="D24" s="98">
        <v>1755</v>
      </c>
      <c r="E24" s="126">
        <v>1428</v>
      </c>
      <c r="F24" s="4">
        <f>F8</f>
        <v>1428</v>
      </c>
      <c r="G24" s="4">
        <f t="shared" ref="G24:J24" si="23">G8</f>
        <v>1428</v>
      </c>
      <c r="H24" s="4">
        <f t="shared" si="23"/>
        <v>1428</v>
      </c>
      <c r="I24" s="4">
        <f t="shared" si="23"/>
        <v>1428</v>
      </c>
      <c r="J24" s="4">
        <f t="shared" si="23"/>
        <v>1428</v>
      </c>
      <c r="K24" s="4">
        <f t="shared" ref="K24:O24" si="24">K8</f>
        <v>1428</v>
      </c>
      <c r="L24" s="4">
        <f t="shared" si="24"/>
        <v>1428</v>
      </c>
      <c r="M24" s="4">
        <f t="shared" si="24"/>
        <v>1428</v>
      </c>
      <c r="N24" s="4">
        <f t="shared" si="24"/>
        <v>1428</v>
      </c>
      <c r="O24" s="4">
        <f t="shared" si="24"/>
        <v>1428</v>
      </c>
    </row>
    <row r="25" spans="1:15" s="129" customFormat="1" x14ac:dyDescent="0.25">
      <c r="A25" s="129" t="s">
        <v>126</v>
      </c>
      <c r="B25" s="130" t="s">
        <v>53</v>
      </c>
      <c r="C25" s="131">
        <f>SUM(C21,C23:C24)</f>
        <v>15369</v>
      </c>
      <c r="D25" s="131">
        <f t="shared" ref="D25:F25" si="25">SUM(D21,D23:D24)</f>
        <v>9695</v>
      </c>
      <c r="E25" s="131">
        <f t="shared" si="25"/>
        <v>-299</v>
      </c>
      <c r="F25" s="131">
        <f t="shared" si="25"/>
        <v>5153.2250151501448</v>
      </c>
      <c r="G25" s="131">
        <f t="shared" ref="G25:J25" si="26">SUM(G21,G23:G24)</f>
        <v>10877.698338961547</v>
      </c>
      <c r="H25" s="131">
        <f t="shared" si="26"/>
        <v>16941.380996808301</v>
      </c>
      <c r="I25" s="131">
        <f t="shared" si="26"/>
        <v>24526.594460086286</v>
      </c>
      <c r="J25" s="131">
        <f t="shared" si="26"/>
        <v>34978.563505971353</v>
      </c>
      <c r="K25" s="131">
        <f t="shared" ref="K25:O25" si="27">SUM(K21,K23:K24)</f>
        <v>47305.535924583543</v>
      </c>
      <c r="L25" s="131">
        <f t="shared" si="27"/>
        <v>61805.414536249125</v>
      </c>
      <c r="M25" s="131">
        <f t="shared" si="27"/>
        <v>81291.142363286344</v>
      </c>
      <c r="N25" s="131">
        <f t="shared" si="27"/>
        <v>103286.49277033359</v>
      </c>
      <c r="O25" s="131">
        <f t="shared" si="27"/>
        <v>131778.92439997592</v>
      </c>
    </row>
    <row r="26" spans="1:15" s="11" customFormat="1" x14ac:dyDescent="0.25">
      <c r="C26" s="14"/>
      <c r="D26" s="4"/>
      <c r="E26" s="36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s="11" customFormat="1" x14ac:dyDescent="0.25">
      <c r="B27" s="4" t="s">
        <v>56</v>
      </c>
      <c r="C27" s="96">
        <v>2</v>
      </c>
      <c r="D27" s="96">
        <v>-62</v>
      </c>
      <c r="E27" s="97">
        <v>6970</v>
      </c>
      <c r="F27" s="4">
        <f>F9</f>
        <v>0</v>
      </c>
      <c r="G27" s="4">
        <f t="shared" ref="G27:J27" si="28">G9</f>
        <v>0</v>
      </c>
      <c r="H27" s="4">
        <f t="shared" si="28"/>
        <v>0</v>
      </c>
      <c r="I27" s="4">
        <f t="shared" si="28"/>
        <v>0</v>
      </c>
      <c r="J27" s="4">
        <f t="shared" si="28"/>
        <v>0</v>
      </c>
      <c r="K27" s="4">
        <f t="shared" ref="K27:O27" si="29">K9</f>
        <v>0</v>
      </c>
      <c r="L27" s="4">
        <f t="shared" si="29"/>
        <v>0</v>
      </c>
      <c r="M27" s="4">
        <f t="shared" si="29"/>
        <v>0</v>
      </c>
      <c r="N27" s="4">
        <f t="shared" si="29"/>
        <v>0</v>
      </c>
      <c r="O27" s="4">
        <f t="shared" si="29"/>
        <v>0</v>
      </c>
    </row>
    <row r="28" spans="1:15" s="11" customFormat="1" x14ac:dyDescent="0.25">
      <c r="B28" s="4" t="s">
        <v>57</v>
      </c>
      <c r="C28" s="96">
        <v>1073</v>
      </c>
      <c r="D28" s="96">
        <v>172</v>
      </c>
      <c r="E28" s="97">
        <v>15</v>
      </c>
      <c r="F28" s="4">
        <f>F10</f>
        <v>0</v>
      </c>
      <c r="G28" s="4">
        <f t="shared" ref="G28:J28" si="30">G10</f>
        <v>0</v>
      </c>
      <c r="H28" s="4">
        <f t="shared" si="30"/>
        <v>0</v>
      </c>
      <c r="I28" s="4">
        <f t="shared" si="30"/>
        <v>0</v>
      </c>
      <c r="J28" s="4">
        <f t="shared" si="30"/>
        <v>0</v>
      </c>
      <c r="K28" s="4">
        <f t="shared" ref="K28:O28" si="31">K10</f>
        <v>0</v>
      </c>
      <c r="L28" s="4">
        <f t="shared" si="31"/>
        <v>0</v>
      </c>
      <c r="M28" s="4">
        <f t="shared" si="31"/>
        <v>0</v>
      </c>
      <c r="N28" s="4">
        <f t="shared" si="31"/>
        <v>0</v>
      </c>
      <c r="O28" s="4">
        <f t="shared" si="31"/>
        <v>0</v>
      </c>
    </row>
    <row r="29" spans="1:15" s="11" customFormat="1" x14ac:dyDescent="0.25">
      <c r="B29" s="4"/>
      <c r="C29" s="10"/>
      <c r="D29" s="10"/>
      <c r="E29" s="23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s="11" customFormat="1" x14ac:dyDescent="0.25">
      <c r="B30" s="4" t="s">
        <v>41</v>
      </c>
      <c r="C30" s="9">
        <v>589</v>
      </c>
      <c r="D30" s="9">
        <v>1335</v>
      </c>
      <c r="E30" s="45">
        <v>1245</v>
      </c>
      <c r="F30" s="9">
        <f>IF(circ=1,Debt!F33,0)</f>
        <v>0</v>
      </c>
      <c r="G30" s="9">
        <f>IF(circ=1,Debt!G33,0)</f>
        <v>0</v>
      </c>
      <c r="H30" s="9">
        <f>IF(circ=1,Debt!H33,0)</f>
        <v>0</v>
      </c>
      <c r="I30" s="9">
        <f>IF(circ=1,Debt!I33,0)</f>
        <v>0</v>
      </c>
      <c r="J30" s="9">
        <f>IF(circ=1,Debt!J33,0)</f>
        <v>0</v>
      </c>
      <c r="K30" s="9">
        <f>IF(circ=1,Debt!K33,0)</f>
        <v>0</v>
      </c>
      <c r="L30" s="9">
        <f>IF(circ=1,Debt!L33,0)</f>
        <v>0</v>
      </c>
      <c r="M30" s="9">
        <f>IF(circ=1,Debt!M33,0)</f>
        <v>0</v>
      </c>
      <c r="N30" s="9">
        <f>IF(circ=1,Debt!N33,0)</f>
        <v>0</v>
      </c>
      <c r="O30" s="9">
        <f>IF(circ=1,Debt!O33,0)</f>
        <v>0</v>
      </c>
    </row>
    <row r="31" spans="1:15" x14ac:dyDescent="0.25">
      <c r="B31" s="4" t="s">
        <v>33</v>
      </c>
      <c r="C31" s="9">
        <v>-596</v>
      </c>
      <c r="D31" s="9">
        <v>-878</v>
      </c>
      <c r="E31" s="45">
        <v>-1034</v>
      </c>
      <c r="F31" s="9">
        <f>IF(circ=1,Debt!F28,0)</f>
        <v>0</v>
      </c>
      <c r="G31" s="9">
        <f>IF(circ=1,Debt!G28,0)</f>
        <v>0</v>
      </c>
      <c r="H31" s="9">
        <f>IF(circ=1,Debt!H28,0)</f>
        <v>0</v>
      </c>
      <c r="I31" s="9">
        <f>IF(circ=1,Debt!I28,0)</f>
        <v>0</v>
      </c>
      <c r="J31" s="9">
        <f>IF(circ=1,Debt!J28,0)</f>
        <v>0</v>
      </c>
      <c r="K31" s="9">
        <f>IF(circ=1,Debt!K28,0)</f>
        <v>0</v>
      </c>
      <c r="L31" s="9">
        <f>IF(circ=1,Debt!L28,0)</f>
        <v>0</v>
      </c>
      <c r="M31" s="9">
        <f>IF(circ=1,Debt!M28,0)</f>
        <v>0</v>
      </c>
      <c r="N31" s="9">
        <f>IF(circ=1,Debt!N28,0)</f>
        <v>0</v>
      </c>
      <c r="O31" s="9">
        <f>IF(circ=1,Debt!O28,0)</f>
        <v>0</v>
      </c>
    </row>
    <row r="32" spans="1:15" x14ac:dyDescent="0.25">
      <c r="C32" s="10"/>
      <c r="D32" s="10"/>
      <c r="E32" s="23"/>
      <c r="H32" s="4"/>
    </row>
    <row r="33" spans="1:15" s="11" customFormat="1" x14ac:dyDescent="0.25">
      <c r="A33" s="11" t="s">
        <v>126</v>
      </c>
      <c r="B33" s="18" t="s">
        <v>86</v>
      </c>
      <c r="C33" s="19">
        <f t="shared" ref="C33:D33" si="32">C21+SUM(C27:C31)</f>
        <v>3402</v>
      </c>
      <c r="D33" s="19">
        <f t="shared" si="32"/>
        <v>660</v>
      </c>
      <c r="E33" s="19">
        <f>E21+SUM(E27:E31)</f>
        <v>-4482</v>
      </c>
      <c r="F33" s="19">
        <f>F21+SUM(F27:F31)</f>
        <v>-6846.7713327447709</v>
      </c>
      <c r="G33" s="19">
        <f t="shared" ref="G33:J33" si="33">G21+SUM(G27:G31)</f>
        <v>-2156.3943980633776</v>
      </c>
      <c r="H33" s="19">
        <f t="shared" si="33"/>
        <v>2975.6670019302765</v>
      </c>
      <c r="I33" s="19">
        <f t="shared" si="33"/>
        <v>9571.8730179898193</v>
      </c>
      <c r="J33" s="19">
        <f t="shared" si="33"/>
        <v>18866.074780511779</v>
      </c>
      <c r="K33" s="19">
        <f t="shared" ref="K33:O33" si="34">K21+SUM(K27:K31)</f>
        <v>29732.449441409728</v>
      </c>
      <c r="L33" s="19">
        <f t="shared" si="34"/>
        <v>42290.441773237151</v>
      </c>
      <c r="M33" s="19">
        <f t="shared" si="34"/>
        <v>59269.152180890174</v>
      </c>
      <c r="N33" s="19">
        <f t="shared" si="34"/>
        <v>78090.252703827558</v>
      </c>
      <c r="O33" s="19">
        <f t="shared" si="34"/>
        <v>102617.58147692803</v>
      </c>
    </row>
    <row r="34" spans="1:15" x14ac:dyDescent="0.25">
      <c r="E34" s="37"/>
      <c r="H34" s="4"/>
    </row>
    <row r="35" spans="1:15" x14ac:dyDescent="0.25">
      <c r="B35" s="4" t="s">
        <v>58</v>
      </c>
      <c r="C35" s="133">
        <v>-249</v>
      </c>
      <c r="D35" s="4">
        <v>-913</v>
      </c>
      <c r="E35" s="59">
        <v>8023</v>
      </c>
      <c r="F35" s="4">
        <f>F33*F11</f>
        <v>-821.61255992937242</v>
      </c>
      <c r="G35" s="4">
        <f t="shared" ref="G35:J35" si="35">G33*G11</f>
        <v>-258.76732776760531</v>
      </c>
      <c r="H35" s="4">
        <f t="shared" si="35"/>
        <v>357.08004023163318</v>
      </c>
      <c r="I35" s="4">
        <f t="shared" si="35"/>
        <v>1148.6247621587784</v>
      </c>
      <c r="J35" s="4">
        <f t="shared" si="35"/>
        <v>2263.9289736614132</v>
      </c>
      <c r="K35" s="4">
        <f t="shared" ref="K35:O35" si="36">K33*K11</f>
        <v>3567.8939329691671</v>
      </c>
      <c r="L35" s="4">
        <f t="shared" si="36"/>
        <v>5074.8530127884578</v>
      </c>
      <c r="M35" s="4">
        <f t="shared" si="36"/>
        <v>7112.298261706821</v>
      </c>
      <c r="N35" s="4">
        <f t="shared" si="36"/>
        <v>9370.8303244593062</v>
      </c>
      <c r="O35" s="4">
        <f t="shared" si="36"/>
        <v>12314.109777231362</v>
      </c>
    </row>
    <row r="36" spans="1:15" s="11" customFormat="1" x14ac:dyDescent="0.25">
      <c r="A36" s="11" t="s">
        <v>126</v>
      </c>
      <c r="B36" s="18" t="s">
        <v>59</v>
      </c>
      <c r="C36" s="19">
        <f>C33-C35</f>
        <v>3651</v>
      </c>
      <c r="D36" s="34">
        <f t="shared" ref="D36:F36" si="37">D33-D35</f>
        <v>1573</v>
      </c>
      <c r="E36" s="19">
        <f t="shared" si="37"/>
        <v>-12505</v>
      </c>
      <c r="F36" s="19">
        <f t="shared" si="37"/>
        <v>-6025.1587728153982</v>
      </c>
      <c r="G36" s="19">
        <f t="shared" ref="G36:J36" si="38">G33-G35</f>
        <v>-1897.6270702957722</v>
      </c>
      <c r="H36" s="19">
        <f t="shared" si="38"/>
        <v>2618.5869616986433</v>
      </c>
      <c r="I36" s="19">
        <f t="shared" si="38"/>
        <v>8423.2482558310403</v>
      </c>
      <c r="J36" s="19">
        <f t="shared" si="38"/>
        <v>16602.145806850367</v>
      </c>
      <c r="K36" s="19">
        <f t="shared" ref="K36:O36" si="39">K33-K35</f>
        <v>26164.555508440561</v>
      </c>
      <c r="L36" s="19">
        <f t="shared" si="39"/>
        <v>37215.588760448692</v>
      </c>
      <c r="M36" s="19">
        <f t="shared" si="39"/>
        <v>52156.853919183355</v>
      </c>
      <c r="N36" s="19">
        <f t="shared" si="39"/>
        <v>68719.422379368247</v>
      </c>
      <c r="O36" s="19">
        <f t="shared" si="39"/>
        <v>90303.47169969666</v>
      </c>
    </row>
    <row r="37" spans="1:15" s="234" customFormat="1" x14ac:dyDescent="0.25">
      <c r="A37" s="236"/>
      <c r="B37" s="234" t="s">
        <v>182</v>
      </c>
      <c r="C37" s="239">
        <f>C38/C40</f>
        <v>1.4598344693281402</v>
      </c>
      <c r="D37" s="241">
        <f t="shared" ref="D37:E37" si="40">D38/D40</f>
        <v>0.7369928400954654</v>
      </c>
      <c r="E37" s="242">
        <f t="shared" si="40"/>
        <v>0.37359813084112148</v>
      </c>
      <c r="F37" s="234">
        <f>F12</f>
        <v>0.37359813084112148</v>
      </c>
      <c r="G37" s="234">
        <f t="shared" ref="G37:J37" si="41">G12</f>
        <v>0.37359813084112148</v>
      </c>
      <c r="H37" s="234">
        <f t="shared" si="41"/>
        <v>0.37359813084112148</v>
      </c>
      <c r="I37" s="234">
        <f t="shared" si="41"/>
        <v>0.37359813084112148</v>
      </c>
      <c r="J37" s="234">
        <f t="shared" si="41"/>
        <v>0.37359813084112148</v>
      </c>
      <c r="K37" s="234">
        <f t="shared" ref="K37:O37" si="42">K12</f>
        <v>0.37359813084112148</v>
      </c>
      <c r="L37" s="234">
        <f t="shared" si="42"/>
        <v>0.37359813084112148</v>
      </c>
      <c r="M37" s="234">
        <f t="shared" si="42"/>
        <v>0.37359813084112148</v>
      </c>
      <c r="N37" s="234">
        <f t="shared" si="42"/>
        <v>0.37359813084112148</v>
      </c>
      <c r="O37" s="234">
        <f t="shared" si="42"/>
        <v>0.37359813084112148</v>
      </c>
    </row>
    <row r="38" spans="1:15" x14ac:dyDescent="0.25">
      <c r="B38" s="4" t="s">
        <v>60</v>
      </c>
      <c r="C38" s="10">
        <v>5997</v>
      </c>
      <c r="D38" s="10">
        <v>3088</v>
      </c>
      <c r="E38" s="23">
        <v>1599</v>
      </c>
      <c r="F38" s="4">
        <f>F37*F40</f>
        <v>1599</v>
      </c>
      <c r="G38" s="4">
        <f t="shared" ref="G38:J38" si="43">G37*G40</f>
        <v>1599</v>
      </c>
      <c r="H38" s="4">
        <f t="shared" si="43"/>
        <v>1599</v>
      </c>
      <c r="I38" s="4">
        <f t="shared" si="43"/>
        <v>1599</v>
      </c>
      <c r="J38" s="4">
        <f t="shared" si="43"/>
        <v>1599</v>
      </c>
      <c r="K38" s="4">
        <f t="shared" ref="K38" si="44">K37*K40</f>
        <v>1599</v>
      </c>
      <c r="L38" s="4">
        <f t="shared" ref="L38" si="45">L37*L40</f>
        <v>1599</v>
      </c>
      <c r="M38" s="4">
        <f t="shared" ref="M38" si="46">M37*M40</f>
        <v>1599</v>
      </c>
      <c r="N38" s="4">
        <f t="shared" ref="N38" si="47">N37*N40</f>
        <v>1599</v>
      </c>
      <c r="O38" s="4">
        <f t="shared" ref="O38" si="48">O37*O40</f>
        <v>1599</v>
      </c>
    </row>
    <row r="39" spans="1:15" x14ac:dyDescent="0.25">
      <c r="A39" s="21" t="s">
        <v>61</v>
      </c>
      <c r="B39" s="20"/>
      <c r="C39" s="55">
        <v>44926</v>
      </c>
      <c r="D39" s="55">
        <v>45291</v>
      </c>
      <c r="E39" s="55">
        <v>45657</v>
      </c>
      <c r="F39" s="55">
        <v>46022</v>
      </c>
      <c r="G39" s="222">
        <f>G16</f>
        <v>2026</v>
      </c>
      <c r="H39" s="222">
        <f t="shared" ref="H39:O39" si="49">H16</f>
        <v>2027</v>
      </c>
      <c r="I39" s="222">
        <f t="shared" si="49"/>
        <v>2028</v>
      </c>
      <c r="J39" s="222">
        <f t="shared" si="49"/>
        <v>2029</v>
      </c>
      <c r="K39" s="222">
        <f t="shared" si="49"/>
        <v>2030</v>
      </c>
      <c r="L39" s="222">
        <f t="shared" si="49"/>
        <v>2031</v>
      </c>
      <c r="M39" s="222">
        <f t="shared" si="49"/>
        <v>2032</v>
      </c>
      <c r="N39" s="222">
        <f t="shared" si="49"/>
        <v>2033</v>
      </c>
      <c r="O39" s="222">
        <f t="shared" si="49"/>
        <v>2034</v>
      </c>
    </row>
    <row r="40" spans="1:15" x14ac:dyDescent="0.25">
      <c r="B40" s="4" t="s">
        <v>49</v>
      </c>
      <c r="C40" s="10">
        <v>4108</v>
      </c>
      <c r="D40" s="10">
        <v>4190</v>
      </c>
      <c r="E40" s="23">
        <v>4280</v>
      </c>
      <c r="F40" s="172">
        <f>F13</f>
        <v>4280</v>
      </c>
      <c r="G40" s="172">
        <f t="shared" ref="G40:J40" si="50">G13</f>
        <v>4280</v>
      </c>
      <c r="H40" s="172">
        <f t="shared" si="50"/>
        <v>4280</v>
      </c>
      <c r="I40" s="172">
        <f t="shared" si="50"/>
        <v>4280</v>
      </c>
      <c r="J40" s="172">
        <f t="shared" si="50"/>
        <v>4280</v>
      </c>
      <c r="K40" s="172">
        <f t="shared" ref="K40:O40" si="51">K13</f>
        <v>4280</v>
      </c>
      <c r="L40" s="172">
        <f t="shared" si="51"/>
        <v>4280</v>
      </c>
      <c r="M40" s="172">
        <f t="shared" si="51"/>
        <v>4280</v>
      </c>
      <c r="N40" s="172">
        <f t="shared" si="51"/>
        <v>4280</v>
      </c>
      <c r="O40" s="172">
        <f t="shared" si="51"/>
        <v>4280</v>
      </c>
    </row>
    <row r="41" spans="1:15" x14ac:dyDescent="0.25">
      <c r="B41" s="4" t="s">
        <v>50</v>
      </c>
      <c r="C41" s="10">
        <v>4123</v>
      </c>
      <c r="D41" s="10">
        <v>4212</v>
      </c>
      <c r="E41" s="23">
        <v>4280</v>
      </c>
      <c r="F41" s="172">
        <f>F14</f>
        <v>4280</v>
      </c>
      <c r="G41" s="172">
        <f t="shared" ref="G41:J41" si="52">G14</f>
        <v>4280</v>
      </c>
      <c r="H41" s="172">
        <f t="shared" si="52"/>
        <v>4280</v>
      </c>
      <c r="I41" s="172">
        <f t="shared" si="52"/>
        <v>4280</v>
      </c>
      <c r="J41" s="172">
        <f t="shared" si="52"/>
        <v>4280</v>
      </c>
      <c r="K41" s="172">
        <f t="shared" ref="K41:O41" si="53">K14</f>
        <v>4280</v>
      </c>
      <c r="L41" s="172">
        <f t="shared" si="53"/>
        <v>4280</v>
      </c>
      <c r="M41" s="172">
        <f t="shared" si="53"/>
        <v>4280</v>
      </c>
      <c r="N41" s="172">
        <f t="shared" si="53"/>
        <v>4280</v>
      </c>
      <c r="O41" s="172">
        <f t="shared" si="53"/>
        <v>4280</v>
      </c>
    </row>
    <row r="42" spans="1:15" x14ac:dyDescent="0.25">
      <c r="B42" s="4" t="s">
        <v>62</v>
      </c>
      <c r="C42" s="179">
        <f t="shared" ref="C42:D42" si="54">C36/C40</f>
        <v>0.88875365141187923</v>
      </c>
      <c r="D42" s="179">
        <f t="shared" si="54"/>
        <v>0.37541766109785202</v>
      </c>
      <c r="E42" s="180">
        <f>E36/E40</f>
        <v>-2.9217289719626169</v>
      </c>
      <c r="F42" s="179">
        <f>F36/F40</f>
        <v>-1.4077473768260276</v>
      </c>
      <c r="G42" s="179">
        <f t="shared" ref="G42:J42" si="55">G36/G40</f>
        <v>-0.44337081081676921</v>
      </c>
      <c r="H42" s="179">
        <f t="shared" si="55"/>
        <v>0.61181938357444943</v>
      </c>
      <c r="I42" s="179">
        <f t="shared" si="55"/>
        <v>1.9680486579044487</v>
      </c>
      <c r="J42" s="179">
        <f t="shared" si="55"/>
        <v>3.8790060296379361</v>
      </c>
      <c r="K42" s="179">
        <f t="shared" ref="K42:O42" si="56">K36/K40</f>
        <v>6.1132139038412525</v>
      </c>
      <c r="L42" s="179">
        <f t="shared" si="56"/>
        <v>8.6952310187964237</v>
      </c>
      <c r="M42" s="179">
        <f t="shared" si="56"/>
        <v>12.186180822239102</v>
      </c>
      <c r="N42" s="179">
        <f t="shared" si="56"/>
        <v>16.055939808263609</v>
      </c>
      <c r="O42" s="179">
        <f t="shared" si="56"/>
        <v>21.098941985910436</v>
      </c>
    </row>
    <row r="43" spans="1:15" s="11" customFormat="1" x14ac:dyDescent="0.25">
      <c r="A43" s="11" t="s">
        <v>126</v>
      </c>
      <c r="B43" s="18" t="s">
        <v>63</v>
      </c>
      <c r="C43" s="178">
        <f t="shared" ref="C43:D43" si="57">C36/C41</f>
        <v>0.88552025224351205</v>
      </c>
      <c r="D43" s="178">
        <f t="shared" si="57"/>
        <v>0.37345679012345678</v>
      </c>
      <c r="E43" s="178">
        <f>E36/E41</f>
        <v>-2.9217289719626169</v>
      </c>
      <c r="F43" s="178">
        <f>F36/F41</f>
        <v>-1.4077473768260276</v>
      </c>
      <c r="G43" s="178">
        <f t="shared" ref="G43:J43" si="58">G36/G41</f>
        <v>-0.44337081081676921</v>
      </c>
      <c r="H43" s="178">
        <f t="shared" si="58"/>
        <v>0.61181938357444943</v>
      </c>
      <c r="I43" s="178">
        <f t="shared" si="58"/>
        <v>1.9680486579044487</v>
      </c>
      <c r="J43" s="178">
        <f t="shared" si="58"/>
        <v>3.8790060296379361</v>
      </c>
      <c r="K43" s="178">
        <f t="shared" ref="K43:O43" si="59">K36/K41</f>
        <v>6.1132139038412525</v>
      </c>
      <c r="L43" s="178">
        <f t="shared" si="59"/>
        <v>8.6952310187964237</v>
      </c>
      <c r="M43" s="178">
        <f t="shared" si="59"/>
        <v>12.186180822239102</v>
      </c>
      <c r="N43" s="178">
        <f t="shared" si="59"/>
        <v>16.055939808263609</v>
      </c>
      <c r="O43" s="178">
        <f t="shared" si="59"/>
        <v>21.098941985910436</v>
      </c>
    </row>
    <row r="44" spans="1:15" x14ac:dyDescent="0.25">
      <c r="C44" s="15"/>
      <c r="D44" s="15"/>
      <c r="E44" s="38"/>
      <c r="F44" s="15"/>
      <c r="G44" s="38"/>
      <c r="H44" s="15"/>
      <c r="I44" s="15"/>
      <c r="J44" s="15"/>
      <c r="K44" s="15"/>
      <c r="L44" s="15"/>
      <c r="M44" s="15"/>
      <c r="N44" s="15"/>
      <c r="O44" s="15"/>
    </row>
    <row r="45" spans="1:15" x14ac:dyDescent="0.25">
      <c r="D45" s="15"/>
      <c r="E45" s="15"/>
      <c r="F45" s="15"/>
    </row>
  </sheetData>
  <conditionalFormatting sqref="F4:O14">
    <cfRule type="expression" dxfId="1" priority="29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O57"/>
  <sheetViews>
    <sheetView showGridLines="0" topLeftCell="C3" zoomScaleNormal="100" workbookViewId="0">
      <selection activeCell="J28" sqref="J1:O1048576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5" width="11.7109375" style="6" customWidth="1"/>
    <col min="16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5" s="2" customFormat="1" ht="19.5" x14ac:dyDescent="0.3">
      <c r="A1" s="223" t="str">
        <f>CoName</f>
        <v>Intel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x14ac:dyDescent="0.25">
      <c r="A2" s="17" t="s">
        <v>10</v>
      </c>
      <c r="B2" s="64"/>
      <c r="C2" s="233">
        <v>2022</v>
      </c>
      <c r="D2" s="233">
        <f>C2+1</f>
        <v>2023</v>
      </c>
      <c r="E2" s="233">
        <f t="shared" ref="E2:J2" si="0">D2+1</f>
        <v>2024</v>
      </c>
      <c r="F2" s="233">
        <f t="shared" si="0"/>
        <v>2025</v>
      </c>
      <c r="G2" s="233">
        <f t="shared" si="0"/>
        <v>2026</v>
      </c>
      <c r="H2" s="233">
        <f t="shared" si="0"/>
        <v>2027</v>
      </c>
      <c r="I2" s="233">
        <f t="shared" si="0"/>
        <v>2028</v>
      </c>
      <c r="J2" s="233">
        <f t="shared" si="0"/>
        <v>2029</v>
      </c>
      <c r="K2" s="233">
        <f t="shared" ref="K2" si="1">J2+1</f>
        <v>2030</v>
      </c>
      <c r="L2" s="233">
        <f t="shared" ref="L2" si="2">K2+1</f>
        <v>2031</v>
      </c>
      <c r="M2" s="233">
        <f t="shared" ref="M2" si="3">L2+1</f>
        <v>2032</v>
      </c>
      <c r="N2" s="233">
        <f t="shared" ref="N2" si="4">M2+1</f>
        <v>2033</v>
      </c>
      <c r="O2" s="233">
        <f t="shared" ref="O2" si="5">N2+1</f>
        <v>2034</v>
      </c>
    </row>
    <row r="4" spans="1:15" x14ac:dyDescent="0.25">
      <c r="B4" s="4" t="s">
        <v>142</v>
      </c>
      <c r="C4" s="43"/>
      <c r="D4" s="43"/>
      <c r="E4" s="44"/>
      <c r="F4" s="103">
        <f>Assumptions!F45</f>
        <v>1.4999999999999999E-2</v>
      </c>
      <c r="G4" s="103">
        <f>F4</f>
        <v>1.4999999999999999E-2</v>
      </c>
      <c r="H4" s="103">
        <f t="shared" ref="H4:J4" si="6">G4</f>
        <v>1.4999999999999999E-2</v>
      </c>
      <c r="I4" s="103">
        <f t="shared" si="6"/>
        <v>1.4999999999999999E-2</v>
      </c>
      <c r="J4" s="103">
        <f t="shared" si="6"/>
        <v>1.4999999999999999E-2</v>
      </c>
      <c r="K4" s="103">
        <f t="shared" ref="K4" si="7">J4</f>
        <v>1.4999999999999999E-2</v>
      </c>
      <c r="L4" s="103">
        <f t="shared" ref="L4" si="8">K4</f>
        <v>1.4999999999999999E-2</v>
      </c>
      <c r="M4" s="103">
        <f t="shared" ref="M4" si="9">L4</f>
        <v>1.4999999999999999E-2</v>
      </c>
      <c r="N4" s="103">
        <f t="shared" ref="N4" si="10">M4</f>
        <v>1.4999999999999999E-2</v>
      </c>
      <c r="O4" s="103">
        <f t="shared" ref="O4" si="11">N4</f>
        <v>1.4999999999999999E-2</v>
      </c>
    </row>
    <row r="5" spans="1:15" x14ac:dyDescent="0.25">
      <c r="B5" s="4" t="s">
        <v>154</v>
      </c>
      <c r="C5" s="43"/>
      <c r="D5" s="43"/>
      <c r="E5" s="44"/>
      <c r="F5" s="103">
        <f>Assumptions!F46</f>
        <v>6.5497824899719406E-2</v>
      </c>
      <c r="G5" s="103">
        <f>Assumptions!G46</f>
        <v>6.5497824899719406E-2</v>
      </c>
      <c r="H5" s="103">
        <f>Assumptions!H46</f>
        <v>6.5497824899719406E-2</v>
      </c>
      <c r="I5" s="103">
        <f>Assumptions!I46</f>
        <v>6.5497824899719406E-2</v>
      </c>
      <c r="J5" s="103">
        <f>Assumptions!J46</f>
        <v>6.5497824899719406E-2</v>
      </c>
      <c r="K5" s="103">
        <f>Assumptions!K46</f>
        <v>6.5497824899719406E-2</v>
      </c>
      <c r="L5" s="103">
        <f>Assumptions!L46</f>
        <v>6.5497824899719406E-2</v>
      </c>
      <c r="M5" s="103">
        <f>Assumptions!M46</f>
        <v>6.5497824899719406E-2</v>
      </c>
      <c r="N5" s="103">
        <f>Assumptions!N46</f>
        <v>6.5497824899719406E-2</v>
      </c>
      <c r="O5" s="103">
        <f>Assumptions!O46</f>
        <v>6.5497824899719406E-2</v>
      </c>
    </row>
    <row r="6" spans="1:15" x14ac:dyDescent="0.25">
      <c r="B6" s="4" t="s">
        <v>65</v>
      </c>
      <c r="C6" s="43"/>
      <c r="D6" s="43"/>
      <c r="E6" s="44"/>
      <c r="F6" s="103">
        <f>Assumptions!F47</f>
        <v>0.34114554200693592</v>
      </c>
      <c r="G6" s="103">
        <f>Assumptions!G47</f>
        <v>0.34114554200693592</v>
      </c>
      <c r="H6" s="103">
        <f>Assumptions!H47</f>
        <v>0.34114554200693592</v>
      </c>
      <c r="I6" s="103">
        <f>Assumptions!I47</f>
        <v>0.34114554200693592</v>
      </c>
      <c r="J6" s="103">
        <f>Assumptions!J47</f>
        <v>0.34114554200693592</v>
      </c>
      <c r="K6" s="103">
        <f>Assumptions!K47</f>
        <v>0.34114554200693592</v>
      </c>
      <c r="L6" s="103">
        <f>Assumptions!L47</f>
        <v>0.34114554200693592</v>
      </c>
      <c r="M6" s="103">
        <f>Assumptions!M47</f>
        <v>0.34114554200693592</v>
      </c>
      <c r="N6" s="103">
        <f>Assumptions!N47</f>
        <v>0.34114554200693592</v>
      </c>
      <c r="O6" s="103">
        <f>Assumptions!O47</f>
        <v>0.34114554200693592</v>
      </c>
    </row>
    <row r="7" spans="1:15" x14ac:dyDescent="0.25">
      <c r="B7" s="4" t="s">
        <v>66</v>
      </c>
      <c r="C7" s="43"/>
      <c r="D7" s="43"/>
      <c r="E7" s="44"/>
      <c r="F7" s="103">
        <f>Assumptions!F48</f>
        <v>0.44065083520084369</v>
      </c>
      <c r="G7" s="103">
        <f>Assumptions!G48</f>
        <v>0.44065083520084369</v>
      </c>
      <c r="H7" s="103">
        <f>Assumptions!H48</f>
        <v>0.44065083520084369</v>
      </c>
      <c r="I7" s="103">
        <f>Assumptions!I48</f>
        <v>0.44065083520084369</v>
      </c>
      <c r="J7" s="103">
        <f>Assumptions!J48</f>
        <v>0.44065083520084369</v>
      </c>
      <c r="K7" s="103">
        <f>Assumptions!K48</f>
        <v>0.44065083520084369</v>
      </c>
      <c r="L7" s="103">
        <f>Assumptions!L48</f>
        <v>0.44065083520084369</v>
      </c>
      <c r="M7" s="103">
        <f>Assumptions!M48</f>
        <v>0.44065083520084369</v>
      </c>
      <c r="N7" s="103">
        <f>Assumptions!N48</f>
        <v>0.44065083520084369</v>
      </c>
      <c r="O7" s="103">
        <f>Assumptions!O48</f>
        <v>0.44065083520084369</v>
      </c>
    </row>
    <row r="8" spans="1:15" x14ac:dyDescent="0.25">
      <c r="A8" s="7"/>
      <c r="C8" s="30"/>
      <c r="D8" s="30"/>
      <c r="E8" s="30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B9" s="4" t="s">
        <v>67</v>
      </c>
      <c r="C9" s="43"/>
      <c r="D9" s="43"/>
      <c r="E9" s="44"/>
      <c r="F9" s="103">
        <f>Assumptions!F51</f>
        <v>0.14076947703433079</v>
      </c>
      <c r="G9" s="103">
        <f>Assumptions!G51</f>
        <v>0.14076947703433079</v>
      </c>
      <c r="H9" s="103">
        <f>Assumptions!H51</f>
        <v>0.14076947703433079</v>
      </c>
      <c r="I9" s="103">
        <f>Assumptions!I51</f>
        <v>0.14076947703433079</v>
      </c>
      <c r="J9" s="103">
        <f>Assumptions!J51</f>
        <v>0.14076947703433079</v>
      </c>
      <c r="K9" s="103">
        <f>Assumptions!K51</f>
        <v>0.14076947703433079</v>
      </c>
      <c r="L9" s="103">
        <f>Assumptions!L51</f>
        <v>0.14076947703433079</v>
      </c>
      <c r="M9" s="103">
        <f>Assumptions!M51</f>
        <v>0.14076947703433079</v>
      </c>
      <c r="N9" s="103">
        <f>Assumptions!N51</f>
        <v>0.14076947703433079</v>
      </c>
      <c r="O9" s="103">
        <f>Assumptions!O51</f>
        <v>0.14076947703433079</v>
      </c>
    </row>
    <row r="10" spans="1:15" x14ac:dyDescent="0.25">
      <c r="B10" s="4" t="s">
        <v>163</v>
      </c>
      <c r="C10" s="43"/>
      <c r="D10" s="43"/>
      <c r="E10" s="150"/>
      <c r="F10" s="102">
        <f>Assumptions!F50</f>
        <v>5383</v>
      </c>
      <c r="G10" s="102">
        <f>Assumptions!G50</f>
        <v>5383</v>
      </c>
      <c r="H10" s="102">
        <f>Assumptions!H50</f>
        <v>5383</v>
      </c>
      <c r="I10" s="102">
        <f>Assumptions!I50</f>
        <v>5383</v>
      </c>
      <c r="J10" s="102">
        <f>Assumptions!J50</f>
        <v>5383</v>
      </c>
      <c r="K10" s="102">
        <f>Assumptions!K50</f>
        <v>5383</v>
      </c>
      <c r="L10" s="102">
        <f>Assumptions!L50</f>
        <v>5383</v>
      </c>
      <c r="M10" s="102">
        <f>Assumptions!M50</f>
        <v>5383</v>
      </c>
      <c r="N10" s="102">
        <f>Assumptions!N50</f>
        <v>5383</v>
      </c>
      <c r="O10" s="102">
        <f>Assumptions!O50</f>
        <v>5383</v>
      </c>
    </row>
    <row r="11" spans="1:15" x14ac:dyDescent="0.25">
      <c r="C11" s="30"/>
      <c r="D11" s="30"/>
      <c r="E11" s="30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B12" s="4" t="s">
        <v>153</v>
      </c>
      <c r="C12" s="43"/>
      <c r="D12" s="43"/>
      <c r="E12" s="44"/>
      <c r="F12" s="103">
        <f>Assumptions!F55</f>
        <v>0.4002684864078756</v>
      </c>
      <c r="G12" s="103">
        <f>Assumptions!G55</f>
        <v>0.4002684864078756</v>
      </c>
      <c r="H12" s="103">
        <f>Assumptions!H55</f>
        <v>0.4002684864078756</v>
      </c>
      <c r="I12" s="103">
        <f>Assumptions!I55</f>
        <v>0.4002684864078756</v>
      </c>
      <c r="J12" s="103">
        <f>Assumptions!J55</f>
        <v>0.4002684864078756</v>
      </c>
      <c r="K12" s="103">
        <f>Assumptions!K55</f>
        <v>0.4002684864078756</v>
      </c>
      <c r="L12" s="103">
        <f>Assumptions!L55</f>
        <v>0.4002684864078756</v>
      </c>
      <c r="M12" s="103">
        <f>Assumptions!M55</f>
        <v>0.4002684864078756</v>
      </c>
      <c r="N12" s="103">
        <f>Assumptions!N55</f>
        <v>0.4002684864078756</v>
      </c>
      <c r="O12" s="103">
        <f>Assumptions!O55</f>
        <v>0.4002684864078756</v>
      </c>
    </row>
    <row r="13" spans="1:15" x14ac:dyDescent="0.25">
      <c r="B13" s="4" t="s">
        <v>68</v>
      </c>
      <c r="C13" s="43"/>
      <c r="D13" s="43"/>
      <c r="E13" s="27"/>
      <c r="F13" s="103">
        <f>Assumptions!F56</f>
        <v>0.33191465320803754</v>
      </c>
      <c r="G13" s="103">
        <f>Assumptions!G56</f>
        <v>0.33191465320803754</v>
      </c>
      <c r="H13" s="103">
        <f>Assumptions!H56</f>
        <v>0.33191465320803754</v>
      </c>
      <c r="I13" s="103">
        <f>Assumptions!I56</f>
        <v>0.33191465320803754</v>
      </c>
      <c r="J13" s="103">
        <f>Assumptions!J56</f>
        <v>0.33191465320803754</v>
      </c>
      <c r="K13" s="103">
        <f>Assumptions!K56</f>
        <v>0.33191465320803754</v>
      </c>
      <c r="L13" s="103">
        <f>Assumptions!L56</f>
        <v>0.33191465320803754</v>
      </c>
      <c r="M13" s="103">
        <f>Assumptions!M56</f>
        <v>0.33191465320803754</v>
      </c>
      <c r="N13" s="103">
        <f>Assumptions!N56</f>
        <v>0.33191465320803754</v>
      </c>
      <c r="O13" s="103">
        <f>Assumptions!O56</f>
        <v>0.33191465320803754</v>
      </c>
    </row>
    <row r="14" spans="1:15" x14ac:dyDescent="0.25">
      <c r="B14" s="4" t="s">
        <v>69</v>
      </c>
      <c r="C14" s="43"/>
      <c r="D14" s="43"/>
      <c r="E14" s="44"/>
      <c r="F14" s="225">
        <f>Assumptions!F57</f>
        <v>0.17899851226907215</v>
      </c>
      <c r="G14" s="225">
        <f>Assumptions!G57</f>
        <v>0.17899851226907215</v>
      </c>
      <c r="H14" s="225">
        <f>Assumptions!H57</f>
        <v>0.17899851226907215</v>
      </c>
      <c r="I14" s="225">
        <f>Assumptions!I57</f>
        <v>0.17899851226907215</v>
      </c>
      <c r="J14" s="225">
        <f>Assumptions!J57</f>
        <v>0.17899851226907215</v>
      </c>
      <c r="K14" s="225">
        <f>Assumptions!K57</f>
        <v>0.17899851226907215</v>
      </c>
      <c r="L14" s="225">
        <f>Assumptions!L57</f>
        <v>0.17899851226907215</v>
      </c>
      <c r="M14" s="225">
        <f>Assumptions!M57</f>
        <v>0.17899851226907215</v>
      </c>
      <c r="N14" s="225">
        <f>Assumptions!N57</f>
        <v>0.17899851226907215</v>
      </c>
      <c r="O14" s="225">
        <f>Assumptions!O57</f>
        <v>0.17899851226907215</v>
      </c>
    </row>
    <row r="15" spans="1:15" x14ac:dyDescent="0.25">
      <c r="C15" s="43"/>
      <c r="D15" s="43"/>
      <c r="E15" s="43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ht="15" customHeight="1" x14ac:dyDescent="0.25">
      <c r="A16" s="176" t="s">
        <v>64</v>
      </c>
      <c r="B16" s="177"/>
      <c r="C16" s="222">
        <f>C2</f>
        <v>2022</v>
      </c>
      <c r="D16" s="222">
        <f t="shared" ref="D16:J16" si="12">D2</f>
        <v>2023</v>
      </c>
      <c r="E16" s="222">
        <f t="shared" si="12"/>
        <v>2024</v>
      </c>
      <c r="F16" s="222">
        <f t="shared" si="12"/>
        <v>2025</v>
      </c>
      <c r="G16" s="222">
        <f t="shared" si="12"/>
        <v>2026</v>
      </c>
      <c r="H16" s="222">
        <f t="shared" si="12"/>
        <v>2027</v>
      </c>
      <c r="I16" s="222">
        <f t="shared" si="12"/>
        <v>2028</v>
      </c>
      <c r="J16" s="222">
        <f t="shared" si="12"/>
        <v>2029</v>
      </c>
      <c r="K16" s="222">
        <f t="shared" ref="K16:O16" si="13">K2</f>
        <v>2030</v>
      </c>
      <c r="L16" s="222">
        <f t="shared" si="13"/>
        <v>2031</v>
      </c>
      <c r="M16" s="222">
        <f t="shared" si="13"/>
        <v>2032</v>
      </c>
      <c r="N16" s="222">
        <f t="shared" si="13"/>
        <v>2033</v>
      </c>
      <c r="O16" s="222">
        <f t="shared" si="13"/>
        <v>2034</v>
      </c>
    </row>
    <row r="17" spans="1:15" x14ac:dyDescent="0.25">
      <c r="B17" s="4" t="s">
        <v>159</v>
      </c>
      <c r="C17" s="243">
        <f>1.5%*IncState!C17</f>
        <v>945.81</v>
      </c>
      <c r="D17" s="243">
        <f>1.5%*IncState!D17</f>
        <v>813.42</v>
      </c>
      <c r="E17" s="183">
        <f>1.5%*IncState!E17</f>
        <v>796.51499999999999</v>
      </c>
      <c r="F17" s="4">
        <f>F4*IncState!F17</f>
        <v>790.49531999999988</v>
      </c>
      <c r="G17" s="4">
        <f>G4*IncState!G17</f>
        <v>810.25770299999976</v>
      </c>
      <c r="H17" s="4">
        <f>H4*IncState!H17</f>
        <v>891.28347329999974</v>
      </c>
      <c r="I17" s="4">
        <f>I4*IncState!I17</f>
        <v>1024.9759942949997</v>
      </c>
      <c r="J17" s="4">
        <f>J4*IncState!J17</f>
        <v>1229.9711931539996</v>
      </c>
      <c r="K17" s="4">
        <f>K4*IncState!K17</f>
        <v>1537.4639914424995</v>
      </c>
      <c r="L17" s="4">
        <f>L4*IncState!L17</f>
        <v>1921.8299893031242</v>
      </c>
      <c r="M17" s="4">
        <f>M4*IncState!M17</f>
        <v>2402.2874866289053</v>
      </c>
      <c r="N17" s="4">
        <f>N4*IncState!N17</f>
        <v>3002.8593582861313</v>
      </c>
      <c r="O17" s="4">
        <f>O4*IncState!O17</f>
        <v>3753.5741978576643</v>
      </c>
    </row>
    <row r="18" spans="1:15" x14ac:dyDescent="0.25">
      <c r="B18" s="4" t="s">
        <v>160</v>
      </c>
      <c r="C18" s="182">
        <f>11144-C17</f>
        <v>10198.19</v>
      </c>
      <c r="D18" s="182">
        <f>7079-D17</f>
        <v>6265.58</v>
      </c>
      <c r="E18" s="183">
        <f>8249-E17</f>
        <v>7452.4849999999997</v>
      </c>
      <c r="F18" s="261">
        <f>MAX(CashFlow!F23,0)</f>
        <v>589.09976132767315</v>
      </c>
      <c r="G18" s="261">
        <f>MAX(CashFlow!G23,0)</f>
        <v>0</v>
      </c>
      <c r="H18" s="261">
        <f>MAX(CashFlow!H23,0)</f>
        <v>1543.5667712256691</v>
      </c>
      <c r="I18" s="261">
        <f>MAX(CashFlow!I23,0)</f>
        <v>6705.2241210690008</v>
      </c>
      <c r="J18" s="261">
        <f>MAX(CashFlow!J23,0)</f>
        <v>16302.965863966358</v>
      </c>
      <c r="K18" s="261">
        <f>MAX(CashFlow!K23,0)</f>
        <v>29770.113237570051</v>
      </c>
      <c r="L18" s="261">
        <f>MAX(CashFlow!L23,0)</f>
        <v>47813.22668202463</v>
      </c>
      <c r="M18" s="261">
        <f>MAX(CashFlow!M23,0)</f>
        <v>73096.160926730605</v>
      </c>
      <c r="N18" s="261">
        <f>MAX(CashFlow!N23,0)</f>
        <v>105746.24885386802</v>
      </c>
      <c r="O18" s="261">
        <f>MAX(CashFlow!O23,0)</f>
        <v>148972.04883113538</v>
      </c>
    </row>
    <row r="19" spans="1:15" x14ac:dyDescent="0.25">
      <c r="B19" s="4" t="s">
        <v>70</v>
      </c>
      <c r="C19" s="184">
        <v>4133</v>
      </c>
      <c r="D19" s="184">
        <v>3402</v>
      </c>
      <c r="E19" s="185">
        <v>3478</v>
      </c>
      <c r="F19" s="4">
        <f>F5*IncState!F17</f>
        <v>3451.7149368938435</v>
      </c>
      <c r="G19" s="4">
        <f>G5*IncState!G17</f>
        <v>3538.0078103161895</v>
      </c>
      <c r="H19" s="4">
        <f>H5*IncState!H17</f>
        <v>3891.8085913478085</v>
      </c>
      <c r="I19" s="4">
        <f>I5*IncState!I17</f>
        <v>4475.5798800499797</v>
      </c>
      <c r="J19" s="4">
        <f>J5*IncState!J17</f>
        <v>5370.6958560599751</v>
      </c>
      <c r="K19" s="4">
        <f>K5*IncState!K17</f>
        <v>6713.3698200749686</v>
      </c>
      <c r="L19" s="4">
        <f>L5*IncState!L17</f>
        <v>8391.7122750937106</v>
      </c>
      <c r="M19" s="4">
        <f>M5*IncState!M17</f>
        <v>10489.640343867137</v>
      </c>
      <c r="N19" s="4">
        <f>N5*IncState!N17</f>
        <v>13112.050429833922</v>
      </c>
      <c r="O19" s="4">
        <f>O5*IncState!O17</f>
        <v>16390.063037292402</v>
      </c>
    </row>
    <row r="20" spans="1:15" x14ac:dyDescent="0.25">
      <c r="B20" s="4" t="s">
        <v>71</v>
      </c>
      <c r="C20" s="184">
        <v>13224</v>
      </c>
      <c r="D20" s="184">
        <v>11127</v>
      </c>
      <c r="E20" s="185">
        <v>12198</v>
      </c>
      <c r="F20" s="4">
        <f>F6*IncState!F18</f>
        <v>11206.900159749201</v>
      </c>
      <c r="G20" s="4">
        <f>G6*IncState!G18</f>
        <v>10565.686652892162</v>
      </c>
      <c r="H20" s="4">
        <f>H6*IncState!H18</f>
        <v>10608.730706245535</v>
      </c>
      <c r="I20" s="4">
        <f>I6*IncState!I18</f>
        <v>11034.487008456146</v>
      </c>
      <c r="J20" s="4">
        <f>J6*IncState!J18</f>
        <v>11842.720445675912</v>
      </c>
      <c r="K20" s="4">
        <f>K6*IncState!K18</f>
        <v>14104.068574859159</v>
      </c>
      <c r="L20" s="4">
        <f>L6*IncState!L18</f>
        <v>16755.920740779282</v>
      </c>
      <c r="M20" s="4">
        <f>M6*IncState!M18</f>
        <v>19852.194703730769</v>
      </c>
      <c r="N20" s="4">
        <f>N6*IncState!N18</f>
        <v>23449.360601859298</v>
      </c>
      <c r="O20" s="4">
        <f>O6*IncState!O18</f>
        <v>27604.34728006892</v>
      </c>
    </row>
    <row r="21" spans="1:15" x14ac:dyDescent="0.25">
      <c r="B21" s="4" t="s">
        <v>72</v>
      </c>
      <c r="C21" s="184">
        <f>4712+17194</f>
        <v>21906</v>
      </c>
      <c r="D21" s="184">
        <f>3706+17955</f>
        <v>21661</v>
      </c>
      <c r="E21" s="185">
        <f>9586+13813</f>
        <v>23399</v>
      </c>
      <c r="F21" s="4">
        <f>F7*IncState!F17</f>
        <v>23222.161532023878</v>
      </c>
      <c r="G21" s="4">
        <f>G7*IncState!G17</f>
        <v>23802.715570324472</v>
      </c>
      <c r="H21" s="4">
        <f>H7*IncState!H17</f>
        <v>26182.987127356919</v>
      </c>
      <c r="I21" s="4">
        <f>I7*IncState!I17</f>
        <v>30110.435196460458</v>
      </c>
      <c r="J21" s="4">
        <f>J7*IncState!J17</f>
        <v>36132.522235752542</v>
      </c>
      <c r="K21" s="4">
        <f>K7*IncState!K17</f>
        <v>45165.652794690679</v>
      </c>
      <c r="L21" s="4">
        <f>L7*IncState!L17</f>
        <v>56457.065993363351</v>
      </c>
      <c r="M21" s="4">
        <f>M7*IncState!M17</f>
        <v>70571.332491704175</v>
      </c>
      <c r="N21" s="4">
        <f>N7*IncState!N17</f>
        <v>88214.165614630227</v>
      </c>
      <c r="O21" s="4">
        <f>O7*IncState!O17</f>
        <v>110267.70701828778</v>
      </c>
    </row>
    <row r="22" spans="1:15" s="11" customFormat="1" x14ac:dyDescent="0.25">
      <c r="B22" s="11" t="s">
        <v>73</v>
      </c>
      <c r="C22" s="11">
        <f>SUM(C17:C21)</f>
        <v>50407</v>
      </c>
      <c r="D22" s="11">
        <f>SUM(D17:D21)</f>
        <v>43269</v>
      </c>
      <c r="E22" s="25">
        <f t="shared" ref="E22" si="14">SUM(E17:E21)</f>
        <v>47324</v>
      </c>
      <c r="F22" s="11">
        <f>SUM(F17:F21)</f>
        <v>39260.371709994593</v>
      </c>
      <c r="G22" s="11">
        <f t="shared" ref="G22:J22" si="15">SUM(G17:G21)</f>
        <v>38716.667736532821</v>
      </c>
      <c r="H22" s="11">
        <f t="shared" si="15"/>
        <v>43118.376669475925</v>
      </c>
      <c r="I22" s="11">
        <f t="shared" si="15"/>
        <v>53350.702200330583</v>
      </c>
      <c r="J22" s="11">
        <f t="shared" si="15"/>
        <v>70878.875594608777</v>
      </c>
      <c r="K22" s="11">
        <f t="shared" ref="K22" si="16">SUM(K17:K21)</f>
        <v>97290.66841863736</v>
      </c>
      <c r="L22" s="11">
        <f t="shared" ref="L22" si="17">SUM(L17:L21)</f>
        <v>131339.75568056409</v>
      </c>
      <c r="M22" s="11">
        <f t="shared" ref="M22" si="18">SUM(M17:M21)</f>
        <v>176411.61595266161</v>
      </c>
      <c r="N22" s="11">
        <f t="shared" ref="N22" si="19">SUM(N17:N21)</f>
        <v>233524.68485847762</v>
      </c>
      <c r="O22" s="11">
        <f t="shared" ref="O22" si="20">SUM(O17:O21)</f>
        <v>306987.74036464217</v>
      </c>
    </row>
    <row r="23" spans="1:15" x14ac:dyDescent="0.25">
      <c r="A23" s="7"/>
      <c r="E23" s="28"/>
      <c r="I23" s="4"/>
      <c r="J23" s="4"/>
      <c r="K23" s="4"/>
      <c r="L23" s="4"/>
      <c r="M23" s="4"/>
      <c r="N23" s="4"/>
      <c r="O23" s="4"/>
    </row>
    <row r="24" spans="1:15" x14ac:dyDescent="0.25">
      <c r="B24" s="4" t="s">
        <v>74</v>
      </c>
      <c r="C24" s="184">
        <v>80860</v>
      </c>
      <c r="D24" s="184">
        <v>96647</v>
      </c>
      <c r="E24" s="185">
        <v>107919</v>
      </c>
      <c r="F24" s="4">
        <f>Calcs!F9</f>
        <v>118475.06193438979</v>
      </c>
      <c r="G24" s="4">
        <f>Calcs!G9</f>
        <v>127985.05713470669</v>
      </c>
      <c r="H24" s="4">
        <f>Calcs!H9</f>
        <v>138080.85088870468</v>
      </c>
      <c r="I24" s="4">
        <f>Calcs!I9</f>
        <v>149899.34602828562</v>
      </c>
      <c r="J24" s="4">
        <f>Calcs!J9</f>
        <v>164809.13640540291</v>
      </c>
      <c r="K24" s="4">
        <f>Calcs!K9</f>
        <v>184631.9228061552</v>
      </c>
      <c r="L24" s="4">
        <f>Calcs!L9</f>
        <v>210223.57115518212</v>
      </c>
      <c r="M24" s="4">
        <f>Calcs!M9</f>
        <v>242626.33237174861</v>
      </c>
      <c r="N24" s="4">
        <f>Calcs!N9</f>
        <v>283102.12531508843</v>
      </c>
      <c r="O24" s="4">
        <f>Calcs!O9</f>
        <v>333171.44085577608</v>
      </c>
    </row>
    <row r="25" spans="1:15" x14ac:dyDescent="0.25">
      <c r="B25" s="4" t="s">
        <v>161</v>
      </c>
      <c r="C25" s="184">
        <f>27591+6018</f>
        <v>33609</v>
      </c>
      <c r="D25" s="184">
        <f>27591+4589</f>
        <v>32180</v>
      </c>
      <c r="E25" s="185">
        <f>24693+3691</f>
        <v>28384</v>
      </c>
      <c r="F25" s="132">
        <f>E25-IncState!F24</f>
        <v>26956</v>
      </c>
      <c r="G25" s="132">
        <f>F25-IncState!G24</f>
        <v>25528</v>
      </c>
      <c r="H25" s="132">
        <f>G25-IncState!H24</f>
        <v>24100</v>
      </c>
      <c r="I25" s="132">
        <f>H25-IncState!I24</f>
        <v>22672</v>
      </c>
      <c r="J25" s="132">
        <f>I25-IncState!J24</f>
        <v>21244</v>
      </c>
      <c r="K25" s="132">
        <f>J25-IncState!K24</f>
        <v>19816</v>
      </c>
      <c r="L25" s="132">
        <f>K25-IncState!L24</f>
        <v>18388</v>
      </c>
      <c r="M25" s="132">
        <f>L25-IncState!M24</f>
        <v>16960</v>
      </c>
      <c r="N25" s="132">
        <f>M25-IncState!N24</f>
        <v>15532</v>
      </c>
      <c r="O25" s="132">
        <f>N25-IncState!O24</f>
        <v>14104</v>
      </c>
    </row>
    <row r="26" spans="1:15" x14ac:dyDescent="0.25">
      <c r="B26" s="4" t="s">
        <v>162</v>
      </c>
      <c r="C26" s="184">
        <v>5912</v>
      </c>
      <c r="D26" s="184">
        <f>5829</f>
        <v>5829</v>
      </c>
      <c r="E26" s="185">
        <v>5383</v>
      </c>
      <c r="F26" s="4">
        <f>F10</f>
        <v>5383</v>
      </c>
      <c r="G26" s="4">
        <f t="shared" ref="G26:J26" si="21">G10</f>
        <v>5383</v>
      </c>
      <c r="H26" s="4">
        <f t="shared" si="21"/>
        <v>5383</v>
      </c>
      <c r="I26" s="4">
        <f t="shared" si="21"/>
        <v>5383</v>
      </c>
      <c r="J26" s="4">
        <f t="shared" si="21"/>
        <v>5383</v>
      </c>
      <c r="K26" s="4">
        <f t="shared" ref="K26:O26" si="22">K10</f>
        <v>5383</v>
      </c>
      <c r="L26" s="4">
        <f t="shared" si="22"/>
        <v>5383</v>
      </c>
      <c r="M26" s="4">
        <f t="shared" si="22"/>
        <v>5383</v>
      </c>
      <c r="N26" s="4">
        <f t="shared" si="22"/>
        <v>5383</v>
      </c>
      <c r="O26" s="4">
        <f t="shared" si="22"/>
        <v>5383</v>
      </c>
    </row>
    <row r="27" spans="1:15" x14ac:dyDescent="0.25">
      <c r="B27" s="4" t="s">
        <v>164</v>
      </c>
      <c r="C27" s="184">
        <f>11315</f>
        <v>11315</v>
      </c>
      <c r="D27" s="184">
        <f>13647</f>
        <v>13647</v>
      </c>
      <c r="E27" s="185">
        <f>7475</f>
        <v>7475</v>
      </c>
      <c r="F27" s="4">
        <f>F9*IncState!F17</f>
        <v>7418.5075196323969</v>
      </c>
      <c r="G27" s="4">
        <f>G9*IncState!G17</f>
        <v>7603.9702076232061</v>
      </c>
      <c r="H27" s="4">
        <f>H9*IncState!H17</f>
        <v>8364.3672283855267</v>
      </c>
      <c r="I27" s="4">
        <f>I9*IncState!I17</f>
        <v>9619.0223126433557</v>
      </c>
      <c r="J27" s="4">
        <f>J9*IncState!J17</f>
        <v>11542.826775172027</v>
      </c>
      <c r="K27" s="4">
        <f>K9*IncState!K17</f>
        <v>14428.533468965034</v>
      </c>
      <c r="L27" s="4">
        <f>L9*IncState!L17</f>
        <v>18035.666836206288</v>
      </c>
      <c r="M27" s="4">
        <f>M9*IncState!M17</f>
        <v>22544.583545257861</v>
      </c>
      <c r="N27" s="4">
        <f>N9*IncState!N17</f>
        <v>28180.729431572327</v>
      </c>
      <c r="O27" s="4">
        <f>O9*IncState!O17</f>
        <v>35225.911789465412</v>
      </c>
    </row>
    <row r="28" spans="1:15" s="11" customFormat="1" x14ac:dyDescent="0.25">
      <c r="B28" s="11" t="s">
        <v>75</v>
      </c>
      <c r="C28" s="11">
        <f>SUM(C24:C27)</f>
        <v>131696</v>
      </c>
      <c r="D28" s="11">
        <f>SUM(D24:D27)</f>
        <v>148303</v>
      </c>
      <c r="E28" s="25">
        <f>SUM(E24:E27)</f>
        <v>149161</v>
      </c>
      <c r="F28" s="11">
        <f>SUM(F24:F27)</f>
        <v>158232.56945402219</v>
      </c>
      <c r="G28" s="11">
        <f t="shared" ref="G28:J28" si="23">SUM(G24:G27)</f>
        <v>166500.02734232991</v>
      </c>
      <c r="H28" s="11">
        <f t="shared" si="23"/>
        <v>175928.2181170902</v>
      </c>
      <c r="I28" s="11">
        <f t="shared" si="23"/>
        <v>187573.36834092898</v>
      </c>
      <c r="J28" s="11">
        <f t="shared" si="23"/>
        <v>202978.96318057494</v>
      </c>
      <c r="K28" s="11">
        <f t="shared" ref="K28" si="24">SUM(K24:K27)</f>
        <v>224259.45627512023</v>
      </c>
      <c r="L28" s="11">
        <f t="shared" ref="L28" si="25">SUM(L24:L27)</f>
        <v>252030.23799138839</v>
      </c>
      <c r="M28" s="11">
        <f t="shared" ref="M28" si="26">SUM(M24:M27)</f>
        <v>287513.9159170065</v>
      </c>
      <c r="N28" s="11">
        <f t="shared" ref="N28" si="27">SUM(N24:N27)</f>
        <v>332197.85474666074</v>
      </c>
      <c r="O28" s="11">
        <f t="shared" ref="O28" si="28">SUM(O24:O27)</f>
        <v>387884.35264524148</v>
      </c>
    </row>
    <row r="29" spans="1:15" x14ac:dyDescent="0.25">
      <c r="E29" s="28"/>
      <c r="I29" s="4"/>
      <c r="J29" s="4"/>
      <c r="K29" s="4"/>
      <c r="L29" s="4"/>
      <c r="M29" s="4"/>
      <c r="N29" s="4"/>
      <c r="O29" s="4"/>
    </row>
    <row r="30" spans="1:15" s="11" customFormat="1" x14ac:dyDescent="0.25">
      <c r="A30" s="11" t="s">
        <v>126</v>
      </c>
      <c r="B30" s="18" t="s">
        <v>76</v>
      </c>
      <c r="C30" s="19">
        <f>SUM(C28,C22)</f>
        <v>182103</v>
      </c>
      <c r="D30" s="19">
        <f>SUM(D28,D22)</f>
        <v>191572</v>
      </c>
      <c r="E30" s="19">
        <f>SUM(E28,E22)</f>
        <v>196485</v>
      </c>
      <c r="F30" s="19">
        <f>SUM(F28,F22)</f>
        <v>197492.94116401678</v>
      </c>
      <c r="G30" s="19">
        <f t="shared" ref="G30:J30" si="29">SUM(G28,G22)</f>
        <v>205216.69507886271</v>
      </c>
      <c r="H30" s="19">
        <f t="shared" si="29"/>
        <v>219046.59478656613</v>
      </c>
      <c r="I30" s="19">
        <f t="shared" si="29"/>
        <v>240924.07054125957</v>
      </c>
      <c r="J30" s="19">
        <f t="shared" si="29"/>
        <v>273857.83877518371</v>
      </c>
      <c r="K30" s="19">
        <f t="shared" ref="K30:O30" si="30">SUM(K28,K22)</f>
        <v>321550.12469375762</v>
      </c>
      <c r="L30" s="19">
        <f t="shared" si="30"/>
        <v>383369.99367195251</v>
      </c>
      <c r="M30" s="19">
        <f t="shared" si="30"/>
        <v>463925.53186966811</v>
      </c>
      <c r="N30" s="19">
        <f t="shared" si="30"/>
        <v>565722.53960513836</v>
      </c>
      <c r="O30" s="19">
        <f t="shared" si="30"/>
        <v>694872.09300988365</v>
      </c>
    </row>
    <row r="31" spans="1:15" x14ac:dyDescent="0.25">
      <c r="A31" s="11"/>
      <c r="E31" s="28"/>
      <c r="I31" s="4"/>
      <c r="J31" s="4"/>
      <c r="K31" s="4"/>
      <c r="L31" s="4"/>
      <c r="M31" s="4"/>
      <c r="N31" s="4"/>
      <c r="O31" s="4"/>
    </row>
    <row r="32" spans="1:15" x14ac:dyDescent="0.25">
      <c r="B32" s="4" t="s">
        <v>77</v>
      </c>
      <c r="C32" s="9">
        <v>4367</v>
      </c>
      <c r="D32" s="9">
        <v>2288</v>
      </c>
      <c r="E32" s="45">
        <v>3729</v>
      </c>
      <c r="F32" s="4">
        <f>Debt!F12+(MIN(CashFlow!F23,0)*-1)</f>
        <v>3729</v>
      </c>
      <c r="G32" s="4">
        <f>-MIN(CashFlow!G23,0)+F32</f>
        <v>5028.597234654676</v>
      </c>
      <c r="H32" s="4">
        <f>-MIN(CashFlow!H23,0)+G32</f>
        <v>5028.597234654676</v>
      </c>
      <c r="I32" s="4">
        <f>-MIN(CashFlow!I23,0)+H32</f>
        <v>5028.597234654676</v>
      </c>
      <c r="J32" s="4">
        <f>-MIN(CashFlow!J23,0)+I32</f>
        <v>5028.597234654676</v>
      </c>
      <c r="K32" s="4">
        <f>-MIN(CashFlow!K23,0)+J32</f>
        <v>5028.597234654676</v>
      </c>
      <c r="L32" s="4">
        <f>-MIN(CashFlow!L23,0)+K32</f>
        <v>5028.597234654676</v>
      </c>
      <c r="M32" s="4">
        <f>-MIN(CashFlow!M23,0)+L32</f>
        <v>5028.597234654676</v>
      </c>
      <c r="N32" s="4">
        <f>-MIN(CashFlow!N23,0)+M32</f>
        <v>5028.597234654676</v>
      </c>
      <c r="O32" s="4">
        <f>-MIN(CashFlow!O23,0)+N32</f>
        <v>5028.597234654676</v>
      </c>
    </row>
    <row r="33" spans="1:15" x14ac:dyDescent="0.25">
      <c r="B33" s="4" t="s">
        <v>165</v>
      </c>
      <c r="C33" s="184">
        <f>9595+2251</f>
        <v>11846</v>
      </c>
      <c r="D33" s="9">
        <f>8578+1107</f>
        <v>9685</v>
      </c>
      <c r="E33" s="45">
        <f>12556+1756</f>
        <v>14312</v>
      </c>
      <c r="F33" s="4">
        <f>F12*IncState!F18</f>
        <v>13149.135521096128</v>
      </c>
      <c r="G33" s="4">
        <f>G12*IncState!G18</f>
        <v>12396.795161189753</v>
      </c>
      <c r="H33" s="4">
        <f>H12*IncState!H18</f>
        <v>12447.299054581579</v>
      </c>
      <c r="I33" s="4">
        <f>I12*IncState!I18</f>
        <v>12946.841946632592</v>
      </c>
      <c r="J33" s="4">
        <f>J12*IncState!J18</f>
        <v>13895.147976595641</v>
      </c>
      <c r="K33" s="4">
        <f>K12*IncState!K18</f>
        <v>16548.403791062818</v>
      </c>
      <c r="L33" s="4">
        <f>L12*IncState!L18</f>
        <v>19659.840764226352</v>
      </c>
      <c r="M33" s="4">
        <f>M12*IncState!M18</f>
        <v>23292.720987030229</v>
      </c>
      <c r="N33" s="4">
        <f>N12*IncState!N18</f>
        <v>27513.301273471901</v>
      </c>
      <c r="O33" s="4">
        <f>O12*IncState!O18</f>
        <v>32388.376641445018</v>
      </c>
    </row>
    <row r="34" spans="1:15" x14ac:dyDescent="0.25">
      <c r="B34" s="4" t="s">
        <v>78</v>
      </c>
      <c r="C34" s="184">
        <f>11858+4084</f>
        <v>15942</v>
      </c>
      <c r="D34" s="9">
        <f>12425+3655</f>
        <v>16080</v>
      </c>
      <c r="E34" s="45">
        <f>14282+3343</f>
        <v>17625</v>
      </c>
      <c r="F34" s="4">
        <f>F13*IncState!F17</f>
        <v>17491.798666691775</v>
      </c>
      <c r="G34" s="4">
        <f>G13*IncState!G17</f>
        <v>17929.093633359069</v>
      </c>
      <c r="H34" s="4">
        <f>H13*IncState!H17</f>
        <v>19722.002996694973</v>
      </c>
      <c r="I34" s="4">
        <f>I13*IncState!I17</f>
        <v>22680.303446199221</v>
      </c>
      <c r="J34" s="4">
        <f>J13*IncState!J17</f>
        <v>27216.364135439064</v>
      </c>
      <c r="K34" s="4">
        <f>K13*IncState!K17</f>
        <v>34020.455169298832</v>
      </c>
      <c r="L34" s="4">
        <f>L13*IncState!L17</f>
        <v>42525.568961623532</v>
      </c>
      <c r="M34" s="4">
        <f>M13*IncState!M17</f>
        <v>53156.961202029408</v>
      </c>
      <c r="N34" s="4">
        <f>N13*IncState!N17</f>
        <v>66446.201502536758</v>
      </c>
      <c r="O34" s="4">
        <f>O13*IncState!O17</f>
        <v>83057.751878170966</v>
      </c>
    </row>
    <row r="35" spans="1:15" s="11" customFormat="1" x14ac:dyDescent="0.25">
      <c r="B35" s="11" t="s">
        <v>79</v>
      </c>
      <c r="C35" s="11">
        <f t="shared" ref="C35:E35" si="31">SUM(C32:C34)</f>
        <v>32155</v>
      </c>
      <c r="D35" s="11">
        <f t="shared" si="31"/>
        <v>28053</v>
      </c>
      <c r="E35" s="25">
        <f t="shared" si="31"/>
        <v>35666</v>
      </c>
      <c r="F35" s="11">
        <f>SUM(F32:F34)</f>
        <v>34369.934187787905</v>
      </c>
      <c r="G35" s="11">
        <f t="shared" ref="G35:J35" si="32">SUM(G32:G34)</f>
        <v>35354.486029203501</v>
      </c>
      <c r="H35" s="11">
        <f t="shared" si="32"/>
        <v>37197.899285931227</v>
      </c>
      <c r="I35" s="11">
        <f t="shared" si="32"/>
        <v>40655.742627486485</v>
      </c>
      <c r="J35" s="11">
        <f t="shared" si="32"/>
        <v>46140.10934668938</v>
      </c>
      <c r="K35" s="11">
        <f t="shared" ref="K35" si="33">SUM(K32:K34)</f>
        <v>55597.456195016326</v>
      </c>
      <c r="L35" s="11">
        <f t="shared" ref="L35" si="34">SUM(L32:L34)</f>
        <v>67214.006960504557</v>
      </c>
      <c r="M35" s="11">
        <f t="shared" ref="M35" si="35">SUM(M32:M34)</f>
        <v>81478.27942371431</v>
      </c>
      <c r="N35" s="11">
        <f t="shared" ref="N35" si="36">SUM(N32:N34)</f>
        <v>98988.100010663329</v>
      </c>
      <c r="O35" s="11">
        <f t="shared" ref="O35" si="37">SUM(O32:O34)</f>
        <v>120474.72575427065</v>
      </c>
    </row>
    <row r="36" spans="1:15" x14ac:dyDescent="0.25">
      <c r="B36" s="11"/>
      <c r="E36" s="28"/>
      <c r="I36" s="4"/>
      <c r="J36" s="4"/>
      <c r="K36" s="4"/>
      <c r="L36" s="4"/>
      <c r="M36" s="4"/>
      <c r="N36" s="4"/>
      <c r="O36" s="4"/>
    </row>
    <row r="37" spans="1:15" x14ac:dyDescent="0.25">
      <c r="B37" s="4" t="s">
        <v>80</v>
      </c>
      <c r="C37" s="184">
        <v>37684</v>
      </c>
      <c r="D37" s="9">
        <v>46978</v>
      </c>
      <c r="E37" s="45">
        <v>46282</v>
      </c>
      <c r="F37" s="4">
        <f>Debt!F26</f>
        <v>46282</v>
      </c>
      <c r="G37" s="4">
        <f>Debt!G26</f>
        <v>46282</v>
      </c>
      <c r="H37" s="4">
        <f>Debt!H26</f>
        <v>46282</v>
      </c>
      <c r="I37" s="4">
        <f>Debt!I26</f>
        <v>46282</v>
      </c>
      <c r="J37" s="4">
        <f>Debt!J26</f>
        <v>46282</v>
      </c>
      <c r="K37" s="4">
        <f>Debt!K26</f>
        <v>46282</v>
      </c>
      <c r="L37" s="4">
        <f>Debt!L26</f>
        <v>46282</v>
      </c>
      <c r="M37" s="4">
        <f>Debt!M26</f>
        <v>46282</v>
      </c>
      <c r="N37" s="4">
        <f>Debt!N26</f>
        <v>46282</v>
      </c>
      <c r="O37" s="4">
        <f>Debt!O26</f>
        <v>46282</v>
      </c>
    </row>
    <row r="38" spans="1:15" x14ac:dyDescent="0.25">
      <c r="B38" s="4" t="s">
        <v>81</v>
      </c>
      <c r="C38" s="184">
        <v>8978</v>
      </c>
      <c r="D38" s="9">
        <v>6576</v>
      </c>
      <c r="E38" s="45">
        <v>9505</v>
      </c>
      <c r="F38" s="4">
        <f>BalSheet!F14*IncState!F17</f>
        <v>9433.165749044274</v>
      </c>
      <c r="G38" s="4">
        <f>BalSheet!G14*IncState!G17</f>
        <v>9668.994892770379</v>
      </c>
      <c r="H38" s="4">
        <f>BalSheet!H14*IncState!H17</f>
        <v>10635.894382047418</v>
      </c>
      <c r="I38" s="4">
        <f>BalSheet!I14*IncState!I17</f>
        <v>12231.278539354529</v>
      </c>
      <c r="J38" s="4">
        <f>BalSheet!J14*IncState!J17</f>
        <v>14677.534247225434</v>
      </c>
      <c r="K38" s="4">
        <f>BalSheet!K14*IncState!K17</f>
        <v>18346.917809031795</v>
      </c>
      <c r="L38" s="4">
        <f>BalSheet!L14*IncState!L17</f>
        <v>22933.647261289741</v>
      </c>
      <c r="M38" s="4">
        <f>BalSheet!M14*IncState!M17</f>
        <v>28667.059076612171</v>
      </c>
      <c r="N38" s="4">
        <f>BalSheet!N14*IncState!N17</f>
        <v>35833.823845765219</v>
      </c>
      <c r="O38" s="4">
        <f>BalSheet!O14*IncState!O17</f>
        <v>44792.27980720652</v>
      </c>
    </row>
    <row r="39" spans="1:15" x14ac:dyDescent="0.25">
      <c r="B39" s="11" t="s">
        <v>82</v>
      </c>
      <c r="C39" s="11">
        <f t="shared" ref="C39:E39" si="38">SUM(C37:C38)</f>
        <v>46662</v>
      </c>
      <c r="D39" s="11">
        <f t="shared" si="38"/>
        <v>53554</v>
      </c>
      <c r="E39" s="25">
        <f t="shared" si="38"/>
        <v>55787</v>
      </c>
      <c r="F39" s="11">
        <f>SUM(F37:F38)</f>
        <v>55715.165749044274</v>
      </c>
      <c r="G39" s="11">
        <f t="shared" ref="G39:J39" si="39">SUM(G37:G38)</f>
        <v>55950.994892770381</v>
      </c>
      <c r="H39" s="11">
        <f t="shared" si="39"/>
        <v>56917.894382047416</v>
      </c>
      <c r="I39" s="11">
        <f t="shared" si="39"/>
        <v>58513.278539354527</v>
      </c>
      <c r="J39" s="11">
        <f t="shared" si="39"/>
        <v>60959.534247225434</v>
      </c>
      <c r="K39" s="11">
        <f t="shared" ref="K39" si="40">SUM(K37:K38)</f>
        <v>64628.917809031795</v>
      </c>
      <c r="L39" s="11">
        <f t="shared" ref="L39" si="41">SUM(L37:L38)</f>
        <v>69215.647261289734</v>
      </c>
      <c r="M39" s="11">
        <f t="shared" ref="M39" si="42">SUM(M37:M38)</f>
        <v>74949.059076612175</v>
      </c>
      <c r="N39" s="11">
        <f t="shared" ref="N39" si="43">SUM(N37:N38)</f>
        <v>82115.823845765219</v>
      </c>
      <c r="O39" s="11">
        <f t="shared" ref="O39" si="44">SUM(O37:O38)</f>
        <v>91074.27980720652</v>
      </c>
    </row>
    <row r="40" spans="1:15" x14ac:dyDescent="0.25">
      <c r="E40" s="28"/>
      <c r="I40" s="4"/>
      <c r="J40" s="4"/>
      <c r="K40" s="4"/>
      <c r="L40" s="4"/>
      <c r="M40" s="4"/>
      <c r="N40" s="4"/>
      <c r="O40" s="4"/>
    </row>
    <row r="41" spans="1:15" x14ac:dyDescent="0.25">
      <c r="B41" s="4" t="s">
        <v>17</v>
      </c>
      <c r="C41" s="186">
        <v>103286</v>
      </c>
      <c r="D41" s="186">
        <v>109965</v>
      </c>
      <c r="E41" s="197">
        <f>105032</f>
        <v>105032</v>
      </c>
      <c r="F41" s="4">
        <f>Calcs!F17</f>
        <v>107407.8412271846</v>
      </c>
      <c r="G41" s="4">
        <f>Calcs!G17</f>
        <v>113911.21415688883</v>
      </c>
      <c r="H41" s="4">
        <f>Calcs!H17</f>
        <v>124930.80111858748</v>
      </c>
      <c r="I41" s="4">
        <f>Calcs!I17</f>
        <v>141755.04937441851</v>
      </c>
      <c r="J41" s="4">
        <f>Calcs!J17</f>
        <v>166758.19518126888</v>
      </c>
      <c r="K41" s="4">
        <f>Calcs!K17</f>
        <v>201323.75068970944</v>
      </c>
      <c r="L41" s="4">
        <f>Calcs!L17</f>
        <v>246940.33945015812</v>
      </c>
      <c r="M41" s="4">
        <f>Calcs!M17</f>
        <v>307498.19336934149</v>
      </c>
      <c r="N41" s="4">
        <f>Calcs!N17</f>
        <v>384618.61574870977</v>
      </c>
      <c r="O41" s="4">
        <f>Calcs!O17</f>
        <v>483323.08744840644</v>
      </c>
    </row>
    <row r="42" spans="1:15" s="11" customFormat="1" x14ac:dyDescent="0.25">
      <c r="A42" s="11" t="s">
        <v>126</v>
      </c>
      <c r="B42" s="18" t="s">
        <v>83</v>
      </c>
      <c r="C42" s="19">
        <f>SUM(C41,C39,C35)</f>
        <v>182103</v>
      </c>
      <c r="D42" s="19">
        <f>SUM(D41,D39,D35)</f>
        <v>191572</v>
      </c>
      <c r="E42" s="19">
        <f t="shared" ref="E42:F42" si="45">SUM(E41,E39,E35)</f>
        <v>196485</v>
      </c>
      <c r="F42" s="19">
        <f t="shared" si="45"/>
        <v>197492.94116401678</v>
      </c>
      <c r="G42" s="19">
        <f t="shared" ref="G42:J42" si="46">SUM(G41,G39,G35)</f>
        <v>205216.69507886271</v>
      </c>
      <c r="H42" s="19">
        <f t="shared" si="46"/>
        <v>219046.59478656613</v>
      </c>
      <c r="I42" s="19">
        <f t="shared" si="46"/>
        <v>240924.07054125954</v>
      </c>
      <c r="J42" s="19">
        <f t="shared" si="46"/>
        <v>273857.83877518371</v>
      </c>
      <c r="K42" s="19">
        <f t="shared" ref="K42:O42" si="47">SUM(K41,K39,K35)</f>
        <v>321550.12469375756</v>
      </c>
      <c r="L42" s="19">
        <f t="shared" si="47"/>
        <v>383369.9936719524</v>
      </c>
      <c r="M42" s="19">
        <f t="shared" si="47"/>
        <v>463925.53186966799</v>
      </c>
      <c r="N42" s="19">
        <f t="shared" si="47"/>
        <v>565722.53960513836</v>
      </c>
      <c r="O42" s="19">
        <f t="shared" si="47"/>
        <v>694872.09300988365</v>
      </c>
    </row>
    <row r="43" spans="1:15" x14ac:dyDescent="0.25">
      <c r="E43" s="28"/>
      <c r="I43" s="4"/>
      <c r="J43" s="4"/>
      <c r="K43" s="4"/>
      <c r="L43" s="4"/>
      <c r="M43" s="4"/>
      <c r="N43" s="4"/>
      <c r="O43" s="4"/>
    </row>
    <row r="44" spans="1:15" x14ac:dyDescent="0.25">
      <c r="A44" s="4" t="s">
        <v>126</v>
      </c>
      <c r="B44" s="11" t="s">
        <v>84</v>
      </c>
      <c r="C44" s="46">
        <f>C42-C30</f>
        <v>0</v>
      </c>
      <c r="D44" s="46">
        <f t="shared" ref="D44:J44" si="48">D42-D30</f>
        <v>0</v>
      </c>
      <c r="E44" s="152">
        <f t="shared" si="48"/>
        <v>0</v>
      </c>
      <c r="F44" s="46">
        <f t="shared" si="48"/>
        <v>0</v>
      </c>
      <c r="G44" s="46">
        <f t="shared" ref="G44:J44" si="49">G42-G30</f>
        <v>0</v>
      </c>
      <c r="H44" s="46">
        <f t="shared" si="49"/>
        <v>0</v>
      </c>
      <c r="I44" s="46">
        <f t="shared" si="49"/>
        <v>0</v>
      </c>
      <c r="J44" s="46">
        <f t="shared" si="49"/>
        <v>0</v>
      </c>
      <c r="K44" s="46">
        <f t="shared" ref="K44:O44" si="50">K42-K30</f>
        <v>0</v>
      </c>
      <c r="L44" s="46">
        <f t="shared" si="50"/>
        <v>0</v>
      </c>
      <c r="M44" s="46">
        <f t="shared" si="50"/>
        <v>0</v>
      </c>
      <c r="N44" s="46">
        <f t="shared" si="50"/>
        <v>0</v>
      </c>
      <c r="O44" s="46">
        <f t="shared" si="50"/>
        <v>0</v>
      </c>
    </row>
    <row r="45" spans="1:15" x14ac:dyDescent="0.25">
      <c r="I45" s="4"/>
      <c r="J45" s="4"/>
      <c r="K45" s="4"/>
      <c r="L45" s="4"/>
      <c r="M45" s="4"/>
      <c r="N45" s="4"/>
      <c r="O45" s="4"/>
    </row>
    <row r="46" spans="1:15" x14ac:dyDescent="0.25">
      <c r="H46" s="6"/>
    </row>
    <row r="47" spans="1:15" x14ac:dyDescent="0.25">
      <c r="H47" s="6"/>
    </row>
    <row r="48" spans="1:15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  <row r="56" spans="8:8" x14ac:dyDescent="0.25">
      <c r="H56" s="6"/>
    </row>
    <row r="57" spans="8:8" x14ac:dyDescent="0.25">
      <c r="H57" s="6"/>
    </row>
  </sheetData>
  <conditionalFormatting sqref="F4:O15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O23"/>
  <sheetViews>
    <sheetView showGridLines="0" topLeftCell="C2" zoomScaleNormal="100" workbookViewId="0">
      <selection activeCell="I12" sqref="I12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5" width="11.7109375" style="6" customWidth="1"/>
    <col min="16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5" s="2" customFormat="1" ht="19.5" x14ac:dyDescent="0.3">
      <c r="A1" s="223" t="str">
        <f>CoName</f>
        <v>Intel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s="2" customFormat="1" x14ac:dyDescent="0.25">
      <c r="A2" s="176" t="s">
        <v>85</v>
      </c>
      <c r="B2" s="177"/>
      <c r="C2" s="181">
        <v>2022</v>
      </c>
      <c r="D2" s="181">
        <f>C2+1</f>
        <v>2023</v>
      </c>
      <c r="E2" s="181">
        <f t="shared" ref="E2:J2" si="0">D2+1</f>
        <v>2024</v>
      </c>
      <c r="F2" s="181">
        <f t="shared" si="0"/>
        <v>2025</v>
      </c>
      <c r="G2" s="181">
        <f t="shared" si="0"/>
        <v>2026</v>
      </c>
      <c r="H2" s="181">
        <f t="shared" si="0"/>
        <v>2027</v>
      </c>
      <c r="I2" s="181">
        <f t="shared" si="0"/>
        <v>2028</v>
      </c>
      <c r="J2" s="181">
        <f t="shared" si="0"/>
        <v>2029</v>
      </c>
      <c r="K2" s="181">
        <f t="shared" ref="K2" si="1">J2+1</f>
        <v>2030</v>
      </c>
      <c r="L2" s="181">
        <f t="shared" ref="L2" si="2">K2+1</f>
        <v>2031</v>
      </c>
      <c r="M2" s="181">
        <f t="shared" ref="M2" si="3">L2+1</f>
        <v>2032</v>
      </c>
      <c r="N2" s="181">
        <f t="shared" ref="N2" si="4">M2+1</f>
        <v>2033</v>
      </c>
      <c r="O2" s="181">
        <f t="shared" ref="O2" si="5">N2+1</f>
        <v>2034</v>
      </c>
    </row>
    <row r="3" spans="1:15" x14ac:dyDescent="0.25">
      <c r="B3" s="4" t="s">
        <v>157</v>
      </c>
      <c r="F3" s="4">
        <f>IncState!F36</f>
        <v>-6025.1587728153982</v>
      </c>
      <c r="G3" s="4">
        <f>IncState!G36</f>
        <v>-1897.6270702957722</v>
      </c>
      <c r="H3" s="4">
        <f>IncState!H36</f>
        <v>2618.5869616986433</v>
      </c>
      <c r="I3" s="4">
        <f>IncState!I36</f>
        <v>8423.2482558310403</v>
      </c>
      <c r="J3" s="4">
        <f>IncState!J36</f>
        <v>16602.145806850367</v>
      </c>
      <c r="K3" s="4">
        <f>IncState!K36</f>
        <v>26164.555508440561</v>
      </c>
      <c r="L3" s="4">
        <f>IncState!L36</f>
        <v>37215.588760448692</v>
      </c>
      <c r="M3" s="4">
        <f>IncState!M36</f>
        <v>52156.853919183355</v>
      </c>
      <c r="N3" s="4">
        <f>IncState!N36</f>
        <v>68719.422379368247</v>
      </c>
      <c r="O3" s="4">
        <f>IncState!O36</f>
        <v>90303.47169969666</v>
      </c>
    </row>
    <row r="4" spans="1:15" x14ac:dyDescent="0.25">
      <c r="B4" s="4" t="s">
        <v>15</v>
      </c>
      <c r="F4" s="4">
        <f>IncState!F23</f>
        <v>10571.996347894916</v>
      </c>
      <c r="G4" s="4">
        <f>IncState!G23</f>
        <v>11606.092737024925</v>
      </c>
      <c r="H4" s="4">
        <f>IncState!H23</f>
        <v>12537.713994878022</v>
      </c>
      <c r="I4" s="4">
        <f>IncState!I23</f>
        <v>13526.721442096465</v>
      </c>
      <c r="J4" s="4">
        <f>IncState!J23</f>
        <v>14684.488725459576</v>
      </c>
      <c r="K4" s="4">
        <f>IncState!K23</f>
        <v>16145.086483173813</v>
      </c>
      <c r="L4" s="4">
        <f>IncState!L23</f>
        <v>18086.972763011971</v>
      </c>
      <c r="M4" s="4">
        <f>IncState!M23</f>
        <v>20593.99018239617</v>
      </c>
      <c r="N4" s="4">
        <f>IncState!N23</f>
        <v>23768.24006650603</v>
      </c>
      <c r="O4" s="4">
        <f>IncState!O23</f>
        <v>27733.342923047876</v>
      </c>
    </row>
    <row r="5" spans="1:15" x14ac:dyDescent="0.25">
      <c r="B5" s="4" t="s">
        <v>54</v>
      </c>
      <c r="F5" s="4">
        <f>IncState!F24</f>
        <v>1428</v>
      </c>
      <c r="G5" s="4">
        <f>IncState!G24</f>
        <v>1428</v>
      </c>
      <c r="H5" s="4">
        <f>IncState!H24</f>
        <v>1428</v>
      </c>
      <c r="I5" s="4">
        <f>IncState!I24</f>
        <v>1428</v>
      </c>
      <c r="J5" s="4">
        <f>IncState!J24</f>
        <v>1428</v>
      </c>
      <c r="K5" s="4">
        <f>IncState!K24</f>
        <v>1428</v>
      </c>
      <c r="L5" s="4">
        <f>IncState!L24</f>
        <v>1428</v>
      </c>
      <c r="M5" s="4">
        <f>IncState!M24</f>
        <v>1428</v>
      </c>
      <c r="N5" s="4">
        <f>IncState!N24</f>
        <v>1428</v>
      </c>
      <c r="O5" s="4">
        <f>IncState!O24</f>
        <v>1428</v>
      </c>
    </row>
    <row r="6" spans="1:15" x14ac:dyDescent="0.25">
      <c r="B6" s="4" t="s">
        <v>91</v>
      </c>
      <c r="F6" s="4">
        <f>Calcs!F26</f>
        <v>-95.82276087901846</v>
      </c>
      <c r="G6" s="4">
        <f>Calcs!G26</f>
        <v>-360.44118110497948</v>
      </c>
      <c r="H6" s="4">
        <f>Calcs!H26</f>
        <v>-1014.7289049897154</v>
      </c>
      <c r="I6" s="4">
        <f>Calcs!I26</f>
        <v>-1612.8248394560578</v>
      </c>
      <c r="J6" s="4">
        <f>Calcs!J26</f>
        <v>-2446.0649321779492</v>
      </c>
      <c r="K6" s="4">
        <f>Calcs!K26</f>
        <v>-3487.298602097937</v>
      </c>
      <c r="L6" s="4">
        <f>Calcs!L26</f>
        <v>-4389.4230519839257</v>
      </c>
      <c r="M6" s="4">
        <f>Calcs!M26</f>
        <v>-5524.6535641817754</v>
      </c>
      <c r="N6" s="4">
        <f>Calcs!N26</f>
        <v>-6953.1603917295724</v>
      </c>
      <c r="O6" s="4">
        <f>Calcs!O26</f>
        <v>-8750.6297852898424</v>
      </c>
    </row>
    <row r="7" spans="1:15" x14ac:dyDescent="0.25">
      <c r="B7" s="4" t="s">
        <v>214</v>
      </c>
      <c r="F7" s="4">
        <f>BalSheet!E27-BalSheet!F27</f>
        <v>56.492480367603093</v>
      </c>
      <c r="G7" s="4">
        <f>BalSheet!F27-BalSheet!G27</f>
        <v>-185.46268799080917</v>
      </c>
      <c r="H7" s="4">
        <f>BalSheet!G27-BalSheet!H27</f>
        <v>-760.39702076232061</v>
      </c>
      <c r="I7" s="4">
        <f>BalSheet!H27-BalSheet!I27</f>
        <v>-1254.655084257829</v>
      </c>
      <c r="J7" s="4">
        <f>BalSheet!I27-BalSheet!J27</f>
        <v>-1923.8044625286711</v>
      </c>
      <c r="K7" s="4">
        <f>BalSheet!J27-BalSheet!K27</f>
        <v>-2885.7066937930067</v>
      </c>
      <c r="L7" s="4">
        <f>BalSheet!K27-BalSheet!L27</f>
        <v>-3607.1333672412547</v>
      </c>
      <c r="M7" s="4">
        <f>BalSheet!L27-BalSheet!M27</f>
        <v>-4508.916709051573</v>
      </c>
      <c r="N7" s="4">
        <f>BalSheet!M27-BalSheet!N27</f>
        <v>-5636.1458863144653</v>
      </c>
      <c r="O7" s="4">
        <f>BalSheet!N27-BalSheet!O27</f>
        <v>-7045.1823578930853</v>
      </c>
    </row>
    <row r="8" spans="1:15" x14ac:dyDescent="0.25">
      <c r="B8" s="4" t="s">
        <v>215</v>
      </c>
      <c r="F8" s="4">
        <f>BalSheet!F38-BalSheet!E38</f>
        <v>-71.83425095572602</v>
      </c>
      <c r="G8" s="4">
        <f>BalSheet!G38-BalSheet!F38</f>
        <v>235.82914372610503</v>
      </c>
      <c r="H8" s="4">
        <f>BalSheet!H38-BalSheet!G38</f>
        <v>966.89948927703881</v>
      </c>
      <c r="I8" s="4">
        <f>BalSheet!I38-BalSheet!H38</f>
        <v>1595.3841573071113</v>
      </c>
      <c r="J8" s="4">
        <f>BalSheet!J38-BalSheet!I38</f>
        <v>2446.2557078709051</v>
      </c>
      <c r="K8" s="4">
        <f>BalSheet!K38-BalSheet!J38</f>
        <v>3669.3835618063604</v>
      </c>
      <c r="L8" s="4">
        <f>BalSheet!L38-BalSheet!K38</f>
        <v>4586.7294522579468</v>
      </c>
      <c r="M8" s="4">
        <f>BalSheet!M38-BalSheet!L38</f>
        <v>5733.4118153224299</v>
      </c>
      <c r="N8" s="4">
        <f>BalSheet!N38-BalSheet!M38</f>
        <v>7166.7647691530474</v>
      </c>
      <c r="O8" s="4">
        <f>BalSheet!O38-BalSheet!N38</f>
        <v>8958.455961441301</v>
      </c>
    </row>
    <row r="9" spans="1:15" s="11" customFormat="1" x14ac:dyDescent="0.25">
      <c r="B9" s="11" t="s">
        <v>216</v>
      </c>
      <c r="F9" s="11">
        <f>SUM(F3:F8)</f>
        <v>5863.6730436123762</v>
      </c>
      <c r="G9" s="11">
        <f t="shared" ref="G9:J9" si="6">SUM(G3:G8)</f>
        <v>10826.390941359468</v>
      </c>
      <c r="H9" s="11">
        <f t="shared" si="6"/>
        <v>15776.074520101669</v>
      </c>
      <c r="I9" s="11">
        <f t="shared" si="6"/>
        <v>22105.873931520728</v>
      </c>
      <c r="J9" s="11">
        <f t="shared" si="6"/>
        <v>30791.020845474231</v>
      </c>
      <c r="K9" s="11">
        <f t="shared" ref="K9" si="7">SUM(K3:K8)</f>
        <v>41034.020257529788</v>
      </c>
      <c r="L9" s="11">
        <f t="shared" ref="L9" si="8">SUM(L3:L8)</f>
        <v>53320.734556493437</v>
      </c>
      <c r="M9" s="11">
        <f t="shared" ref="M9" si="9">SUM(M3:M8)</f>
        <v>69878.685643668607</v>
      </c>
      <c r="N9" s="11">
        <f t="shared" ref="N9" si="10">SUM(N3:N8)</f>
        <v>88493.12093698328</v>
      </c>
      <c r="O9" s="11">
        <f t="shared" ref="O9" si="11">SUM(O3:O8)</f>
        <v>112627.45844100291</v>
      </c>
    </row>
    <row r="10" spans="1:15" x14ac:dyDescent="0.25">
      <c r="I10" s="4"/>
      <c r="J10" s="4"/>
      <c r="K10" s="4"/>
      <c r="L10" s="4"/>
      <c r="M10" s="4"/>
      <c r="N10" s="4"/>
      <c r="O10" s="4"/>
    </row>
    <row r="11" spans="1:15" x14ac:dyDescent="0.25">
      <c r="B11" s="4" t="s">
        <v>217</v>
      </c>
      <c r="F11" s="4">
        <f>Calcs!F7</f>
        <v>21128.058282284703</v>
      </c>
      <c r="G11" s="4">
        <f>Calcs!G7</f>
        <v>21116.087937341817</v>
      </c>
      <c r="H11" s="4">
        <f>Calcs!H7</f>
        <v>22633.507748876</v>
      </c>
      <c r="I11" s="4">
        <f>Calcs!I7</f>
        <v>25345.216581677396</v>
      </c>
      <c r="J11" s="4">
        <f>Calcs!J7</f>
        <v>29594.279102576875</v>
      </c>
      <c r="K11" s="4">
        <f>Calcs!K7</f>
        <v>35967.872883926095</v>
      </c>
      <c r="L11" s="4">
        <f>Calcs!L7</f>
        <v>43678.621112038862</v>
      </c>
      <c r="M11" s="4">
        <f>Calcs!M7</f>
        <v>52996.751398962631</v>
      </c>
      <c r="N11" s="4">
        <f>Calcs!N7</f>
        <v>64244.033009845873</v>
      </c>
      <c r="O11" s="4">
        <f>Calcs!O7</f>
        <v>77802.658463735555</v>
      </c>
    </row>
    <row r="12" spans="1:15" s="11" customFormat="1" x14ac:dyDescent="0.25">
      <c r="B12" s="11" t="s">
        <v>218</v>
      </c>
      <c r="F12" s="11">
        <f>-F11</f>
        <v>-21128.058282284703</v>
      </c>
      <c r="G12" s="11">
        <f t="shared" ref="G12:J12" si="12">-G11</f>
        <v>-21116.087937341817</v>
      </c>
      <c r="H12" s="11">
        <f t="shared" si="12"/>
        <v>-22633.507748876</v>
      </c>
      <c r="I12" s="11">
        <f t="shared" si="12"/>
        <v>-25345.216581677396</v>
      </c>
      <c r="J12" s="11">
        <f t="shared" si="12"/>
        <v>-29594.279102576875</v>
      </c>
      <c r="K12" s="11">
        <f t="shared" ref="K12" si="13">-K11</f>
        <v>-35967.872883926095</v>
      </c>
      <c r="L12" s="11">
        <f t="shared" ref="L12" si="14">-L11</f>
        <v>-43678.621112038862</v>
      </c>
      <c r="M12" s="11">
        <f t="shared" ref="M12" si="15">-M11</f>
        <v>-52996.751398962631</v>
      </c>
      <c r="N12" s="11">
        <f t="shared" ref="N12" si="16">-N11</f>
        <v>-64244.033009845873</v>
      </c>
      <c r="O12" s="11">
        <f t="shared" ref="O12" si="17">-O11</f>
        <v>-77802.658463735555</v>
      </c>
    </row>
    <row r="13" spans="1:15" x14ac:dyDescent="0.25">
      <c r="I13" s="4"/>
      <c r="J13" s="4"/>
      <c r="K13" s="4"/>
      <c r="L13" s="4"/>
      <c r="M13" s="4"/>
      <c r="N13" s="4"/>
      <c r="O13" s="4"/>
    </row>
    <row r="14" spans="1:15" x14ac:dyDescent="0.25">
      <c r="B14" s="4" t="s">
        <v>220</v>
      </c>
      <c r="F14" s="4">
        <f>Calcs!F15</f>
        <v>-1599</v>
      </c>
      <c r="G14" s="4">
        <f>Calcs!G15</f>
        <v>-1599</v>
      </c>
      <c r="H14" s="4">
        <f>Calcs!H15</f>
        <v>-1599</v>
      </c>
      <c r="I14" s="4">
        <f>Calcs!I15</f>
        <v>-1599</v>
      </c>
      <c r="J14" s="4">
        <f>Calcs!J15</f>
        <v>-1599</v>
      </c>
      <c r="K14" s="4">
        <f>Calcs!K15</f>
        <v>-1599</v>
      </c>
      <c r="L14" s="4">
        <f>Calcs!L15</f>
        <v>-1599</v>
      </c>
      <c r="M14" s="4">
        <f>Calcs!M15</f>
        <v>-1599</v>
      </c>
      <c r="N14" s="4">
        <f>Calcs!N15</f>
        <v>-1599</v>
      </c>
      <c r="O14" s="4">
        <f>Calcs!O15</f>
        <v>-1599</v>
      </c>
    </row>
    <row r="15" spans="1:15" x14ac:dyDescent="0.25">
      <c r="B15" s="4" t="s">
        <v>145</v>
      </c>
      <c r="F15" s="4">
        <f>Calcs!F11</f>
        <v>10000</v>
      </c>
      <c r="G15" s="4">
        <f>Calcs!G11</f>
        <v>10000</v>
      </c>
      <c r="H15" s="4">
        <f>Calcs!H11</f>
        <v>10000</v>
      </c>
      <c r="I15" s="4">
        <f>Calcs!I11</f>
        <v>10000</v>
      </c>
      <c r="J15" s="4">
        <f>Calcs!J11</f>
        <v>10000</v>
      </c>
      <c r="K15" s="4">
        <f>Calcs!K11</f>
        <v>10000</v>
      </c>
      <c r="L15" s="4">
        <f>Calcs!L11</f>
        <v>10000</v>
      </c>
      <c r="M15" s="4">
        <f>Calcs!M11</f>
        <v>10000</v>
      </c>
      <c r="N15" s="4">
        <f>Calcs!N11</f>
        <v>10000</v>
      </c>
      <c r="O15" s="4">
        <f>Calcs!O11</f>
        <v>10000</v>
      </c>
    </row>
    <row r="16" spans="1:15" x14ac:dyDescent="0.25">
      <c r="B16" s="4" t="s">
        <v>221</v>
      </c>
      <c r="F16" s="4">
        <f>SUM(Debt!F8:F9)</f>
        <v>0</v>
      </c>
      <c r="G16" s="4">
        <f>SUM(Debt!G8:G9)</f>
        <v>0</v>
      </c>
      <c r="H16" s="4">
        <f>SUM(Debt!H8:H9)</f>
        <v>0</v>
      </c>
      <c r="I16" s="4">
        <f>SUM(Debt!I8:I9)</f>
        <v>0</v>
      </c>
      <c r="J16" s="4">
        <f>SUM(Debt!J8:J9)</f>
        <v>0</v>
      </c>
      <c r="K16" s="4">
        <f>SUM(Debt!K8:K9)</f>
        <v>0</v>
      </c>
      <c r="L16" s="4">
        <f>SUM(Debt!L8:L9)</f>
        <v>0</v>
      </c>
      <c r="M16" s="4">
        <f>SUM(Debt!M8:M9)</f>
        <v>0</v>
      </c>
      <c r="N16" s="4">
        <f>SUM(Debt!N8:N9)</f>
        <v>0</v>
      </c>
      <c r="O16" s="4">
        <f>SUM(Debt!O8:O9)</f>
        <v>0</v>
      </c>
    </row>
    <row r="17" spans="2:15" s="11" customFormat="1" x14ac:dyDescent="0.25">
      <c r="B17" s="11" t="s">
        <v>219</v>
      </c>
      <c r="F17" s="11">
        <f>SUM(F14:F16)</f>
        <v>8401</v>
      </c>
      <c r="G17" s="11">
        <f t="shared" ref="G17:J17" si="18">SUM(G14:G16)</f>
        <v>8401</v>
      </c>
      <c r="H17" s="11">
        <f t="shared" si="18"/>
        <v>8401</v>
      </c>
      <c r="I17" s="11">
        <f t="shared" si="18"/>
        <v>8401</v>
      </c>
      <c r="J17" s="11">
        <f t="shared" si="18"/>
        <v>8401</v>
      </c>
      <c r="K17" s="11">
        <f t="shared" ref="K17" si="19">SUM(K14:K16)</f>
        <v>8401</v>
      </c>
      <c r="L17" s="11">
        <f t="shared" ref="L17" si="20">SUM(L14:L16)</f>
        <v>8401</v>
      </c>
      <c r="M17" s="11">
        <f t="shared" ref="M17" si="21">SUM(M14:M16)</f>
        <v>8401</v>
      </c>
      <c r="N17" s="11">
        <f t="shared" ref="N17" si="22">SUM(N14:N16)</f>
        <v>8401</v>
      </c>
      <c r="O17" s="11">
        <f t="shared" ref="O17" si="23">SUM(O14:O16)</f>
        <v>8401</v>
      </c>
    </row>
    <row r="18" spans="2:15" x14ac:dyDescent="0.25">
      <c r="I18" s="4"/>
      <c r="J18" s="4"/>
      <c r="K18" s="4"/>
      <c r="L18" s="4"/>
      <c r="M18" s="4"/>
      <c r="N18" s="4"/>
      <c r="O18" s="4"/>
    </row>
    <row r="19" spans="2:15" x14ac:dyDescent="0.25">
      <c r="B19" s="4" t="s">
        <v>222</v>
      </c>
      <c r="F19" s="4">
        <f>SUM(F17,F12,F9)</f>
        <v>-6863.3852386723265</v>
      </c>
      <c r="G19" s="4">
        <f t="shared" ref="G19:J19" si="24">SUM(G17,G12,G9)</f>
        <v>-1888.6969959823491</v>
      </c>
      <c r="H19" s="4">
        <f t="shared" si="24"/>
        <v>1543.5667712256691</v>
      </c>
      <c r="I19" s="4">
        <f t="shared" si="24"/>
        <v>5161.6573498433318</v>
      </c>
      <c r="J19" s="4">
        <f t="shared" si="24"/>
        <v>9597.7417428973567</v>
      </c>
      <c r="K19" s="4">
        <f t="shared" ref="K19:O19" si="25">SUM(K17,K12,K9)</f>
        <v>13467.147373603693</v>
      </c>
      <c r="L19" s="4">
        <f t="shared" si="25"/>
        <v>18043.113444454575</v>
      </c>
      <c r="M19" s="4">
        <f t="shared" si="25"/>
        <v>25282.934244705975</v>
      </c>
      <c r="N19" s="4">
        <f t="shared" si="25"/>
        <v>32650.087927137407</v>
      </c>
      <c r="O19" s="4">
        <f t="shared" si="25"/>
        <v>43225.79997726735</v>
      </c>
    </row>
    <row r="20" spans="2:15" x14ac:dyDescent="0.25">
      <c r="I20" s="4"/>
      <c r="J20" s="4"/>
      <c r="K20" s="4"/>
      <c r="L20" s="4"/>
      <c r="M20" s="4"/>
      <c r="N20" s="4"/>
      <c r="O20" s="4"/>
    </row>
    <row r="21" spans="2:15" x14ac:dyDescent="0.25">
      <c r="B21" s="4" t="s">
        <v>223</v>
      </c>
      <c r="F21" s="4">
        <f>BalSheet!E18</f>
        <v>7452.4849999999997</v>
      </c>
      <c r="G21" s="4">
        <f>BalSheet!F18</f>
        <v>589.09976132767315</v>
      </c>
      <c r="H21" s="4">
        <f>BalSheet!G18</f>
        <v>0</v>
      </c>
      <c r="I21" s="4">
        <f>BalSheet!H18</f>
        <v>1543.5667712256691</v>
      </c>
      <c r="J21" s="4">
        <f>BalSheet!I18</f>
        <v>6705.2241210690008</v>
      </c>
      <c r="K21" s="4">
        <f>BalSheet!J18</f>
        <v>16302.965863966358</v>
      </c>
      <c r="L21" s="4">
        <f>BalSheet!K18</f>
        <v>29770.113237570051</v>
      </c>
      <c r="M21" s="4">
        <f>BalSheet!L18</f>
        <v>47813.22668202463</v>
      </c>
      <c r="N21" s="4">
        <f>BalSheet!M18</f>
        <v>73096.160926730605</v>
      </c>
      <c r="O21" s="4">
        <f>BalSheet!N18</f>
        <v>105746.24885386802</v>
      </c>
    </row>
    <row r="22" spans="2:15" x14ac:dyDescent="0.25">
      <c r="B22" s="4" t="str">
        <f>B19</f>
        <v>Net Changes in Cash</v>
      </c>
      <c r="F22" s="4">
        <f>F19</f>
        <v>-6863.3852386723265</v>
      </c>
      <c r="G22" s="4">
        <f t="shared" ref="G22:J22" si="26">G19</f>
        <v>-1888.6969959823491</v>
      </c>
      <c r="H22" s="4">
        <f t="shared" si="26"/>
        <v>1543.5667712256691</v>
      </c>
      <c r="I22" s="4">
        <f t="shared" si="26"/>
        <v>5161.6573498433318</v>
      </c>
      <c r="J22" s="4">
        <f t="shared" si="26"/>
        <v>9597.7417428973567</v>
      </c>
      <c r="K22" s="4">
        <f t="shared" ref="K22:O22" si="27">K19</f>
        <v>13467.147373603693</v>
      </c>
      <c r="L22" s="4">
        <f t="shared" si="27"/>
        <v>18043.113444454575</v>
      </c>
      <c r="M22" s="4">
        <f t="shared" si="27"/>
        <v>25282.934244705975</v>
      </c>
      <c r="N22" s="4">
        <f t="shared" si="27"/>
        <v>32650.087927137407</v>
      </c>
      <c r="O22" s="4">
        <f t="shared" si="27"/>
        <v>43225.79997726735</v>
      </c>
    </row>
    <row r="23" spans="2:15" x14ac:dyDescent="0.25">
      <c r="B23" s="4" t="s">
        <v>224</v>
      </c>
      <c r="F23" s="4">
        <f>SUM(F21:F22)</f>
        <v>589.09976132767315</v>
      </c>
      <c r="G23" s="4">
        <f t="shared" ref="G23:J23" si="28">SUM(G21:G22)</f>
        <v>-1299.597234654676</v>
      </c>
      <c r="H23" s="4">
        <f t="shared" si="28"/>
        <v>1543.5667712256691</v>
      </c>
      <c r="I23" s="4">
        <f t="shared" si="28"/>
        <v>6705.2241210690008</v>
      </c>
      <c r="J23" s="4">
        <f t="shared" si="28"/>
        <v>16302.965863966358</v>
      </c>
      <c r="K23" s="4">
        <f t="shared" ref="K23" si="29">SUM(K21:K22)</f>
        <v>29770.113237570051</v>
      </c>
      <c r="L23" s="4">
        <f t="shared" ref="L23" si="30">SUM(L21:L22)</f>
        <v>47813.22668202463</v>
      </c>
      <c r="M23" s="4">
        <f t="shared" ref="M23" si="31">SUM(M21:M22)</f>
        <v>73096.160926730605</v>
      </c>
      <c r="N23" s="4">
        <f t="shared" ref="N23" si="32">SUM(N21:N22)</f>
        <v>105746.24885386802</v>
      </c>
      <c r="O23" s="4">
        <f t="shared" ref="O23" si="33">SUM(O21:O22)</f>
        <v>148972.04883113538</v>
      </c>
    </row>
  </sheetData>
  <pageMargins left="0.74803149606299213" right="0.74803149606299213" top="0.98425196850393704" bottom="0.98425196850393704" header="0.51181102362204722" footer="0.51181102362204722"/>
  <pageSetup paperSize="9" scale="68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O30"/>
  <sheetViews>
    <sheetView showGridLines="0" topLeftCell="C1" zoomScaleNormal="100" workbookViewId="0">
      <selection activeCell="I13" sqref="I1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5" width="11.7109375" style="6" customWidth="1"/>
    <col min="16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5" s="2" customFormat="1" ht="19.5" x14ac:dyDescent="0.3">
      <c r="A1" s="223" t="str">
        <f>CoName</f>
        <v>Intel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s="2" customFormat="1" ht="16.350000000000001" customHeight="1" x14ac:dyDescent="0.25">
      <c r="A2" s="176" t="s">
        <v>88</v>
      </c>
      <c r="B2" s="177"/>
      <c r="C2" s="181">
        <v>2022</v>
      </c>
      <c r="D2" s="181">
        <f>C2+1</f>
        <v>2023</v>
      </c>
      <c r="E2" s="181">
        <f t="shared" ref="E2:J2" si="0">D2+1</f>
        <v>2024</v>
      </c>
      <c r="F2" s="181">
        <f t="shared" si="0"/>
        <v>2025</v>
      </c>
      <c r="G2" s="181">
        <f t="shared" si="0"/>
        <v>2026</v>
      </c>
      <c r="H2" s="181">
        <f t="shared" si="0"/>
        <v>2027</v>
      </c>
      <c r="I2" s="181">
        <f t="shared" si="0"/>
        <v>2028</v>
      </c>
      <c r="J2" s="181">
        <f t="shared" si="0"/>
        <v>2029</v>
      </c>
      <c r="K2" s="181">
        <f t="shared" ref="K2" si="1">J2+1</f>
        <v>2030</v>
      </c>
      <c r="L2" s="181">
        <f t="shared" ref="L2" si="2">K2+1</f>
        <v>2031</v>
      </c>
      <c r="M2" s="181">
        <f t="shared" ref="M2" si="3">L2+1</f>
        <v>2032</v>
      </c>
      <c r="N2" s="181">
        <f t="shared" ref="N2" si="4">M2+1</f>
        <v>2033</v>
      </c>
      <c r="O2" s="181">
        <f t="shared" ref="O2" si="5">N2+1</f>
        <v>2034</v>
      </c>
    </row>
    <row r="3" spans="1:15" x14ac:dyDescent="0.25">
      <c r="A3" s="11" t="s">
        <v>126</v>
      </c>
      <c r="B3" s="4" t="s">
        <v>89</v>
      </c>
      <c r="D3" s="211"/>
      <c r="E3" s="24"/>
      <c r="F3" s="212">
        <f>IncState!F17</f>
        <v>52699.687999999995</v>
      </c>
      <c r="G3" s="212">
        <f>IncState!G17</f>
        <v>54017.180199999988</v>
      </c>
      <c r="H3" s="212">
        <f>IncState!H17</f>
        <v>59418.898219999988</v>
      </c>
      <c r="I3" s="212">
        <f>IncState!I17</f>
        <v>68331.732952999984</v>
      </c>
      <c r="J3" s="212">
        <f>IncState!J17</f>
        <v>81998.079543599975</v>
      </c>
      <c r="K3" s="212">
        <f>IncState!K17</f>
        <v>102497.59942949997</v>
      </c>
      <c r="L3" s="212">
        <f>IncState!L17</f>
        <v>128121.99928687495</v>
      </c>
      <c r="M3" s="212">
        <f>IncState!M17</f>
        <v>160152.49910859368</v>
      </c>
      <c r="N3" s="212">
        <f>IncState!N17</f>
        <v>200190.6238857421</v>
      </c>
      <c r="O3" s="212">
        <f>IncState!O17</f>
        <v>250238.27985717764</v>
      </c>
    </row>
    <row r="4" spans="1:15" x14ac:dyDescent="0.25">
      <c r="B4" s="4" t="s">
        <v>55</v>
      </c>
      <c r="E4" s="28"/>
      <c r="F4" s="4">
        <f>IncState!F21</f>
        <v>-6846.7713327447709</v>
      </c>
      <c r="G4" s="4">
        <f>IncState!G21</f>
        <v>-2156.3943980633776</v>
      </c>
      <c r="H4" s="4">
        <f>IncState!H21</f>
        <v>2975.6670019302765</v>
      </c>
      <c r="I4" s="4">
        <f>IncState!I21</f>
        <v>9571.8730179898193</v>
      </c>
      <c r="J4" s="4">
        <f>IncState!J21</f>
        <v>18866.074780511779</v>
      </c>
      <c r="K4" s="4">
        <f>IncState!K21</f>
        <v>29732.449441409728</v>
      </c>
      <c r="L4" s="4">
        <f>IncState!L21</f>
        <v>42290.441773237151</v>
      </c>
      <c r="M4" s="4">
        <f>IncState!M21</f>
        <v>59269.152180890174</v>
      </c>
      <c r="N4" s="4">
        <f>IncState!N21</f>
        <v>78090.252703827558</v>
      </c>
      <c r="O4" s="4">
        <f>IncState!O21</f>
        <v>102617.58147692803</v>
      </c>
    </row>
    <row r="5" spans="1:15" x14ac:dyDescent="0.25">
      <c r="B5" s="30" t="s">
        <v>94</v>
      </c>
      <c r="C5" s="30"/>
      <c r="D5" s="30"/>
      <c r="E5" s="39"/>
      <c r="F5" s="43">
        <f>Assumptions!F17</f>
        <v>0.12</v>
      </c>
      <c r="G5" s="43">
        <f>Assumptions!G17</f>
        <v>0.12</v>
      </c>
      <c r="H5" s="43">
        <f>Assumptions!H17</f>
        <v>0.12</v>
      </c>
      <c r="I5" s="43">
        <f>Assumptions!I17</f>
        <v>0.12</v>
      </c>
      <c r="J5" s="43">
        <f>Assumptions!J17</f>
        <v>0.12</v>
      </c>
      <c r="K5" s="43">
        <f>Assumptions!K17</f>
        <v>0.12</v>
      </c>
      <c r="L5" s="43">
        <f>Assumptions!L17</f>
        <v>0.12</v>
      </c>
      <c r="M5" s="43">
        <f>Assumptions!M17</f>
        <v>0.12</v>
      </c>
      <c r="N5" s="43">
        <f>Assumptions!N17</f>
        <v>0.12</v>
      </c>
      <c r="O5" s="43">
        <f>Assumptions!O17</f>
        <v>0.12</v>
      </c>
    </row>
    <row r="6" spans="1:15" x14ac:dyDescent="0.25">
      <c r="C6" s="5"/>
      <c r="D6" s="5"/>
      <c r="E6" s="2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5">
      <c r="A7" s="25" t="s">
        <v>126</v>
      </c>
      <c r="B7" s="22" t="s">
        <v>90</v>
      </c>
      <c r="C7" s="119"/>
      <c r="D7" s="119"/>
      <c r="E7" s="119"/>
      <c r="F7" s="134">
        <f t="shared" ref="F7:J7" si="6">F4*(1-F5)</f>
        <v>-6025.1587728153982</v>
      </c>
      <c r="G7" s="134">
        <f t="shared" ref="G7:J7" si="7">G4*(1-G5)</f>
        <v>-1897.6270702957722</v>
      </c>
      <c r="H7" s="134">
        <f t="shared" si="7"/>
        <v>2618.5869616986433</v>
      </c>
      <c r="I7" s="134">
        <f t="shared" si="7"/>
        <v>8423.2482558310403</v>
      </c>
      <c r="J7" s="134">
        <f t="shared" si="7"/>
        <v>16602.145806850367</v>
      </c>
      <c r="K7" s="134">
        <f t="shared" ref="K7:O7" si="8">K4*(1-K5)</f>
        <v>26164.555508440561</v>
      </c>
      <c r="L7" s="134">
        <f t="shared" si="8"/>
        <v>37215.588760448692</v>
      </c>
      <c r="M7" s="134">
        <f t="shared" si="8"/>
        <v>52156.853919183355</v>
      </c>
      <c r="N7" s="134">
        <f t="shared" si="8"/>
        <v>68719.422379368247</v>
      </c>
      <c r="O7" s="134">
        <f t="shared" si="8"/>
        <v>90303.47169969666</v>
      </c>
    </row>
    <row r="8" spans="1:15" x14ac:dyDescent="0.25">
      <c r="B8" s="4" t="s">
        <v>15</v>
      </c>
      <c r="C8" s="119"/>
      <c r="D8" s="119"/>
      <c r="E8" s="120"/>
      <c r="F8" s="135">
        <f>CashFlow!F4</f>
        <v>10571.996347894916</v>
      </c>
      <c r="G8" s="135">
        <f>CashFlow!G4</f>
        <v>11606.092737024925</v>
      </c>
      <c r="H8" s="135">
        <f>CashFlow!H4</f>
        <v>12537.713994878022</v>
      </c>
      <c r="I8" s="135">
        <f>CashFlow!I4</f>
        <v>13526.721442096465</v>
      </c>
      <c r="J8" s="135">
        <f>CashFlow!J4</f>
        <v>14684.488725459576</v>
      </c>
      <c r="K8" s="135">
        <f>CashFlow!K4</f>
        <v>16145.086483173813</v>
      </c>
      <c r="L8" s="135">
        <f>CashFlow!L4</f>
        <v>18086.972763011971</v>
      </c>
      <c r="M8" s="135">
        <f>CashFlow!M4</f>
        <v>20593.99018239617</v>
      </c>
      <c r="N8" s="135">
        <f>CashFlow!N4</f>
        <v>23768.24006650603</v>
      </c>
      <c r="O8" s="135">
        <f>CashFlow!O4</f>
        <v>27733.342923047876</v>
      </c>
    </row>
    <row r="9" spans="1:15" x14ac:dyDescent="0.25">
      <c r="B9" s="4" t="s">
        <v>54</v>
      </c>
      <c r="C9" s="5"/>
      <c r="D9" s="5"/>
      <c r="E9" s="24"/>
      <c r="F9" s="262">
        <f>CashFlow!F5</f>
        <v>1428</v>
      </c>
      <c r="G9" s="262">
        <f>CashFlow!G5</f>
        <v>1428</v>
      </c>
      <c r="H9" s="262">
        <f>CashFlow!H5</f>
        <v>1428</v>
      </c>
      <c r="I9" s="262">
        <f>CashFlow!I5</f>
        <v>1428</v>
      </c>
      <c r="J9" s="262">
        <f>CashFlow!J5</f>
        <v>1428</v>
      </c>
      <c r="K9" s="262">
        <f>CashFlow!K5</f>
        <v>1428</v>
      </c>
      <c r="L9" s="262">
        <f>CashFlow!L5</f>
        <v>1428</v>
      </c>
      <c r="M9" s="262">
        <f>CashFlow!M5</f>
        <v>1428</v>
      </c>
      <c r="N9" s="262">
        <f>CashFlow!N5</f>
        <v>1428</v>
      </c>
      <c r="O9" s="262">
        <f>CashFlow!O5</f>
        <v>1428</v>
      </c>
    </row>
    <row r="10" spans="1:15" x14ac:dyDescent="0.25">
      <c r="B10" s="4" t="s">
        <v>91</v>
      </c>
      <c r="C10" s="5"/>
      <c r="D10" s="5"/>
      <c r="E10" s="24"/>
      <c r="F10" s="262">
        <f>CashFlow!F6</f>
        <v>-95.82276087901846</v>
      </c>
      <c r="G10" s="262">
        <f>CashFlow!G6</f>
        <v>-360.44118110497948</v>
      </c>
      <c r="H10" s="262">
        <f>CashFlow!H6</f>
        <v>-1014.7289049897154</v>
      </c>
      <c r="I10" s="262">
        <f>CashFlow!I6</f>
        <v>-1612.8248394560578</v>
      </c>
      <c r="J10" s="262">
        <f>CashFlow!J6</f>
        <v>-2446.0649321779492</v>
      </c>
      <c r="K10" s="262">
        <f>CashFlow!K6</f>
        <v>-3487.298602097937</v>
      </c>
      <c r="L10" s="262">
        <f>CashFlow!L6</f>
        <v>-4389.4230519839257</v>
      </c>
      <c r="M10" s="262">
        <f>CashFlow!M6</f>
        <v>-5524.6535641817754</v>
      </c>
      <c r="N10" s="262">
        <f>CashFlow!N6</f>
        <v>-6953.1603917295724</v>
      </c>
      <c r="O10" s="262">
        <f>CashFlow!O6</f>
        <v>-8750.6297852898424</v>
      </c>
    </row>
    <row r="11" spans="1:15" x14ac:dyDescent="0.25">
      <c r="B11" s="4" t="s">
        <v>166</v>
      </c>
      <c r="C11" s="5"/>
      <c r="D11" s="5"/>
      <c r="E11" s="24"/>
      <c r="F11" s="262">
        <f>CashFlow!F7</f>
        <v>56.492480367603093</v>
      </c>
      <c r="G11" s="262">
        <f>CashFlow!G7</f>
        <v>-185.46268799080917</v>
      </c>
      <c r="H11" s="262">
        <f>CashFlow!H7</f>
        <v>-760.39702076232061</v>
      </c>
      <c r="I11" s="262">
        <f>CashFlow!I7</f>
        <v>-1254.655084257829</v>
      </c>
      <c r="J11" s="262">
        <f>CashFlow!J7</f>
        <v>-1923.8044625286711</v>
      </c>
      <c r="K11" s="262">
        <f>CashFlow!K7</f>
        <v>-2885.7066937930067</v>
      </c>
      <c r="L11" s="262">
        <f>CashFlow!L7</f>
        <v>-3607.1333672412547</v>
      </c>
      <c r="M11" s="262">
        <f>CashFlow!M7</f>
        <v>-4508.916709051573</v>
      </c>
      <c r="N11" s="262">
        <f>CashFlow!N7</f>
        <v>-5636.1458863144653</v>
      </c>
      <c r="O11" s="262">
        <f>CashFlow!O7</f>
        <v>-7045.1823578930853</v>
      </c>
    </row>
    <row r="12" spans="1:15" x14ac:dyDescent="0.25">
      <c r="B12" s="4" t="s">
        <v>167</v>
      </c>
      <c r="E12" s="28"/>
      <c r="F12" s="262">
        <f>CashFlow!F8</f>
        <v>-71.83425095572602</v>
      </c>
      <c r="G12" s="262">
        <f>CashFlow!G8</f>
        <v>235.82914372610503</v>
      </c>
      <c r="H12" s="262">
        <f>CashFlow!H8</f>
        <v>966.89948927703881</v>
      </c>
      <c r="I12" s="262">
        <f>CashFlow!I8</f>
        <v>1595.3841573071113</v>
      </c>
      <c r="J12" s="262">
        <f>CashFlow!J8</f>
        <v>2446.2557078709051</v>
      </c>
      <c r="K12" s="262">
        <f>CashFlow!K8</f>
        <v>3669.3835618063604</v>
      </c>
      <c r="L12" s="262">
        <f>CashFlow!L8</f>
        <v>4586.7294522579468</v>
      </c>
      <c r="M12" s="262">
        <f>CashFlow!M8</f>
        <v>5733.4118153224299</v>
      </c>
      <c r="N12" s="262">
        <f>CashFlow!N8</f>
        <v>7166.7647691530474</v>
      </c>
      <c r="O12" s="262">
        <f>CashFlow!O8</f>
        <v>8958.455961441301</v>
      </c>
    </row>
    <row r="13" spans="1:15" x14ac:dyDescent="0.25">
      <c r="B13" s="4" t="s">
        <v>92</v>
      </c>
      <c r="E13" s="28"/>
      <c r="F13" s="132">
        <f>CashFlow!F12</f>
        <v>-21128.058282284703</v>
      </c>
      <c r="G13" s="132">
        <f>CashFlow!G12</f>
        <v>-21116.087937341817</v>
      </c>
      <c r="H13" s="132">
        <f>CashFlow!H12</f>
        <v>-22633.507748876</v>
      </c>
      <c r="I13" s="132">
        <f>CashFlow!I12</f>
        <v>-25345.216581677396</v>
      </c>
      <c r="J13" s="132">
        <f>CashFlow!J12</f>
        <v>-29594.279102576875</v>
      </c>
      <c r="K13" s="132">
        <f>CashFlow!K12</f>
        <v>-35967.872883926095</v>
      </c>
      <c r="L13" s="132">
        <f>CashFlow!L12</f>
        <v>-43678.621112038862</v>
      </c>
      <c r="M13" s="132">
        <f>CashFlow!M12</f>
        <v>-52996.751398962631</v>
      </c>
      <c r="N13" s="132">
        <f>CashFlow!N12</f>
        <v>-64244.033009845873</v>
      </c>
      <c r="O13" s="132">
        <f>CashFlow!O12</f>
        <v>-77802.658463735555</v>
      </c>
    </row>
    <row r="14" spans="1:15" x14ac:dyDescent="0.25">
      <c r="E14" s="63"/>
      <c r="F14" s="136"/>
      <c r="G14" s="136"/>
      <c r="H14" s="136"/>
      <c r="I14" s="136"/>
      <c r="J14" s="136"/>
      <c r="K14" s="136"/>
      <c r="L14" s="136"/>
      <c r="M14" s="136"/>
      <c r="N14" s="136"/>
      <c r="O14" s="136"/>
    </row>
    <row r="15" spans="1:15" s="11" customFormat="1" x14ac:dyDescent="0.25">
      <c r="A15" s="25" t="s">
        <v>126</v>
      </c>
      <c r="B15" s="34" t="s">
        <v>93</v>
      </c>
      <c r="C15" s="34"/>
      <c r="D15" s="34"/>
      <c r="E15" s="34"/>
      <c r="F15" s="34">
        <f>SUM(F7:F13)</f>
        <v>-15264.385238672327</v>
      </c>
      <c r="G15" s="34">
        <f t="shared" ref="G15:J15" si="9">SUM(G7:G13)</f>
        <v>-10289.696995982349</v>
      </c>
      <c r="H15" s="34">
        <f t="shared" si="9"/>
        <v>-6857.4332287743309</v>
      </c>
      <c r="I15" s="34">
        <f t="shared" si="9"/>
        <v>-3239.3426501566682</v>
      </c>
      <c r="J15" s="34">
        <f t="shared" si="9"/>
        <v>1196.7417428973567</v>
      </c>
      <c r="K15" s="34">
        <f t="shared" ref="K15:O15" si="10">SUM(K7:K13)</f>
        <v>5066.1473736036933</v>
      </c>
      <c r="L15" s="34">
        <f t="shared" si="10"/>
        <v>9642.1134444545751</v>
      </c>
      <c r="M15" s="34">
        <f t="shared" si="10"/>
        <v>16881.934244705975</v>
      </c>
      <c r="N15" s="34">
        <f t="shared" si="10"/>
        <v>24249.087927137407</v>
      </c>
      <c r="O15" s="34">
        <f t="shared" si="10"/>
        <v>34824.79997726735</v>
      </c>
    </row>
    <row r="16" spans="1:15" x14ac:dyDescent="0.25">
      <c r="B16" s="66"/>
      <c r="C16" s="66"/>
      <c r="D16" s="66"/>
      <c r="E16" s="66"/>
      <c r="F16" s="66"/>
      <c r="G16" s="66"/>
      <c r="H16" s="66"/>
      <c r="I16" s="84"/>
      <c r="J16" s="84"/>
      <c r="K16" s="84"/>
      <c r="L16" s="84"/>
      <c r="M16" s="84"/>
      <c r="N16" s="84"/>
      <c r="O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/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23" t="str">
        <f>CoName</f>
        <v>Intel Corp.</v>
      </c>
    </row>
    <row r="2" spans="1:13" x14ac:dyDescent="0.25">
      <c r="G2" s="146"/>
    </row>
    <row r="3" spans="1:13" x14ac:dyDescent="0.25">
      <c r="A3" s="28" t="s">
        <v>126</v>
      </c>
      <c r="B3" s="162" t="s">
        <v>102</v>
      </c>
      <c r="C3" s="163"/>
      <c r="D3" s="163"/>
      <c r="E3" s="164"/>
      <c r="F3" s="11"/>
      <c r="G3" s="77" t="s">
        <v>110</v>
      </c>
      <c r="H3" s="77" t="s">
        <v>105</v>
      </c>
      <c r="I3" s="77" t="s">
        <v>106</v>
      </c>
      <c r="J3" s="77" t="s">
        <v>107</v>
      </c>
      <c r="K3" s="77" t="s">
        <v>108</v>
      </c>
      <c r="L3" s="77" t="s">
        <v>113</v>
      </c>
      <c r="M3" s="77" t="s">
        <v>109</v>
      </c>
    </row>
    <row r="4" spans="1:13" x14ac:dyDescent="0.25">
      <c r="A4" s="28"/>
      <c r="B4" s="226" t="s">
        <v>168</v>
      </c>
      <c r="C4" s="67"/>
      <c r="D4" s="72"/>
      <c r="E4" s="227">
        <f>Assumptions!F17</f>
        <v>0.12</v>
      </c>
      <c r="G4" s="138"/>
      <c r="H4" s="139"/>
      <c r="I4" s="80"/>
      <c r="J4" s="81"/>
      <c r="K4" s="141"/>
      <c r="L4" s="153">
        <f>E4</f>
        <v>0.12</v>
      </c>
      <c r="M4" s="142">
        <f>H4/((1+K4*(1-L4)))</f>
        <v>0</v>
      </c>
    </row>
    <row r="5" spans="1:13" x14ac:dyDescent="0.25">
      <c r="A5" s="28"/>
      <c r="B5" s="67" t="s">
        <v>95</v>
      </c>
      <c r="C5" s="67"/>
      <c r="D5" s="72"/>
      <c r="E5" s="137">
        <v>0.04</v>
      </c>
      <c r="G5" s="138"/>
      <c r="H5" s="139"/>
      <c r="I5" s="80"/>
      <c r="J5" s="81"/>
      <c r="K5" s="141"/>
      <c r="L5" s="153">
        <f>L4</f>
        <v>0.12</v>
      </c>
      <c r="M5" s="142">
        <f t="shared" ref="M5:M7" si="0">H5/((1+K5*(1-L5)))</f>
        <v>0</v>
      </c>
    </row>
    <row r="6" spans="1:13" x14ac:dyDescent="0.25">
      <c r="A6" s="28"/>
      <c r="B6" s="67" t="s">
        <v>96</v>
      </c>
      <c r="C6" s="67"/>
      <c r="D6" s="72"/>
      <c r="E6" s="137">
        <v>0.05</v>
      </c>
      <c r="G6" s="138"/>
      <c r="H6" s="140"/>
      <c r="I6" s="82"/>
      <c r="J6" s="81"/>
      <c r="K6" s="141"/>
      <c r="L6" s="153">
        <f t="shared" ref="L6:L7" si="1">L5</f>
        <v>0.12</v>
      </c>
      <c r="M6" s="142">
        <f t="shared" si="0"/>
        <v>0</v>
      </c>
    </row>
    <row r="7" spans="1:13" x14ac:dyDescent="0.25">
      <c r="A7" s="28"/>
      <c r="B7" s="67" t="s">
        <v>97</v>
      </c>
      <c r="C7" s="67"/>
      <c r="D7" s="72"/>
      <c r="E7" s="199">
        <f>1.35*0.66</f>
        <v>0.89100000000000013</v>
      </c>
      <c r="G7" s="138"/>
      <c r="H7" s="140"/>
      <c r="I7" s="82"/>
      <c r="J7" s="83"/>
      <c r="K7" s="141"/>
      <c r="L7" s="153">
        <f t="shared" si="1"/>
        <v>0.12</v>
      </c>
      <c r="M7" s="142">
        <f t="shared" si="0"/>
        <v>0</v>
      </c>
    </row>
    <row r="8" spans="1:13" x14ac:dyDescent="0.25">
      <c r="A8" s="28"/>
      <c r="B8" s="67" t="s">
        <v>98</v>
      </c>
      <c r="C8" s="67"/>
      <c r="D8" s="72"/>
      <c r="E8" s="137">
        <f>E5+E6*E7</f>
        <v>8.4550000000000014E-2</v>
      </c>
      <c r="L8" s="66"/>
    </row>
    <row r="9" spans="1:13" x14ac:dyDescent="0.25">
      <c r="A9" s="28"/>
      <c r="B9" s="68" t="s">
        <v>99</v>
      </c>
      <c r="C9" s="68"/>
      <c r="D9" s="73"/>
      <c r="E9" s="143">
        <f>1-E10</f>
        <v>0.91872224790239665</v>
      </c>
      <c r="G9" s="4" t="s">
        <v>111</v>
      </c>
      <c r="L9" s="28"/>
      <c r="M9" s="198">
        <f>AVERAGE(M4:M7)</f>
        <v>0</v>
      </c>
    </row>
    <row r="10" spans="1:13" x14ac:dyDescent="0.25">
      <c r="A10" s="28"/>
      <c r="B10" s="69" t="s">
        <v>100</v>
      </c>
      <c r="C10" s="69"/>
      <c r="D10" s="74"/>
      <c r="E10" s="144">
        <f>MAIN!F8/MAIN!F6</f>
        <v>8.1277752097603337E-2</v>
      </c>
      <c r="M10" s="66"/>
    </row>
    <row r="11" spans="1:13" x14ac:dyDescent="0.25">
      <c r="A11" s="28"/>
      <c r="B11" s="161" t="s">
        <v>183</v>
      </c>
      <c r="C11" s="70"/>
      <c r="D11" s="75"/>
      <c r="E11" s="145">
        <f>Assumptions!F25</f>
        <v>3.9324999999999999E-2</v>
      </c>
      <c r="G11" s="4" t="s">
        <v>112</v>
      </c>
      <c r="L11" s="28"/>
      <c r="M11" s="198">
        <f>M9*(1+E10*(1-E4))</f>
        <v>0</v>
      </c>
    </row>
    <row r="12" spans="1:13" x14ac:dyDescent="0.25">
      <c r="A12" s="28"/>
      <c r="B12" s="71" t="s">
        <v>101</v>
      </c>
      <c r="C12" s="71"/>
      <c r="D12" s="76"/>
      <c r="E12" s="145">
        <f>E11*(1-E4)</f>
        <v>3.4605999999999998E-2</v>
      </c>
      <c r="M12" s="66"/>
    </row>
    <row r="13" spans="1:13" s="11" customFormat="1" x14ac:dyDescent="0.25">
      <c r="A13" s="25" t="s">
        <v>126</v>
      </c>
      <c r="B13" s="162" t="s">
        <v>102</v>
      </c>
      <c r="C13" s="163"/>
      <c r="D13" s="164"/>
      <c r="E13" s="158">
        <f>WACC!E8*WACC!E9+WACC!E12*WACC!E10</f>
        <v>8.0490663949237318E-2</v>
      </c>
      <c r="F13" s="4"/>
    </row>
    <row r="14" spans="1:13" s="11" customFormat="1" x14ac:dyDescent="0.25">
      <c r="A14" s="25"/>
      <c r="B14" s="77" t="s">
        <v>103</v>
      </c>
      <c r="C14" s="77"/>
      <c r="D14" s="114"/>
      <c r="E14" s="147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J34" sqref="J34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3" width="11.7109375" style="4" customWidth="1"/>
    <col min="14" max="16384" width="9" style="4"/>
  </cols>
  <sheetData>
    <row r="1" spans="1:14" ht="19.5" x14ac:dyDescent="0.3">
      <c r="A1" s="223" t="str">
        <f>CoName</f>
        <v>Intel Corp.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</row>
    <row r="2" spans="1:14" x14ac:dyDescent="0.25">
      <c r="A2" s="77" t="s">
        <v>114</v>
      </c>
      <c r="B2" s="20"/>
      <c r="C2" s="42"/>
      <c r="D2" s="77">
        <v>1</v>
      </c>
      <c r="E2" s="77">
        <f>D2+1</f>
        <v>2</v>
      </c>
      <c r="F2" s="77">
        <f t="shared" ref="F2:H2" si="0">E2+1</f>
        <v>3</v>
      </c>
      <c r="G2" s="77">
        <f t="shared" si="0"/>
        <v>4</v>
      </c>
      <c r="H2" s="77">
        <f t="shared" si="0"/>
        <v>5</v>
      </c>
      <c r="I2" s="77">
        <f t="shared" ref="I2" si="1">H2+1</f>
        <v>6</v>
      </c>
      <c r="J2" s="77">
        <f t="shared" ref="J2" si="2">I2+1</f>
        <v>7</v>
      </c>
      <c r="K2" s="77">
        <f t="shared" ref="K2" si="3">J2+1</f>
        <v>8</v>
      </c>
      <c r="L2" s="77">
        <f t="shared" ref="L2" si="4">K2+1</f>
        <v>9</v>
      </c>
      <c r="M2" s="77">
        <f t="shared" ref="M2" si="5">L2+1</f>
        <v>10</v>
      </c>
      <c r="N2" s="159"/>
    </row>
    <row r="3" spans="1:14" x14ac:dyDescent="0.25">
      <c r="B3" s="4" t="s">
        <v>188</v>
      </c>
      <c r="D3" s="8">
        <f>1/(1+$K$7)^D2</f>
        <v>0.92550545170372811</v>
      </c>
      <c r="E3" s="8">
        <f t="shared" ref="E3:M3" si="6">1/(1+$K$7)^E2</f>
        <v>0.85656034113332191</v>
      </c>
      <c r="F3" s="8">
        <f t="shared" si="6"/>
        <v>0.79275126543209451</v>
      </c>
      <c r="G3" s="8">
        <f t="shared" si="6"/>
        <v>0.73369561800243266</v>
      </c>
      <c r="H3" s="8">
        <f t="shared" si="6"/>
        <v>0.67903929435238741</v>
      </c>
      <c r="I3" s="8">
        <f t="shared" si="6"/>
        <v>0.62845456884418716</v>
      </c>
      <c r="J3" s="8">
        <f t="shared" si="6"/>
        <v>0.58163812961341121</v>
      </c>
      <c r="K3" s="8">
        <f t="shared" si="6"/>
        <v>0.53830925987597167</v>
      </c>
      <c r="L3" s="8">
        <f t="shared" si="6"/>
        <v>0.49820815471781071</v>
      </c>
      <c r="M3" s="8">
        <f t="shared" si="6"/>
        <v>0.4610943632745883</v>
      </c>
    </row>
    <row r="4" spans="1:14" x14ac:dyDescent="0.25">
      <c r="B4" s="4" t="s">
        <v>189</v>
      </c>
      <c r="D4" s="4">
        <f>D3*'Free Cash Flow'!F15</f>
        <v>-14127.271755297152</v>
      </c>
      <c r="E4" s="4">
        <f>E3*'Free Cash Flow'!G15</f>
        <v>-8813.7463690371587</v>
      </c>
      <c r="F4" s="4">
        <f>F3*'Free Cash Flow'!H15</f>
        <v>-5436.2388697269444</v>
      </c>
      <c r="G4" s="4">
        <f>G3*'Free Cash Flow'!I15</f>
        <v>-2376.6915076283349</v>
      </c>
      <c r="H4" s="4">
        <f>H3*'Free Cash Flow'!J15</f>
        <v>812.63466861906738</v>
      </c>
      <c r="I4" s="4">
        <f>I3*'Free Cash Flow'!K15</f>
        <v>3183.8434633792203</v>
      </c>
      <c r="J4" s="4">
        <f>J3*'Free Cash Flow'!L15</f>
        <v>5608.2208293528847</v>
      </c>
      <c r="K4" s="4">
        <f>K3*'Free Cash Flow'!M15</f>
        <v>9087.701528542495</v>
      </c>
      <c r="L4" s="4">
        <f>L3*'Free Cash Flow'!N15</f>
        <v>12081.093349769069</v>
      </c>
      <c r="M4" s="4">
        <f>M3*'Free Cash Flow'!O15</f>
        <v>16057.518971682986</v>
      </c>
    </row>
    <row r="5" spans="1:14" x14ac:dyDescent="0.25">
      <c r="G5" s="146"/>
      <c r="M5" s="4">
        <f>(M4*(1+K8))/(K7-K8)</f>
        <v>296607.67730282812</v>
      </c>
    </row>
    <row r="6" spans="1:14" x14ac:dyDescent="0.25">
      <c r="A6" s="77" t="s">
        <v>115</v>
      </c>
      <c r="B6" s="20"/>
      <c r="C6" s="42"/>
      <c r="D6" s="86"/>
      <c r="E6" s="77" t="s">
        <v>173</v>
      </c>
      <c r="F6" s="20"/>
      <c r="G6" s="42"/>
      <c r="H6" s="86" t="s">
        <v>169</v>
      </c>
    </row>
    <row r="7" spans="1:14" x14ac:dyDescent="0.25">
      <c r="B7" s="4" t="s">
        <v>116</v>
      </c>
      <c r="C7" s="4">
        <f>SUM(D4:M4)</f>
        <v>16077.064309656131</v>
      </c>
      <c r="E7" s="4" t="s">
        <v>116</v>
      </c>
      <c r="G7" s="4">
        <f>C7</f>
        <v>16077.064309656131</v>
      </c>
      <c r="I7" s="162" t="s">
        <v>102</v>
      </c>
      <c r="J7" s="163"/>
      <c r="K7" s="158">
        <f>WACC!E13</f>
        <v>8.0490663949237318E-2</v>
      </c>
    </row>
    <row r="8" spans="1:14" x14ac:dyDescent="0.25">
      <c r="B8" s="4" t="s">
        <v>117</v>
      </c>
      <c r="C8" s="4">
        <f>M5*M3</f>
        <v>136764.12810830207</v>
      </c>
      <c r="E8" s="4" t="s">
        <v>174</v>
      </c>
      <c r="G8" s="4">
        <f>H3*IncState!J25*'DCF Model'!G10</f>
        <v>178138.64310416218</v>
      </c>
      <c r="I8" s="77" t="s">
        <v>103</v>
      </c>
      <c r="J8" s="77"/>
      <c r="K8" s="147">
        <v>2.5000000000000001E-2</v>
      </c>
    </row>
    <row r="9" spans="1:14" x14ac:dyDescent="0.25">
      <c r="B9" s="4" t="s">
        <v>118</v>
      </c>
      <c r="C9" s="4">
        <f>SUM(C7:C8)</f>
        <v>152841.1924179582</v>
      </c>
      <c r="E9" s="4" t="s">
        <v>118</v>
      </c>
      <c r="G9" s="4">
        <f>SUM(G7:G8)</f>
        <v>194215.70741381831</v>
      </c>
    </row>
    <row r="10" spans="1:14" x14ac:dyDescent="0.25">
      <c r="C10" s="85"/>
      <c r="E10" s="4" t="s">
        <v>119</v>
      </c>
      <c r="G10" s="85">
        <v>7.5</v>
      </c>
    </row>
    <row r="11" spans="1:14" x14ac:dyDescent="0.25">
      <c r="I11" s="159"/>
    </row>
    <row r="12" spans="1:14" x14ac:dyDescent="0.25">
      <c r="B12" s="28" t="s">
        <v>120</v>
      </c>
      <c r="C12" s="37">
        <f>MAIN!F7</f>
        <v>30935</v>
      </c>
      <c r="E12" s="28" t="s">
        <v>120</v>
      </c>
      <c r="F12" s="156"/>
      <c r="G12" s="37">
        <f>C12</f>
        <v>30935</v>
      </c>
      <c r="I12" s="159"/>
    </row>
    <row r="13" spans="1:14" x14ac:dyDescent="0.25">
      <c r="B13" s="28" t="s">
        <v>121</v>
      </c>
      <c r="C13" s="37">
        <f>MAIN!F8</f>
        <v>13926</v>
      </c>
      <c r="E13" s="28" t="s">
        <v>121</v>
      </c>
      <c r="F13" s="156"/>
      <c r="G13" s="37">
        <f>C13</f>
        <v>13926</v>
      </c>
    </row>
    <row r="14" spans="1:14" x14ac:dyDescent="0.25">
      <c r="B14" s="28" t="s">
        <v>122</v>
      </c>
      <c r="C14" s="37">
        <v>0</v>
      </c>
      <c r="E14" s="4" t="s">
        <v>122</v>
      </c>
      <c r="G14" s="79">
        <v>0</v>
      </c>
    </row>
    <row r="15" spans="1:14" x14ac:dyDescent="0.25">
      <c r="B15" s="4" t="s">
        <v>123</v>
      </c>
      <c r="C15" s="66">
        <f>C9+C12-C13-C14</f>
        <v>169850.1924179582</v>
      </c>
      <c r="E15" s="4" t="s">
        <v>123</v>
      </c>
      <c r="G15" s="66">
        <f>G9+G12-G13-G14</f>
        <v>211224.70741381831</v>
      </c>
    </row>
    <row r="17" spans="1:17" x14ac:dyDescent="0.25">
      <c r="B17" s="4" t="s">
        <v>124</v>
      </c>
      <c r="C17" s="4">
        <f>MAIN!F5</f>
        <v>4770</v>
      </c>
      <c r="E17" s="4" t="s">
        <v>124</v>
      </c>
      <c r="G17" s="4">
        <f>C17</f>
        <v>4770</v>
      </c>
    </row>
    <row r="18" spans="1:17" x14ac:dyDescent="0.25">
      <c r="A18" s="4" t="s">
        <v>126</v>
      </c>
      <c r="B18" s="148" t="s">
        <v>125</v>
      </c>
      <c r="C18" s="157">
        <f>C15/C17</f>
        <v>35.608006796217651</v>
      </c>
      <c r="E18" s="148" t="s">
        <v>125</v>
      </c>
      <c r="F18" s="156"/>
      <c r="G18" s="157">
        <f>G15/G17</f>
        <v>44.281909311073022</v>
      </c>
    </row>
    <row r="19" spans="1:17" x14ac:dyDescent="0.25">
      <c r="C19" s="22"/>
    </row>
    <row r="20" spans="1:17" x14ac:dyDescent="0.25">
      <c r="A20" s="115" t="s">
        <v>148</v>
      </c>
      <c r="B20" s="20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95"/>
    </row>
    <row r="21" spans="1:17" x14ac:dyDescent="0.25">
      <c r="B21" s="116"/>
      <c r="C21" s="116"/>
      <c r="D21" s="116"/>
      <c r="E21" s="116"/>
      <c r="F21" s="116"/>
      <c r="G21" s="116"/>
      <c r="H21" s="116"/>
      <c r="I21" s="116"/>
    </row>
    <row r="22" spans="1:17" x14ac:dyDescent="0.25">
      <c r="B22" s="116"/>
      <c r="C22" s="116" t="s">
        <v>149</v>
      </c>
      <c r="D22" s="116"/>
      <c r="E22" s="117">
        <v>5.0000000000000001E-3</v>
      </c>
      <c r="F22" s="116"/>
      <c r="G22" s="116"/>
      <c r="J22" s="116" t="s">
        <v>149</v>
      </c>
      <c r="K22" s="116"/>
      <c r="L22" s="117">
        <v>5.0000000000000001E-3</v>
      </c>
    </row>
    <row r="23" spans="1:17" x14ac:dyDescent="0.25">
      <c r="B23" s="116"/>
      <c r="C23" s="116" t="s">
        <v>150</v>
      </c>
      <c r="D23" s="116"/>
      <c r="E23" s="149">
        <v>2.5000000000000001E-3</v>
      </c>
      <c r="F23" s="116"/>
      <c r="G23" s="116"/>
      <c r="J23" s="116" t="s">
        <v>172</v>
      </c>
      <c r="K23" s="116"/>
      <c r="L23" s="155">
        <v>1</v>
      </c>
    </row>
    <row r="24" spans="1:17" x14ac:dyDescent="0.25">
      <c r="B24" s="116"/>
      <c r="C24" s="116"/>
      <c r="D24" s="116"/>
      <c r="E24" s="166"/>
      <c r="F24" s="116"/>
      <c r="G24" s="116"/>
      <c r="J24" s="116"/>
      <c r="K24" s="116"/>
      <c r="L24" s="165"/>
    </row>
    <row r="25" spans="1:17" x14ac:dyDescent="0.25">
      <c r="B25" s="116"/>
      <c r="C25" s="213"/>
      <c r="D25" s="213"/>
      <c r="E25" s="213" t="s">
        <v>226</v>
      </c>
      <c r="F25" s="213"/>
      <c r="G25" s="167"/>
      <c r="H25" s="213"/>
      <c r="I25" s="167"/>
      <c r="J25" s="167" t="s">
        <v>227</v>
      </c>
      <c r="K25" s="167"/>
      <c r="P25" s="167"/>
    </row>
    <row r="26" spans="1:17" x14ac:dyDescent="0.25">
      <c r="B26" s="11"/>
      <c r="C26" s="269">
        <f>C18</f>
        <v>35.608006796217651</v>
      </c>
      <c r="D26" s="265">
        <f>E26-E23</f>
        <v>2.2500000000000003E-2</v>
      </c>
      <c r="E26" s="265">
        <v>2.5000000000000001E-2</v>
      </c>
      <c r="F26" s="265">
        <f>E26+E23</f>
        <v>2.75E-2</v>
      </c>
      <c r="G26" s="213"/>
      <c r="H26" s="167">
        <f>G18</f>
        <v>44.281909311073022</v>
      </c>
      <c r="I26" s="270">
        <f>J26-L23</f>
        <v>6.5</v>
      </c>
      <c r="J26" s="270">
        <v>7.5</v>
      </c>
      <c r="K26" s="203">
        <f>J26+L23</f>
        <v>8.5</v>
      </c>
    </row>
    <row r="27" spans="1:17" x14ac:dyDescent="0.25">
      <c r="B27" s="11"/>
      <c r="C27" s="204">
        <f>C28+$E$22</f>
        <v>9.0490663949237327E-2</v>
      </c>
      <c r="D27" s="267">
        <f t="dataTable" ref="D27:F31" dt2D="1" dtr="1" r1="K8" r2="K7"/>
        <v>25.711473527783102</v>
      </c>
      <c r="E27" s="271">
        <v>26.501905503513562</v>
      </c>
      <c r="F27" s="266">
        <v>27.355079473547143</v>
      </c>
      <c r="G27" s="214"/>
      <c r="H27" s="204">
        <f t="shared" ref="H27:H28" si="7">C27</f>
        <v>9.0490663949237327E-2</v>
      </c>
      <c r="I27" s="267">
        <f t="dataTable" ref="I27:K31" dt2D="1" dtr="1" r1="G10" r2="K7" ca="1"/>
        <v>37.205281353851362</v>
      </c>
      <c r="J27" s="268">
        <v>41.960536584694736</v>
      </c>
      <c r="K27" s="267">
        <v>46.715791815538111</v>
      </c>
      <c r="N27" s="215"/>
      <c r="P27" s="167"/>
    </row>
    <row r="28" spans="1:17" x14ac:dyDescent="0.25">
      <c r="B28" s="11"/>
      <c r="C28" s="204">
        <f>C29+$E$22</f>
        <v>8.5490663949237322E-2</v>
      </c>
      <c r="D28" s="267">
        <v>29.582076817269357</v>
      </c>
      <c r="E28" s="271">
        <v>30.590052290296764</v>
      </c>
      <c r="F28" s="267">
        <v>31.684936189990047</v>
      </c>
      <c r="G28" s="167"/>
      <c r="H28" s="204">
        <f t="shared" si="7"/>
        <v>8.5490663949237322E-2</v>
      </c>
      <c r="I28" s="267">
        <v>38.235752239370598</v>
      </c>
      <c r="J28" s="268">
        <v>43.10153962557996</v>
      </c>
      <c r="K28" s="267">
        <v>47.967327011789337</v>
      </c>
      <c r="N28" s="216"/>
      <c r="O28" s="47"/>
      <c r="P28" s="47"/>
      <c r="Q28" s="47"/>
    </row>
    <row r="29" spans="1:17" x14ac:dyDescent="0.25">
      <c r="C29" s="204">
        <v>8.0490663949237318E-2</v>
      </c>
      <c r="D29" s="268">
        <v>34.305041337180384</v>
      </c>
      <c r="E29" s="272">
        <v>35.608006796217651</v>
      </c>
      <c r="F29" s="268">
        <v>37.03391518160565</v>
      </c>
      <c r="G29" s="167"/>
      <c r="H29" s="204">
        <f>C29</f>
        <v>8.0490663949237318E-2</v>
      </c>
      <c r="I29" s="268">
        <v>39.302492313053108</v>
      </c>
      <c r="J29" s="268">
        <v>44.281909311073022</v>
      </c>
      <c r="K29" s="268">
        <v>49.261326309092922</v>
      </c>
      <c r="L29" s="11"/>
      <c r="N29" s="216"/>
      <c r="O29" s="47"/>
      <c r="P29" s="47"/>
      <c r="Q29" s="47"/>
    </row>
    <row r="30" spans="1:17" x14ac:dyDescent="0.25">
      <c r="C30" s="204">
        <f>C29-$E$22</f>
        <v>7.5490663949237313E-2</v>
      </c>
      <c r="D30" s="267">
        <v>40.143985001821839</v>
      </c>
      <c r="E30" s="268">
        <v>41.855471854842165</v>
      </c>
      <c r="F30" s="267">
        <v>43.745273270756527</v>
      </c>
      <c r="G30" s="204"/>
      <c r="H30" s="204">
        <f t="shared" ref="H30:H31" si="8">C30</f>
        <v>7.5490663949237313E-2</v>
      </c>
      <c r="I30" s="267">
        <v>40.407028783457022</v>
      </c>
      <c r="J30" s="268">
        <v>45.503274591320292</v>
      </c>
      <c r="K30" s="266">
        <v>50.599520399183568</v>
      </c>
      <c r="M30" s="47"/>
      <c r="N30" s="47"/>
      <c r="O30" s="85"/>
      <c r="P30" s="85"/>
      <c r="Q30" s="85"/>
    </row>
    <row r="31" spans="1:17" x14ac:dyDescent="0.25">
      <c r="C31" s="204">
        <f>C30-$E$22</f>
        <v>7.0490663949237309E-2</v>
      </c>
      <c r="D31" s="267">
        <v>47.475307383820137</v>
      </c>
      <c r="E31" s="268">
        <v>49.767000338089851</v>
      </c>
      <c r="F31" s="267">
        <v>52.325227086414898</v>
      </c>
      <c r="G31" s="204"/>
      <c r="H31" s="204">
        <f t="shared" si="8"/>
        <v>7.0490663949237309E-2</v>
      </c>
      <c r="I31" s="267">
        <v>41.550964301645671</v>
      </c>
      <c r="J31" s="268">
        <v>46.767343696251103</v>
      </c>
      <c r="K31" s="266">
        <v>51.983723090856543</v>
      </c>
      <c r="M31" s="47"/>
      <c r="N31" s="47"/>
      <c r="O31" s="85"/>
      <c r="P31" s="85"/>
      <c r="Q31" s="85"/>
    </row>
    <row r="32" spans="1:17" x14ac:dyDescent="0.25">
      <c r="D32" s="47"/>
      <c r="E32" s="146"/>
      <c r="F32" s="204"/>
      <c r="G32" s="204"/>
      <c r="H32" s="205"/>
      <c r="I32" s="205"/>
      <c r="J32" s="205"/>
      <c r="K32" s="217"/>
      <c r="L32" s="146"/>
      <c r="M32" s="47"/>
      <c r="N32" s="47"/>
      <c r="O32" s="85"/>
      <c r="P32" s="85"/>
      <c r="Q32" s="85"/>
    </row>
    <row r="33" spans="2:17" x14ac:dyDescent="0.25">
      <c r="D33" s="47"/>
      <c r="E33" s="273" t="s">
        <v>225</v>
      </c>
      <c r="F33" s="204"/>
      <c r="G33" s="204"/>
      <c r="H33" s="205"/>
      <c r="I33" s="205"/>
      <c r="J33" s="273" t="s">
        <v>225</v>
      </c>
      <c r="K33" s="215"/>
      <c r="M33" s="47"/>
      <c r="N33" s="47"/>
      <c r="O33" s="85"/>
      <c r="P33" s="85"/>
      <c r="Q33" s="85"/>
    </row>
    <row r="34" spans="2:17" x14ac:dyDescent="0.25">
      <c r="D34" s="47"/>
      <c r="E34" s="272">
        <f>AVERAGE(D27:F31)</f>
        <v>36.912316803543277</v>
      </c>
      <c r="F34" s="204"/>
      <c r="G34" s="204"/>
      <c r="H34" s="205"/>
      <c r="I34" s="205"/>
      <c r="J34" s="272">
        <f>AVERAGE(I27:K31)</f>
        <v>44.32292076178382</v>
      </c>
      <c r="K34" s="215"/>
      <c r="M34" s="47"/>
      <c r="N34" s="47"/>
      <c r="O34" s="85"/>
      <c r="P34" s="85"/>
      <c r="Q34" s="85"/>
    </row>
    <row r="35" spans="2:17" x14ac:dyDescent="0.25">
      <c r="B35" s="218"/>
      <c r="C35" s="218"/>
      <c r="D35" s="218"/>
      <c r="E35" s="219"/>
      <c r="F35" s="220"/>
      <c r="G35" s="219"/>
    </row>
    <row r="36" spans="2:17" x14ac:dyDescent="0.25">
      <c r="B36" s="116"/>
      <c r="C36" s="116"/>
      <c r="D36" s="116"/>
      <c r="E36" s="116"/>
      <c r="F36" s="213"/>
      <c r="G36" s="213"/>
      <c r="H36" s="213"/>
      <c r="I36" s="167"/>
      <c r="J36" s="167"/>
      <c r="P36" s="167"/>
    </row>
    <row r="37" spans="2:17" x14ac:dyDescent="0.25">
      <c r="F37" s="206"/>
      <c r="G37" s="206"/>
      <c r="H37" s="204"/>
      <c r="I37" s="204"/>
      <c r="J37" s="204"/>
      <c r="M37" s="167"/>
      <c r="O37" s="85"/>
      <c r="P37" s="85"/>
      <c r="Q37" s="85"/>
    </row>
    <row r="38" spans="2:17" x14ac:dyDescent="0.25">
      <c r="E38" s="47"/>
      <c r="F38" s="203"/>
      <c r="G38" s="203"/>
      <c r="H38" s="204"/>
      <c r="I38" s="204"/>
      <c r="J38" s="204"/>
      <c r="L38" s="85"/>
      <c r="M38" s="85"/>
      <c r="N38" s="264"/>
      <c r="O38" s="85"/>
      <c r="P38" s="85"/>
      <c r="Q38" s="85"/>
    </row>
    <row r="39" spans="2:17" x14ac:dyDescent="0.25">
      <c r="E39" s="47"/>
      <c r="F39" s="204"/>
      <c r="G39" s="204"/>
      <c r="H39" s="203"/>
      <c r="I39" s="203"/>
      <c r="J39" s="203"/>
      <c r="K39" s="47"/>
      <c r="M39" s="47"/>
      <c r="N39" s="47"/>
      <c r="O39" s="221"/>
      <c r="P39" s="221"/>
      <c r="Q39" s="221"/>
    </row>
    <row r="40" spans="2:17" x14ac:dyDescent="0.25">
      <c r="D40" s="8"/>
      <c r="E40" s="47"/>
      <c r="F40" s="204"/>
      <c r="G40" s="204"/>
      <c r="H40" s="203"/>
      <c r="I40" s="203"/>
      <c r="J40" s="203"/>
      <c r="K40" s="8"/>
      <c r="L40" s="47"/>
      <c r="M40" s="47"/>
      <c r="N40" s="47"/>
      <c r="O40" s="221"/>
      <c r="P40" s="221"/>
      <c r="Q40" s="221"/>
    </row>
    <row r="41" spans="2:17" x14ac:dyDescent="0.25">
      <c r="D41" s="8"/>
      <c r="E41" s="146"/>
      <c r="F41" s="204"/>
      <c r="G41" s="204"/>
      <c r="H41" s="203"/>
      <c r="I41" s="203"/>
      <c r="J41" s="203"/>
      <c r="K41" s="8"/>
      <c r="L41" s="146"/>
      <c r="M41" s="47"/>
      <c r="N41" s="47"/>
      <c r="O41" s="221"/>
      <c r="P41" s="221"/>
      <c r="Q41" s="221"/>
    </row>
    <row r="42" spans="2:17" x14ac:dyDescent="0.25">
      <c r="D42" s="8"/>
      <c r="E42" s="47"/>
      <c r="F42" s="204"/>
      <c r="G42" s="204"/>
      <c r="H42" s="203"/>
      <c r="I42" s="203"/>
      <c r="J42" s="203"/>
      <c r="K42" s="8"/>
      <c r="L42" s="47"/>
      <c r="M42" s="47"/>
      <c r="N42" s="47"/>
      <c r="O42" s="221"/>
      <c r="P42" s="221"/>
      <c r="Q42" s="221"/>
    </row>
    <row r="43" spans="2:17" x14ac:dyDescent="0.25">
      <c r="D43" s="8"/>
      <c r="E43" s="8"/>
      <c r="F43" s="204"/>
      <c r="G43" s="204"/>
      <c r="H43" s="203"/>
      <c r="I43" s="203"/>
      <c r="J43" s="203"/>
      <c r="K43" s="8"/>
      <c r="L43" s="47"/>
      <c r="M43" s="47"/>
      <c r="N43" s="47"/>
      <c r="O43" s="221"/>
      <c r="P43" s="221"/>
      <c r="Q43" s="221"/>
    </row>
    <row r="44" spans="2:17" x14ac:dyDescent="0.25">
      <c r="D44" s="8"/>
      <c r="E44" s="8"/>
      <c r="F44" s="85"/>
      <c r="G44" s="85"/>
      <c r="H44" s="85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10" ma:contentTypeDescription="Create a new document." ma:contentTypeScope="" ma:versionID="979382d4d85767280971cfeb8d20e52f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08e7ddf66899422b622c408d25397b6a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9C292E-9853-4E06-B2D9-0845787555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a26cf8-717e-46a4-ac0d-03f11284dc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88a26cf8-717e-46a4-ac0d-03f11284dc6b"/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2025-11-13T23:12:26Z</cp:lastPrinted>
  <dcterms:created xsi:type="dcterms:W3CDTF">2008-02-13T09:24:48Z</dcterms:created>
  <dcterms:modified xsi:type="dcterms:W3CDTF">2025-11-13T23:20:09Z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