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724" documentId="8_{2D53B421-E1AF-47B7-A775-7B0DB0BD07FA}" xr6:coauthVersionLast="47" xr6:coauthVersionMax="47" xr10:uidLastSave="{1C1D30D4-B076-4C33-A3E6-8DE66D5F7F34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 iterate="1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2" l="1"/>
  <c r="H32" i="12"/>
  <c r="H30" i="12"/>
  <c r="H29" i="12"/>
  <c r="H31" i="12"/>
  <c r="K28" i="12"/>
  <c r="I28" i="12"/>
  <c r="D28" i="12"/>
  <c r="H33" i="13"/>
  <c r="I33" i="13"/>
  <c r="J33" i="13"/>
  <c r="G33" i="13"/>
  <c r="G17" i="12"/>
  <c r="G13" i="12"/>
  <c r="G12" i="12"/>
  <c r="C17" i="12"/>
  <c r="C13" i="12"/>
  <c r="C12" i="12"/>
  <c r="E7" i="11"/>
  <c r="K4" i="12"/>
  <c r="E9" i="11"/>
  <c r="I7" i="11"/>
  <c r="I5" i="11"/>
  <c r="K5" i="11" s="1"/>
  <c r="K6" i="11"/>
  <c r="K7" i="11"/>
  <c r="K4" i="11"/>
  <c r="G3" i="10"/>
  <c r="H3" i="10"/>
  <c r="I3" i="10"/>
  <c r="J3" i="10"/>
  <c r="G4" i="10"/>
  <c r="H4" i="10"/>
  <c r="I4" i="10"/>
  <c r="J4" i="10"/>
  <c r="G5" i="10"/>
  <c r="H5" i="10"/>
  <c r="I5" i="10"/>
  <c r="J5" i="10"/>
  <c r="G7" i="10"/>
  <c r="H7" i="10"/>
  <c r="I7" i="10"/>
  <c r="J7" i="10"/>
  <c r="G8" i="10"/>
  <c r="G9" i="10"/>
  <c r="H9" i="10"/>
  <c r="I9" i="10"/>
  <c r="J9" i="10"/>
  <c r="G10" i="10"/>
  <c r="H10" i="10"/>
  <c r="I10" i="10"/>
  <c r="J10" i="10"/>
  <c r="G11" i="10"/>
  <c r="H11" i="10"/>
  <c r="I11" i="10"/>
  <c r="J11" i="10"/>
  <c r="G12" i="10"/>
  <c r="H12" i="10"/>
  <c r="I12" i="10"/>
  <c r="J12" i="10"/>
  <c r="G4" i="9"/>
  <c r="G5" i="9"/>
  <c r="H5" i="9"/>
  <c r="I5" i="9"/>
  <c r="J5" i="9"/>
  <c r="G6" i="9"/>
  <c r="H6" i="9"/>
  <c r="I6" i="9"/>
  <c r="J6" i="9"/>
  <c r="G7" i="9"/>
  <c r="H7" i="9"/>
  <c r="I7" i="9"/>
  <c r="J7" i="9"/>
  <c r="G8" i="9"/>
  <c r="H8" i="9"/>
  <c r="I8" i="9"/>
  <c r="J8" i="9"/>
  <c r="G15" i="9"/>
  <c r="H15" i="9"/>
  <c r="I15" i="9"/>
  <c r="J15" i="9"/>
  <c r="G16" i="9"/>
  <c r="H16" i="9"/>
  <c r="I16" i="9"/>
  <c r="J16" i="9"/>
  <c r="G21" i="9"/>
  <c r="G15" i="8"/>
  <c r="H15" i="8"/>
  <c r="I15" i="8"/>
  <c r="J15" i="8"/>
  <c r="G17" i="8"/>
  <c r="G20" i="5" s="1"/>
  <c r="H17" i="8"/>
  <c r="H20" i="5" s="1"/>
  <c r="I17" i="8"/>
  <c r="I20" i="5" s="1"/>
  <c r="J17" i="8"/>
  <c r="J20" i="5" s="1"/>
  <c r="G18" i="8"/>
  <c r="G21" i="5" s="1"/>
  <c r="H18" i="8"/>
  <c r="H21" i="5" s="1"/>
  <c r="I18" i="8"/>
  <c r="I21" i="5" s="1"/>
  <c r="J18" i="8"/>
  <c r="G22" i="8"/>
  <c r="H22" i="8"/>
  <c r="I22" i="8"/>
  <c r="J22" i="8"/>
  <c r="G23" i="8"/>
  <c r="H23" i="8"/>
  <c r="I23" i="8"/>
  <c r="J23" i="8"/>
  <c r="G24" i="8"/>
  <c r="H24" i="8"/>
  <c r="I24" i="8"/>
  <c r="J24" i="8"/>
  <c r="G30" i="8"/>
  <c r="H30" i="8"/>
  <c r="I30" i="8"/>
  <c r="J30" i="8"/>
  <c r="G31" i="8"/>
  <c r="H31" i="8"/>
  <c r="I31" i="8"/>
  <c r="J31" i="8"/>
  <c r="G34" i="8"/>
  <c r="H34" i="8"/>
  <c r="I34" i="8"/>
  <c r="J34" i="8"/>
  <c r="G35" i="8"/>
  <c r="H35" i="8"/>
  <c r="I35" i="8"/>
  <c r="J35" i="8"/>
  <c r="G36" i="8"/>
  <c r="H36" i="8"/>
  <c r="I36" i="8"/>
  <c r="J36" i="8"/>
  <c r="G2" i="6"/>
  <c r="H2" i="6" s="1"/>
  <c r="I2" i="6" s="1"/>
  <c r="J2" i="6" s="1"/>
  <c r="F2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5" i="6"/>
  <c r="H25" i="6"/>
  <c r="I25" i="6"/>
  <c r="J25" i="6"/>
  <c r="G26" i="6"/>
  <c r="G27" i="6"/>
  <c r="G28" i="6"/>
  <c r="G32" i="6"/>
  <c r="H32" i="6"/>
  <c r="I32" i="6"/>
  <c r="J32" i="6"/>
  <c r="G17" i="7"/>
  <c r="H17" i="7"/>
  <c r="I17" i="7"/>
  <c r="J17" i="7"/>
  <c r="G18" i="7"/>
  <c r="H18" i="7"/>
  <c r="I18" i="7"/>
  <c r="J18" i="7"/>
  <c r="G19" i="7"/>
  <c r="H19" i="7"/>
  <c r="I19" i="7"/>
  <c r="J19" i="7"/>
  <c r="H20" i="7"/>
  <c r="I20" i="7"/>
  <c r="J20" i="7"/>
  <c r="H21" i="7"/>
  <c r="I21" i="7"/>
  <c r="J21" i="7"/>
  <c r="G23" i="7"/>
  <c r="G24" i="7"/>
  <c r="H24" i="7"/>
  <c r="I24" i="7"/>
  <c r="J24" i="7"/>
  <c r="G27" i="7"/>
  <c r="H27" i="7"/>
  <c r="I27" i="7"/>
  <c r="J27" i="7"/>
  <c r="G28" i="7"/>
  <c r="H28" i="7"/>
  <c r="I28" i="7"/>
  <c r="J28" i="7"/>
  <c r="G30" i="7"/>
  <c r="H30" i="7"/>
  <c r="I30" i="7"/>
  <c r="J30" i="7"/>
  <c r="G31" i="7"/>
  <c r="H31" i="7"/>
  <c r="I31" i="7"/>
  <c r="J31" i="7"/>
  <c r="G37" i="7"/>
  <c r="H37" i="7"/>
  <c r="I37" i="7"/>
  <c r="J37" i="7"/>
  <c r="G40" i="7"/>
  <c r="H40" i="7"/>
  <c r="I40" i="7"/>
  <c r="J40" i="7"/>
  <c r="G41" i="7"/>
  <c r="H41" i="7"/>
  <c r="I41" i="7"/>
  <c r="J41" i="7"/>
  <c r="F31" i="7"/>
  <c r="F30" i="7"/>
  <c r="F33" i="7" s="1"/>
  <c r="F32" i="6"/>
  <c r="F28" i="6"/>
  <c r="F27" i="6"/>
  <c r="F26" i="6"/>
  <c r="F25" i="6"/>
  <c r="G6" i="5"/>
  <c r="G8" i="5"/>
  <c r="G10" i="5"/>
  <c r="H10" i="5"/>
  <c r="I10" i="5"/>
  <c r="J10" i="5"/>
  <c r="G11" i="5"/>
  <c r="H11" i="5"/>
  <c r="I11" i="5"/>
  <c r="J11" i="5"/>
  <c r="G16" i="5"/>
  <c r="H16" i="5"/>
  <c r="I16" i="5"/>
  <c r="J16" i="5"/>
  <c r="G18" i="5"/>
  <c r="H18" i="5"/>
  <c r="I18" i="5"/>
  <c r="J18" i="5"/>
  <c r="J21" i="5"/>
  <c r="G22" i="5"/>
  <c r="H22" i="5"/>
  <c r="I22" i="5"/>
  <c r="J22" i="5"/>
  <c r="G23" i="5"/>
  <c r="H23" i="5"/>
  <c r="I23" i="5"/>
  <c r="J23" i="5"/>
  <c r="F13" i="10"/>
  <c r="F9" i="10"/>
  <c r="F10" i="10"/>
  <c r="F11" i="10"/>
  <c r="F12" i="10"/>
  <c r="F8" i="10"/>
  <c r="F21" i="9"/>
  <c r="B22" i="9"/>
  <c r="F16" i="9"/>
  <c r="F15" i="9"/>
  <c r="F12" i="9"/>
  <c r="F11" i="9"/>
  <c r="F8" i="9"/>
  <c r="F7" i="9"/>
  <c r="F6" i="9"/>
  <c r="F25" i="5"/>
  <c r="F24" i="5"/>
  <c r="E24" i="5"/>
  <c r="F23" i="5"/>
  <c r="F22" i="5"/>
  <c r="F21" i="5"/>
  <c r="F20" i="5"/>
  <c r="F19" i="5"/>
  <c r="E23" i="5"/>
  <c r="E22" i="5"/>
  <c r="E21" i="5"/>
  <c r="E20" i="5"/>
  <c r="E19" i="5"/>
  <c r="F5" i="9"/>
  <c r="F4" i="9"/>
  <c r="F16" i="5"/>
  <c r="F13" i="5"/>
  <c r="E17" i="5"/>
  <c r="F35" i="8"/>
  <c r="F34" i="8"/>
  <c r="F22" i="6"/>
  <c r="F21" i="6"/>
  <c r="F20" i="6"/>
  <c r="F19" i="6"/>
  <c r="F18" i="6"/>
  <c r="F17" i="6"/>
  <c r="E20" i="6"/>
  <c r="F31" i="8"/>
  <c r="F30" i="8"/>
  <c r="F24" i="8"/>
  <c r="F23" i="8"/>
  <c r="F22" i="8"/>
  <c r="F23" i="7"/>
  <c r="F33" i="13"/>
  <c r="F8" i="5"/>
  <c r="F6" i="5"/>
  <c r="E9" i="5"/>
  <c r="F18" i="8"/>
  <c r="F17" i="8"/>
  <c r="F15" i="8"/>
  <c r="F41" i="7"/>
  <c r="F40" i="7"/>
  <c r="F37" i="7"/>
  <c r="F25" i="7"/>
  <c r="F28" i="7"/>
  <c r="F27" i="7"/>
  <c r="F24" i="7"/>
  <c r="F21" i="7"/>
  <c r="F20" i="7"/>
  <c r="F19" i="7"/>
  <c r="F18" i="7"/>
  <c r="F17" i="7"/>
  <c r="I12" i="13"/>
  <c r="J12" i="13"/>
  <c r="H12" i="13"/>
  <c r="G12" i="13"/>
  <c r="F12" i="13"/>
  <c r="G11" i="13"/>
  <c r="H11" i="13"/>
  <c r="I11" i="13"/>
  <c r="J11" i="13"/>
  <c r="F11" i="13"/>
  <c r="W12" i="32"/>
  <c r="V11" i="32"/>
  <c r="V12" i="32"/>
  <c r="V13" i="32"/>
  <c r="AA11" i="32"/>
  <c r="AA13" i="32"/>
  <c r="AF11" i="32"/>
  <c r="AF13" i="32"/>
  <c r="V5" i="32"/>
  <c r="G3" i="32"/>
  <c r="G9" i="32"/>
  <c r="G8" i="32"/>
  <c r="G7" i="32"/>
  <c r="G6" i="32"/>
  <c r="L8" i="32"/>
  <c r="L6" i="32"/>
  <c r="L3" i="32"/>
  <c r="L5" i="32" s="1"/>
  <c r="Q8" i="32"/>
  <c r="Q6" i="32"/>
  <c r="Q3" i="32"/>
  <c r="Q5" i="32" s="1"/>
  <c r="U3" i="32"/>
  <c r="V3" i="32" s="1"/>
  <c r="D12" i="32"/>
  <c r="E12" i="32"/>
  <c r="F12" i="32"/>
  <c r="H12" i="32"/>
  <c r="I12" i="32"/>
  <c r="J12" i="32"/>
  <c r="K12" i="32"/>
  <c r="M12" i="32"/>
  <c r="N12" i="32"/>
  <c r="O12" i="32"/>
  <c r="P12" i="32"/>
  <c r="R12" i="32"/>
  <c r="S12" i="32"/>
  <c r="T12" i="32"/>
  <c r="U12" i="32" s="1"/>
  <c r="C12" i="32"/>
  <c r="AH2" i="32"/>
  <c r="I5" i="32"/>
  <c r="J5" i="32"/>
  <c r="K5" i="32"/>
  <c r="M5" i="32"/>
  <c r="N5" i="32"/>
  <c r="O5" i="32"/>
  <c r="P5" i="32"/>
  <c r="R5" i="32"/>
  <c r="S5" i="32"/>
  <c r="T5" i="32"/>
  <c r="H5" i="32"/>
  <c r="E4" i="32"/>
  <c r="F4" i="32"/>
  <c r="H4" i="32"/>
  <c r="I4" i="32"/>
  <c r="J4" i="32"/>
  <c r="K4" i="32"/>
  <c r="M4" i="32"/>
  <c r="N4" i="32"/>
  <c r="O4" i="32"/>
  <c r="P4" i="32"/>
  <c r="R4" i="32"/>
  <c r="S4" i="32"/>
  <c r="T4" i="32"/>
  <c r="D4" i="32"/>
  <c r="E9" i="32"/>
  <c r="E13" i="32" s="1"/>
  <c r="F9" i="32"/>
  <c r="F13" i="32" s="1"/>
  <c r="C9" i="32"/>
  <c r="C13" i="32" s="1"/>
  <c r="H9" i="32"/>
  <c r="D9" i="32"/>
  <c r="D13" i="32" s="1"/>
  <c r="I9" i="32"/>
  <c r="I13" i="32" s="1"/>
  <c r="F7" i="32"/>
  <c r="F11" i="32" s="1"/>
  <c r="E7" i="32"/>
  <c r="E11" i="32" s="1"/>
  <c r="D7" i="32"/>
  <c r="D11" i="32" s="1"/>
  <c r="C7" i="32"/>
  <c r="C11" i="32" s="1"/>
  <c r="J9" i="32"/>
  <c r="J13" i="32" s="1"/>
  <c r="K9" i="32"/>
  <c r="K13" i="32" s="1"/>
  <c r="P9" i="32"/>
  <c r="P13" i="32" s="1"/>
  <c r="M9" i="32"/>
  <c r="R9" i="32"/>
  <c r="O9" i="32"/>
  <c r="O13" i="32" s="1"/>
  <c r="T9" i="32"/>
  <c r="T13" i="32" s="1"/>
  <c r="U13" i="32" s="1"/>
  <c r="W13" i="32" s="1"/>
  <c r="X13" i="32" s="1"/>
  <c r="Y13" i="32" s="1"/>
  <c r="Z13" i="32" s="1"/>
  <c r="AB13" i="32" s="1"/>
  <c r="AC13" i="32" s="1"/>
  <c r="AD13" i="32" s="1"/>
  <c r="AE13" i="32" s="1"/>
  <c r="AG13" i="32" s="1"/>
  <c r="AH13" i="32" s="1"/>
  <c r="M7" i="32"/>
  <c r="K7" i="32"/>
  <c r="K11" i="32" s="1"/>
  <c r="J7" i="32"/>
  <c r="J11" i="32" s="1"/>
  <c r="I7" i="32"/>
  <c r="H7" i="32"/>
  <c r="R7" i="32"/>
  <c r="P7" i="32"/>
  <c r="O7" i="32"/>
  <c r="O11" i="32" s="1"/>
  <c r="T7" i="32"/>
  <c r="T11" i="32" s="1"/>
  <c r="U11" i="32" s="1"/>
  <c r="W11" i="32" s="1"/>
  <c r="X11" i="32" s="1"/>
  <c r="Y11" i="32" s="1"/>
  <c r="Z11" i="32" s="1"/>
  <c r="AB11" i="32" s="1"/>
  <c r="AC11" i="32" s="1"/>
  <c r="AD11" i="32" s="1"/>
  <c r="AE11" i="32" s="1"/>
  <c r="AG11" i="32" s="1"/>
  <c r="AH11" i="32" s="1"/>
  <c r="N9" i="32"/>
  <c r="N13" i="32" s="1"/>
  <c r="N7" i="32"/>
  <c r="S9" i="32"/>
  <c r="S13" i="32" s="1"/>
  <c r="S7" i="32"/>
  <c r="A1" i="32"/>
  <c r="G35" i="13"/>
  <c r="H35" i="13"/>
  <c r="I35" i="13"/>
  <c r="J35" i="13"/>
  <c r="F35" i="13"/>
  <c r="C33" i="13"/>
  <c r="D33" i="13"/>
  <c r="E33" i="13"/>
  <c r="E24" i="13"/>
  <c r="E26" i="13"/>
  <c r="D33" i="7"/>
  <c r="C33" i="7"/>
  <c r="C35" i="8"/>
  <c r="C31" i="8"/>
  <c r="C24" i="8"/>
  <c r="C22" i="8"/>
  <c r="C21" i="8"/>
  <c r="C18" i="8"/>
  <c r="C16" i="8"/>
  <c r="D35" i="8"/>
  <c r="E35" i="8"/>
  <c r="D31" i="8"/>
  <c r="E31" i="8"/>
  <c r="D21" i="8"/>
  <c r="D18" i="8"/>
  <c r="D16" i="8"/>
  <c r="E22" i="8"/>
  <c r="E21" i="8"/>
  <c r="F7" i="3"/>
  <c r="E18" i="8"/>
  <c r="D15" i="8"/>
  <c r="C15" i="8"/>
  <c r="E15" i="8"/>
  <c r="E16" i="8" s="1"/>
  <c r="C20" i="7"/>
  <c r="D20" i="7"/>
  <c r="E20" i="7"/>
  <c r="F5" i="3"/>
  <c r="C32" i="12" l="1"/>
  <c r="C33" i="12" s="1"/>
  <c r="C30" i="12"/>
  <c r="C29" i="12" s="1"/>
  <c r="F28" i="12"/>
  <c r="G19" i="5"/>
  <c r="G24" i="5" s="1"/>
  <c r="H19" i="5"/>
  <c r="H24" i="5" s="1"/>
  <c r="I19" i="5"/>
  <c r="I24" i="5" s="1"/>
  <c r="J19" i="5"/>
  <c r="J24" i="5" s="1"/>
  <c r="J33" i="7"/>
  <c r="I17" i="6"/>
  <c r="I20" i="6" s="1"/>
  <c r="H26" i="6"/>
  <c r="H27" i="6" s="1"/>
  <c r="H22" i="6"/>
  <c r="H28" i="6" s="1"/>
  <c r="G20" i="7"/>
  <c r="G21" i="7" s="1"/>
  <c r="H33" i="7"/>
  <c r="I33" i="7"/>
  <c r="J35" i="7"/>
  <c r="J36" i="7" s="1"/>
  <c r="F35" i="7"/>
  <c r="F36" i="7"/>
  <c r="X12" i="32"/>
  <c r="Y12" i="32" s="1"/>
  <c r="Z12" i="32" s="1"/>
  <c r="AB12" i="32"/>
  <c r="AC12" i="32" s="1"/>
  <c r="AD12" i="32" s="1"/>
  <c r="AE12" i="32" s="1"/>
  <c r="AA12" i="32"/>
  <c r="F6" i="13"/>
  <c r="Q7" i="32"/>
  <c r="H13" i="32"/>
  <c r="L9" i="32"/>
  <c r="H11" i="32"/>
  <c r="L7" i="32"/>
  <c r="M13" i="32"/>
  <c r="Q9" i="32"/>
  <c r="R13" i="32"/>
  <c r="R11" i="32"/>
  <c r="U6" i="32"/>
  <c r="V6" i="32" s="1"/>
  <c r="M10" i="32"/>
  <c r="M11" i="32"/>
  <c r="I10" i="32"/>
  <c r="I14" i="32" s="1"/>
  <c r="I11" i="32"/>
  <c r="P10" i="32"/>
  <c r="P14" i="32" s="1"/>
  <c r="P11" i="32"/>
  <c r="N10" i="32"/>
  <c r="N14" i="32" s="1"/>
  <c r="N11" i="32"/>
  <c r="S10" i="32"/>
  <c r="S14" i="32" s="1"/>
  <c r="S11" i="32"/>
  <c r="D10" i="32"/>
  <c r="D14" i="32" s="1"/>
  <c r="C10" i="32"/>
  <c r="H10" i="32"/>
  <c r="F10" i="32"/>
  <c r="F14" i="32" s="1"/>
  <c r="E10" i="32"/>
  <c r="E14" i="32" s="1"/>
  <c r="T10" i="32"/>
  <c r="T14" i="32" s="1"/>
  <c r="K10" i="32"/>
  <c r="K14" i="32" s="1"/>
  <c r="J10" i="32"/>
  <c r="J14" i="32" s="1"/>
  <c r="R10" i="32"/>
  <c r="O10" i="32"/>
  <c r="O14" i="32" s="1"/>
  <c r="E15" i="13"/>
  <c r="D15" i="13"/>
  <c r="E54" i="13"/>
  <c r="F54" i="13" s="1"/>
  <c r="F10" i="8" s="1"/>
  <c r="E13" i="13"/>
  <c r="D10" i="13"/>
  <c r="E10" i="13"/>
  <c r="D34" i="13"/>
  <c r="E34" i="13"/>
  <c r="F34" i="13" s="1"/>
  <c r="G34" i="13" s="1"/>
  <c r="H34" i="13" s="1"/>
  <c r="I34" i="13" s="1"/>
  <c r="J34" i="13" s="1"/>
  <c r="E56" i="13"/>
  <c r="D56" i="13"/>
  <c r="C56" i="13"/>
  <c r="E55" i="13"/>
  <c r="D55" i="13"/>
  <c r="C55" i="13"/>
  <c r="C54" i="13"/>
  <c r="E49" i="13"/>
  <c r="D49" i="13"/>
  <c r="C49" i="13"/>
  <c r="E50" i="13"/>
  <c r="D50" i="13"/>
  <c r="C50" i="13"/>
  <c r="E47" i="13"/>
  <c r="F47" i="13" s="1"/>
  <c r="D47" i="13"/>
  <c r="C47" i="13"/>
  <c r="E46" i="13"/>
  <c r="D46" i="13"/>
  <c r="C46" i="13"/>
  <c r="E45" i="13"/>
  <c r="D45" i="13"/>
  <c r="C45" i="13"/>
  <c r="E16" i="13"/>
  <c r="D16" i="13"/>
  <c r="C16" i="13"/>
  <c r="C15" i="13"/>
  <c r="E14" i="13"/>
  <c r="F14" i="13" s="1"/>
  <c r="F8" i="7" s="1"/>
  <c r="D14" i="13"/>
  <c r="C14" i="13"/>
  <c r="D13" i="13"/>
  <c r="C13" i="13"/>
  <c r="E12" i="13"/>
  <c r="D12" i="13"/>
  <c r="C12" i="13"/>
  <c r="C11" i="13"/>
  <c r="E20" i="13"/>
  <c r="E41" i="13" s="1"/>
  <c r="D20" i="13"/>
  <c r="D41" i="13" s="1"/>
  <c r="C20" i="13"/>
  <c r="C41" i="13" s="1"/>
  <c r="E19" i="13"/>
  <c r="E40" i="13" s="1"/>
  <c r="D19" i="13"/>
  <c r="D40" i="13" s="1"/>
  <c r="C19" i="13"/>
  <c r="C40" i="13" s="1"/>
  <c r="F4" i="10"/>
  <c r="F3" i="10"/>
  <c r="F6" i="3"/>
  <c r="B39" i="13"/>
  <c r="D2" i="8"/>
  <c r="E2" i="8" s="1"/>
  <c r="E14" i="8" s="1"/>
  <c r="D2" i="7"/>
  <c r="E2" i="7" s="1"/>
  <c r="F2" i="7" s="1"/>
  <c r="G2" i="7" s="1"/>
  <c r="H2" i="7" s="1"/>
  <c r="I2" i="7" s="1"/>
  <c r="J2" i="7" s="1"/>
  <c r="D11" i="6"/>
  <c r="D16" i="6" s="1"/>
  <c r="D24" i="6" s="1"/>
  <c r="C22" i="13"/>
  <c r="C31" i="13" s="1"/>
  <c r="C37" i="13" s="1"/>
  <c r="C43" i="13" s="1"/>
  <c r="C52" i="13" s="1"/>
  <c r="D2" i="13"/>
  <c r="E2" i="13" s="1"/>
  <c r="G9" i="7"/>
  <c r="H9" i="7"/>
  <c r="I9" i="7"/>
  <c r="J9" i="7"/>
  <c r="G10" i="7"/>
  <c r="H10" i="7"/>
  <c r="I10" i="7"/>
  <c r="J10" i="7"/>
  <c r="A1" i="10"/>
  <c r="C19" i="8"/>
  <c r="D19" i="8"/>
  <c r="E19" i="8"/>
  <c r="D25" i="8"/>
  <c r="C25" i="8"/>
  <c r="E25" i="8"/>
  <c r="E32" i="8"/>
  <c r="C32" i="8"/>
  <c r="D32" i="8"/>
  <c r="C36" i="8"/>
  <c r="D36" i="8"/>
  <c r="D39" i="8" s="1"/>
  <c r="E36" i="8"/>
  <c r="C10" i="5"/>
  <c r="C18" i="5" s="1"/>
  <c r="D2" i="5"/>
  <c r="E2" i="5" s="1"/>
  <c r="F3" i="5"/>
  <c r="F7" i="5" s="1"/>
  <c r="F9" i="5" s="1"/>
  <c r="F21" i="8" s="1"/>
  <c r="C11" i="6"/>
  <c r="C30" i="6" s="1"/>
  <c r="F25" i="13"/>
  <c r="F24" i="13"/>
  <c r="F4" i="6" s="1"/>
  <c r="F26" i="13"/>
  <c r="F6" i="6" s="1"/>
  <c r="F49" i="13"/>
  <c r="G49" i="13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4" i="8"/>
  <c r="C14" i="8"/>
  <c r="F10" i="7"/>
  <c r="J16" i="7"/>
  <c r="I16" i="7"/>
  <c r="H16" i="7"/>
  <c r="G16" i="7"/>
  <c r="F16" i="7"/>
  <c r="E16" i="7"/>
  <c r="D16" i="7"/>
  <c r="C16" i="7"/>
  <c r="A1" i="3"/>
  <c r="A1" i="13"/>
  <c r="A1" i="5"/>
  <c r="A1" i="6"/>
  <c r="A1" i="7"/>
  <c r="A1" i="8"/>
  <c r="A1" i="9"/>
  <c r="A1" i="11"/>
  <c r="A1" i="12"/>
  <c r="C21" i="7"/>
  <c r="C17" i="13" s="1"/>
  <c r="F8" i="6"/>
  <c r="F11" i="5"/>
  <c r="B20" i="5"/>
  <c r="F9" i="6"/>
  <c r="G9" i="6"/>
  <c r="H9" i="6"/>
  <c r="I9" i="6"/>
  <c r="J9" i="6"/>
  <c r="J8" i="6"/>
  <c r="I8" i="6"/>
  <c r="H8" i="6"/>
  <c r="G8" i="6"/>
  <c r="E2" i="12"/>
  <c r="F2" i="12" s="1"/>
  <c r="G2" i="12" s="1"/>
  <c r="H2" i="12" s="1"/>
  <c r="F9" i="7"/>
  <c r="I25" i="5" l="1"/>
  <c r="J25" i="5"/>
  <c r="G25" i="5"/>
  <c r="H25" i="5"/>
  <c r="J17" i="6"/>
  <c r="J20" i="6" s="1"/>
  <c r="I22" i="6"/>
  <c r="I28" i="6" s="1"/>
  <c r="I26" i="6"/>
  <c r="I27" i="6" s="1"/>
  <c r="G33" i="7"/>
  <c r="G25" i="7"/>
  <c r="H35" i="7"/>
  <c r="H36" i="7" s="1"/>
  <c r="I35" i="7"/>
  <c r="I36" i="7" s="1"/>
  <c r="J14" i="5"/>
  <c r="J43" i="7"/>
  <c r="J42" i="7"/>
  <c r="J38" i="7"/>
  <c r="J15" i="5" s="1"/>
  <c r="J14" i="9" s="1"/>
  <c r="J17" i="9" s="1"/>
  <c r="F38" i="7"/>
  <c r="F15" i="5" s="1"/>
  <c r="F14" i="9" s="1"/>
  <c r="F17" i="9" s="1"/>
  <c r="F42" i="7"/>
  <c r="F43" i="7"/>
  <c r="F14" i="5"/>
  <c r="F17" i="5" s="1"/>
  <c r="AF12" i="32"/>
  <c r="AG12" i="32"/>
  <c r="AH12" i="32" s="1"/>
  <c r="F8" i="13"/>
  <c r="F7" i="13"/>
  <c r="X5" i="32"/>
  <c r="W3" i="32"/>
  <c r="W7" i="32" s="1"/>
  <c r="C14" i="32"/>
  <c r="G10" i="32"/>
  <c r="H14" i="32"/>
  <c r="L10" i="32"/>
  <c r="M14" i="32"/>
  <c r="Q10" i="32"/>
  <c r="R14" i="32"/>
  <c r="G25" i="13"/>
  <c r="G5" i="6" s="1"/>
  <c r="E11" i="11"/>
  <c r="C39" i="8"/>
  <c r="C25" i="7"/>
  <c r="C36" i="7"/>
  <c r="C37" i="7" s="1"/>
  <c r="C18" i="13" s="1"/>
  <c r="C39" i="13" s="1"/>
  <c r="D11" i="13"/>
  <c r="D54" i="13"/>
  <c r="D21" i="7"/>
  <c r="D25" i="7" s="1"/>
  <c r="E11" i="13"/>
  <c r="E10" i="11"/>
  <c r="F9" i="3"/>
  <c r="D22" i="13"/>
  <c r="D31" i="13" s="1"/>
  <c r="D37" i="13" s="1"/>
  <c r="D43" i="13" s="1"/>
  <c r="D52" i="13" s="1"/>
  <c r="F2" i="13"/>
  <c r="E22" i="13"/>
  <c r="E31" i="13" s="1"/>
  <c r="E37" i="13" s="1"/>
  <c r="E43" i="13" s="1"/>
  <c r="E52" i="13" s="1"/>
  <c r="F2" i="8"/>
  <c r="F11" i="6"/>
  <c r="F30" i="6" s="1"/>
  <c r="E11" i="6"/>
  <c r="E16" i="6" s="1"/>
  <c r="E24" i="6" s="1"/>
  <c r="E30" i="6"/>
  <c r="F5" i="6"/>
  <c r="F8" i="8"/>
  <c r="H25" i="13"/>
  <c r="G26" i="13"/>
  <c r="G6" i="6" s="1"/>
  <c r="G54" i="13"/>
  <c r="G14" i="13"/>
  <c r="G24" i="13"/>
  <c r="G4" i="6" s="1"/>
  <c r="D10" i="5"/>
  <c r="D18" i="5" s="1"/>
  <c r="E10" i="5"/>
  <c r="E18" i="5" s="1"/>
  <c r="F2" i="5"/>
  <c r="D30" i="6"/>
  <c r="D27" i="8"/>
  <c r="D41" i="8" s="1"/>
  <c r="C16" i="6"/>
  <c r="C24" i="6" s="1"/>
  <c r="E39" i="8"/>
  <c r="E27" i="8"/>
  <c r="C27" i="8"/>
  <c r="G8" i="8"/>
  <c r="H49" i="13"/>
  <c r="H8" i="8" s="1"/>
  <c r="F4" i="5"/>
  <c r="G4" i="5" s="1"/>
  <c r="H4" i="5" s="1"/>
  <c r="I4" i="5" s="1"/>
  <c r="J4" i="5" s="1"/>
  <c r="F6" i="8"/>
  <c r="G47" i="13"/>
  <c r="F45" i="13"/>
  <c r="F55" i="13"/>
  <c r="F46" i="13"/>
  <c r="E21" i="7"/>
  <c r="E25" i="7" s="1"/>
  <c r="F50" i="13"/>
  <c r="F56" i="13"/>
  <c r="J26" i="6" l="1"/>
  <c r="J27" i="6" s="1"/>
  <c r="J22" i="6"/>
  <c r="J28" i="6" s="1"/>
  <c r="G35" i="7"/>
  <c r="G36" i="7" s="1"/>
  <c r="H14" i="5"/>
  <c r="H43" i="7"/>
  <c r="H42" i="7"/>
  <c r="H38" i="7"/>
  <c r="H15" i="5" s="1"/>
  <c r="H14" i="9" s="1"/>
  <c r="H17" i="9" s="1"/>
  <c r="I14" i="5"/>
  <c r="I43" i="7"/>
  <c r="I42" i="7"/>
  <c r="I38" i="7"/>
  <c r="I15" i="5" s="1"/>
  <c r="I14" i="9" s="1"/>
  <c r="I17" i="9" s="1"/>
  <c r="G13" i="5"/>
  <c r="F38" i="8"/>
  <c r="X3" i="32"/>
  <c r="Y5" i="32"/>
  <c r="X7" i="32"/>
  <c r="Y3" i="32"/>
  <c r="Z5" i="32"/>
  <c r="W8" i="32"/>
  <c r="W9" i="32"/>
  <c r="C41" i="8"/>
  <c r="C42" i="7"/>
  <c r="C43" i="7"/>
  <c r="G2" i="13"/>
  <c r="F22" i="13"/>
  <c r="F31" i="13" s="1"/>
  <c r="F37" i="13" s="1"/>
  <c r="F43" i="13" s="1"/>
  <c r="F52" i="13" s="1"/>
  <c r="F14" i="8"/>
  <c r="G2" i="8"/>
  <c r="G11" i="6"/>
  <c r="F16" i="6"/>
  <c r="F24" i="6" s="1"/>
  <c r="E41" i="8"/>
  <c r="H26" i="13"/>
  <c r="I26" i="13" s="1"/>
  <c r="H5" i="6"/>
  <c r="I25" i="13"/>
  <c r="G6" i="7"/>
  <c r="I49" i="13"/>
  <c r="H24" i="13"/>
  <c r="H14" i="13"/>
  <c r="G8" i="7"/>
  <c r="G10" i="8"/>
  <c r="H54" i="13"/>
  <c r="G2" i="5"/>
  <c r="F10" i="5"/>
  <c r="F18" i="5" s="1"/>
  <c r="G3" i="5"/>
  <c r="G7" i="5" s="1"/>
  <c r="F5" i="8"/>
  <c r="G46" i="13"/>
  <c r="G45" i="13"/>
  <c r="H45" i="13" s="1"/>
  <c r="I45" i="13" s="1"/>
  <c r="J45" i="13" s="1"/>
  <c r="F4" i="8"/>
  <c r="F13" i="13"/>
  <c r="G13" i="13" s="1"/>
  <c r="F6" i="7"/>
  <c r="F12" i="8"/>
  <c r="G56" i="13"/>
  <c r="G50" i="13"/>
  <c r="F7" i="8"/>
  <c r="E33" i="7"/>
  <c r="F11" i="8"/>
  <c r="G55" i="13"/>
  <c r="G6" i="8"/>
  <c r="H47" i="13"/>
  <c r="G11" i="9" l="1"/>
  <c r="G9" i="5"/>
  <c r="G16" i="6"/>
  <c r="G24" i="6" s="1"/>
  <c r="G30" i="6"/>
  <c r="G14" i="5"/>
  <c r="G43" i="7"/>
  <c r="G42" i="7"/>
  <c r="G38" i="7"/>
  <c r="G15" i="5" s="1"/>
  <c r="G14" i="9" s="1"/>
  <c r="G17" i="9" s="1"/>
  <c r="W10" i="32"/>
  <c r="X9" i="32"/>
  <c r="X8" i="32"/>
  <c r="Y7" i="32"/>
  <c r="Z3" i="32"/>
  <c r="AA3" i="32" s="1"/>
  <c r="AA5" i="32" s="1"/>
  <c r="G6" i="13" s="1"/>
  <c r="AB5" i="32"/>
  <c r="AC5" i="32" s="1"/>
  <c r="AD5" i="32" s="1"/>
  <c r="AE5" i="32" s="1"/>
  <c r="AF5" i="32" s="1"/>
  <c r="AG5" i="32" s="1"/>
  <c r="AH5" i="32" s="1"/>
  <c r="J49" i="13"/>
  <c r="I8" i="8"/>
  <c r="H4" i="6"/>
  <c r="I24" i="13"/>
  <c r="D36" i="7"/>
  <c r="D37" i="7" s="1"/>
  <c r="D18" i="13" s="1"/>
  <c r="D39" i="13" s="1"/>
  <c r="D17" i="13"/>
  <c r="E36" i="7"/>
  <c r="E37" i="7" s="1"/>
  <c r="E18" i="13" s="1"/>
  <c r="E17" i="13"/>
  <c r="H2" i="13"/>
  <c r="G22" i="13"/>
  <c r="G31" i="13" s="1"/>
  <c r="G37" i="13" s="1"/>
  <c r="G43" i="13" s="1"/>
  <c r="G52" i="13" s="1"/>
  <c r="G14" i="8"/>
  <c r="H2" i="8"/>
  <c r="H11" i="6"/>
  <c r="H6" i="6"/>
  <c r="J25" i="13"/>
  <c r="I5" i="6"/>
  <c r="H10" i="8"/>
  <c r="I54" i="13"/>
  <c r="G5" i="7"/>
  <c r="I14" i="13"/>
  <c r="H8" i="7"/>
  <c r="H13" i="13"/>
  <c r="G7" i="7"/>
  <c r="H6" i="7"/>
  <c r="H2" i="5"/>
  <c r="I4" i="6"/>
  <c r="J24" i="13"/>
  <c r="H3" i="5"/>
  <c r="H7" i="5" s="1"/>
  <c r="H11" i="9" s="1"/>
  <c r="J8" i="8"/>
  <c r="J26" i="13"/>
  <c r="I6" i="6"/>
  <c r="F25" i="8"/>
  <c r="H55" i="13"/>
  <c r="G11" i="8"/>
  <c r="F5" i="7"/>
  <c r="H50" i="13"/>
  <c r="G7" i="8"/>
  <c r="H56" i="13"/>
  <c r="G12" i="8"/>
  <c r="F36" i="8"/>
  <c r="I47" i="13"/>
  <c r="H6" i="8"/>
  <c r="F7" i="7"/>
  <c r="G4" i="8"/>
  <c r="H46" i="13"/>
  <c r="G5" i="8"/>
  <c r="G13" i="10" l="1"/>
  <c r="G15" i="10" s="1"/>
  <c r="G12" i="9"/>
  <c r="G21" i="8"/>
  <c r="G25" i="8" s="1"/>
  <c r="H6" i="5"/>
  <c r="H13" i="10"/>
  <c r="H12" i="9"/>
  <c r="H16" i="6"/>
  <c r="H24" i="6" s="1"/>
  <c r="H30" i="6"/>
  <c r="G17" i="5"/>
  <c r="G10" i="13"/>
  <c r="G4" i="7" s="1"/>
  <c r="G7" i="13"/>
  <c r="G8" i="13"/>
  <c r="X10" i="32"/>
  <c r="Y9" i="32"/>
  <c r="Y8" i="32"/>
  <c r="Z7" i="32"/>
  <c r="AA7" i="32" s="1"/>
  <c r="AB3" i="32"/>
  <c r="F18" i="13"/>
  <c r="E39" i="13"/>
  <c r="D42" i="7"/>
  <c r="D43" i="7"/>
  <c r="E43" i="7"/>
  <c r="E42" i="7"/>
  <c r="G17" i="13"/>
  <c r="F5" i="10"/>
  <c r="E4" i="11"/>
  <c r="L4" i="11" s="1"/>
  <c r="L5" i="11" s="1"/>
  <c r="L6" i="11" s="1"/>
  <c r="L7" i="11" s="1"/>
  <c r="I2" i="13"/>
  <c r="H22" i="13"/>
  <c r="H31" i="13" s="1"/>
  <c r="H37" i="13" s="1"/>
  <c r="H43" i="13" s="1"/>
  <c r="H52" i="13" s="1"/>
  <c r="I2" i="8"/>
  <c r="H14" i="8"/>
  <c r="J11" i="6"/>
  <c r="I11" i="6"/>
  <c r="J5" i="6"/>
  <c r="I6" i="7"/>
  <c r="I13" i="13"/>
  <c r="H7" i="7"/>
  <c r="J14" i="13"/>
  <c r="I8" i="7"/>
  <c r="H5" i="7"/>
  <c r="J54" i="13"/>
  <c r="I10" i="8"/>
  <c r="I2" i="5"/>
  <c r="I3" i="5"/>
  <c r="I7" i="5" s="1"/>
  <c r="I11" i="9" s="1"/>
  <c r="J4" i="6"/>
  <c r="J6" i="6"/>
  <c r="F19" i="13"/>
  <c r="J47" i="13"/>
  <c r="I6" i="8"/>
  <c r="H12" i="8"/>
  <c r="I56" i="13"/>
  <c r="I50" i="13"/>
  <c r="H7" i="8"/>
  <c r="I46" i="13"/>
  <c r="H5" i="8"/>
  <c r="H4" i="8"/>
  <c r="I55" i="13"/>
  <c r="H11" i="8"/>
  <c r="H8" i="5" l="1"/>
  <c r="I13" i="10"/>
  <c r="I12" i="9"/>
  <c r="H13" i="5"/>
  <c r="H17" i="5" s="1"/>
  <c r="G38" i="8"/>
  <c r="J16" i="6"/>
  <c r="J24" i="6" s="1"/>
  <c r="J30" i="6"/>
  <c r="I16" i="6"/>
  <c r="I24" i="6" s="1"/>
  <c r="I30" i="6"/>
  <c r="Y10" i="32"/>
  <c r="Z9" i="32"/>
  <c r="AA9" i="32" s="1"/>
  <c r="Z8" i="32"/>
  <c r="AA8" i="32" s="1"/>
  <c r="AB7" i="32"/>
  <c r="AC3" i="32"/>
  <c r="G18" i="13"/>
  <c r="F39" i="13"/>
  <c r="F12" i="7"/>
  <c r="G11" i="7"/>
  <c r="H17" i="13"/>
  <c r="J2" i="13"/>
  <c r="J22" i="13" s="1"/>
  <c r="J31" i="13" s="1"/>
  <c r="J37" i="13" s="1"/>
  <c r="J43" i="13" s="1"/>
  <c r="J52" i="13" s="1"/>
  <c r="I22" i="13"/>
  <c r="I31" i="13" s="1"/>
  <c r="I37" i="13" s="1"/>
  <c r="I43" i="13" s="1"/>
  <c r="I52" i="13" s="1"/>
  <c r="G19" i="13"/>
  <c r="G40" i="13" s="1"/>
  <c r="F40" i="13"/>
  <c r="I14" i="8"/>
  <c r="J2" i="8"/>
  <c r="J14" i="8" s="1"/>
  <c r="J10" i="8"/>
  <c r="I5" i="7"/>
  <c r="J8" i="7"/>
  <c r="I7" i="7"/>
  <c r="J13" i="13"/>
  <c r="J6" i="7"/>
  <c r="J2" i="5"/>
  <c r="J3" i="5"/>
  <c r="J7" i="5" s="1"/>
  <c r="J11" i="9" s="1"/>
  <c r="I4" i="8"/>
  <c r="F20" i="13"/>
  <c r="I5" i="8"/>
  <c r="J46" i="13"/>
  <c r="J50" i="13"/>
  <c r="I7" i="8"/>
  <c r="I12" i="8"/>
  <c r="J56" i="13"/>
  <c r="J6" i="8"/>
  <c r="J55" i="13"/>
  <c r="I11" i="8"/>
  <c r="F11" i="7"/>
  <c r="E12" i="11"/>
  <c r="F13" i="7"/>
  <c r="H23" i="7" l="1"/>
  <c r="H9" i="5"/>
  <c r="J12" i="9"/>
  <c r="J13" i="10"/>
  <c r="H38" i="8"/>
  <c r="I13" i="5"/>
  <c r="I17" i="5" s="1"/>
  <c r="Z10" i="32"/>
  <c r="AA10" i="32" s="1"/>
  <c r="AB9" i="32"/>
  <c r="AB8" i="32"/>
  <c r="AB10" i="32" s="1"/>
  <c r="AD3" i="32"/>
  <c r="AC7" i="32"/>
  <c r="G39" i="13"/>
  <c r="H18" i="13"/>
  <c r="G12" i="7"/>
  <c r="H11" i="7"/>
  <c r="I17" i="13"/>
  <c r="G13" i="7"/>
  <c r="G20" i="13"/>
  <c r="F41" i="13"/>
  <c r="H19" i="13"/>
  <c r="H40" i="13" s="1"/>
  <c r="J7" i="7"/>
  <c r="J5" i="7"/>
  <c r="J7" i="8"/>
  <c r="M4" i="11"/>
  <c r="J12" i="8"/>
  <c r="J11" i="8"/>
  <c r="F7" i="10"/>
  <c r="F15" i="10" s="1"/>
  <c r="J5" i="8"/>
  <c r="F14" i="7"/>
  <c r="J4" i="8"/>
  <c r="H25" i="7" l="1"/>
  <c r="H4" i="9"/>
  <c r="H8" i="10" s="1"/>
  <c r="H15" i="10" s="1"/>
  <c r="I6" i="5"/>
  <c r="H21" i="8"/>
  <c r="H25" i="8" s="1"/>
  <c r="I38" i="8"/>
  <c r="J13" i="5"/>
  <c r="J17" i="5" s="1"/>
  <c r="J38" i="8" s="1"/>
  <c r="AD7" i="32"/>
  <c r="AD8" i="32" s="1"/>
  <c r="AD9" i="32"/>
  <c r="AE3" i="32"/>
  <c r="AF3" i="32" s="1"/>
  <c r="AC9" i="32"/>
  <c r="AC8" i="32"/>
  <c r="H12" i="7"/>
  <c r="H39" i="13"/>
  <c r="I18" i="13"/>
  <c r="G41" i="13"/>
  <c r="G14" i="7"/>
  <c r="I19" i="13"/>
  <c r="H20" i="13"/>
  <c r="H14" i="7" s="1"/>
  <c r="H13" i="7"/>
  <c r="J17" i="13"/>
  <c r="J11" i="7" s="1"/>
  <c r="I11" i="7"/>
  <c r="F3" i="9"/>
  <c r="F9" i="9" s="1"/>
  <c r="F19" i="9" s="1"/>
  <c r="F22" i="9" s="1"/>
  <c r="F23" i="9" s="1"/>
  <c r="M5" i="11"/>
  <c r="I8" i="5" l="1"/>
  <c r="F29" i="8"/>
  <c r="F16" i="8"/>
  <c r="F31" i="6" s="1"/>
  <c r="F33" i="6" s="1"/>
  <c r="J6" i="13"/>
  <c r="H6" i="13"/>
  <c r="I6" i="13"/>
  <c r="AC10" i="32"/>
  <c r="AD10" i="32"/>
  <c r="AG3" i="32"/>
  <c r="AE7" i="32"/>
  <c r="AF7" i="32" s="1"/>
  <c r="I12" i="7"/>
  <c r="J18" i="13"/>
  <c r="I39" i="13"/>
  <c r="H41" i="13"/>
  <c r="I20" i="13"/>
  <c r="I14" i="7" s="1"/>
  <c r="I40" i="13"/>
  <c r="I13" i="7"/>
  <c r="J19" i="13"/>
  <c r="J40" i="13" s="1"/>
  <c r="J13" i="7"/>
  <c r="G3" i="9"/>
  <c r="G9" i="9" s="1"/>
  <c r="G19" i="9" s="1"/>
  <c r="G22" i="9" s="1"/>
  <c r="G23" i="9" s="1"/>
  <c r="M6" i="11"/>
  <c r="M7" i="11"/>
  <c r="I23" i="7" l="1"/>
  <c r="I9" i="5"/>
  <c r="G16" i="8"/>
  <c r="G29" i="8"/>
  <c r="G32" i="8" s="1"/>
  <c r="G39" i="8" s="1"/>
  <c r="J10" i="13"/>
  <c r="J4" i="7" s="1"/>
  <c r="J7" i="13"/>
  <c r="J8" i="13"/>
  <c r="H10" i="13"/>
  <c r="H4" i="7" s="1"/>
  <c r="H7" i="13"/>
  <c r="H8" i="13"/>
  <c r="I10" i="13"/>
  <c r="I4" i="7" s="1"/>
  <c r="I7" i="13"/>
  <c r="I8" i="13"/>
  <c r="AH3" i="32"/>
  <c r="AH7" i="32" s="1"/>
  <c r="AG7" i="32"/>
  <c r="AE8" i="32"/>
  <c r="AF8" i="32" s="1"/>
  <c r="AE9" i="32"/>
  <c r="AF9" i="32" s="1"/>
  <c r="J12" i="7"/>
  <c r="J39" i="13"/>
  <c r="I41" i="13"/>
  <c r="J20" i="13"/>
  <c r="J41" i="13" s="1"/>
  <c r="J14" i="7"/>
  <c r="M9" i="11"/>
  <c r="M11" i="11" s="1"/>
  <c r="E8" i="11" s="1"/>
  <c r="E13" i="11" s="1"/>
  <c r="K3" i="12" s="1"/>
  <c r="H3" i="9"/>
  <c r="H9" i="9" s="1"/>
  <c r="H19" i="9" s="1"/>
  <c r="H22" i="9" s="1"/>
  <c r="F19" i="8"/>
  <c r="F27" i="8" s="1"/>
  <c r="F32" i="8"/>
  <c r="I25" i="7" l="1"/>
  <c r="I4" i="9"/>
  <c r="I8" i="10" s="1"/>
  <c r="I15" i="10" s="1"/>
  <c r="J6" i="5"/>
  <c r="I21" i="8"/>
  <c r="I25" i="8" s="1"/>
  <c r="D3" i="12"/>
  <c r="D4" i="12" s="1"/>
  <c r="H3" i="12"/>
  <c r="G3" i="12"/>
  <c r="F3" i="12"/>
  <c r="F4" i="12" s="1"/>
  <c r="E3" i="12"/>
  <c r="E4" i="12" s="1"/>
  <c r="G31" i="6"/>
  <c r="G33" i="6" s="1"/>
  <c r="G19" i="8"/>
  <c r="G27" i="8" s="1"/>
  <c r="G41" i="8" s="1"/>
  <c r="H21" i="9"/>
  <c r="H23" i="9" s="1"/>
  <c r="AE10" i="32"/>
  <c r="AF10" i="32" s="1"/>
  <c r="AH8" i="32"/>
  <c r="AH9" i="32"/>
  <c r="AG8" i="32"/>
  <c r="AG9" i="32"/>
  <c r="F39" i="8"/>
  <c r="F41" i="8" s="1"/>
  <c r="J3" i="9"/>
  <c r="I3" i="9"/>
  <c r="J8" i="5" l="1"/>
  <c r="G4" i="12"/>
  <c r="I9" i="9"/>
  <c r="I19" i="9" s="1"/>
  <c r="I22" i="9" s="1"/>
  <c r="H16" i="8"/>
  <c r="H29" i="8"/>
  <c r="H32" i="8" s="1"/>
  <c r="H39" i="8" s="1"/>
  <c r="AH10" i="32"/>
  <c r="AG10" i="32"/>
  <c r="J23" i="7" l="1"/>
  <c r="J9" i="5"/>
  <c r="J21" i="8" s="1"/>
  <c r="J25" i="8" s="1"/>
  <c r="H19" i="8"/>
  <c r="H27" i="8" s="1"/>
  <c r="H41" i="8" s="1"/>
  <c r="H31" i="6"/>
  <c r="H33" i="6" s="1"/>
  <c r="I21" i="9"/>
  <c r="I23" i="9" s="1"/>
  <c r="J25" i="7" l="1"/>
  <c r="G8" i="12" s="1"/>
  <c r="J4" i="9"/>
  <c r="I16" i="8"/>
  <c r="I29" i="8"/>
  <c r="I32" i="8" s="1"/>
  <c r="I39" i="8" s="1"/>
  <c r="J9" i="9" l="1"/>
  <c r="J19" i="9" s="1"/>
  <c r="J22" i="9" s="1"/>
  <c r="J8" i="10"/>
  <c r="J15" i="10" s="1"/>
  <c r="H4" i="12" s="1"/>
  <c r="I31" i="6"/>
  <c r="I33" i="6" s="1"/>
  <c r="I19" i="8"/>
  <c r="I27" i="8" s="1"/>
  <c r="I41" i="8" s="1"/>
  <c r="J21" i="9"/>
  <c r="J23" i="9" s="1"/>
  <c r="C7" i="12" l="1"/>
  <c r="H5" i="12"/>
  <c r="C8" i="12" s="1"/>
  <c r="J29" i="8"/>
  <c r="J32" i="8" s="1"/>
  <c r="J39" i="8" s="1"/>
  <c r="J16" i="8"/>
  <c r="G7" i="12" l="1"/>
  <c r="G9" i="12" s="1"/>
  <c r="G15" i="12" s="1"/>
  <c r="G18" i="12" s="1"/>
  <c r="C9" i="12"/>
  <c r="C15" i="12" s="1"/>
  <c r="C18" i="12" s="1"/>
  <c r="J31" i="6"/>
  <c r="J33" i="6" s="1"/>
  <c r="J19" i="8"/>
  <c r="J27" i="8" s="1"/>
  <c r="J41" i="8" s="1"/>
  <c r="F10" i="13"/>
  <c r="C28" i="12" l="1"/>
  <c r="J5" i="3"/>
  <c r="J6" i="3" s="1"/>
  <c r="H28" i="12"/>
  <c r="I5" i="3"/>
  <c r="F4" i="7"/>
  <c r="U7" i="32"/>
  <c r="V7" i="32" s="1"/>
  <c r="I6" i="3" l="1"/>
  <c r="K5" i="3"/>
  <c r="K6" i="3" s="1"/>
  <c r="U9" i="32"/>
  <c r="V9" i="32" s="1"/>
  <c r="U8" i="32"/>
  <c r="V8" i="32" s="1"/>
  <c r="U10" i="32" l="1"/>
  <c r="V1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<sst xmlns="http://schemas.openxmlformats.org/spreadsheetml/2006/main" count="394" uniqueCount="244">
  <si>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</si>
  <si>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</si>
  <si>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</si>
  <si>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</si>
  <si>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</si>
  <si>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</si>
  <si>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</si>
  <si>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</si>
  <si>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</si>
  <si>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</si>
  <si>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</si>
  <si>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</si>
  <si>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</si>
  <si>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</si>
  <si>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</si>
  <si>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</si>
  <si>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</si>
  <si>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</si>
  <si>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</si>
  <si>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</si>
  <si>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</si>
  <si>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</si>
  <si>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</si>
  <si>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</si>
  <si>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</si>
  <si>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</si>
  <si>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</si>
  <si>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</si>
  <si>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</si>
  <si>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</si>
  <si>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</si>
  <si>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</si>
  <si>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</si>
  <si>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</si>
  <si>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</si>
  <si>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</si>
  <si>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</si>
  <si>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</si>
  <si>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</si>
  <si>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</si>
  <si>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</si>
  <si>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</si>
  <si>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</si>
  <si>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</si>
  <si>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</si>
  <si>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</si>
  <si>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</si>
  <si>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</si>
  <si>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</si>
  <si>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</si>
  <si>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</si>
  <si>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</si>
  <si>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</si>
  <si>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</si>
  <si>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</si>
  <si>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</si>
  <si>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</si>
  <si>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</si>
  <si>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</si>
  <si>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</si>
  <si>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</si>
  <si>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</si>
  <si>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</si>
  <si>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</si>
  <si>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</si>
  <si>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</si>
  <si>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</si>
  <si>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</si>
  <si>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</si>
  <si>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</si>
  <si>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</si>
  <si>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</si>
  <si>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</si>
  <si>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</si>
  <si>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</si>
  <si>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</si>
  <si>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</si>
  <si>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</si>
  <si>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</si>
  <si>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</si>
  <si>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</si>
  <si>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</si>
  <si>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</si>
  <si>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</si>
  <si>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</si>
  <si>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</si>
  <si>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</si>
  <si>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</si>
  <si>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</si>
  <si>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</si>
  <si>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</si>
  <si>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</si>
  <si>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</si>
  <si>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</si>
  <si>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</si>
  <si>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</si>
  <si>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</si>
  <si>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</si>
  <si>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</si>
  <si>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</si>
  <si>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</si>
  <si>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</si>
  <si>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</si>
  <si>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</si>
  <si>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</si>
  <si>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</si>
  <si>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</si>
  <si>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</si>
  <si>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</si>
  <si>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</si>
  <si>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</si>
  <si>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</si>
  <si>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</si>
  <si>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</si>
  <si>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</si>
  <si>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</si>
  <si>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</si>
  <si>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</si>
  <si>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</si>
  <si>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</si>
  <si>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</si>
  <si>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</si>
  <si>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</si>
  <si>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</si>
  <si>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</si>
  <si>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</si>
  <si>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</si>
  <si>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</si>
  <si>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</si>
  <si>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</si>
  <si>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</si>
  <si>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</si>
  <si>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</si>
  <si>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</si>
  <si>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</si>
  <si>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</si>
  <si>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</si>
  <si>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</si>
  <si>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</si>
  <si>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</si>
  <si>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</si>
  <si>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</si>
  <si>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</si>
  <si>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</si>
  <si>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</si>
  <si>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</si>
  <si>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</si>
  <si>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</si>
  <si>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</si>
  <si>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</si>
  <si>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</si>
  <si>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</si>
  <si>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</si>
  <si>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</si>
  <si>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</si>
  <si>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</si>
  <si>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</si>
  <si>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</si>
  <si>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</si>
  <si>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</si>
  <si>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</si>
  <si>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</si>
  <si>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</si>
  <si>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</si>
  <si>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</si>
  <si>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</si>
  <si>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</si>
  <si>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</si>
  <si>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</si>
  <si>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</si>
  <si>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</si>
  <si>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</si>
  <si>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</si>
  <si>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</si>
  <si>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</si>
  <si>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</si>
  <si>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</si>
  <si>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</si>
  <si>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R&amp;D</t>
  </si>
  <si>
    <t>R&amp;D % of sales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</si>
  <si>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</si>
  <si>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</si>
  <si>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</si>
  <si>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</si>
  <si>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</si>
  <si>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</si>
  <si>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</si>
  <si>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</si>
  <si>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</si>
  <si>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Meta Platforms Inc.</t>
  </si>
  <si>
    <t>Quarterly Data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</si>
  <si>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</si>
  <si>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</si>
  <si>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</si>
  <si>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</si>
  <si>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</si>
  <si>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</si>
  <si>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</si>
  <si>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</si>
  <si>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</si>
  <si>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</si>
  <si>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</si>
  <si>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Q425E</t>
  </si>
  <si>
    <t>Q126E</t>
  </si>
  <si>
    <t>Q226E</t>
  </si>
  <si>
    <t>Q326E</t>
  </si>
  <si>
    <t>Q426E</t>
  </si>
  <si>
    <t>Gross Profit</t>
  </si>
  <si>
    <t>Operating Income</t>
  </si>
  <si>
    <t>Q122</t>
  </si>
  <si>
    <t>Q222</t>
  </si>
  <si>
    <t>Q322</t>
  </si>
  <si>
    <t>Q422</t>
  </si>
  <si>
    <t>Q/Q</t>
  </si>
  <si>
    <t>Y/Y</t>
  </si>
  <si>
    <t>n/a</t>
  </si>
  <si>
    <t>Q127E</t>
  </si>
  <si>
    <t>Q227E</t>
  </si>
  <si>
    <t>Q327E</t>
  </si>
  <si>
    <t>Q427E</t>
  </si>
  <si>
    <t>Gross Margin</t>
  </si>
  <si>
    <t>EBIT Margin</t>
  </si>
  <si>
    <t>R&amp;D Margin</t>
  </si>
  <si>
    <t>SG&amp;A Margin</t>
  </si>
  <si>
    <t>NO REVOLVER</t>
  </si>
  <si>
    <t>Amortzation</t>
  </si>
  <si>
    <t>(inc) / dec in LT assets</t>
  </si>
  <si>
    <t>inc / (dec) in LT liabilities</t>
  </si>
  <si>
    <t>CFFO</t>
  </si>
  <si>
    <t>CFFI</t>
  </si>
  <si>
    <t>Dividends Paid</t>
  </si>
  <si>
    <t>Debt issuance / (repayments)</t>
  </si>
  <si>
    <t>CFFF</t>
  </si>
  <si>
    <t>Net changes in Cash</t>
  </si>
  <si>
    <t>Beginning cash</t>
  </si>
  <si>
    <t>Ending Cash</t>
  </si>
  <si>
    <t/>
  </si>
  <si>
    <t>GOOG</t>
  </si>
  <si>
    <t>SNAP</t>
  </si>
  <si>
    <t>MSFT</t>
  </si>
  <si>
    <t>AMZN</t>
  </si>
  <si>
    <t>LTGR</t>
  </si>
  <si>
    <t>Exit Mult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</si>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</sst>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328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69" fontId="40" fillId="0" borderId="0" xfId="4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37" fontId="39" fillId="0" borderId="0" xfId="0" applyNumberFormat="1" applyFont="1"/>
    <xf numFmtId="37" fontId="45" fillId="0" borderId="0" xfId="0" applyNumberFormat="1" applyFont="1"/>
    <xf numFmtId="9" fontId="39" fillId="0" borderId="0" xfId="0" applyNumberFormat="1" applyFont="1" applyAlignment="1">
      <alignment horizontal="right"/>
    </xf>
    <xf numFmtId="37" fontId="45" fillId="0" borderId="18" xfId="0" applyNumberFormat="1" applyFont="1" applyBorder="1"/>
    <xf numFmtId="9" fontId="39" fillId="0" borderId="18" xfId="0" applyNumberFormat="1" applyFont="1" applyBorder="1"/>
    <xf numFmtId="37" fontId="39" fillId="0" borderId="18" xfId="0" applyNumberFormat="1" applyFont="1" applyBorder="1"/>
    <xf numFmtId="9" fontId="37" fillId="43" borderId="0" xfId="0" applyNumberFormat="1" applyFont="1" applyFill="1"/>
    <xf numFmtId="9" fontId="37" fillId="43" borderId="18" xfId="0" applyNumberFormat="1" applyFont="1" applyFill="1" applyBorder="1"/>
    <xf numFmtId="37" fontId="45" fillId="0" borderId="17" xfId="0" applyNumberFormat="1" applyFont="1" applyBorder="1"/>
    <xf numFmtId="1" fontId="33" fillId="42" borderId="0" xfId="0" applyNumberFormat="1" applyFont="1" applyFill="1"/>
    <xf numFmtId="1" fontId="33" fillId="42" borderId="0" xfId="0" applyNumberFormat="1" applyFont="1" applyFill="1" applyAlignment="1">
      <alignment horizontal="right"/>
    </xf>
    <xf numFmtId="1" fontId="33" fillId="0" borderId="0" xfId="0" applyNumberFormat="1" applyFont="1"/>
    <xf numFmtId="9" fontId="39" fillId="0" borderId="15" xfId="0" applyNumberFormat="1" applyFont="1" applyBorder="1"/>
    <xf numFmtId="9" fontId="39" fillId="0" borderId="16" xfId="0" applyNumberFormat="1" applyFont="1" applyBorder="1"/>
    <xf numFmtId="9" fontId="39" fillId="0" borderId="17" xfId="0" applyNumberFormat="1" applyFont="1" applyBorder="1"/>
    <xf numFmtId="9" fontId="37" fillId="43" borderId="15" xfId="0" applyNumberFormat="1" applyFont="1" applyFill="1" applyBorder="1"/>
    <xf numFmtId="9" fontId="37" fillId="0" borderId="0" xfId="0" applyNumberFormat="1" applyFont="1" applyFill="1"/>
    <xf numFmtId="9" fontId="37" fillId="0" borderId="18" xfId="0" applyNumberFormat="1" applyFont="1" applyFill="1" applyBorder="1"/>
    <xf numFmtId="9" fontId="39" fillId="0" borderId="0" xfId="0" applyNumberFormat="1" applyFont="1" applyBorder="1"/>
    <xf numFmtId="9" fontId="37" fillId="43" borderId="0" xfId="0" applyNumberFormat="1" applyFont="1" applyFill="1" applyBorder="1"/>
    <xf numFmtId="37" fontId="39" fillId="0" borderId="0" xfId="0" applyNumberFormat="1" applyFont="1" applyBorder="1"/>
    <xf numFmtId="9" fontId="37" fillId="43" borderId="21" xfId="0" applyNumberFormat="1" applyFont="1" applyFill="1" applyBorder="1"/>
    <xf numFmtId="37" fontId="45" fillId="0" borderId="0" xfId="0" applyNumberFormat="1" applyFont="1" applyBorder="1"/>
    <xf numFmtId="37" fontId="45" fillId="0" borderId="21" xfId="0" applyNumberFormat="1" applyFont="1" applyBorder="1"/>
    <xf numFmtId="9" fontId="37" fillId="0" borderId="21" xfId="0" applyNumberFormat="1" applyFont="1" applyFill="1" applyBorder="1"/>
    <xf numFmtId="37" fontId="39" fillId="0" borderId="21" xfId="0" applyNumberFormat="1" applyFont="1" applyBorder="1"/>
    <xf numFmtId="37" fontId="45" fillId="0" borderId="22" xfId="0" applyNumberFormat="1" applyFont="1" applyBorder="1"/>
    <xf numFmtId="9" fontId="39" fillId="0" borderId="21" xfId="0" applyNumberFormat="1" applyFont="1" applyBorder="1"/>
    <xf numFmtId="9" fontId="39" fillId="0" borderId="19" xfId="0" applyNumberFormat="1" applyFont="1" applyBorder="1"/>
    <xf numFmtId="9" fontId="39" fillId="0" borderId="22" xfId="0" applyNumberFormat="1" applyFont="1" applyBorder="1"/>
    <xf numFmtId="9" fontId="39" fillId="0" borderId="18" xfId="0" applyNumberFormat="1" applyFont="1" applyBorder="1" applyAlignment="1">
      <alignment horizontal="right"/>
    </xf>
    <xf numFmtId="9" fontId="39" fillId="0" borderId="21" xfId="0" applyNumberFormat="1" applyFont="1" applyBorder="1" applyAlignment="1">
      <alignment horizontal="right"/>
    </xf>
    <xf numFmtId="167" fontId="39" fillId="0" borderId="0" xfId="0" quotePrefix="1" applyFont="1"/>
    <xf numFmtId="167" fontId="39" fillId="0" borderId="0" xfId="0" applyFont="1" applyFill="1"/>
    <xf numFmtId="179" fontId="39" fillId="0" borderId="0" xfId="4" applyNumberFormat="1" applyFont="1" applyBorder="1"/>
    <xf numFmtId="166" fontId="39" fillId="0" borderId="0" xfId="57" applyFont="1" applyFill="1"/>
    <xf numFmtId="182" fontId="39" fillId="0" borderId="0" xfId="0" applyNumberFormat="1" applyFont="1" applyAlignment="1">
      <alignment horizontal="center"/>
    </xf>
    <xf numFmtId="182" fontId="45" fillId="0" borderId="0" xfId="0" applyNumberFormat="1" applyFont="1" applyAlignment="1">
      <alignment horizontal="center"/>
    </xf>
    <xf numFmtId="10" fontId="39" fillId="0" borderId="0" xfId="59" applyNumberFormat="1" applyFont="1" applyAlignment="1" applyProtection="1"/>
    <xf numFmtId="167" fontId="39" fillId="0" borderId="0" xfId="0" applyFont="1" applyAlignment="1"/>
    <xf numFmtId="176" fontId="39" fillId="0" borderId="0" xfId="0" applyNumberFormat="1" applyFont="1" applyAlignment="1"/>
    <xf numFmtId="10" fontId="39" fillId="0" borderId="0" xfId="0" applyNumberFormat="1" applyFont="1" applyAlignment="1"/>
    <xf numFmtId="182" fontId="39" fillId="0" borderId="0" xfId="0" applyNumberFormat="1" applyFont="1" applyAlignment="1"/>
    <xf numFmtId="182" fontId="39" fillId="0" borderId="0" xfId="59" applyNumberFormat="1" applyFont="1" applyAlignment="1" applyProtection="1"/>
    <xf numFmtId="10" fontId="33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2" fontId="45" fillId="0" borderId="0" xfId="4" applyNumberFormat="1" applyFont="1" applyFill="1" applyBorder="1" applyAlignment="1" applyProtection="1">
      <alignment horizontal="center"/>
    </xf>
    <xf numFmtId="182" fontId="45" fillId="0" borderId="0" xfId="0" applyNumberFormat="1" applyFont="1" applyAlignment="1"/>
    <xf numFmtId="182" fontId="45" fillId="0" borderId="0" xfId="59" applyNumberFormat="1" applyFont="1" applyAlignment="1" applyProtection="1"/>
    <xf numFmtId="180" fontId="45" fillId="0" borderId="0" xfId="0" applyNumberFormat="1" applyFont="1" applyAlignment="1"/>
    <xf numFmtId="10" fontId="70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B1" zoomScaleNormal="100" workbookViewId="0">
      <selection activeCell="I4" sqref="I4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5" t="str">
        <f>CoName</f>
        <v>Meta Platforms Inc.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185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189</v>
      </c>
      <c r="E4" s="4" t="s">
        <v>169</v>
      </c>
      <c r="F4" s="224">
        <v>663</v>
      </c>
      <c r="H4" s="170" t="s">
        <v>186</v>
      </c>
      <c r="I4" s="169" t="s">
        <v>184</v>
      </c>
      <c r="J4" s="169" t="s">
        <v>183</v>
      </c>
      <c r="K4" s="169" t="s">
        <v>243</v>
      </c>
    </row>
    <row r="5" spans="1:15" x14ac:dyDescent="0.25">
      <c r="B5" s="4" t="s">
        <v>4</v>
      </c>
      <c r="C5" s="52">
        <v>247.43</v>
      </c>
      <c r="E5" s="4" t="s">
        <v>174</v>
      </c>
      <c r="F5" s="160">
        <f>2168+343</f>
        <v>2511</v>
      </c>
      <c r="H5" s="169" t="s">
        <v>176</v>
      </c>
      <c r="I5" s="231">
        <f>'DCF Model'!G18</f>
        <v>1037.2867487940639</v>
      </c>
      <c r="J5" s="230">
        <f>'DCF Model'!C18</f>
        <v>574.14782884440126</v>
      </c>
      <c r="K5" s="230">
        <f>AVERAGE(I5:J5)</f>
        <v>805.71728881923264</v>
      </c>
    </row>
    <row r="6" spans="1:15" x14ac:dyDescent="0.25">
      <c r="B6" s="4" t="s">
        <v>5</v>
      </c>
      <c r="C6" s="51" t="s">
        <v>9</v>
      </c>
      <c r="E6" s="4" t="s">
        <v>102</v>
      </c>
      <c r="F6" s="160">
        <f>F5*F4</f>
        <v>1664793</v>
      </c>
      <c r="H6" s="169" t="s">
        <v>177</v>
      </c>
      <c r="I6" s="327">
        <f>I5/$F$4-1</f>
        <v>0.56453506605439507</v>
      </c>
      <c r="J6" s="225">
        <f>J5/$F$4-1</f>
        <v>-0.13401534110950031</v>
      </c>
      <c r="K6" s="327">
        <f>K5/$F$4-1</f>
        <v>0.21525986247244733</v>
      </c>
    </row>
    <row r="7" spans="1:15" x14ac:dyDescent="0.25">
      <c r="B7" s="4" t="s">
        <v>6</v>
      </c>
      <c r="C7" s="51" t="s">
        <v>8</v>
      </c>
      <c r="E7" s="4" t="s">
        <v>175</v>
      </c>
      <c r="F7" s="51">
        <f>43889+33926</f>
        <v>77815</v>
      </c>
    </row>
    <row r="8" spans="1:15" x14ac:dyDescent="0.25">
      <c r="B8" s="4" t="s">
        <v>2</v>
      </c>
      <c r="C8" s="51" t="s">
        <v>85</v>
      </c>
      <c r="E8" s="4" t="s">
        <v>144</v>
      </c>
      <c r="F8" s="51">
        <v>28826</v>
      </c>
    </row>
    <row r="9" spans="1:15" x14ac:dyDescent="0.25">
      <c r="B9" s="4" t="s">
        <v>7</v>
      </c>
      <c r="C9" s="51">
        <v>0</v>
      </c>
      <c r="E9" s="4" t="s">
        <v>116</v>
      </c>
      <c r="F9" s="51">
        <f>F6-F7+F8</f>
        <v>1615804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H15"/>
  <sheetViews>
    <sheetView showGridLines="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V12" sqref="V12"/>
    </sheetView>
  </sheetViews>
  <sheetFormatPr defaultColWidth="11.7109375" defaultRowHeight="15" x14ac:dyDescent="0.25"/>
  <cols>
    <col min="1" max="1" width="2" style="4" bestFit="1" customWidth="1"/>
    <col min="2" max="2" width="16.5703125" style="4" bestFit="1" customWidth="1"/>
    <col min="3" max="7" width="11.7109375" style="4" customWidth="1"/>
    <col min="8" max="16384" width="11.7109375" style="4"/>
  </cols>
  <sheetData>
    <row r="1" spans="1:34" ht="19.5" x14ac:dyDescent="0.3">
      <c r="A1" s="255" t="str">
        <f>CoName</f>
        <v>Meta Platforms Inc.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34" s="288" customFormat="1" x14ac:dyDescent="0.25">
      <c r="A2" s="286" t="s">
        <v>190</v>
      </c>
      <c r="B2" s="286"/>
      <c r="C2" s="287" t="s">
        <v>209</v>
      </c>
      <c r="D2" s="287" t="s">
        <v>210</v>
      </c>
      <c r="E2" s="287" t="s">
        <v>211</v>
      </c>
      <c r="F2" s="287" t="s">
        <v>212</v>
      </c>
      <c r="G2" s="287">
        <v>2022</v>
      </c>
      <c r="H2" s="287" t="s">
        <v>191</v>
      </c>
      <c r="I2" s="287" t="s">
        <v>192</v>
      </c>
      <c r="J2" s="287" t="s">
        <v>193</v>
      </c>
      <c r="K2" s="287" t="s">
        <v>194</v>
      </c>
      <c r="L2" s="287">
        <v>2023</v>
      </c>
      <c r="M2" s="287" t="s">
        <v>195</v>
      </c>
      <c r="N2" s="287" t="s">
        <v>196</v>
      </c>
      <c r="O2" s="287" t="s">
        <v>197</v>
      </c>
      <c r="P2" s="287" t="s">
        <v>198</v>
      </c>
      <c r="Q2" s="287">
        <v>2024</v>
      </c>
      <c r="R2" s="287" t="s">
        <v>199</v>
      </c>
      <c r="S2" s="287" t="s">
        <v>200</v>
      </c>
      <c r="T2" s="287" t="s">
        <v>201</v>
      </c>
      <c r="U2" s="287" t="s">
        <v>202</v>
      </c>
      <c r="V2" s="287">
        <v>2025</v>
      </c>
      <c r="W2" s="287" t="s">
        <v>203</v>
      </c>
      <c r="X2" s="287" t="s">
        <v>204</v>
      </c>
      <c r="Y2" s="287" t="s">
        <v>205</v>
      </c>
      <c r="Z2" s="287" t="s">
        <v>206</v>
      </c>
      <c r="AA2" s="287">
        <v>2026</v>
      </c>
      <c r="AB2" s="287" t="s">
        <v>216</v>
      </c>
      <c r="AC2" s="287" t="s">
        <v>217</v>
      </c>
      <c r="AD2" s="287" t="s">
        <v>218</v>
      </c>
      <c r="AE2" s="287" t="s">
        <v>219</v>
      </c>
      <c r="AF2" s="287">
        <v>2027</v>
      </c>
      <c r="AG2" s="286">
        <v>2028</v>
      </c>
      <c r="AH2" s="286">
        <f>AG2+1</f>
        <v>2029</v>
      </c>
    </row>
    <row r="3" spans="1:34" s="278" customFormat="1" x14ac:dyDescent="0.25">
      <c r="A3" s="278" t="s">
        <v>51</v>
      </c>
      <c r="C3" s="278">
        <v>27908</v>
      </c>
      <c r="D3" s="278">
        <v>28822</v>
      </c>
      <c r="E3" s="278">
        <v>27714</v>
      </c>
      <c r="F3" s="280">
        <v>31165</v>
      </c>
      <c r="G3" s="300">
        <f>SUM(C3:F3)</f>
        <v>115609</v>
      </c>
      <c r="H3" s="278">
        <v>28645</v>
      </c>
      <c r="I3" s="278">
        <v>31999</v>
      </c>
      <c r="J3" s="278">
        <v>34146</v>
      </c>
      <c r="K3" s="280">
        <v>40111</v>
      </c>
      <c r="L3" s="300">
        <f>SUM(H3:K3)</f>
        <v>134901</v>
      </c>
      <c r="M3" s="278">
        <v>36455</v>
      </c>
      <c r="N3" s="278">
        <v>39071</v>
      </c>
      <c r="O3" s="278">
        <v>40589</v>
      </c>
      <c r="P3" s="280">
        <v>48385</v>
      </c>
      <c r="Q3" s="300">
        <f>SUM(M3:P3)</f>
        <v>164500</v>
      </c>
      <c r="R3" s="278">
        <v>42314</v>
      </c>
      <c r="S3" s="278">
        <v>47516</v>
      </c>
      <c r="T3" s="299">
        <v>51242</v>
      </c>
      <c r="U3" s="280">
        <f>P3*(1+U5)</f>
        <v>58062</v>
      </c>
      <c r="V3" s="300">
        <f>SUM(R3:U3)</f>
        <v>199134</v>
      </c>
      <c r="W3" s="278">
        <f>R3*(1+W5)</f>
        <v>50776.799999999996</v>
      </c>
      <c r="X3" s="278">
        <f>S3*(1+X5)</f>
        <v>57019.199999999997</v>
      </c>
      <c r="Y3" s="278">
        <f>T3*(1+Y5)</f>
        <v>61490.399999999994</v>
      </c>
      <c r="Z3" s="280">
        <f>U3*(1+Z5)</f>
        <v>69674.399999999994</v>
      </c>
      <c r="AA3" s="300">
        <f>SUM(W3:Z3)</f>
        <v>238960.8</v>
      </c>
      <c r="AB3" s="278">
        <f>W3*(1+AB5)</f>
        <v>60932.159999999989</v>
      </c>
      <c r="AC3" s="278">
        <f>X3*(1+AC5)</f>
        <v>68137.944000000003</v>
      </c>
      <c r="AD3" s="278">
        <f>Y3*(1+AD5)</f>
        <v>73173.575999999986</v>
      </c>
      <c r="AE3" s="280">
        <f>Z3*(1+AE5)</f>
        <v>82564.16399999999</v>
      </c>
      <c r="AF3" s="300">
        <f>SUM(AB3:AE3)</f>
        <v>284807.84399999998</v>
      </c>
      <c r="AG3" s="278">
        <f>SUM(AB3:AE3)*(1+AG5)</f>
        <v>334649.21669999999</v>
      </c>
      <c r="AH3" s="280">
        <f>AG3*(1+AH5)</f>
        <v>391539.58353899996</v>
      </c>
    </row>
    <row r="4" spans="1:34" s="191" customFormat="1" x14ac:dyDescent="0.25">
      <c r="B4" s="191" t="s">
        <v>213</v>
      </c>
      <c r="C4" s="279" t="s">
        <v>215</v>
      </c>
      <c r="D4" s="279">
        <f>D3/C3-1</f>
        <v>3.2750465816253405E-2</v>
      </c>
      <c r="E4" s="279">
        <f t="shared" ref="E4:T4" si="0">E3/D3-1</f>
        <v>-3.8442856151550853E-2</v>
      </c>
      <c r="F4" s="307">
        <f t="shared" si="0"/>
        <v>0.12452190228765248</v>
      </c>
      <c r="G4" s="308"/>
      <c r="H4" s="191">
        <f>H3/F3-1</f>
        <v>-8.085993903417299E-2</v>
      </c>
      <c r="I4" s="191">
        <f t="shared" si="0"/>
        <v>0.1170884971199162</v>
      </c>
      <c r="J4" s="191">
        <f t="shared" si="0"/>
        <v>6.7095846745210741E-2</v>
      </c>
      <c r="K4" s="281">
        <f t="shared" si="0"/>
        <v>0.17469103262461205</v>
      </c>
      <c r="L4" s="304"/>
      <c r="M4" s="191">
        <f>M3/K3-1</f>
        <v>-9.1147066889382011E-2</v>
      </c>
      <c r="N4" s="191">
        <f t="shared" si="0"/>
        <v>7.1759703744342263E-2</v>
      </c>
      <c r="O4" s="191">
        <f t="shared" si="0"/>
        <v>3.8852345729569304E-2</v>
      </c>
      <c r="P4" s="281">
        <f t="shared" si="0"/>
        <v>0.19207174357584567</v>
      </c>
      <c r="Q4" s="304"/>
      <c r="R4" s="191">
        <f>R3/P3-1</f>
        <v>-0.12547277048672112</v>
      </c>
      <c r="S4" s="191">
        <f t="shared" si="0"/>
        <v>0.12293803469300935</v>
      </c>
      <c r="T4" s="295">
        <f t="shared" si="0"/>
        <v>7.8415691556528389E-2</v>
      </c>
      <c r="U4" s="294"/>
      <c r="V4" s="301"/>
      <c r="W4" s="293"/>
      <c r="X4" s="293"/>
      <c r="Y4" s="293"/>
      <c r="Z4" s="294"/>
      <c r="AA4" s="301"/>
      <c r="AB4" s="293"/>
      <c r="AC4" s="293"/>
      <c r="AD4" s="293"/>
      <c r="AE4" s="294"/>
      <c r="AF4" s="301"/>
      <c r="AH4" s="281"/>
    </row>
    <row r="5" spans="1:34" s="191" customFormat="1" x14ac:dyDescent="0.25">
      <c r="B5" s="191" t="s">
        <v>214</v>
      </c>
      <c r="C5" s="279" t="s">
        <v>215</v>
      </c>
      <c r="D5" s="279" t="s">
        <v>215</v>
      </c>
      <c r="E5" s="279" t="s">
        <v>215</v>
      </c>
      <c r="F5" s="307" t="s">
        <v>215</v>
      </c>
      <c r="G5" s="308"/>
      <c r="H5" s="191">
        <f>H3/C3-1</f>
        <v>2.6408198366060009E-2</v>
      </c>
      <c r="I5" s="191">
        <f>I3/D3-1</f>
        <v>0.11022829782804799</v>
      </c>
      <c r="J5" s="191">
        <f>J3/E3-1</f>
        <v>0.23208486685429741</v>
      </c>
      <c r="K5" s="281">
        <f>K3/F3-1</f>
        <v>0.28705278357131392</v>
      </c>
      <c r="L5" s="304">
        <f>L3/G3-1</f>
        <v>0.16687282132013936</v>
      </c>
      <c r="M5" s="191">
        <f>M3/H3-1</f>
        <v>0.27264793157619138</v>
      </c>
      <c r="N5" s="191">
        <f>N3/I3-1</f>
        <v>0.2210069064658271</v>
      </c>
      <c r="O5" s="191">
        <f>O3/J3-1</f>
        <v>0.18868974404029748</v>
      </c>
      <c r="P5" s="281">
        <f>P3/K3-1</f>
        <v>0.20627757971628724</v>
      </c>
      <c r="Q5" s="304">
        <f>Q3/L3-1</f>
        <v>0.21941275453851339</v>
      </c>
      <c r="R5" s="191">
        <f>R3/M3-1</f>
        <v>0.16071869428062002</v>
      </c>
      <c r="S5" s="191">
        <f>S3/N3-1</f>
        <v>0.21614496685521223</v>
      </c>
      <c r="T5" s="295">
        <f>T3/O3-1</f>
        <v>0.26246027248761972</v>
      </c>
      <c r="U5" s="284">
        <v>0.2</v>
      </c>
      <c r="V5" s="284">
        <f>V3/Q3-1</f>
        <v>0.21054103343465047</v>
      </c>
      <c r="W5" s="283">
        <v>0.2</v>
      </c>
      <c r="X5" s="283">
        <f t="shared" ref="X5:AH5" si="1">W5</f>
        <v>0.2</v>
      </c>
      <c r="Y5" s="283">
        <f>X5</f>
        <v>0.2</v>
      </c>
      <c r="Z5" s="284">
        <f t="shared" si="1"/>
        <v>0.2</v>
      </c>
      <c r="AA5" s="298">
        <f>AA3/V3-1</f>
        <v>0.19999999999999996</v>
      </c>
      <c r="AB5" s="283">
        <f>Z5</f>
        <v>0.2</v>
      </c>
      <c r="AC5" s="283">
        <f>AB5-0.005</f>
        <v>0.19500000000000001</v>
      </c>
      <c r="AD5" s="283">
        <f t="shared" ref="AD5:AH5" si="2">AC5-0.005</f>
        <v>0.19</v>
      </c>
      <c r="AE5" s="284">
        <f t="shared" si="2"/>
        <v>0.185</v>
      </c>
      <c r="AF5" s="298">
        <f t="shared" si="2"/>
        <v>0.18</v>
      </c>
      <c r="AG5" s="283">
        <f t="shared" si="2"/>
        <v>0.17499999999999999</v>
      </c>
      <c r="AH5" s="284">
        <f t="shared" si="2"/>
        <v>0.16999999999999998</v>
      </c>
    </row>
    <row r="6" spans="1:34" s="277" customFormat="1" x14ac:dyDescent="0.25">
      <c r="B6" s="277" t="s">
        <v>157</v>
      </c>
      <c r="C6" s="277">
        <v>6005</v>
      </c>
      <c r="D6" s="277">
        <v>5192</v>
      </c>
      <c r="E6" s="277">
        <v>5716</v>
      </c>
      <c r="F6" s="282">
        <v>8336</v>
      </c>
      <c r="G6" s="302">
        <f t="shared" ref="G6:G10" si="3">SUM(C6:F6)</f>
        <v>25249</v>
      </c>
      <c r="H6" s="277">
        <v>6108</v>
      </c>
      <c r="I6" s="277">
        <v>5945</v>
      </c>
      <c r="J6" s="277">
        <v>6120</v>
      </c>
      <c r="K6" s="282">
        <v>7695</v>
      </c>
      <c r="L6" s="302">
        <f t="shared" ref="L6:L10" si="4">SUM(H6:K6)</f>
        <v>25868</v>
      </c>
      <c r="M6" s="277">
        <v>6640</v>
      </c>
      <c r="N6" s="277">
        <v>7308</v>
      </c>
      <c r="O6" s="277">
        <v>7375</v>
      </c>
      <c r="P6" s="282">
        <v>8839</v>
      </c>
      <c r="Q6" s="302">
        <f t="shared" ref="Q6:Q10" si="5">SUM(M6:P6)</f>
        <v>30162</v>
      </c>
      <c r="R6" s="277">
        <v>7572</v>
      </c>
      <c r="S6" s="277">
        <v>8491</v>
      </c>
      <c r="T6" s="297">
        <v>9206</v>
      </c>
      <c r="U6" s="282">
        <f>U3*(1-U11)</f>
        <v>10431.262870301707</v>
      </c>
      <c r="V6" s="302">
        <f t="shared" ref="V6:V10" si="6">SUM(R6:U6)</f>
        <v>35700.262870301711</v>
      </c>
      <c r="W6" s="297">
        <v>9206</v>
      </c>
      <c r="Z6" s="282"/>
      <c r="AA6" s="302"/>
      <c r="AE6" s="282"/>
      <c r="AF6" s="302"/>
      <c r="AH6" s="282"/>
    </row>
    <row r="7" spans="1:34" s="278" customFormat="1" x14ac:dyDescent="0.25">
      <c r="A7" s="278" t="s">
        <v>207</v>
      </c>
      <c r="C7" s="278">
        <f t="shared" ref="C7" si="7">C3-C6</f>
        <v>21903</v>
      </c>
      <c r="D7" s="278">
        <f t="shared" ref="D7" si="8">D3-D6</f>
        <v>23630</v>
      </c>
      <c r="E7" s="278">
        <f t="shared" ref="E7" si="9">E3-E6</f>
        <v>21998</v>
      </c>
      <c r="F7" s="280">
        <f t="shared" ref="F7" si="10">F3-F6</f>
        <v>22829</v>
      </c>
      <c r="G7" s="300">
        <f t="shared" si="3"/>
        <v>90360</v>
      </c>
      <c r="H7" s="278">
        <f t="shared" ref="H7" si="11">H3-H6</f>
        <v>22537</v>
      </c>
      <c r="I7" s="278">
        <f t="shared" ref="I7" si="12">I3-I6</f>
        <v>26054</v>
      </c>
      <c r="J7" s="278">
        <f t="shared" ref="J7" si="13">J3-J6</f>
        <v>28026</v>
      </c>
      <c r="K7" s="280">
        <f t="shared" ref="K7" si="14">K3-K6</f>
        <v>32416</v>
      </c>
      <c r="L7" s="300">
        <f t="shared" si="4"/>
        <v>109033</v>
      </c>
      <c r="M7" s="278">
        <f t="shared" ref="M7" si="15">M3-M6</f>
        <v>29815</v>
      </c>
      <c r="N7" s="278">
        <f>N3-N6</f>
        <v>31763</v>
      </c>
      <c r="O7" s="278">
        <f t="shared" ref="O7:R7" si="16">O3-O6</f>
        <v>33214</v>
      </c>
      <c r="P7" s="280">
        <f t="shared" si="16"/>
        <v>39546</v>
      </c>
      <c r="Q7" s="300">
        <f t="shared" si="5"/>
        <v>134338</v>
      </c>
      <c r="R7" s="278">
        <f t="shared" si="16"/>
        <v>34742</v>
      </c>
      <c r="S7" s="278">
        <f>S3-S6</f>
        <v>39025</v>
      </c>
      <c r="T7" s="299">
        <f>T3-T6</f>
        <v>42036</v>
      </c>
      <c r="U7" s="280">
        <f t="shared" ref="U7:Y7" si="17">U3-U6</f>
        <v>47630.737129698289</v>
      </c>
      <c r="V7" s="300">
        <f t="shared" si="6"/>
        <v>163433.73712969827</v>
      </c>
      <c r="W7" s="278">
        <f t="shared" si="17"/>
        <v>41570.799999999996</v>
      </c>
      <c r="X7" s="278">
        <f t="shared" si="17"/>
        <v>57019.199999999997</v>
      </c>
      <c r="Y7" s="278">
        <f t="shared" si="17"/>
        <v>61490.399999999994</v>
      </c>
      <c r="Z7" s="280">
        <f t="shared" ref="Z7" si="18">Z3-Z6</f>
        <v>69674.399999999994</v>
      </c>
      <c r="AA7" s="300">
        <f t="shared" ref="AA7:AA10" si="19">SUM(W7:Z7)</f>
        <v>229754.8</v>
      </c>
      <c r="AB7" s="278">
        <f t="shared" ref="AB7" si="20">AB3-AB6</f>
        <v>60932.159999999989</v>
      </c>
      <c r="AC7" s="278">
        <f t="shared" ref="AC7" si="21">AC3-AC6</f>
        <v>68137.944000000003</v>
      </c>
      <c r="AD7" s="278">
        <f t="shared" ref="AD7" si="22">AD3-AD6</f>
        <v>73173.575999999986</v>
      </c>
      <c r="AE7" s="280">
        <f t="shared" ref="AE7:AH7" si="23">AE3-AE6</f>
        <v>82564.16399999999</v>
      </c>
      <c r="AF7" s="300">
        <f t="shared" ref="AF7:AF10" si="24">SUM(AB7:AE7)</f>
        <v>284807.84399999998</v>
      </c>
      <c r="AG7" s="299">
        <f t="shared" si="23"/>
        <v>334649.21669999999</v>
      </c>
      <c r="AH7" s="280">
        <f t="shared" si="23"/>
        <v>391539.58353899996</v>
      </c>
    </row>
    <row r="8" spans="1:34" s="277" customFormat="1" x14ac:dyDescent="0.25">
      <c r="B8" s="277" t="s">
        <v>178</v>
      </c>
      <c r="C8" s="277">
        <v>7707</v>
      </c>
      <c r="D8" s="277">
        <v>8690</v>
      </c>
      <c r="E8" s="277">
        <v>9170</v>
      </c>
      <c r="F8" s="282">
        <v>9771</v>
      </c>
      <c r="G8" s="302">
        <f t="shared" si="3"/>
        <v>35338</v>
      </c>
      <c r="H8" s="277">
        <v>9381</v>
      </c>
      <c r="I8" s="277">
        <v>9344</v>
      </c>
      <c r="J8" s="277">
        <v>9241</v>
      </c>
      <c r="K8" s="282">
        <v>10517</v>
      </c>
      <c r="L8" s="302">
        <f t="shared" si="4"/>
        <v>38483</v>
      </c>
      <c r="M8" s="277">
        <v>9978</v>
      </c>
      <c r="N8" s="277">
        <v>10537</v>
      </c>
      <c r="O8" s="277">
        <v>11177</v>
      </c>
      <c r="P8" s="282">
        <v>12180</v>
      </c>
      <c r="Q8" s="302">
        <f t="shared" si="5"/>
        <v>43872</v>
      </c>
      <c r="R8" s="277">
        <v>12150</v>
      </c>
      <c r="S8" s="277">
        <v>12942</v>
      </c>
      <c r="T8" s="297">
        <v>15144</v>
      </c>
      <c r="U8" s="282">
        <f>U7*U12</f>
        <v>14076.731647713807</v>
      </c>
      <c r="V8" s="302">
        <f t="shared" si="6"/>
        <v>54312.731647713808</v>
      </c>
      <c r="W8" s="297">
        <f>W7*W12</f>
        <v>9828.6280035908039</v>
      </c>
      <c r="X8" s="297">
        <f t="shared" ref="X8:AE8" si="25">X7*X12</f>
        <v>13481.109477381835</v>
      </c>
      <c r="Y8" s="297">
        <f t="shared" si="25"/>
        <v>14538.239999999998</v>
      </c>
      <c r="Z8" s="282">
        <f t="shared" si="25"/>
        <v>16473.191734904958</v>
      </c>
      <c r="AA8" s="302">
        <f t="shared" si="19"/>
        <v>54321.169215877599</v>
      </c>
      <c r="AB8" s="297">
        <f t="shared" si="25"/>
        <v>14406.254729167476</v>
      </c>
      <c r="AC8" s="297">
        <f t="shared" si="25"/>
        <v>16109.925825471293</v>
      </c>
      <c r="AD8" s="297">
        <f t="shared" si="25"/>
        <v>17300.505599999997</v>
      </c>
      <c r="AE8" s="282">
        <f t="shared" si="25"/>
        <v>19520.732205862376</v>
      </c>
      <c r="AF8" s="302">
        <f t="shared" si="24"/>
        <v>67337.418360501149</v>
      </c>
      <c r="AG8" s="297">
        <f t="shared" ref="AG8" si="26">AG7*AG12</f>
        <v>79121.466573588856</v>
      </c>
      <c r="AH8" s="282">
        <f t="shared" ref="AH8" si="27">AH7*AH12</f>
        <v>92572.115891098947</v>
      </c>
    </row>
    <row r="9" spans="1:34" s="277" customFormat="1" x14ac:dyDescent="0.25">
      <c r="B9" s="277" t="s">
        <v>52</v>
      </c>
      <c r="C9" s="277">
        <f>3312+2360</f>
        <v>5672</v>
      </c>
      <c r="D9" s="277">
        <f>3595+2987</f>
        <v>6582</v>
      </c>
      <c r="E9" s="277">
        <f>3780+3384</f>
        <v>7164</v>
      </c>
      <c r="F9" s="282">
        <f>4574+3085</f>
        <v>7659</v>
      </c>
      <c r="G9" s="302">
        <f t="shared" si="3"/>
        <v>27077</v>
      </c>
      <c r="H9" s="277">
        <f>3044+2885</f>
        <v>5929</v>
      </c>
      <c r="I9" s="277">
        <f>3154+4164</f>
        <v>7318</v>
      </c>
      <c r="J9" s="277">
        <f>2877+2070</f>
        <v>4947</v>
      </c>
      <c r="K9" s="282">
        <f>3226+2289</f>
        <v>5515</v>
      </c>
      <c r="L9" s="302">
        <f t="shared" si="4"/>
        <v>23709</v>
      </c>
      <c r="M9" s="277">
        <f>2564+3455</f>
        <v>6019</v>
      </c>
      <c r="N9" s="277">
        <f>2721+3658</f>
        <v>6379</v>
      </c>
      <c r="O9" s="277">
        <f>2822+1865</f>
        <v>4687</v>
      </c>
      <c r="P9" s="282">
        <f>3240+761</f>
        <v>4001</v>
      </c>
      <c r="Q9" s="302">
        <f t="shared" si="5"/>
        <v>21086</v>
      </c>
      <c r="R9" s="277">
        <f>2757+2280</f>
        <v>5037</v>
      </c>
      <c r="S9" s="277">
        <f>2979+2663</f>
        <v>5642</v>
      </c>
      <c r="T9" s="297">
        <f>3512+2845</f>
        <v>6357</v>
      </c>
      <c r="U9" s="282">
        <f>U7*U13</f>
        <v>5908.9925438798646</v>
      </c>
      <c r="V9" s="302">
        <f t="shared" si="6"/>
        <v>22944.992543879864</v>
      </c>
      <c r="W9" s="297">
        <f>W7*W13</f>
        <v>5157.2065024784351</v>
      </c>
      <c r="X9" s="297">
        <f t="shared" ref="X9:AE9" si="28">X7*X13</f>
        <v>7073.7101284102882</v>
      </c>
      <c r="Y9" s="297">
        <f t="shared" si="28"/>
        <v>7628.4</v>
      </c>
      <c r="Z9" s="282">
        <f t="shared" si="28"/>
        <v>8643.6938605050545</v>
      </c>
      <c r="AA9" s="302">
        <f t="shared" si="19"/>
        <v>28503.010491393776</v>
      </c>
      <c r="AB9" s="297">
        <f t="shared" si="28"/>
        <v>7559.1456445884223</v>
      </c>
      <c r="AC9" s="297">
        <f t="shared" si="28"/>
        <v>8453.0836034502954</v>
      </c>
      <c r="AD9" s="297">
        <f t="shared" si="28"/>
        <v>9077.7959999999985</v>
      </c>
      <c r="AE9" s="282">
        <f t="shared" si="28"/>
        <v>10242.777224698488</v>
      </c>
      <c r="AF9" s="302">
        <f t="shared" si="24"/>
        <v>35332.802472737203</v>
      </c>
      <c r="AG9" s="297">
        <f t="shared" ref="AG9:AH9" si="29">AG7*AG13</f>
        <v>41516.042905466216</v>
      </c>
      <c r="AH9" s="282">
        <f t="shared" si="29"/>
        <v>48573.770199395469</v>
      </c>
    </row>
    <row r="10" spans="1:34" s="278" customFormat="1" x14ac:dyDescent="0.25">
      <c r="A10" s="278" t="s">
        <v>208</v>
      </c>
      <c r="C10" s="278">
        <f t="shared" ref="C10" si="30">C7-SUM(C8:C9)</f>
        <v>8524</v>
      </c>
      <c r="D10" s="278">
        <f t="shared" ref="D10" si="31">D7-SUM(D8:D9)</f>
        <v>8358</v>
      </c>
      <c r="E10" s="278">
        <f t="shared" ref="E10" si="32">E7-SUM(E8:E9)</f>
        <v>5664</v>
      </c>
      <c r="F10" s="280">
        <f t="shared" ref="F10" si="33">F7-SUM(F8:F9)</f>
        <v>5399</v>
      </c>
      <c r="G10" s="300">
        <f t="shared" si="3"/>
        <v>27945</v>
      </c>
      <c r="H10" s="278">
        <f t="shared" ref="H10" si="34">H7-SUM(H8:H9)</f>
        <v>7227</v>
      </c>
      <c r="I10" s="278">
        <f t="shared" ref="I10:M10" si="35">I7-SUM(I8:I9)</f>
        <v>9392</v>
      </c>
      <c r="J10" s="278">
        <f t="shared" si="35"/>
        <v>13838</v>
      </c>
      <c r="K10" s="280">
        <f t="shared" si="35"/>
        <v>16384</v>
      </c>
      <c r="L10" s="300">
        <f t="shared" si="4"/>
        <v>46841</v>
      </c>
      <c r="M10" s="278">
        <f t="shared" si="35"/>
        <v>13818</v>
      </c>
      <c r="N10" s="278">
        <f>N7-SUM(N8:N9)</f>
        <v>14847</v>
      </c>
      <c r="O10" s="278">
        <f t="shared" ref="O10:Y10" si="36">O7-SUM(O8:O9)</f>
        <v>17350</v>
      </c>
      <c r="P10" s="280">
        <f t="shared" si="36"/>
        <v>23365</v>
      </c>
      <c r="Q10" s="300">
        <f t="shared" si="5"/>
        <v>69380</v>
      </c>
      <c r="R10" s="278">
        <f t="shared" si="36"/>
        <v>17555</v>
      </c>
      <c r="S10" s="278">
        <f t="shared" si="36"/>
        <v>20441</v>
      </c>
      <c r="T10" s="299">
        <f t="shared" si="36"/>
        <v>20535</v>
      </c>
      <c r="U10" s="285">
        <f t="shared" si="36"/>
        <v>27645.012938104617</v>
      </c>
      <c r="V10" s="303">
        <f t="shared" si="6"/>
        <v>86176.012938104614</v>
      </c>
      <c r="W10" s="278">
        <f t="shared" si="36"/>
        <v>26584.965493930758</v>
      </c>
      <c r="X10" s="278">
        <f t="shared" si="36"/>
        <v>36464.380394207874</v>
      </c>
      <c r="Y10" s="278">
        <f t="shared" si="36"/>
        <v>39323.759999999995</v>
      </c>
      <c r="Z10" s="285">
        <f t="shared" ref="Z10" si="37">Z7-SUM(Z8:Z9)</f>
        <v>44557.51440458998</v>
      </c>
      <c r="AA10" s="303">
        <f t="shared" si="19"/>
        <v>146930.62029272859</v>
      </c>
      <c r="AB10" s="278">
        <f t="shared" ref="AB10" si="38">AB7-SUM(AB8:AB9)</f>
        <v>38966.759626244093</v>
      </c>
      <c r="AC10" s="278">
        <f t="shared" ref="AC10" si="39">AC7-SUM(AC8:AC9)</f>
        <v>43574.934571078411</v>
      </c>
      <c r="AD10" s="278">
        <f t="shared" ref="AD10" si="40">AD7-SUM(AD8:AD9)</f>
        <v>46795.274399999995</v>
      </c>
      <c r="AE10" s="285">
        <f t="shared" ref="AE10:AH10" si="41">AE7-SUM(AE8:AE9)</f>
        <v>52800.654569439124</v>
      </c>
      <c r="AF10" s="303">
        <f t="shared" si="24"/>
        <v>182137.62316676162</v>
      </c>
      <c r="AG10" s="299">
        <f t="shared" si="41"/>
        <v>214011.70722094493</v>
      </c>
      <c r="AH10" s="285">
        <f t="shared" si="41"/>
        <v>250393.69744850555</v>
      </c>
    </row>
    <row r="11" spans="1:34" s="191" customFormat="1" x14ac:dyDescent="0.25">
      <c r="A11" s="289"/>
      <c r="B11" s="289" t="s">
        <v>220</v>
      </c>
      <c r="C11" s="289">
        <f>C7/C3</f>
        <v>0.78482872294682526</v>
      </c>
      <c r="D11" s="289">
        <f t="shared" ref="D11:T11" si="42">D7/D3</f>
        <v>0.81985982929706469</v>
      </c>
      <c r="E11" s="289">
        <f t="shared" si="42"/>
        <v>0.79375045103557773</v>
      </c>
      <c r="F11" s="290">
        <f t="shared" si="42"/>
        <v>0.73252045563933899</v>
      </c>
      <c r="G11" s="305"/>
      <c r="H11" s="289">
        <f t="shared" si="42"/>
        <v>0.7867690696456624</v>
      </c>
      <c r="I11" s="289">
        <f t="shared" si="42"/>
        <v>0.81421294415450485</v>
      </c>
      <c r="J11" s="289">
        <f t="shared" si="42"/>
        <v>0.8207696362677912</v>
      </c>
      <c r="K11" s="290">
        <f t="shared" si="42"/>
        <v>0.80815736331679588</v>
      </c>
      <c r="L11" s="305"/>
      <c r="M11" s="289">
        <f t="shared" si="42"/>
        <v>0.81785763269784661</v>
      </c>
      <c r="N11" s="289">
        <f t="shared" si="42"/>
        <v>0.81295590079598679</v>
      </c>
      <c r="O11" s="289">
        <f t="shared" si="42"/>
        <v>0.81830052477272164</v>
      </c>
      <c r="P11" s="290">
        <f t="shared" si="42"/>
        <v>0.81731941717474421</v>
      </c>
      <c r="Q11" s="305"/>
      <c r="R11" s="289">
        <f t="shared" si="42"/>
        <v>0.82105213404546962</v>
      </c>
      <c r="S11" s="289">
        <f t="shared" si="42"/>
        <v>0.82130229817324696</v>
      </c>
      <c r="T11" s="290">
        <f t="shared" si="42"/>
        <v>0.82034268763904605</v>
      </c>
      <c r="U11" s="292">
        <f>T11</f>
        <v>0.82034268763904605</v>
      </c>
      <c r="V11" s="292">
        <f>U11</f>
        <v>0.82034268763904605</v>
      </c>
      <c r="W11" s="292">
        <f>U11</f>
        <v>0.82034268763904605</v>
      </c>
      <c r="X11" s="292">
        <f t="shared" ref="X11:AE11" si="43">W11</f>
        <v>0.82034268763904605</v>
      </c>
      <c r="Y11" s="292">
        <f>X11</f>
        <v>0.82034268763904605</v>
      </c>
      <c r="Z11" s="292">
        <f t="shared" si="43"/>
        <v>0.82034268763904605</v>
      </c>
      <c r="AA11" s="292">
        <f t="shared" ref="AA11" si="44">Z11</f>
        <v>0.82034268763904605</v>
      </c>
      <c r="AB11" s="292">
        <f>Z11</f>
        <v>0.82034268763904605</v>
      </c>
      <c r="AC11" s="292">
        <f t="shared" si="43"/>
        <v>0.82034268763904605</v>
      </c>
      <c r="AD11" s="292">
        <f t="shared" si="43"/>
        <v>0.82034268763904605</v>
      </c>
      <c r="AE11" s="292">
        <f t="shared" si="43"/>
        <v>0.82034268763904605</v>
      </c>
      <c r="AF11" s="292">
        <f t="shared" ref="AF11" si="45">AE11</f>
        <v>0.82034268763904605</v>
      </c>
      <c r="AG11" s="292">
        <f>AE11</f>
        <v>0.82034268763904605</v>
      </c>
      <c r="AH11" s="292">
        <f t="shared" ref="AH11" si="46">AG11</f>
        <v>0.82034268763904605</v>
      </c>
    </row>
    <row r="12" spans="1:34" s="191" customFormat="1" x14ac:dyDescent="0.25">
      <c r="B12" s="191" t="s">
        <v>222</v>
      </c>
      <c r="C12" s="191">
        <f>C8/C3</f>
        <v>0.27615737422961156</v>
      </c>
      <c r="D12" s="191">
        <f t="shared" ref="D12:T12" si="47">D8/D3</f>
        <v>0.30150579418499757</v>
      </c>
      <c r="E12" s="191">
        <f t="shared" si="47"/>
        <v>0.33087969979071952</v>
      </c>
      <c r="F12" s="281">
        <f t="shared" si="47"/>
        <v>0.31352478742178724</v>
      </c>
      <c r="G12" s="304"/>
      <c r="H12" s="191">
        <f t="shared" si="47"/>
        <v>0.32749170884971202</v>
      </c>
      <c r="I12" s="191">
        <f t="shared" si="47"/>
        <v>0.29200912528516515</v>
      </c>
      <c r="J12" s="191">
        <f t="shared" si="47"/>
        <v>0.27063199203420607</v>
      </c>
      <c r="K12" s="281">
        <f t="shared" si="47"/>
        <v>0.26219740220887039</v>
      </c>
      <c r="L12" s="304"/>
      <c r="M12" s="191">
        <f t="shared" si="47"/>
        <v>0.27370731038266355</v>
      </c>
      <c r="N12" s="191">
        <f t="shared" si="47"/>
        <v>0.26968851577896652</v>
      </c>
      <c r="O12" s="191">
        <f t="shared" si="47"/>
        <v>0.27537017418512405</v>
      </c>
      <c r="P12" s="281">
        <f t="shared" si="47"/>
        <v>0.25173090833936135</v>
      </c>
      <c r="Q12" s="304"/>
      <c r="R12" s="191">
        <f t="shared" si="47"/>
        <v>0.28713900836602541</v>
      </c>
      <c r="S12" s="191">
        <f t="shared" si="47"/>
        <v>0.27237141173499452</v>
      </c>
      <c r="T12" s="281">
        <f t="shared" si="47"/>
        <v>0.29553881581515162</v>
      </c>
      <c r="U12" s="296">
        <f t="shared" ref="U12:V13" si="48">T12</f>
        <v>0.29553881581515162</v>
      </c>
      <c r="V12" s="296">
        <f t="shared" si="48"/>
        <v>0.29553881581515162</v>
      </c>
      <c r="W12" s="283">
        <f>V12*0.8</f>
        <v>0.2364310526521213</v>
      </c>
      <c r="X12" s="283">
        <f t="shared" ref="X12:AE12" si="49">W12</f>
        <v>0.2364310526521213</v>
      </c>
      <c r="Y12" s="283">
        <f>X12</f>
        <v>0.2364310526521213</v>
      </c>
      <c r="Z12" s="283">
        <f t="shared" si="49"/>
        <v>0.2364310526521213</v>
      </c>
      <c r="AA12" s="283">
        <f t="shared" ref="AA12" si="50">Z12</f>
        <v>0.2364310526521213</v>
      </c>
      <c r="AB12" s="283">
        <f>Z12</f>
        <v>0.2364310526521213</v>
      </c>
      <c r="AC12" s="283">
        <f t="shared" si="49"/>
        <v>0.2364310526521213</v>
      </c>
      <c r="AD12" s="283">
        <f t="shared" si="49"/>
        <v>0.2364310526521213</v>
      </c>
      <c r="AE12" s="283">
        <f t="shared" si="49"/>
        <v>0.2364310526521213</v>
      </c>
      <c r="AF12" s="283">
        <f t="shared" ref="AF12" si="51">AE12</f>
        <v>0.2364310526521213</v>
      </c>
      <c r="AG12" s="283">
        <f>AE12</f>
        <v>0.2364310526521213</v>
      </c>
      <c r="AH12" s="283">
        <f t="shared" ref="AH12" si="52">AG12</f>
        <v>0.2364310526521213</v>
      </c>
    </row>
    <row r="13" spans="1:34" s="191" customFormat="1" x14ac:dyDescent="0.25">
      <c r="B13" s="191" t="s">
        <v>223</v>
      </c>
      <c r="C13" s="191">
        <f>C9/C3</f>
        <v>0.20323921456213273</v>
      </c>
      <c r="D13" s="191">
        <f t="shared" ref="D13:T13" si="53">D9/D3</f>
        <v>0.22836721948511554</v>
      </c>
      <c r="E13" s="191">
        <f t="shared" si="53"/>
        <v>0.25849751028361118</v>
      </c>
      <c r="F13" s="281">
        <f t="shared" si="53"/>
        <v>0.24575645756457565</v>
      </c>
      <c r="G13" s="304"/>
      <c r="H13" s="191">
        <f t="shared" si="53"/>
        <v>0.20698202129516496</v>
      </c>
      <c r="I13" s="191">
        <f t="shared" si="53"/>
        <v>0.22869464670770961</v>
      </c>
      <c r="J13" s="191">
        <f t="shared" si="53"/>
        <v>0.14487787735020208</v>
      </c>
      <c r="K13" s="281">
        <f t="shared" si="53"/>
        <v>0.137493455660542</v>
      </c>
      <c r="L13" s="304"/>
      <c r="M13" s="191">
        <f t="shared" si="53"/>
        <v>0.16510766698669593</v>
      </c>
      <c r="N13" s="191">
        <f t="shared" si="53"/>
        <v>0.16326687312840726</v>
      </c>
      <c r="O13" s="191">
        <f t="shared" si="53"/>
        <v>0.11547463598511912</v>
      </c>
      <c r="P13" s="281">
        <f t="shared" si="53"/>
        <v>8.2690916606386278E-2</v>
      </c>
      <c r="Q13" s="304"/>
      <c r="R13" s="191">
        <f t="shared" si="53"/>
        <v>0.11903861606087819</v>
      </c>
      <c r="S13" s="191">
        <f t="shared" si="53"/>
        <v>0.1187389510901591</v>
      </c>
      <c r="T13" s="281">
        <f t="shared" si="53"/>
        <v>0.12405838960227938</v>
      </c>
      <c r="U13" s="296">
        <f t="shared" si="48"/>
        <v>0.12405838960227938</v>
      </c>
      <c r="V13" s="296">
        <f t="shared" si="48"/>
        <v>0.12405838960227938</v>
      </c>
      <c r="W13" s="283">
        <f>U13</f>
        <v>0.12405838960227938</v>
      </c>
      <c r="X13" s="283">
        <f t="shared" ref="X13:AE13" si="54">W13</f>
        <v>0.12405838960227938</v>
      </c>
      <c r="Y13" s="283">
        <f>X13</f>
        <v>0.12405838960227938</v>
      </c>
      <c r="Z13" s="283">
        <f t="shared" si="54"/>
        <v>0.12405838960227938</v>
      </c>
      <c r="AA13" s="283">
        <f t="shared" ref="AA13" si="55">Z13</f>
        <v>0.12405838960227938</v>
      </c>
      <c r="AB13" s="283">
        <f>Z13</f>
        <v>0.12405838960227938</v>
      </c>
      <c r="AC13" s="283">
        <f t="shared" si="54"/>
        <v>0.12405838960227938</v>
      </c>
      <c r="AD13" s="283">
        <f t="shared" si="54"/>
        <v>0.12405838960227938</v>
      </c>
      <c r="AE13" s="283">
        <f t="shared" si="54"/>
        <v>0.12405838960227938</v>
      </c>
      <c r="AF13" s="283">
        <f t="shared" ref="AF13" si="56">AE13</f>
        <v>0.12405838960227938</v>
      </c>
      <c r="AG13" s="283">
        <f>AE13</f>
        <v>0.12405838960227938</v>
      </c>
      <c r="AH13" s="283">
        <f t="shared" ref="AH13" si="57">AG13</f>
        <v>0.12405838960227938</v>
      </c>
    </row>
    <row r="14" spans="1:34" s="191" customFormat="1" x14ac:dyDescent="0.25">
      <c r="B14" s="191" t="s">
        <v>221</v>
      </c>
      <c r="C14" s="191">
        <f>C10/C3</f>
        <v>0.30543213415508097</v>
      </c>
      <c r="D14" s="191">
        <f t="shared" ref="D14:T14" si="58">D10/D3</f>
        <v>0.28998681562695161</v>
      </c>
      <c r="E14" s="191">
        <f t="shared" si="58"/>
        <v>0.20437324096124701</v>
      </c>
      <c r="F14" s="291">
        <f t="shared" si="58"/>
        <v>0.17323921065297609</v>
      </c>
      <c r="G14" s="306"/>
      <c r="H14" s="191">
        <f t="shared" si="58"/>
        <v>0.25229533950078548</v>
      </c>
      <c r="I14" s="191">
        <f t="shared" si="58"/>
        <v>0.29350917216163003</v>
      </c>
      <c r="J14" s="191">
        <f t="shared" si="58"/>
        <v>0.40525976688338311</v>
      </c>
      <c r="K14" s="291">
        <f t="shared" si="58"/>
        <v>0.4084665054473835</v>
      </c>
      <c r="L14" s="306"/>
      <c r="M14" s="191">
        <f t="shared" si="58"/>
        <v>0.37904265532848719</v>
      </c>
      <c r="N14" s="191">
        <f t="shared" si="58"/>
        <v>0.38000051188861306</v>
      </c>
      <c r="O14" s="191">
        <f t="shared" si="58"/>
        <v>0.4274557146024785</v>
      </c>
      <c r="P14" s="291">
        <f t="shared" si="58"/>
        <v>0.48289759222899659</v>
      </c>
      <c r="Q14" s="306"/>
      <c r="R14" s="191">
        <f t="shared" si="58"/>
        <v>0.41487450961856598</v>
      </c>
      <c r="S14" s="191">
        <f t="shared" si="58"/>
        <v>0.43019193534809325</v>
      </c>
      <c r="T14" s="291">
        <f t="shared" si="58"/>
        <v>0.4007454822216151</v>
      </c>
    </row>
    <row r="15" spans="1:34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9"/>
  <sheetViews>
    <sheetView showGridLines="0" zoomScaleNormal="100" workbookViewId="0">
      <selection activeCell="G33" sqref="G33:J33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5" t="str">
        <f>CoName</f>
        <v>Meta Platforms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124</v>
      </c>
      <c r="B2" s="263" t="s">
        <v>125</v>
      </c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197"/>
      <c r="L2" s="197"/>
    </row>
    <row r="3" spans="1:20" x14ac:dyDescent="0.25">
      <c r="A3" s="86"/>
      <c r="B3" s="159"/>
      <c r="C3" s="197"/>
      <c r="D3" s="197"/>
      <c r="E3" s="197"/>
      <c r="F3" s="197"/>
      <c r="G3" s="197"/>
      <c r="H3" s="197"/>
      <c r="I3" s="197"/>
      <c r="J3" s="197"/>
      <c r="K3" s="197"/>
      <c r="L3" s="197"/>
    </row>
    <row r="4" spans="1:20" x14ac:dyDescent="0.25">
      <c r="B4" s="94" t="s">
        <v>131</v>
      </c>
      <c r="C4"/>
      <c r="D4" s="260">
        <v>1</v>
      </c>
      <c r="E4"/>
      <c r="F4"/>
      <c r="G4" s="89"/>
      <c r="H4" s="89"/>
      <c r="I4" s="89"/>
      <c r="J4" s="89"/>
      <c r="K4" s="89"/>
      <c r="M4" s="232"/>
      <c r="N4" s="233"/>
      <c r="O4" s="233"/>
    </row>
    <row r="5" spans="1:20" x14ac:dyDescent="0.25">
      <c r="B5" s="88"/>
      <c r="C5" s="90"/>
      <c r="D5" s="113" t="s">
        <v>126</v>
      </c>
      <c r="E5" s="91"/>
      <c r="K5" s="89"/>
      <c r="M5" s="234"/>
      <c r="N5" s="235"/>
      <c r="O5" s="235"/>
    </row>
    <row r="6" spans="1:20" x14ac:dyDescent="0.25">
      <c r="B6" s="92" t="s">
        <v>132</v>
      </c>
      <c r="D6" s="101">
        <v>0</v>
      </c>
      <c r="E6" s="93"/>
      <c r="F6" s="101">
        <f>'Quarterly Projections'!V5</f>
        <v>0.21054103343465047</v>
      </c>
      <c r="G6" s="101">
        <f>'Quarterly Projections'!AA5</f>
        <v>0.19999999999999996</v>
      </c>
      <c r="H6" s="101">
        <f>'Quarterly Projections'!AG5</f>
        <v>0.17499999999999999</v>
      </c>
      <c r="I6" s="101">
        <f>'Quarterly Projections'!AG5</f>
        <v>0.17499999999999999</v>
      </c>
      <c r="J6" s="101">
        <f>'Quarterly Projections'!AH5</f>
        <v>0.16999999999999998</v>
      </c>
      <c r="K6" s="171"/>
      <c r="M6" s="171"/>
      <c r="N6" s="236"/>
      <c r="O6" s="236"/>
      <c r="P6" s="236"/>
      <c r="Q6" s="236"/>
      <c r="R6" s="236"/>
      <c r="S6" s="236"/>
      <c r="T6" s="236"/>
    </row>
    <row r="7" spans="1:20" x14ac:dyDescent="0.25">
      <c r="B7" s="4" t="s">
        <v>128</v>
      </c>
      <c r="D7" s="101">
        <v>2.5000000000000001E-2</v>
      </c>
      <c r="E7" s="93"/>
      <c r="F7" s="101">
        <f>F6+$D$7</f>
        <v>0.23554103343465047</v>
      </c>
      <c r="G7" s="101">
        <f t="shared" ref="G7:J7" si="1">G6+$D$7</f>
        <v>0.22499999999999995</v>
      </c>
      <c r="H7" s="101">
        <f t="shared" si="1"/>
        <v>0.19999999999999998</v>
      </c>
      <c r="I7" s="101">
        <f t="shared" si="1"/>
        <v>0.19999999999999998</v>
      </c>
      <c r="J7" s="101">
        <f t="shared" si="1"/>
        <v>0.19499999999999998</v>
      </c>
      <c r="K7" s="171"/>
      <c r="M7" s="171"/>
      <c r="N7" s="171"/>
      <c r="O7" s="171"/>
      <c r="P7" s="171"/>
      <c r="Q7" s="171"/>
      <c r="R7" s="171"/>
      <c r="S7" s="171"/>
      <c r="T7" s="171"/>
    </row>
    <row r="8" spans="1:20" x14ac:dyDescent="0.25">
      <c r="B8" s="4" t="s">
        <v>127</v>
      </c>
      <c r="D8" s="101">
        <v>-2.5000000000000001E-2</v>
      </c>
      <c r="E8" s="93"/>
      <c r="F8" s="101">
        <f>F6+$D$8</f>
        <v>0.18554103343465048</v>
      </c>
      <c r="G8" s="101">
        <f t="shared" ref="G8:J8" si="2">G6+$D$8</f>
        <v>0.17499999999999996</v>
      </c>
      <c r="H8" s="101">
        <f t="shared" si="2"/>
        <v>0.15</v>
      </c>
      <c r="I8" s="101">
        <f t="shared" si="2"/>
        <v>0.15</v>
      </c>
      <c r="J8" s="101">
        <f t="shared" si="2"/>
        <v>0.14499999999999999</v>
      </c>
      <c r="K8" s="171"/>
    </row>
    <row r="9" spans="1:20" x14ac:dyDescent="0.25">
      <c r="K9" s="30"/>
      <c r="L9" s="30"/>
      <c r="M9" s="171"/>
      <c r="N9" s="171"/>
    </row>
    <row r="10" spans="1:20" x14ac:dyDescent="0.25">
      <c r="B10" s="118" t="s">
        <v>149</v>
      </c>
      <c r="C10" s="191"/>
      <c r="D10" s="275">
        <f>IncState!D17/IncState!C17-1</f>
        <v>0.15687468377226454</v>
      </c>
      <c r="E10" s="192">
        <f>IncState!E17/IncState!D17-1</f>
        <v>0.21941112807816054</v>
      </c>
      <c r="F10" s="105">
        <f t="shared" ref="F10" si="3">CHOOSE(ScenarioREV,F6,F7,F8)</f>
        <v>0.21054103343465047</v>
      </c>
      <c r="G10" s="105">
        <f t="shared" ref="G10:J10" si="4">CHOOSE(ScenarioREV,G6,G7,G8)</f>
        <v>0.19999999999999996</v>
      </c>
      <c r="H10" s="105">
        <f t="shared" si="4"/>
        <v>0.17499999999999999</v>
      </c>
      <c r="I10" s="105">
        <f t="shared" si="4"/>
        <v>0.17499999999999999</v>
      </c>
      <c r="J10" s="105">
        <f t="shared" si="4"/>
        <v>0.16999999999999998</v>
      </c>
      <c r="K10" s="29"/>
      <c r="L10" s="29"/>
      <c r="M10" s="171"/>
      <c r="N10" s="171"/>
    </row>
    <row r="11" spans="1:20" x14ac:dyDescent="0.25">
      <c r="B11" s="4" t="s">
        <v>133</v>
      </c>
      <c r="C11" s="8">
        <f>IncState!C18/IncState!C17</f>
        <v>0.21652702621581524</v>
      </c>
      <c r="D11" s="8">
        <f>IncState!D18/IncState!D17</f>
        <v>0.19242857778239017</v>
      </c>
      <c r="E11" s="8">
        <f>IncState!E18/IncState!E17</f>
        <v>0.18334842949282984</v>
      </c>
      <c r="F11" s="101">
        <f>1-'Quarterly Projections'!V11</f>
        <v>0.17965731236095395</v>
      </c>
      <c r="G11" s="101">
        <f>1-'Quarterly Projections'!W11</f>
        <v>0.17965731236095395</v>
      </c>
      <c r="H11" s="101">
        <f>1-'Quarterly Projections'!X11</f>
        <v>0.17965731236095395</v>
      </c>
      <c r="I11" s="101">
        <f>1-'Quarterly Projections'!Y11</f>
        <v>0.17965731236095395</v>
      </c>
      <c r="J11" s="101">
        <f>1-'Quarterly Projections'!Z11</f>
        <v>0.17965731236095395</v>
      </c>
      <c r="K11" s="171"/>
      <c r="L11" s="171"/>
      <c r="M11" s="171"/>
      <c r="N11" s="171"/>
    </row>
    <row r="12" spans="1:20" x14ac:dyDescent="0.25">
      <c r="B12" s="4" t="s">
        <v>179</v>
      </c>
      <c r="C12" s="8">
        <f>IncState!C19/IncState!C17</f>
        <v>0.30304693462768739</v>
      </c>
      <c r="D12" s="8">
        <f>IncState!D19/IncState!D17</f>
        <v>0.28526634149234259</v>
      </c>
      <c r="E12" s="8">
        <f>IncState!E19/IncState!E17</f>
        <v>0.26670354587510109</v>
      </c>
      <c r="F12" s="101">
        <f>'Quarterly Projections'!V12</f>
        <v>0.29553881581515162</v>
      </c>
      <c r="G12" s="101">
        <f>'Quarterly Projections'!AA12</f>
        <v>0.2364310526521213</v>
      </c>
      <c r="H12" s="101">
        <f>'Quarterly Projections'!AF12</f>
        <v>0.2364310526521213</v>
      </c>
      <c r="I12" s="101">
        <f>'Quarterly Projections'!AG12</f>
        <v>0.2364310526521213</v>
      </c>
      <c r="J12" s="101">
        <f>'Quarterly Projections'!AH12</f>
        <v>0.2364310526521213</v>
      </c>
      <c r="K12" s="171"/>
      <c r="L12" s="171"/>
      <c r="M12" s="171"/>
      <c r="N12" s="171"/>
    </row>
    <row r="13" spans="1:20" x14ac:dyDescent="0.25">
      <c r="B13" s="4" t="s">
        <v>45</v>
      </c>
      <c r="C13" s="8">
        <f>IncState!C20/IncState!C17</f>
        <v>0.2322119218928213</v>
      </c>
      <c r="D13" s="8">
        <f>IncState!D20/IncState!D17</f>
        <v>0.17574980356110362</v>
      </c>
      <c r="E13" s="8">
        <f>IncState!E20/IncState!E17</f>
        <v>0.12818767059166813</v>
      </c>
      <c r="F13" s="101">
        <f>E13</f>
        <v>0.12818767059166813</v>
      </c>
      <c r="G13" s="101">
        <f t="shared" ref="G13:J13" si="5">F13</f>
        <v>0.12818767059166813</v>
      </c>
      <c r="H13" s="101">
        <f t="shared" si="5"/>
        <v>0.12818767059166813</v>
      </c>
      <c r="I13" s="101">
        <f t="shared" si="5"/>
        <v>0.12818767059166813</v>
      </c>
      <c r="J13" s="101">
        <f t="shared" si="5"/>
        <v>0.12818767059166813</v>
      </c>
      <c r="K13" s="171"/>
      <c r="L13" s="171"/>
    </row>
    <row r="14" spans="1:20" x14ac:dyDescent="0.25">
      <c r="B14" s="4" t="s">
        <v>135</v>
      </c>
      <c r="C14" s="4">
        <f>IncState!C24</f>
        <v>0</v>
      </c>
      <c r="D14" s="4">
        <f>IncState!D24</f>
        <v>0</v>
      </c>
      <c r="E14" s="4">
        <f>IncState!E24</f>
        <v>0</v>
      </c>
      <c r="F14" s="102">
        <f>E14</f>
        <v>0</v>
      </c>
      <c r="G14" s="102">
        <f t="shared" ref="G14:J14" si="6">F14</f>
        <v>0</v>
      </c>
      <c r="H14" s="102">
        <f t="shared" si="6"/>
        <v>0</v>
      </c>
      <c r="I14" s="102">
        <f t="shared" si="6"/>
        <v>0</v>
      </c>
      <c r="J14" s="102">
        <f t="shared" si="6"/>
        <v>0</v>
      </c>
      <c r="K14" s="198"/>
      <c r="L14" s="198"/>
    </row>
    <row r="15" spans="1:20" x14ac:dyDescent="0.25">
      <c r="B15" s="4" t="s">
        <v>136</v>
      </c>
      <c r="C15" s="4">
        <f>IncState!C27</f>
        <v>-81</v>
      </c>
      <c r="D15" s="4">
        <f>IncState!D27</f>
        <v>-366</v>
      </c>
      <c r="E15" s="4">
        <f>IncState!E27</f>
        <v>-690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98"/>
      <c r="L15" s="198"/>
    </row>
    <row r="16" spans="1:20" x14ac:dyDescent="0.25">
      <c r="B16" s="4" t="s">
        <v>138</v>
      </c>
      <c r="C16" s="4">
        <f>IncState!C28</f>
        <v>-320</v>
      </c>
      <c r="D16" s="4">
        <f>IncState!D28</f>
        <v>-150</v>
      </c>
      <c r="E16" s="4">
        <f>IncState!E28</f>
        <v>171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  <c r="K16" s="198"/>
      <c r="L16" s="198"/>
    </row>
    <row r="17" spans="1:12" x14ac:dyDescent="0.25">
      <c r="B17" s="4" t="s">
        <v>48</v>
      </c>
      <c r="C17" s="8">
        <f>IncState!C35/IncState!C33</f>
        <v>0.19862844215065928</v>
      </c>
      <c r="D17" s="8">
        <f>IncState!D35/IncState!D33</f>
        <v>0.17563464620055663</v>
      </c>
      <c r="E17" s="8">
        <f>IncState!E35/IncState!E33</f>
        <v>0.11750137978857393</v>
      </c>
      <c r="F17" s="101">
        <v>0.13500000000000001</v>
      </c>
      <c r="G17" s="101">
        <f t="shared" ref="G17:J17" si="7">F17</f>
        <v>0.13500000000000001</v>
      </c>
      <c r="H17" s="101">
        <f t="shared" si="7"/>
        <v>0.13500000000000001</v>
      </c>
      <c r="I17" s="101">
        <f t="shared" si="7"/>
        <v>0.13500000000000001</v>
      </c>
      <c r="J17" s="101">
        <f t="shared" si="7"/>
        <v>0.13500000000000001</v>
      </c>
      <c r="K17" s="171"/>
      <c r="L17" s="171"/>
    </row>
    <row r="18" spans="1:12" s="266" customFormat="1" x14ac:dyDescent="0.25">
      <c r="B18" s="266" t="s">
        <v>139</v>
      </c>
      <c r="C18" s="266">
        <f>IncState!C37</f>
        <v>0</v>
      </c>
      <c r="D18" s="266">
        <f>IncState!D37</f>
        <v>0</v>
      </c>
      <c r="E18" s="266">
        <f>IncState!E37</f>
        <v>8.1334188582424638E-2</v>
      </c>
      <c r="F18" s="267">
        <f>E18</f>
        <v>8.1334188582424638E-2</v>
      </c>
      <c r="G18" s="267">
        <f t="shared" ref="G18:J18" si="8">F18</f>
        <v>8.1334188582424638E-2</v>
      </c>
      <c r="H18" s="267">
        <f t="shared" si="8"/>
        <v>8.1334188582424638E-2</v>
      </c>
      <c r="I18" s="267">
        <f t="shared" si="8"/>
        <v>8.1334188582424638E-2</v>
      </c>
      <c r="J18" s="267">
        <f t="shared" si="8"/>
        <v>8.1334188582424638E-2</v>
      </c>
      <c r="K18" s="268"/>
      <c r="L18" s="268"/>
    </row>
    <row r="19" spans="1:12" x14ac:dyDescent="0.25">
      <c r="B19" s="4" t="s">
        <v>49</v>
      </c>
      <c r="C19" s="4">
        <f>IncState!C40</f>
        <v>2687</v>
      </c>
      <c r="D19" s="4">
        <f>IncState!D40</f>
        <v>2574</v>
      </c>
      <c r="E19" s="4">
        <f>IncState!E40</f>
        <v>2534</v>
      </c>
      <c r="F19" s="102">
        <f>E19</f>
        <v>2534</v>
      </c>
      <c r="G19" s="102">
        <f t="shared" ref="G19:J19" si="9">F19</f>
        <v>2534</v>
      </c>
      <c r="H19" s="102">
        <f t="shared" si="9"/>
        <v>2534</v>
      </c>
      <c r="I19" s="102">
        <f t="shared" si="9"/>
        <v>2534</v>
      </c>
      <c r="J19" s="102">
        <f t="shared" si="9"/>
        <v>2534</v>
      </c>
      <c r="K19" s="198"/>
      <c r="L19" s="198"/>
    </row>
    <row r="20" spans="1:12" x14ac:dyDescent="0.25">
      <c r="B20" s="4" t="s">
        <v>50</v>
      </c>
      <c r="C20" s="4">
        <f>IncState!C41</f>
        <v>2702</v>
      </c>
      <c r="D20" s="4">
        <f>IncState!D41</f>
        <v>2629</v>
      </c>
      <c r="E20" s="4">
        <f>IncState!E41</f>
        <v>2614</v>
      </c>
      <c r="F20" s="102">
        <f>E20</f>
        <v>2614</v>
      </c>
      <c r="G20" s="102">
        <f t="shared" ref="G20:J20" si="10">F20</f>
        <v>2614</v>
      </c>
      <c r="H20" s="102">
        <f t="shared" si="10"/>
        <v>2614</v>
      </c>
      <c r="I20" s="102">
        <f t="shared" si="10"/>
        <v>2614</v>
      </c>
      <c r="J20" s="102">
        <f t="shared" si="10"/>
        <v>2614</v>
      </c>
      <c r="K20" s="198"/>
      <c r="L20" s="198"/>
    </row>
    <row r="21" spans="1:12" x14ac:dyDescent="0.25">
      <c r="F21" s="104"/>
      <c r="G21" s="104"/>
      <c r="H21" s="104"/>
      <c r="I21" s="104"/>
      <c r="J21" s="104"/>
      <c r="K21" s="171"/>
      <c r="L21" s="171"/>
    </row>
    <row r="22" spans="1:12" x14ac:dyDescent="0.25">
      <c r="A22" s="64" t="s">
        <v>124</v>
      </c>
      <c r="B22" s="107" t="s">
        <v>144</v>
      </c>
      <c r="C22" s="263">
        <f>C2</f>
        <v>2022</v>
      </c>
      <c r="D22" s="263">
        <f t="shared" ref="D22:J22" si="11">D2</f>
        <v>2023</v>
      </c>
      <c r="E22" s="263">
        <f t="shared" si="11"/>
        <v>2024</v>
      </c>
      <c r="F22" s="263">
        <f t="shared" si="11"/>
        <v>2025</v>
      </c>
      <c r="G22" s="263">
        <f t="shared" si="11"/>
        <v>2026</v>
      </c>
      <c r="H22" s="263">
        <f t="shared" si="11"/>
        <v>2027</v>
      </c>
      <c r="I22" s="263">
        <f t="shared" si="11"/>
        <v>2028</v>
      </c>
      <c r="J22" s="263">
        <f t="shared" si="11"/>
        <v>2029</v>
      </c>
      <c r="K22" s="199"/>
      <c r="L22" s="199"/>
    </row>
    <row r="23" spans="1:12" x14ac:dyDescent="0.25">
      <c r="A23" s="86"/>
      <c r="B23" s="159"/>
      <c r="C23" s="197"/>
      <c r="D23" s="197"/>
      <c r="E23" s="197"/>
      <c r="F23" s="199"/>
      <c r="G23" s="199"/>
      <c r="H23" s="199"/>
      <c r="I23" s="199"/>
      <c r="J23" s="199"/>
      <c r="K23" s="199"/>
      <c r="L23" s="199"/>
    </row>
    <row r="24" spans="1:12" x14ac:dyDescent="0.25">
      <c r="B24" s="4" t="s">
        <v>137</v>
      </c>
      <c r="E24" s="8">
        <f>E25</f>
        <v>4.8500000000000001E-2</v>
      </c>
      <c r="F24" s="101">
        <f>E24</f>
        <v>4.8500000000000001E-2</v>
      </c>
      <c r="G24" s="101">
        <f t="shared" ref="G24:J24" si="12">F24</f>
        <v>4.8500000000000001E-2</v>
      </c>
      <c r="H24" s="101">
        <f t="shared" si="12"/>
        <v>4.8500000000000001E-2</v>
      </c>
      <c r="I24" s="101">
        <f t="shared" si="12"/>
        <v>4.8500000000000001E-2</v>
      </c>
      <c r="J24" s="101">
        <f t="shared" si="12"/>
        <v>4.8500000000000001E-2</v>
      </c>
      <c r="K24" s="171"/>
      <c r="L24" s="171"/>
    </row>
    <row r="25" spans="1:12" x14ac:dyDescent="0.25">
      <c r="B25" s="4" t="s">
        <v>26</v>
      </c>
      <c r="E25" s="8">
        <v>4.8500000000000001E-2</v>
      </c>
      <c r="F25" s="101">
        <f>E25</f>
        <v>4.8500000000000001E-2</v>
      </c>
      <c r="G25" s="101">
        <f t="shared" ref="G25:J25" si="13">F25</f>
        <v>4.8500000000000001E-2</v>
      </c>
      <c r="H25" s="101">
        <f t="shared" si="13"/>
        <v>4.8500000000000001E-2</v>
      </c>
      <c r="I25" s="101">
        <f t="shared" si="13"/>
        <v>4.8500000000000001E-2</v>
      </c>
      <c r="J25" s="101">
        <f t="shared" si="13"/>
        <v>4.8500000000000001E-2</v>
      </c>
      <c r="K25" s="171"/>
      <c r="L25" s="171"/>
    </row>
    <row r="26" spans="1:12" x14ac:dyDescent="0.25">
      <c r="B26" s="4" t="s">
        <v>27</v>
      </c>
      <c r="C26" s="8"/>
      <c r="D26" s="8"/>
      <c r="E26" s="8">
        <f>IncState!E30/BalSheet!E16</f>
        <v>6.0765566468705789E-2</v>
      </c>
      <c r="F26" s="127">
        <f>E26</f>
        <v>6.0765566468705789E-2</v>
      </c>
      <c r="G26" s="127">
        <f t="shared" ref="G26:J26" si="14">F26</f>
        <v>6.0765566468705789E-2</v>
      </c>
      <c r="H26" s="127">
        <f t="shared" si="14"/>
        <v>6.0765566468705789E-2</v>
      </c>
      <c r="I26" s="127">
        <f t="shared" si="14"/>
        <v>6.0765566468705789E-2</v>
      </c>
      <c r="J26" s="127">
        <f t="shared" si="14"/>
        <v>6.0765566468705789E-2</v>
      </c>
      <c r="K26" s="171"/>
      <c r="L26" s="171"/>
    </row>
    <row r="27" spans="1:12" x14ac:dyDescent="0.25">
      <c r="F27" s="104"/>
      <c r="G27" s="104"/>
      <c r="H27" s="104"/>
      <c r="I27" s="104"/>
      <c r="J27" s="104"/>
      <c r="K27" s="171"/>
      <c r="L27" s="171"/>
    </row>
    <row r="28" spans="1:12" x14ac:dyDescent="0.25">
      <c r="B28" s="4" t="s">
        <v>28</v>
      </c>
      <c r="E28" s="4">
        <v>0</v>
      </c>
      <c r="F28" s="102">
        <v>0</v>
      </c>
      <c r="G28" s="102">
        <v>0</v>
      </c>
      <c r="H28" s="102">
        <v>0</v>
      </c>
      <c r="I28" s="102">
        <v>0</v>
      </c>
      <c r="J28" s="102">
        <v>0</v>
      </c>
      <c r="K28" s="198"/>
      <c r="L28" s="198"/>
    </row>
    <row r="29" spans="1:12" x14ac:dyDescent="0.25">
      <c r="B29" s="4" t="s">
        <v>29</v>
      </c>
      <c r="E29" s="4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98"/>
      <c r="L29" s="198"/>
    </row>
    <row r="30" spans="1:12" x14ac:dyDescent="0.25">
      <c r="F30" s="104"/>
      <c r="G30" s="104"/>
      <c r="H30" s="104"/>
      <c r="I30" s="104"/>
      <c r="J30" s="104"/>
      <c r="K30" s="171"/>
      <c r="L30" s="171"/>
    </row>
    <row r="31" spans="1:12" x14ac:dyDescent="0.25">
      <c r="A31" s="64" t="s">
        <v>124</v>
      </c>
      <c r="B31" s="107" t="s">
        <v>141</v>
      </c>
      <c r="C31" s="263">
        <f>C22</f>
        <v>2022</v>
      </c>
      <c r="D31" s="263">
        <f t="shared" ref="D31:J31" si="15">D22</f>
        <v>2023</v>
      </c>
      <c r="E31" s="263">
        <f t="shared" si="15"/>
        <v>2024</v>
      </c>
      <c r="F31" s="263">
        <f t="shared" si="15"/>
        <v>2025</v>
      </c>
      <c r="G31" s="263">
        <f t="shared" si="15"/>
        <v>2026</v>
      </c>
      <c r="H31" s="263">
        <f t="shared" si="15"/>
        <v>2027</v>
      </c>
      <c r="I31" s="263">
        <f t="shared" si="15"/>
        <v>2028</v>
      </c>
      <c r="J31" s="263">
        <f t="shared" si="15"/>
        <v>2029</v>
      </c>
      <c r="K31" s="200"/>
      <c r="L31" s="200"/>
    </row>
    <row r="32" spans="1:12" x14ac:dyDescent="0.25">
      <c r="A32" s="86"/>
      <c r="B32" s="159"/>
      <c r="C32" s="197"/>
      <c r="D32" s="197"/>
      <c r="E32" s="197"/>
      <c r="F32" s="199"/>
      <c r="G32" s="199"/>
      <c r="H32" s="199"/>
      <c r="I32" s="199"/>
      <c r="J32" s="199"/>
      <c r="K32" s="200"/>
      <c r="L32" s="200"/>
    </row>
    <row r="33" spans="1:12" x14ac:dyDescent="0.25">
      <c r="B33" s="4" t="s">
        <v>142</v>
      </c>
      <c r="C33" s="8">
        <f>31186/IncState!C17</f>
        <v>0.26744076357742541</v>
      </c>
      <c r="D33" s="8">
        <f>27045/IncState!D17</f>
        <v>0.20047886613986449</v>
      </c>
      <c r="E33" s="8">
        <f>37256/IncState!E17</f>
        <v>0.22647886638986997</v>
      </c>
      <c r="F33" s="222">
        <f>72000/IncState!F17</f>
        <v>0.36156338100319935</v>
      </c>
      <c r="G33" s="222">
        <f>F33-0.04</f>
        <v>0.32156338100319937</v>
      </c>
      <c r="H33" s="222">
        <f t="shared" ref="H33:J33" si="16">G33-0.04</f>
        <v>0.28156338100319939</v>
      </c>
      <c r="I33" s="222">
        <f t="shared" si="16"/>
        <v>0.24156338100319938</v>
      </c>
      <c r="J33" s="222">
        <f t="shared" si="16"/>
        <v>0.20156338100319937</v>
      </c>
      <c r="K33" s="171"/>
      <c r="L33" s="171"/>
    </row>
    <row r="34" spans="1:12" x14ac:dyDescent="0.25">
      <c r="B34" s="4" t="s">
        <v>155</v>
      </c>
      <c r="D34" s="8">
        <f>IncState!D23/BalSheet!C21</f>
        <v>0.12124827803147813</v>
      </c>
      <c r="E34" s="8">
        <f>IncState!E23/BalSheet!D21</f>
        <v>0.14104349250552869</v>
      </c>
      <c r="F34" s="101">
        <f>E34</f>
        <v>0.14104349250552869</v>
      </c>
      <c r="G34" s="101">
        <f t="shared" ref="G34:J34" si="17">F34</f>
        <v>0.14104349250552869</v>
      </c>
      <c r="H34" s="101">
        <f t="shared" si="17"/>
        <v>0.14104349250552869</v>
      </c>
      <c r="I34" s="101">
        <f t="shared" si="17"/>
        <v>0.14104349250552869</v>
      </c>
      <c r="J34" s="101">
        <f t="shared" si="17"/>
        <v>0.14104349250552869</v>
      </c>
      <c r="K34" s="171"/>
      <c r="L34" s="171"/>
    </row>
    <row r="35" spans="1:12" x14ac:dyDescent="0.25">
      <c r="B35" s="4" t="s">
        <v>143</v>
      </c>
      <c r="C35" s="4">
        <v>-27956</v>
      </c>
      <c r="D35" s="4">
        <v>-19774</v>
      </c>
      <c r="E35" s="4">
        <v>-30125</v>
      </c>
      <c r="F35" s="106">
        <f>-51280/5</f>
        <v>-10256</v>
      </c>
      <c r="G35" s="106">
        <f t="shared" ref="G35:J35" si="18">-51280/5</f>
        <v>-10256</v>
      </c>
      <c r="H35" s="106">
        <f t="shared" si="18"/>
        <v>-10256</v>
      </c>
      <c r="I35" s="106">
        <f t="shared" si="18"/>
        <v>-10256</v>
      </c>
      <c r="J35" s="106">
        <f t="shared" si="18"/>
        <v>-10256</v>
      </c>
      <c r="K35" s="201"/>
      <c r="L35" s="201"/>
    </row>
    <row r="36" spans="1:12" x14ac:dyDescent="0.25">
      <c r="F36" s="30"/>
      <c r="G36" s="30"/>
      <c r="H36" s="30"/>
      <c r="I36" s="30"/>
      <c r="J36" s="30"/>
      <c r="K36" s="30"/>
      <c r="L36" s="30"/>
    </row>
    <row r="37" spans="1:12" x14ac:dyDescent="0.25">
      <c r="A37" s="64" t="s">
        <v>124</v>
      </c>
      <c r="B37" s="107" t="s">
        <v>61</v>
      </c>
      <c r="C37" s="263">
        <f>C31</f>
        <v>2022</v>
      </c>
      <c r="D37" s="263">
        <f t="shared" ref="D37:J37" si="19">D31</f>
        <v>2023</v>
      </c>
      <c r="E37" s="263">
        <f t="shared" si="19"/>
        <v>2024</v>
      </c>
      <c r="F37" s="263">
        <f t="shared" si="19"/>
        <v>2025</v>
      </c>
      <c r="G37" s="263">
        <f t="shared" si="19"/>
        <v>2026</v>
      </c>
      <c r="H37" s="263">
        <f t="shared" si="19"/>
        <v>2027</v>
      </c>
      <c r="I37" s="263">
        <f t="shared" si="19"/>
        <v>2028</v>
      </c>
      <c r="J37" s="263">
        <f t="shared" si="19"/>
        <v>2029</v>
      </c>
      <c r="K37" s="200"/>
      <c r="L37" s="200"/>
    </row>
    <row r="38" spans="1:12" x14ac:dyDescent="0.25">
      <c r="A38" s="86"/>
      <c r="B38" s="159"/>
      <c r="C38" s="197"/>
      <c r="D38" s="197"/>
      <c r="E38" s="197"/>
      <c r="F38" s="261"/>
      <c r="G38" s="261"/>
      <c r="H38" s="261"/>
      <c r="I38" s="261"/>
      <c r="J38" s="261"/>
      <c r="K38" s="200"/>
      <c r="L38" s="200"/>
    </row>
    <row r="39" spans="1:12" s="266" customFormat="1" x14ac:dyDescent="0.25">
      <c r="B39" s="266" t="str">
        <f>B18</f>
        <v>Dividend Payout Rate</v>
      </c>
      <c r="C39" s="266">
        <f>C18</f>
        <v>0</v>
      </c>
      <c r="D39" s="266">
        <f t="shared" ref="D39:E39" si="20">D18</f>
        <v>0</v>
      </c>
      <c r="E39" s="266">
        <f t="shared" si="20"/>
        <v>8.1334188582424638E-2</v>
      </c>
      <c r="F39" s="267">
        <f>F18</f>
        <v>8.1334188582424638E-2</v>
      </c>
      <c r="G39" s="267">
        <f t="shared" ref="G39:J39" si="21">G18</f>
        <v>8.1334188582424638E-2</v>
      </c>
      <c r="H39" s="267">
        <f t="shared" si="21"/>
        <v>8.1334188582424638E-2</v>
      </c>
      <c r="I39" s="267">
        <f t="shared" si="21"/>
        <v>8.1334188582424638E-2</v>
      </c>
      <c r="J39" s="267">
        <f t="shared" si="21"/>
        <v>8.1334188582424638E-2</v>
      </c>
      <c r="K39" s="268"/>
      <c r="L39" s="268"/>
    </row>
    <row r="40" spans="1:12" x14ac:dyDescent="0.25">
      <c r="B40" s="4" t="s">
        <v>49</v>
      </c>
      <c r="C40" s="4">
        <f>C19</f>
        <v>2687</v>
      </c>
      <c r="D40" s="4">
        <f t="shared" ref="D40:E40" si="22">D19</f>
        <v>2574</v>
      </c>
      <c r="E40" s="4">
        <f t="shared" si="22"/>
        <v>2534</v>
      </c>
      <c r="F40" s="102">
        <f>F19</f>
        <v>2534</v>
      </c>
      <c r="G40" s="102">
        <f t="shared" ref="G40:J41" si="23">G19</f>
        <v>2534</v>
      </c>
      <c r="H40" s="102">
        <f t="shared" si="23"/>
        <v>2534</v>
      </c>
      <c r="I40" s="102">
        <f t="shared" si="23"/>
        <v>2534</v>
      </c>
      <c r="J40" s="102">
        <f t="shared" si="23"/>
        <v>2534</v>
      </c>
      <c r="K40" s="198"/>
      <c r="L40" s="198"/>
    </row>
    <row r="41" spans="1:12" x14ac:dyDescent="0.25">
      <c r="B41" s="4" t="s">
        <v>50</v>
      </c>
      <c r="C41" s="4">
        <f t="shared" ref="C41:E41" si="24">C20</f>
        <v>2702</v>
      </c>
      <c r="D41" s="4">
        <f t="shared" si="24"/>
        <v>2629</v>
      </c>
      <c r="E41" s="4">
        <f t="shared" si="24"/>
        <v>2614</v>
      </c>
      <c r="F41" s="102">
        <f>F20</f>
        <v>2614</v>
      </c>
      <c r="G41" s="102">
        <f t="shared" si="23"/>
        <v>2614</v>
      </c>
      <c r="H41" s="102">
        <f t="shared" si="23"/>
        <v>2614</v>
      </c>
      <c r="I41" s="102">
        <f t="shared" si="23"/>
        <v>2614</v>
      </c>
      <c r="J41" s="102">
        <f t="shared" si="23"/>
        <v>2614</v>
      </c>
      <c r="K41" s="198"/>
      <c r="L41" s="198"/>
    </row>
    <row r="42" spans="1:12" x14ac:dyDescent="0.25">
      <c r="F42" s="30"/>
      <c r="G42" s="30"/>
      <c r="H42" s="30"/>
      <c r="I42" s="30"/>
      <c r="J42" s="30"/>
      <c r="K42" s="30"/>
      <c r="L42" s="30"/>
    </row>
    <row r="43" spans="1:12" x14ac:dyDescent="0.25">
      <c r="A43" s="64" t="s">
        <v>124</v>
      </c>
      <c r="B43" s="107" t="s">
        <v>129</v>
      </c>
      <c r="C43" s="263">
        <f>C37</f>
        <v>2022</v>
      </c>
      <c r="D43" s="263">
        <f t="shared" ref="D43:J43" si="25">D37</f>
        <v>2023</v>
      </c>
      <c r="E43" s="263">
        <f t="shared" si="25"/>
        <v>2024</v>
      </c>
      <c r="F43" s="263">
        <f t="shared" si="25"/>
        <v>2025</v>
      </c>
      <c r="G43" s="263">
        <f t="shared" si="25"/>
        <v>2026</v>
      </c>
      <c r="H43" s="263">
        <f t="shared" si="25"/>
        <v>2027</v>
      </c>
      <c r="I43" s="263">
        <f t="shared" si="25"/>
        <v>2028</v>
      </c>
      <c r="J43" s="263">
        <f t="shared" si="25"/>
        <v>2029</v>
      </c>
      <c r="K43" s="200"/>
      <c r="L43" s="200"/>
    </row>
    <row r="44" spans="1:12" x14ac:dyDescent="0.25">
      <c r="A44" s="86"/>
      <c r="B44" s="159"/>
      <c r="C44" s="197"/>
      <c r="D44" s="197"/>
      <c r="E44" s="197"/>
      <c r="F44" s="261"/>
      <c r="G44" s="261"/>
      <c r="H44" s="261"/>
      <c r="I44" s="261"/>
      <c r="J44" s="261"/>
      <c r="K44" s="200"/>
      <c r="L44" s="200"/>
    </row>
    <row r="45" spans="1:12" x14ac:dyDescent="0.25">
      <c r="B45" s="4" t="s">
        <v>140</v>
      </c>
      <c r="C45" s="8">
        <f>BalSheet!C15/IncState!C17</f>
        <v>1.4999999999999999E-2</v>
      </c>
      <c r="D45" s="8">
        <f>BalSheet!D15/IncState!D17</f>
        <v>1.4999999999999999E-2</v>
      </c>
      <c r="E45" s="8">
        <f>BalSheet!E15/IncState!E17</f>
        <v>1.4999999999999999E-2</v>
      </c>
      <c r="F45" s="101">
        <f>E45</f>
        <v>1.4999999999999999E-2</v>
      </c>
      <c r="G45" s="101">
        <f t="shared" ref="G45:J45" si="26">F45</f>
        <v>1.4999999999999999E-2</v>
      </c>
      <c r="H45" s="101">
        <f t="shared" si="26"/>
        <v>1.4999999999999999E-2</v>
      </c>
      <c r="I45" s="101">
        <f t="shared" si="26"/>
        <v>1.4999999999999999E-2</v>
      </c>
      <c r="J45" s="101">
        <f t="shared" si="26"/>
        <v>1.4999999999999999E-2</v>
      </c>
      <c r="K45" s="171"/>
      <c r="L45" s="171"/>
    </row>
    <row r="46" spans="1:12" x14ac:dyDescent="0.25">
      <c r="B46" s="4" t="s">
        <v>153</v>
      </c>
      <c r="C46" s="8">
        <f>BalSheet!C17/IncState!C17</f>
        <v>0.11547993722611462</v>
      </c>
      <c r="D46" s="8">
        <f>BalSheet!D17/IncState!D17</f>
        <v>0.11985737794843665</v>
      </c>
      <c r="E46" s="8">
        <f>BalSheet!E17/IncState!E17</f>
        <v>0.10330636287925302</v>
      </c>
      <c r="F46" s="101">
        <f>E46</f>
        <v>0.10330636287925302</v>
      </c>
      <c r="G46" s="101">
        <f t="shared" ref="G46:J46" si="27">F46</f>
        <v>0.10330636287925302</v>
      </c>
      <c r="H46" s="101">
        <f t="shared" si="27"/>
        <v>0.10330636287925302</v>
      </c>
      <c r="I46" s="101">
        <f t="shared" si="27"/>
        <v>0.10330636287925302</v>
      </c>
      <c r="J46" s="101">
        <f t="shared" si="27"/>
        <v>0.10330636287925302</v>
      </c>
      <c r="K46" s="171"/>
      <c r="L46" s="171"/>
    </row>
    <row r="47" spans="1:12" x14ac:dyDescent="0.25">
      <c r="B47" s="4" t="s">
        <v>65</v>
      </c>
      <c r="C47" s="8">
        <f>BalSheet!C18/IncState!C17</f>
        <v>0.26929310773610954</v>
      </c>
      <c r="D47" s="8">
        <f>BalSheet!D18/IncState!D17</f>
        <v>0.20262116202873195</v>
      </c>
      <c r="E47" s="8">
        <f>BalSheet!E18/IncState!E17</f>
        <v>0.23806542209469853</v>
      </c>
      <c r="F47" s="101">
        <f t="shared" ref="F47:J47" si="28">E47</f>
        <v>0.23806542209469853</v>
      </c>
      <c r="G47" s="101">
        <f t="shared" si="28"/>
        <v>0.23806542209469853</v>
      </c>
      <c r="H47" s="101">
        <f t="shared" si="28"/>
        <v>0.23806542209469853</v>
      </c>
      <c r="I47" s="101">
        <f t="shared" si="28"/>
        <v>0.23806542209469853</v>
      </c>
      <c r="J47" s="101">
        <f t="shared" si="28"/>
        <v>0.23806542209469853</v>
      </c>
      <c r="K47" s="171"/>
      <c r="L47" s="171"/>
    </row>
    <row r="48" spans="1:12" x14ac:dyDescent="0.25">
      <c r="E48" s="8"/>
      <c r="F48" s="104"/>
      <c r="G48" s="104"/>
      <c r="H48" s="104"/>
      <c r="I48" s="104"/>
      <c r="J48" s="104"/>
      <c r="K48" s="171"/>
      <c r="L48" s="171"/>
    </row>
    <row r="49" spans="1:12" x14ac:dyDescent="0.25">
      <c r="B49" s="4" t="s">
        <v>180</v>
      </c>
      <c r="C49" s="4">
        <f>BalSheet!C23</f>
        <v>6201</v>
      </c>
      <c r="D49" s="4">
        <f>BalSheet!D23</f>
        <v>6141</v>
      </c>
      <c r="E49" s="4">
        <f>BalSheet!E23</f>
        <v>6070</v>
      </c>
      <c r="F49" s="102">
        <f>E49</f>
        <v>6070</v>
      </c>
      <c r="G49" s="102">
        <f t="shared" ref="G49:J49" si="29">F49</f>
        <v>6070</v>
      </c>
      <c r="H49" s="102">
        <f t="shared" si="29"/>
        <v>6070</v>
      </c>
      <c r="I49" s="102">
        <f t="shared" si="29"/>
        <v>6070</v>
      </c>
      <c r="J49" s="102">
        <f t="shared" si="29"/>
        <v>6070</v>
      </c>
      <c r="K49" s="198"/>
      <c r="L49" s="198"/>
    </row>
    <row r="50" spans="1:12" x14ac:dyDescent="0.25">
      <c r="B50" s="4" t="s">
        <v>66</v>
      </c>
      <c r="C50" s="8">
        <f>BalSheet!C24/IncState!C17</f>
        <v>5.6453618502859987E-2</v>
      </c>
      <c r="D50" s="8">
        <f>BalSheet!D24/IncState!D17</f>
        <v>5.6203762731464324E-2</v>
      </c>
      <c r="E50" s="8">
        <f>BalSheet!E24/IncState!E17</f>
        <v>7.9130218053385687E-2</v>
      </c>
      <c r="F50" s="101">
        <f>E50</f>
        <v>7.9130218053385687E-2</v>
      </c>
      <c r="G50" s="101">
        <f t="shared" ref="G50:J50" si="30">F50</f>
        <v>7.9130218053385687E-2</v>
      </c>
      <c r="H50" s="101">
        <f t="shared" si="30"/>
        <v>7.9130218053385687E-2</v>
      </c>
      <c r="I50" s="101">
        <f t="shared" si="30"/>
        <v>7.9130218053385687E-2</v>
      </c>
      <c r="J50" s="101">
        <f t="shared" si="30"/>
        <v>7.9130218053385687E-2</v>
      </c>
      <c r="K50" s="171"/>
      <c r="L50" s="171"/>
    </row>
    <row r="51" spans="1:12" x14ac:dyDescent="0.25">
      <c r="F51" s="30"/>
      <c r="G51" s="30"/>
      <c r="H51" s="30"/>
      <c r="I51" s="30"/>
      <c r="J51" s="30"/>
      <c r="K51" s="30"/>
      <c r="L51" s="30"/>
    </row>
    <row r="52" spans="1:12" x14ac:dyDescent="0.25">
      <c r="A52" s="64" t="s">
        <v>124</v>
      </c>
      <c r="B52" s="107" t="s">
        <v>130</v>
      </c>
      <c r="C52" s="263">
        <f t="shared" ref="C52:J52" si="31">C43</f>
        <v>2022</v>
      </c>
      <c r="D52" s="263">
        <f t="shared" si="31"/>
        <v>2023</v>
      </c>
      <c r="E52" s="263">
        <f t="shared" si="31"/>
        <v>2024</v>
      </c>
      <c r="F52" s="263">
        <f t="shared" si="31"/>
        <v>2025</v>
      </c>
      <c r="G52" s="263">
        <f t="shared" si="31"/>
        <v>2026</v>
      </c>
      <c r="H52" s="263">
        <f t="shared" si="31"/>
        <v>2027</v>
      </c>
      <c r="I52" s="263">
        <f t="shared" si="31"/>
        <v>2028</v>
      </c>
      <c r="J52" s="263">
        <f t="shared" si="31"/>
        <v>2029</v>
      </c>
      <c r="K52" s="200"/>
      <c r="L52" s="200"/>
    </row>
    <row r="53" spans="1:12" x14ac:dyDescent="0.25">
      <c r="A53" s="86"/>
      <c r="B53" s="159"/>
      <c r="C53" s="197"/>
      <c r="D53" s="197"/>
      <c r="E53" s="197"/>
      <c r="F53" s="261"/>
      <c r="G53" s="261"/>
      <c r="H53" s="261"/>
      <c r="I53" s="261"/>
      <c r="J53" s="261"/>
      <c r="K53" s="200"/>
      <c r="L53" s="200"/>
    </row>
    <row r="54" spans="1:12" x14ac:dyDescent="0.25">
      <c r="B54" s="4" t="s">
        <v>154</v>
      </c>
      <c r="C54" s="8">
        <f>BalSheet!C30/IncState!C18</f>
        <v>0.19763158936987604</v>
      </c>
      <c r="D54" s="8">
        <f>BalSheet!D30/IncState!D18</f>
        <v>0.18679456065333797</v>
      </c>
      <c r="E54" s="8">
        <f>BalSheet!E30/IncState!E18</f>
        <v>0.25486555485560825</v>
      </c>
      <c r="F54" s="101">
        <f t="shared" ref="F54:J54" si="32">E54</f>
        <v>0.25486555485560825</v>
      </c>
      <c r="G54" s="101">
        <f t="shared" si="32"/>
        <v>0.25486555485560825</v>
      </c>
      <c r="H54" s="101">
        <f t="shared" si="32"/>
        <v>0.25486555485560825</v>
      </c>
      <c r="I54" s="101">
        <f t="shared" si="32"/>
        <v>0.25486555485560825</v>
      </c>
      <c r="J54" s="101">
        <f t="shared" si="32"/>
        <v>0.25486555485560825</v>
      </c>
      <c r="K54" s="171"/>
      <c r="L54" s="171"/>
    </row>
    <row r="55" spans="1:12" x14ac:dyDescent="0.25">
      <c r="B55" s="4" t="s">
        <v>67</v>
      </c>
      <c r="C55" s="8">
        <f>BalSheet!C31/IncState!C17</f>
        <v>0.18897340685538852</v>
      </c>
      <c r="D55" s="8">
        <f>BalSheet!D31/IncState!D17</f>
        <v>0.2009681101836889</v>
      </c>
      <c r="E55" s="8">
        <f>BalSheet!E31/IncState!E17</f>
        <v>0.15750056230661211</v>
      </c>
      <c r="F55" s="101">
        <f t="shared" ref="F55:J55" si="33">E55</f>
        <v>0.15750056230661211</v>
      </c>
      <c r="G55" s="101">
        <f t="shared" si="33"/>
        <v>0.15750056230661211</v>
      </c>
      <c r="H55" s="101">
        <f t="shared" si="33"/>
        <v>0.15750056230661211</v>
      </c>
      <c r="I55" s="101">
        <f t="shared" si="33"/>
        <v>0.15750056230661211</v>
      </c>
      <c r="J55" s="101">
        <f t="shared" si="33"/>
        <v>0.15750056230661211</v>
      </c>
      <c r="K55" s="171"/>
      <c r="L55" s="171"/>
    </row>
    <row r="56" spans="1:12" x14ac:dyDescent="0.25">
      <c r="B56" s="4" t="s">
        <v>68</v>
      </c>
      <c r="C56" s="8">
        <f>BalSheet!C35/IncState!C17</f>
        <v>0.19779776861134218</v>
      </c>
      <c r="D56" s="8">
        <f>BalSheet!D35/IncState!D17</f>
        <v>0.19354790885235207</v>
      </c>
      <c r="E56" s="8">
        <f>BalSheet!E35/IncState!E17</f>
        <v>0.18841830748749247</v>
      </c>
      <c r="F56" s="101">
        <f t="shared" ref="F56:J56" si="34">E56</f>
        <v>0.18841830748749247</v>
      </c>
      <c r="G56" s="101">
        <f t="shared" si="34"/>
        <v>0.18841830748749247</v>
      </c>
      <c r="H56" s="101">
        <f t="shared" si="34"/>
        <v>0.18841830748749247</v>
      </c>
      <c r="I56" s="101">
        <f t="shared" si="34"/>
        <v>0.18841830748749247</v>
      </c>
      <c r="J56" s="101">
        <f t="shared" si="34"/>
        <v>0.18841830748749247</v>
      </c>
      <c r="K56" s="171"/>
      <c r="L56" s="171"/>
    </row>
    <row r="57" spans="1:12" x14ac:dyDescent="0.25">
      <c r="F57" s="122"/>
      <c r="G57" s="30"/>
      <c r="H57" s="30"/>
      <c r="I57" s="30"/>
      <c r="J57" s="30"/>
    </row>
    <row r="58" spans="1:12" x14ac:dyDescent="0.25">
      <c r="F58" s="123"/>
      <c r="G58" s="95"/>
      <c r="H58" s="95"/>
      <c r="I58" s="95"/>
      <c r="J58" s="95"/>
    </row>
    <row r="59" spans="1:12" x14ac:dyDescent="0.25">
      <c r="F59" s="95"/>
      <c r="G59" s="95"/>
      <c r="H59" s="95"/>
      <c r="I59" s="95"/>
      <c r="J59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2 K22:L22 F23:L30 K31:L31 K37:L41 F39:J41 K43:L50 F45:J50 K52:L56 F54:J56 F58:J59 F6:K8 F11:L21 F32:L35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3" sqref="F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5" t="str">
        <f>CoName</f>
        <v>Meta Platforms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194">
        <v>2022</v>
      </c>
      <c r="D2" s="254">
        <f>C2+1</f>
        <v>2023</v>
      </c>
      <c r="E2" s="254">
        <f t="shared" ref="E2:J2" si="0">D2+1</f>
        <v>2024</v>
      </c>
      <c r="F2" s="254">
        <f t="shared" si="0"/>
        <v>2025</v>
      </c>
      <c r="G2" s="254">
        <f t="shared" si="0"/>
        <v>2026</v>
      </c>
      <c r="H2" s="254">
        <f t="shared" si="0"/>
        <v>2027</v>
      </c>
      <c r="I2" s="254">
        <f t="shared" si="0"/>
        <v>2028</v>
      </c>
      <c r="J2" s="254">
        <f t="shared" si="0"/>
        <v>2029</v>
      </c>
      <c r="K2" s="195"/>
      <c r="L2" s="195"/>
      <c r="M2" s="195"/>
    </row>
    <row r="3" spans="1:13" x14ac:dyDescent="0.25">
      <c r="B3" s="4" t="s">
        <v>12</v>
      </c>
      <c r="C3" s="29"/>
      <c r="D3" s="29"/>
      <c r="E3" s="40"/>
      <c r="F3" s="204">
        <f>Assumptions!F33</f>
        <v>0.36156338100319935</v>
      </c>
      <c r="G3" s="204">
        <f>Assumptions!G33</f>
        <v>0.32156338100319937</v>
      </c>
      <c r="H3" s="204">
        <f>Assumptions!H33</f>
        <v>0.28156338100319939</v>
      </c>
      <c r="I3" s="204">
        <f>Assumptions!I33</f>
        <v>0.24156338100319938</v>
      </c>
      <c r="J3" s="204">
        <f>Assumptions!J33</f>
        <v>0.20156338100319937</v>
      </c>
      <c r="K3" s="202"/>
      <c r="L3" s="202"/>
    </row>
    <row r="4" spans="1:13" x14ac:dyDescent="0.25">
      <c r="B4" s="4" t="s">
        <v>134</v>
      </c>
      <c r="C4" s="29"/>
      <c r="D4" s="29"/>
      <c r="E4" s="40"/>
      <c r="F4" s="204">
        <f>Assumptions!F34</f>
        <v>0.14104349250552869</v>
      </c>
      <c r="G4" s="204">
        <f>F4</f>
        <v>0.14104349250552869</v>
      </c>
      <c r="H4" s="204">
        <f t="shared" ref="H4:J4" si="1">G4</f>
        <v>0.14104349250552869</v>
      </c>
      <c r="I4" s="204">
        <f t="shared" si="1"/>
        <v>0.14104349250552869</v>
      </c>
      <c r="J4" s="204">
        <f t="shared" si="1"/>
        <v>0.14104349250552869</v>
      </c>
      <c r="K4" s="202"/>
      <c r="L4" s="202"/>
    </row>
    <row r="5" spans="1:13" x14ac:dyDescent="0.25">
      <c r="E5" s="27"/>
      <c r="F5" s="78"/>
      <c r="G5" s="66"/>
      <c r="H5" s="84"/>
      <c r="I5" s="66"/>
      <c r="J5" s="66"/>
    </row>
    <row r="6" spans="1:13" x14ac:dyDescent="0.25">
      <c r="B6" s="4" t="s">
        <v>13</v>
      </c>
      <c r="E6" s="27"/>
      <c r="F6" s="4">
        <f>E9</f>
        <v>136268</v>
      </c>
      <c r="G6" s="4">
        <f t="shared" ref="G6:J6" si="2">F9</f>
        <v>189048.28536325661</v>
      </c>
      <c r="H6" s="4">
        <f t="shared" si="2"/>
        <v>239225.76483747145</v>
      </c>
      <c r="I6" s="4">
        <f t="shared" si="2"/>
        <v>284542.07571845962</v>
      </c>
      <c r="J6" s="4">
        <f t="shared" si="2"/>
        <v>324105.19638669258</v>
      </c>
    </row>
    <row r="7" spans="1:13" x14ac:dyDescent="0.25">
      <c r="B7" s="4" t="s">
        <v>14</v>
      </c>
      <c r="C7" s="12"/>
      <c r="D7" s="12"/>
      <c r="E7" s="128"/>
      <c r="F7" s="4">
        <f>F3*IncState!F17</f>
        <v>72000</v>
      </c>
      <c r="G7" s="4">
        <f>G3*IncState!G17</f>
        <v>76841.509894030387</v>
      </c>
      <c r="H7" s="4">
        <f>H3*IncState!H17</f>
        <v>79057.548250971435</v>
      </c>
      <c r="I7" s="4">
        <f>I3*IncState!I17</f>
        <v>79695.928792337145</v>
      </c>
      <c r="J7" s="4">
        <f>J3*IncState!J17</f>
        <v>77804.108916045938</v>
      </c>
    </row>
    <row r="8" spans="1:13" x14ac:dyDescent="0.25">
      <c r="B8" s="4" t="s">
        <v>15</v>
      </c>
      <c r="E8" s="27"/>
      <c r="F8" s="4">
        <f>F6*F4</f>
        <v>19219.714636743385</v>
      </c>
      <c r="G8" s="4">
        <f t="shared" ref="G8:J8" si="3">G6*G4</f>
        <v>26664.030419815535</v>
      </c>
      <c r="H8" s="4">
        <f t="shared" si="3"/>
        <v>33741.237369983275</v>
      </c>
      <c r="I8" s="4">
        <f t="shared" si="3"/>
        <v>40132.808124104136</v>
      </c>
      <c r="J8" s="4">
        <f t="shared" si="3"/>
        <v>45712.92883756938</v>
      </c>
    </row>
    <row r="9" spans="1:13" x14ac:dyDescent="0.25">
      <c r="B9" s="4" t="s">
        <v>16</v>
      </c>
      <c r="E9" s="27">
        <f>BalSheet!E21</f>
        <v>136268</v>
      </c>
      <c r="F9" s="4">
        <f>F6+F7-F8</f>
        <v>189048.28536325661</v>
      </c>
      <c r="G9" s="4">
        <f t="shared" ref="G9:J9" si="4">G6+G7-G8</f>
        <v>239225.76483747145</v>
      </c>
      <c r="H9" s="4">
        <f t="shared" si="4"/>
        <v>284542.07571845962</v>
      </c>
      <c r="I9" s="4">
        <f t="shared" si="4"/>
        <v>324105.19638669258</v>
      </c>
      <c r="J9" s="4">
        <f t="shared" si="4"/>
        <v>356196.37646516913</v>
      </c>
    </row>
    <row r="10" spans="1:13" x14ac:dyDescent="0.25">
      <c r="A10" s="20" t="s">
        <v>17</v>
      </c>
      <c r="B10" s="42"/>
      <c r="C10" s="237">
        <f t="shared" ref="C10:J10" si="5">C2</f>
        <v>2022</v>
      </c>
      <c r="D10" s="237">
        <f t="shared" si="5"/>
        <v>2023</v>
      </c>
      <c r="E10" s="237">
        <f t="shared" si="5"/>
        <v>2024</v>
      </c>
      <c r="F10" s="237">
        <f t="shared" si="5"/>
        <v>2025</v>
      </c>
      <c r="G10" s="237">
        <f t="shared" ref="G10:J10" si="6">G2</f>
        <v>2026</v>
      </c>
      <c r="H10" s="237">
        <f t="shared" si="6"/>
        <v>2027</v>
      </c>
      <c r="I10" s="237">
        <f t="shared" si="6"/>
        <v>2028</v>
      </c>
      <c r="J10" s="237">
        <f t="shared" si="6"/>
        <v>2029</v>
      </c>
      <c r="K10" s="197"/>
      <c r="L10" s="197"/>
    </row>
    <row r="11" spans="1:13" x14ac:dyDescent="0.25">
      <c r="B11" s="4" t="s">
        <v>18</v>
      </c>
      <c r="E11" s="27"/>
      <c r="F11" s="256">
        <f>Assumptions!F35</f>
        <v>-10256</v>
      </c>
      <c r="G11" s="256">
        <f>Assumptions!G35</f>
        <v>-10256</v>
      </c>
      <c r="H11" s="256">
        <f>Assumptions!H35</f>
        <v>-10256</v>
      </c>
      <c r="I11" s="256">
        <f>Assumptions!I35</f>
        <v>-10256</v>
      </c>
      <c r="J11" s="256">
        <f>Assumptions!J35</f>
        <v>-10256</v>
      </c>
      <c r="K11" s="203"/>
      <c r="L11" s="203"/>
    </row>
    <row r="12" spans="1:13" x14ac:dyDescent="0.25">
      <c r="E12" s="27"/>
      <c r="F12" s="78"/>
      <c r="G12" s="78"/>
      <c r="H12" s="78"/>
      <c r="I12" s="78"/>
      <c r="J12" s="78"/>
    </row>
    <row r="13" spans="1:13" x14ac:dyDescent="0.25">
      <c r="B13" s="4" t="s">
        <v>19</v>
      </c>
      <c r="E13" s="27"/>
      <c r="F13" s="4">
        <f>E17</f>
        <v>182637</v>
      </c>
      <c r="G13" s="4">
        <f t="shared" ref="G13:J13" si="7">F17</f>
        <v>235142.33455131308</v>
      </c>
      <c r="H13" s="4">
        <f t="shared" si="7"/>
        <v>311423.9316648948</v>
      </c>
      <c r="I13" s="4">
        <f t="shared" si="7"/>
        <v>402849.60827335331</v>
      </c>
      <c r="J13" s="4">
        <f t="shared" si="7"/>
        <v>512069.57828829216</v>
      </c>
    </row>
    <row r="14" spans="1:13" x14ac:dyDescent="0.25">
      <c r="B14" s="4" t="s">
        <v>20</v>
      </c>
      <c r="E14" s="27"/>
      <c r="F14" s="4">
        <f>IncState!F36</f>
        <v>68317.916886955092</v>
      </c>
      <c r="G14" s="4">
        <f>IncState!G36</f>
        <v>94199.213727184717</v>
      </c>
      <c r="H14" s="4">
        <f>IncState!H36</f>
        <v>110684.07612944202</v>
      </c>
      <c r="I14" s="4">
        <f>IncState!I36</f>
        <v>130053.78945209442</v>
      </c>
      <c r="J14" s="4">
        <f>IncState!J36</f>
        <v>152162.93365895047</v>
      </c>
    </row>
    <row r="15" spans="1:13" x14ac:dyDescent="0.25">
      <c r="B15" s="4" t="s">
        <v>21</v>
      </c>
      <c r="E15" s="27"/>
      <c r="F15" s="4">
        <f>-IncState!F38</f>
        <v>-5556.5823356420178</v>
      </c>
      <c r="G15" s="4">
        <f>-IncState!G38</f>
        <v>-7661.6166136029651</v>
      </c>
      <c r="H15" s="4">
        <f>-IncState!H38</f>
        <v>-9002.3995209834829</v>
      </c>
      <c r="I15" s="4">
        <f>-IncState!I38</f>
        <v>-10577.819437155596</v>
      </c>
      <c r="J15" s="4">
        <f>-IncState!J38</f>
        <v>-12376.048741472046</v>
      </c>
    </row>
    <row r="16" spans="1:13" x14ac:dyDescent="0.25">
      <c r="B16" s="4" t="s">
        <v>22</v>
      </c>
      <c r="E16" s="27"/>
      <c r="F16" s="4">
        <f>F11</f>
        <v>-10256</v>
      </c>
      <c r="G16" s="4">
        <f t="shared" ref="G16:J16" si="8">G11</f>
        <v>-10256</v>
      </c>
      <c r="H16" s="4">
        <f t="shared" si="8"/>
        <v>-10256</v>
      </c>
      <c r="I16" s="4">
        <f t="shared" si="8"/>
        <v>-10256</v>
      </c>
      <c r="J16" s="4">
        <f t="shared" si="8"/>
        <v>-10256</v>
      </c>
    </row>
    <row r="17" spans="1:12" x14ac:dyDescent="0.25">
      <c r="B17" s="4" t="s">
        <v>23</v>
      </c>
      <c r="E17" s="27">
        <f>BalSheet!E38</f>
        <v>182637</v>
      </c>
      <c r="F17" s="4">
        <f>SUM(F13:F16)</f>
        <v>235142.33455131308</v>
      </c>
      <c r="G17" s="4">
        <f t="shared" ref="G17:J17" si="9">SUM(G13:G16)</f>
        <v>311423.9316648948</v>
      </c>
      <c r="H17" s="4">
        <f t="shared" si="9"/>
        <v>402849.60827335331</v>
      </c>
      <c r="I17" s="4">
        <f t="shared" si="9"/>
        <v>512069.57828829216</v>
      </c>
      <c r="J17" s="4">
        <f t="shared" si="9"/>
        <v>641600.46320577059</v>
      </c>
    </row>
    <row r="18" spans="1:12" x14ac:dyDescent="0.25">
      <c r="A18" s="20" t="s">
        <v>24</v>
      </c>
      <c r="B18" s="42"/>
      <c r="C18" s="237">
        <f>C10</f>
        <v>2022</v>
      </c>
      <c r="D18" s="237">
        <f t="shared" ref="D18:J18" si="10">D10</f>
        <v>2023</v>
      </c>
      <c r="E18" s="237">
        <f t="shared" si="10"/>
        <v>2024</v>
      </c>
      <c r="F18" s="237">
        <f t="shared" si="10"/>
        <v>2025</v>
      </c>
      <c r="G18" s="237">
        <f t="shared" ref="G18:J18" si="11">G10</f>
        <v>2026</v>
      </c>
      <c r="H18" s="237">
        <f t="shared" si="11"/>
        <v>2027</v>
      </c>
      <c r="I18" s="237">
        <f t="shared" si="11"/>
        <v>2028</v>
      </c>
      <c r="J18" s="237">
        <f t="shared" si="11"/>
        <v>2029</v>
      </c>
      <c r="K18" s="197"/>
      <c r="L18" s="197"/>
    </row>
    <row r="19" spans="1:12" x14ac:dyDescent="0.25">
      <c r="A19" s="87"/>
      <c r="B19" s="173" t="s">
        <v>158</v>
      </c>
      <c r="C19" s="197"/>
      <c r="D19" s="197"/>
      <c r="E19" s="218">
        <f>BalSheet!E15</f>
        <v>2467.5149999999999</v>
      </c>
      <c r="F19" s="132">
        <f>BalSheet!F15</f>
        <v>2987.0281581155018</v>
      </c>
      <c r="G19" s="132">
        <f>BalSheet!G15</f>
        <v>3584.4337897386017</v>
      </c>
      <c r="H19" s="132">
        <f>BalSheet!H15</f>
        <v>4211.7097029428569</v>
      </c>
      <c r="I19" s="132">
        <f>BalSheet!I15</f>
        <v>4948.7589009578578</v>
      </c>
      <c r="J19" s="132">
        <f>BalSheet!J15</f>
        <v>5790.0479141206933</v>
      </c>
      <c r="K19" s="197"/>
      <c r="L19" s="197"/>
    </row>
    <row r="20" spans="1:12" x14ac:dyDescent="0.25">
      <c r="B20" s="4" t="str">
        <f>BalSheet!B17</f>
        <v>Accounts receivable</v>
      </c>
      <c r="C20" s="98"/>
      <c r="D20" s="98"/>
      <c r="E20" s="99">
        <f>BalSheet!E17</f>
        <v>16994</v>
      </c>
      <c r="F20" s="4">
        <f>BalSheet!F17</f>
        <v>20571.934322188452</v>
      </c>
      <c r="G20" s="4">
        <f>BalSheet!G17</f>
        <v>24686.321186626141</v>
      </c>
      <c r="H20" s="4">
        <f>BalSheet!H17</f>
        <v>29006.427394285718</v>
      </c>
      <c r="I20" s="4">
        <f>BalSheet!I17</f>
        <v>34082.552188285721</v>
      </c>
      <c r="J20" s="4">
        <f>BalSheet!J17</f>
        <v>39876.586060294292</v>
      </c>
      <c r="K20" s="98"/>
      <c r="L20" s="98"/>
    </row>
    <row r="21" spans="1:12" x14ac:dyDescent="0.25">
      <c r="B21" s="4" t="s">
        <v>70</v>
      </c>
      <c r="C21" s="98"/>
      <c r="D21" s="98"/>
      <c r="E21" s="99">
        <f>BalSheet!E18</f>
        <v>39162</v>
      </c>
      <c r="F21" s="4">
        <f>BalSheet!F18</f>
        <v>47407.207951367789</v>
      </c>
      <c r="G21" s="4">
        <f>BalSheet!G18</f>
        <v>56888.649541641345</v>
      </c>
      <c r="H21" s="4">
        <f>BalSheet!H18</f>
        <v>66844.163211428575</v>
      </c>
      <c r="I21" s="4">
        <f>BalSheet!I18</f>
        <v>78541.891773428593</v>
      </c>
      <c r="J21" s="4">
        <f>BalSheet!J18</f>
        <v>91894.013374911432</v>
      </c>
      <c r="K21" s="98"/>
      <c r="L21" s="98"/>
    </row>
    <row r="22" spans="1:12" x14ac:dyDescent="0.25">
      <c r="B22" s="4" t="s">
        <v>164</v>
      </c>
      <c r="C22" s="98"/>
      <c r="D22" s="98"/>
      <c r="E22" s="99">
        <f>BalSheet!E30</f>
        <v>7687</v>
      </c>
      <c r="F22" s="4">
        <f>BalSheet!F30</f>
        <v>9118.0947416802737</v>
      </c>
      <c r="G22" s="4">
        <f>BalSheet!G30</f>
        <v>10941.713690016328</v>
      </c>
      <c r="H22" s="4">
        <f>BalSheet!H30</f>
        <v>12856.513585769186</v>
      </c>
      <c r="I22" s="4">
        <f>BalSheet!I30</f>
        <v>15106.403463278793</v>
      </c>
      <c r="J22" s="4">
        <f>BalSheet!J30</f>
        <v>17674.492052036185</v>
      </c>
      <c r="K22" s="98"/>
      <c r="L22" s="98"/>
    </row>
    <row r="23" spans="1:12" x14ac:dyDescent="0.25">
      <c r="B23" s="4" t="s">
        <v>76</v>
      </c>
      <c r="C23" s="98"/>
      <c r="D23" s="98"/>
      <c r="E23" s="99">
        <f>BalSheet!E31</f>
        <v>25909</v>
      </c>
      <c r="F23" s="4">
        <f>BalSheet!F31</f>
        <v>31363.907635258358</v>
      </c>
      <c r="G23" s="4">
        <f>BalSheet!G31</f>
        <v>37636.689162310031</v>
      </c>
      <c r="H23" s="4">
        <f>BalSheet!H31</f>
        <v>44223.109765714289</v>
      </c>
      <c r="I23" s="4">
        <f>BalSheet!I31</f>
        <v>51962.153974714289</v>
      </c>
      <c r="J23" s="4">
        <f>BalSheet!J31</f>
        <v>60795.720150415713</v>
      </c>
      <c r="K23" s="98"/>
      <c r="L23" s="98"/>
    </row>
    <row r="24" spans="1:12" x14ac:dyDescent="0.25">
      <c r="A24" s="11" t="s">
        <v>124</v>
      </c>
      <c r="B24" s="17" t="s">
        <v>24</v>
      </c>
      <c r="C24" s="18"/>
      <c r="D24" s="18"/>
      <c r="E24" s="18">
        <f>SUM(E19:E21)-SUM(E22:E23)</f>
        <v>25027.514999999999</v>
      </c>
      <c r="F24" s="18">
        <f>SUM(F19:F21)-SUM(F22:F23)</f>
        <v>30484.16805473312</v>
      </c>
      <c r="G24" s="18">
        <f t="shared" ref="G24:J24" si="12">SUM(G19:G21)-SUM(G22:G23)</f>
        <v>36581.001665679738</v>
      </c>
      <c r="H24" s="18">
        <f t="shared" si="12"/>
        <v>42982.676957173666</v>
      </c>
      <c r="I24" s="18">
        <f t="shared" si="12"/>
        <v>50504.645424679096</v>
      </c>
      <c r="J24" s="18">
        <f t="shared" si="12"/>
        <v>59090.435146874515</v>
      </c>
      <c r="K24" s="11"/>
      <c r="L24" s="11"/>
    </row>
    <row r="25" spans="1:12" s="11" customFormat="1" x14ac:dyDescent="0.25">
      <c r="A25" s="24"/>
      <c r="B25" s="11" t="s">
        <v>150</v>
      </c>
      <c r="F25" s="11">
        <f>E24-F24</f>
        <v>-5456.6530547331204</v>
      </c>
      <c r="G25" s="11">
        <f t="shared" ref="G25:J25" si="13">F24-G24</f>
        <v>-6096.8336109466181</v>
      </c>
      <c r="H25" s="11">
        <f t="shared" si="13"/>
        <v>-6401.6752914939279</v>
      </c>
      <c r="I25" s="11">
        <f t="shared" si="13"/>
        <v>-7521.9684675054305</v>
      </c>
      <c r="J25" s="11">
        <f t="shared" si="13"/>
        <v>-8585.789722195419</v>
      </c>
    </row>
    <row r="26" spans="1:12" x14ac:dyDescent="0.25">
      <c r="B26" s="66"/>
      <c r="C26" s="66"/>
      <c r="D26" s="66"/>
      <c r="E26" s="66"/>
      <c r="F26" s="66"/>
      <c r="G26" s="66"/>
      <c r="H26" s="84"/>
      <c r="I26" s="66"/>
      <c r="J26" s="66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G2" sqref="G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5" t="str">
        <f>CoName</f>
        <v>Meta Platforms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6"/>
      <c r="C2" s="263">
        <v>2022</v>
      </c>
      <c r="D2" s="263">
        <v>2023</v>
      </c>
      <c r="E2" s="263">
        <v>2024</v>
      </c>
      <c r="F2" s="263">
        <f>E2+1</f>
        <v>2025</v>
      </c>
      <c r="G2" s="263">
        <f t="shared" ref="G2:J2" si="0">F2+1</f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205"/>
      <c r="L2" s="205"/>
    </row>
    <row r="3" spans="1:13" s="2" customFormat="1" x14ac:dyDescent="0.25">
      <c r="A3" s="87"/>
      <c r="B3" s="11"/>
      <c r="C3" s="197"/>
      <c r="D3" s="197"/>
      <c r="E3" s="197"/>
      <c r="F3" s="197">
        <v>1</v>
      </c>
      <c r="G3" s="197"/>
      <c r="H3" s="197"/>
      <c r="I3" s="197"/>
      <c r="J3" s="197"/>
      <c r="K3" s="205"/>
      <c r="L3" s="205"/>
    </row>
    <row r="4" spans="1:13" s="2" customFormat="1" x14ac:dyDescent="0.25">
      <c r="A4" s="11"/>
      <c r="B4" s="4" t="s">
        <v>25</v>
      </c>
      <c r="C4" s="30"/>
      <c r="D4" s="56"/>
      <c r="E4" s="60"/>
      <c r="F4" s="111">
        <f>Assumptions!F24</f>
        <v>4.8500000000000001E-2</v>
      </c>
      <c r="G4" s="111">
        <f>Assumptions!G24</f>
        <v>4.8500000000000001E-2</v>
      </c>
      <c r="H4" s="111">
        <f>Assumptions!H24</f>
        <v>4.8500000000000001E-2</v>
      </c>
      <c r="I4" s="111">
        <f>Assumptions!I24</f>
        <v>4.8500000000000001E-2</v>
      </c>
      <c r="J4" s="111">
        <f>Assumptions!J24</f>
        <v>4.8500000000000001E-2</v>
      </c>
      <c r="K4" s="29"/>
      <c r="L4" s="29"/>
    </row>
    <row r="5" spans="1:13" s="2" customFormat="1" x14ac:dyDescent="0.25">
      <c r="A5" s="11"/>
      <c r="B5" s="4" t="s">
        <v>26</v>
      </c>
      <c r="C5" s="30"/>
      <c r="D5" s="57"/>
      <c r="E5" s="61"/>
      <c r="F5" s="111">
        <f>Assumptions!F25</f>
        <v>4.8500000000000001E-2</v>
      </c>
      <c r="G5" s="111">
        <f>Assumptions!G25</f>
        <v>4.8500000000000001E-2</v>
      </c>
      <c r="H5" s="111">
        <f>Assumptions!H25</f>
        <v>4.8500000000000001E-2</v>
      </c>
      <c r="I5" s="111">
        <f>Assumptions!I25</f>
        <v>4.8500000000000001E-2</v>
      </c>
      <c r="J5" s="111">
        <f>Assumptions!J25</f>
        <v>4.8500000000000001E-2</v>
      </c>
      <c r="K5" s="29"/>
      <c r="L5" s="29"/>
    </row>
    <row r="6" spans="1:13" s="2" customFormat="1" x14ac:dyDescent="0.25">
      <c r="A6" s="11"/>
      <c r="B6" s="4" t="s">
        <v>27</v>
      </c>
      <c r="C6" s="30"/>
      <c r="D6" s="56"/>
      <c r="E6" s="60"/>
      <c r="F6" s="111">
        <f>Assumptions!F26</f>
        <v>6.0765566468705789E-2</v>
      </c>
      <c r="G6" s="111">
        <f>Assumptions!G26</f>
        <v>6.0765566468705789E-2</v>
      </c>
      <c r="H6" s="111">
        <f>Assumptions!H26</f>
        <v>6.0765566468705789E-2</v>
      </c>
      <c r="I6" s="111">
        <f>Assumptions!I26</f>
        <v>6.0765566468705789E-2</v>
      </c>
      <c r="J6" s="111">
        <f>Assumptions!J26</f>
        <v>6.0765566468705789E-2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206"/>
      <c r="L7" s="206"/>
    </row>
    <row r="8" spans="1:13" s="2" customFormat="1" x14ac:dyDescent="0.25">
      <c r="A8" s="11"/>
      <c r="B8" s="4" t="s">
        <v>28</v>
      </c>
      <c r="C8" s="30"/>
      <c r="D8" s="58"/>
      <c r="E8" s="62"/>
      <c r="F8" s="112">
        <f>Assumptions!F28</f>
        <v>0</v>
      </c>
      <c r="G8" s="112">
        <f>Assumptions!G28</f>
        <v>0</v>
      </c>
      <c r="H8" s="112">
        <f>Assumptions!H28</f>
        <v>0</v>
      </c>
      <c r="I8" s="112">
        <f>Assumptions!I28</f>
        <v>0</v>
      </c>
      <c r="J8" s="112">
        <f>Assumptions!J28</f>
        <v>0</v>
      </c>
      <c r="K8" s="207"/>
      <c r="L8" s="207"/>
    </row>
    <row r="9" spans="1:13" s="2" customFormat="1" x14ac:dyDescent="0.25">
      <c r="A9" s="11"/>
      <c r="B9" s="4" t="s">
        <v>29</v>
      </c>
      <c r="C9" s="30"/>
      <c r="D9" s="58"/>
      <c r="E9" s="62"/>
      <c r="F9" s="112">
        <f>Assumptions!F29</f>
        <v>0</v>
      </c>
      <c r="G9" s="112">
        <f>Assumptions!G29</f>
        <v>0</v>
      </c>
      <c r="H9" s="112">
        <f>Assumptions!H29</f>
        <v>0</v>
      </c>
      <c r="I9" s="112">
        <f>Assumptions!I29</f>
        <v>0</v>
      </c>
      <c r="J9" s="112">
        <f>Assumptions!J29</f>
        <v>0</v>
      </c>
      <c r="K9" s="207"/>
      <c r="L9" s="207"/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53"/>
      <c r="L10" s="53"/>
    </row>
    <row r="11" spans="1:13" x14ac:dyDescent="0.25">
      <c r="A11" s="20" t="s">
        <v>30</v>
      </c>
      <c r="B11" s="54"/>
      <c r="C11" s="254">
        <f>C2</f>
        <v>2022</v>
      </c>
      <c r="D11" s="254">
        <f t="shared" ref="D11:J11" si="1">D2</f>
        <v>2023</v>
      </c>
      <c r="E11" s="254">
        <f t="shared" si="1"/>
        <v>2024</v>
      </c>
      <c r="F11" s="254">
        <f t="shared" si="1"/>
        <v>2025</v>
      </c>
      <c r="G11" s="254">
        <f t="shared" si="1"/>
        <v>2026</v>
      </c>
      <c r="H11" s="254">
        <f t="shared" si="1"/>
        <v>2027</v>
      </c>
      <c r="I11" s="254">
        <f t="shared" si="1"/>
        <v>2028</v>
      </c>
      <c r="J11" s="254">
        <f t="shared" si="1"/>
        <v>2029</v>
      </c>
      <c r="K11" s="208"/>
      <c r="L11" s="208"/>
      <c r="M11" s="47"/>
    </row>
    <row r="12" spans="1:13" x14ac:dyDescent="0.25">
      <c r="B12" s="4" t="s">
        <v>31</v>
      </c>
      <c r="E12" s="27"/>
      <c r="F12" s="4" t="s">
        <v>224</v>
      </c>
      <c r="G12" s="4" t="s">
        <v>224</v>
      </c>
      <c r="H12" s="4" t="s">
        <v>224</v>
      </c>
      <c r="I12" s="4" t="s">
        <v>224</v>
      </c>
      <c r="J12" s="4" t="s">
        <v>224</v>
      </c>
      <c r="M12" s="47"/>
    </row>
    <row r="13" spans="1:13" x14ac:dyDescent="0.25">
      <c r="B13" s="4" t="s">
        <v>32</v>
      </c>
      <c r="E13" s="28"/>
      <c r="I13" s="4"/>
      <c r="J13" s="4"/>
      <c r="M13" s="47"/>
    </row>
    <row r="14" spans="1:13" x14ac:dyDescent="0.25">
      <c r="B14" s="4" t="s">
        <v>33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62" t="s">
        <v>34</v>
      </c>
      <c r="B16" s="19"/>
      <c r="C16" s="254">
        <f t="shared" ref="C16:J16" si="2">C11</f>
        <v>2022</v>
      </c>
      <c r="D16" s="254">
        <f t="shared" si="2"/>
        <v>2023</v>
      </c>
      <c r="E16" s="254">
        <f t="shared" si="2"/>
        <v>2024</v>
      </c>
      <c r="F16" s="254">
        <f t="shared" si="2"/>
        <v>2025</v>
      </c>
      <c r="G16" s="254">
        <f t="shared" ref="G16:J16" si="3">G11</f>
        <v>2026</v>
      </c>
      <c r="H16" s="254">
        <f t="shared" si="3"/>
        <v>2027</v>
      </c>
      <c r="I16" s="254">
        <f t="shared" si="3"/>
        <v>2028</v>
      </c>
      <c r="J16" s="254">
        <f t="shared" si="3"/>
        <v>2029</v>
      </c>
      <c r="K16" s="205"/>
      <c r="L16" s="205"/>
      <c r="M16" s="47"/>
    </row>
    <row r="17" spans="1:13" x14ac:dyDescent="0.25">
      <c r="B17" s="4" t="s">
        <v>19</v>
      </c>
      <c r="E17" s="27"/>
      <c r="F17" s="4">
        <f>E20</f>
        <v>28826</v>
      </c>
      <c r="G17" s="4">
        <f t="shared" ref="G17:J17" si="4">F20</f>
        <v>28826</v>
      </c>
      <c r="H17" s="4">
        <f t="shared" si="4"/>
        <v>28826</v>
      </c>
      <c r="I17" s="4">
        <f t="shared" si="4"/>
        <v>28826</v>
      </c>
      <c r="J17" s="4">
        <f t="shared" si="4"/>
        <v>28826</v>
      </c>
      <c r="M17" s="47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M18" s="47"/>
    </row>
    <row r="19" spans="1:13" x14ac:dyDescent="0.25">
      <c r="B19" s="4" t="s">
        <v>36</v>
      </c>
      <c r="E19" s="27"/>
      <c r="F19" s="4">
        <f>F9</f>
        <v>0</v>
      </c>
      <c r="G19" s="4">
        <f t="shared" ref="G19:J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</row>
    <row r="20" spans="1:13" x14ac:dyDescent="0.25">
      <c r="B20" s="4" t="s">
        <v>23</v>
      </c>
      <c r="C20" s="10"/>
      <c r="E20" s="27">
        <f>BalSheet!E34</f>
        <v>28826</v>
      </c>
      <c r="F20" s="4">
        <f>SUM(F17:F19)</f>
        <v>28826</v>
      </c>
      <c r="G20" s="4">
        <f t="shared" ref="G20:J20" si="7">SUM(G17:G19)</f>
        <v>28826</v>
      </c>
      <c r="H20" s="4">
        <f t="shared" si="7"/>
        <v>28826</v>
      </c>
      <c r="I20" s="4">
        <f t="shared" si="7"/>
        <v>28826</v>
      </c>
      <c r="J20" s="4">
        <f t="shared" si="7"/>
        <v>28826</v>
      </c>
    </row>
    <row r="21" spans="1:13" x14ac:dyDescent="0.25">
      <c r="B21" s="4" t="s">
        <v>32</v>
      </c>
      <c r="D21" s="48"/>
      <c r="E21" s="27"/>
      <c r="F21" s="8">
        <f>F5</f>
        <v>4.8500000000000001E-2</v>
      </c>
      <c r="G21" s="8">
        <f t="shared" ref="G21:J21" si="8">G5</f>
        <v>4.8500000000000001E-2</v>
      </c>
      <c r="H21" s="8">
        <f t="shared" si="8"/>
        <v>4.8500000000000001E-2</v>
      </c>
      <c r="I21" s="8">
        <f t="shared" si="8"/>
        <v>4.8500000000000001E-2</v>
      </c>
      <c r="J21" s="8">
        <f t="shared" si="8"/>
        <v>4.8500000000000001E-2</v>
      </c>
    </row>
    <row r="22" spans="1:13" x14ac:dyDescent="0.25">
      <c r="B22" s="4" t="s">
        <v>33</v>
      </c>
      <c r="E22" s="27"/>
      <c r="F22" s="4">
        <f>F20*F21</f>
        <v>1398.0610000000001</v>
      </c>
      <c r="G22" s="4">
        <f t="shared" ref="G22:J22" si="9">G20*G21</f>
        <v>1398.0610000000001</v>
      </c>
      <c r="H22" s="4">
        <f t="shared" si="9"/>
        <v>1398.0610000000001</v>
      </c>
      <c r="I22" s="4">
        <f t="shared" si="9"/>
        <v>1398.0610000000001</v>
      </c>
      <c r="J22" s="4">
        <f t="shared" si="9"/>
        <v>1398.0610000000001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2"/>
      <c r="C24" s="254">
        <f>C16</f>
        <v>2022</v>
      </c>
      <c r="D24" s="254">
        <f t="shared" ref="D24:J24" si="10">D16</f>
        <v>2023</v>
      </c>
      <c r="E24" s="254">
        <f t="shared" si="10"/>
        <v>2024</v>
      </c>
      <c r="F24" s="254">
        <f t="shared" si="10"/>
        <v>2025</v>
      </c>
      <c r="G24" s="254">
        <f t="shared" ref="G24:J24" si="11">G16</f>
        <v>2026</v>
      </c>
      <c r="H24" s="254">
        <f t="shared" si="11"/>
        <v>2027</v>
      </c>
      <c r="I24" s="254">
        <f t="shared" si="11"/>
        <v>2028</v>
      </c>
      <c r="J24" s="254">
        <f t="shared" si="11"/>
        <v>2029</v>
      </c>
      <c r="K24" s="205"/>
      <c r="L24" s="205"/>
    </row>
    <row r="25" spans="1:13" x14ac:dyDescent="0.25">
      <c r="A25" s="7"/>
      <c r="B25" s="4" t="s">
        <v>30</v>
      </c>
      <c r="E25" s="27"/>
      <c r="F25" s="4" t="str">
        <f>F12</f>
        <v>NO REVOLVER</v>
      </c>
      <c r="G25" s="4" t="str">
        <f t="shared" ref="G25:J25" si="12">G12</f>
        <v>NO REVOLVER</v>
      </c>
      <c r="H25" s="4" t="str">
        <f t="shared" si="12"/>
        <v>NO REVOLVER</v>
      </c>
      <c r="I25" s="4" t="str">
        <f t="shared" si="12"/>
        <v>NO REVOLVER</v>
      </c>
      <c r="J25" s="4" t="str">
        <f t="shared" si="12"/>
        <v>NO REVOLVER</v>
      </c>
    </row>
    <row r="26" spans="1:13" x14ac:dyDescent="0.25">
      <c r="A26" s="7"/>
      <c r="B26" s="4" t="s">
        <v>38</v>
      </c>
      <c r="E26" s="27"/>
      <c r="F26" s="4">
        <f>F20</f>
        <v>28826</v>
      </c>
      <c r="G26" s="4">
        <f t="shared" ref="G26:J26" si="13">G20</f>
        <v>28826</v>
      </c>
      <c r="H26" s="4">
        <f t="shared" si="13"/>
        <v>28826</v>
      </c>
      <c r="I26" s="4">
        <f t="shared" si="13"/>
        <v>28826</v>
      </c>
      <c r="J26" s="4">
        <f t="shared" si="13"/>
        <v>28826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28826</v>
      </c>
      <c r="G27" s="11">
        <f t="shared" ref="G27:J27" si="14">SUM(G25:G26)</f>
        <v>28826</v>
      </c>
      <c r="H27" s="11">
        <f t="shared" si="14"/>
        <v>28826</v>
      </c>
      <c r="I27" s="11">
        <f t="shared" si="14"/>
        <v>28826</v>
      </c>
      <c r="J27" s="11">
        <f t="shared" si="14"/>
        <v>28826</v>
      </c>
      <c r="K27" s="11"/>
      <c r="L27" s="11"/>
    </row>
    <row r="28" spans="1:13" x14ac:dyDescent="0.25">
      <c r="A28" s="7"/>
      <c r="B28" s="4" t="s">
        <v>40</v>
      </c>
      <c r="E28" s="27"/>
      <c r="F28" s="4">
        <f>F22</f>
        <v>1398.0610000000001</v>
      </c>
      <c r="G28" s="4">
        <f t="shared" ref="G28:J28" si="15">G22</f>
        <v>1398.0610000000001</v>
      </c>
      <c r="H28" s="4">
        <f t="shared" si="15"/>
        <v>1398.0610000000001</v>
      </c>
      <c r="I28" s="4">
        <f t="shared" si="15"/>
        <v>1398.0610000000001</v>
      </c>
      <c r="J28" s="4">
        <f t="shared" si="15"/>
        <v>1398.0610000000001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2"/>
      <c r="C30" s="254">
        <f>C11</f>
        <v>2022</v>
      </c>
      <c r="D30" s="254">
        <f t="shared" ref="D30:J30" si="16">D11</f>
        <v>2023</v>
      </c>
      <c r="E30" s="254">
        <f t="shared" si="16"/>
        <v>2024</v>
      </c>
      <c r="F30" s="254">
        <f t="shared" si="16"/>
        <v>2025</v>
      </c>
      <c r="G30" s="254">
        <f t="shared" ref="G30:J30" si="17">G11</f>
        <v>2026</v>
      </c>
      <c r="H30" s="254">
        <f t="shared" si="17"/>
        <v>2027</v>
      </c>
      <c r="I30" s="254">
        <f t="shared" si="17"/>
        <v>2028</v>
      </c>
      <c r="J30" s="254">
        <f t="shared" si="17"/>
        <v>2029</v>
      </c>
      <c r="K30" s="205"/>
      <c r="L30" s="205"/>
    </row>
    <row r="31" spans="1:13" x14ac:dyDescent="0.25">
      <c r="A31" s="7"/>
      <c r="B31" s="4" t="s">
        <v>170</v>
      </c>
      <c r="E31" s="27"/>
      <c r="F31" s="4">
        <f>SUM(BalSheet!F15:F16)</f>
        <v>42462.015990526997</v>
      </c>
      <c r="G31" s="4">
        <f>SUM(BalSheet!G15:G16)</f>
        <v>67419.326990387999</v>
      </c>
      <c r="H31" s="4">
        <f>SUM(BalSheet!H15:H16)</f>
        <v>112324.54574637719</v>
      </c>
      <c r="I31" s="4">
        <f>SUM(BalSheet!I15:I16)</f>
        <v>180566.52240159261</v>
      </c>
      <c r="J31" s="4">
        <f>SUM(BalSheet!J15:J16)</f>
        <v>276391.25112559332</v>
      </c>
    </row>
    <row r="32" spans="1:13" x14ac:dyDescent="0.25">
      <c r="B32" s="4" t="s">
        <v>32</v>
      </c>
      <c r="D32" s="48"/>
      <c r="E32" s="23"/>
      <c r="F32" s="5">
        <f>F6</f>
        <v>6.0765566468705789E-2</v>
      </c>
      <c r="G32" s="5">
        <f t="shared" ref="G32:J32" si="18">G6</f>
        <v>6.0765566468705789E-2</v>
      </c>
      <c r="H32" s="5">
        <f t="shared" si="18"/>
        <v>6.0765566468705789E-2</v>
      </c>
      <c r="I32" s="5">
        <f t="shared" si="18"/>
        <v>6.0765566468705789E-2</v>
      </c>
      <c r="J32" s="5">
        <f t="shared" si="18"/>
        <v>6.0765566468705789E-2</v>
      </c>
      <c r="K32" s="172"/>
      <c r="L32" s="172"/>
    </row>
    <row r="33" spans="2:10" x14ac:dyDescent="0.25">
      <c r="B33" s="4" t="s">
        <v>41</v>
      </c>
      <c r="E33" s="27"/>
      <c r="F33" s="4">
        <f>F31*F32</f>
        <v>2580.2284550676163</v>
      </c>
      <c r="G33" s="4">
        <f t="shared" ref="G33:J33" si="19">G31*G32</f>
        <v>4096.7735955098324</v>
      </c>
      <c r="H33" s="4">
        <f t="shared" si="19"/>
        <v>6825.4646506186673</v>
      </c>
      <c r="I33" s="4">
        <f t="shared" si="19"/>
        <v>10972.227019017029</v>
      </c>
      <c r="J33" s="4">
        <f t="shared" si="19"/>
        <v>16795.070941640995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5"/>
  <sheetViews>
    <sheetView showGridLines="0" topLeftCell="A16" zoomScaleNormal="100" workbookViewId="0">
      <selection activeCell="G43" sqref="G4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5" t="str">
        <f>CoName</f>
        <v>Meta Platforms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64">
        <v>2022</v>
      </c>
      <c r="D2" s="264">
        <f>C2+1</f>
        <v>2023</v>
      </c>
      <c r="E2" s="264">
        <f t="shared" ref="E2:J2" si="0">D2+1</f>
        <v>2024</v>
      </c>
      <c r="F2" s="264">
        <f t="shared" si="0"/>
        <v>2025</v>
      </c>
      <c r="G2" s="264">
        <f t="shared" si="0"/>
        <v>2026</v>
      </c>
      <c r="H2" s="264">
        <f t="shared" si="0"/>
        <v>2027</v>
      </c>
      <c r="I2" s="264">
        <f t="shared" si="0"/>
        <v>2028</v>
      </c>
      <c r="J2" s="264">
        <f t="shared" si="0"/>
        <v>2029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43</v>
      </c>
      <c r="C4" s="31"/>
      <c r="D4" s="31"/>
      <c r="E4" s="32"/>
      <c r="F4" s="176">
        <f>Assumptions!F10</f>
        <v>0.21054103343465047</v>
      </c>
      <c r="G4" s="176">
        <f>Assumptions!G10</f>
        <v>0.19999999999999996</v>
      </c>
      <c r="H4" s="176">
        <f>Assumptions!H10</f>
        <v>0.17499999999999999</v>
      </c>
      <c r="I4" s="176">
        <f>Assumptions!I10</f>
        <v>0.17499999999999999</v>
      </c>
      <c r="J4" s="176">
        <f>Assumptions!J10</f>
        <v>0.16999999999999998</v>
      </c>
      <c r="K4" s="210"/>
      <c r="L4" s="210"/>
    </row>
    <row r="5" spans="1:12" x14ac:dyDescent="0.25">
      <c r="B5" s="30" t="s">
        <v>44</v>
      </c>
      <c r="C5" s="31"/>
      <c r="D5" s="31"/>
      <c r="E5" s="31"/>
      <c r="F5" s="176">
        <f>Assumptions!F11</f>
        <v>0.17965731236095395</v>
      </c>
      <c r="G5" s="176">
        <f>Assumptions!G11</f>
        <v>0.17965731236095395</v>
      </c>
      <c r="H5" s="176">
        <f>Assumptions!H11</f>
        <v>0.17965731236095395</v>
      </c>
      <c r="I5" s="176">
        <f>Assumptions!I11</f>
        <v>0.17965731236095395</v>
      </c>
      <c r="J5" s="176">
        <f>Assumptions!J11</f>
        <v>0.17965731236095395</v>
      </c>
      <c r="K5" s="210"/>
      <c r="L5" s="210"/>
    </row>
    <row r="6" spans="1:12" x14ac:dyDescent="0.25">
      <c r="B6" s="30" t="s">
        <v>179</v>
      </c>
      <c r="C6" s="193"/>
      <c r="D6" s="193"/>
      <c r="E6" s="32"/>
      <c r="F6" s="176">
        <f>Assumptions!F12</f>
        <v>0.29553881581515162</v>
      </c>
      <c r="G6" s="176">
        <f>Assumptions!G12</f>
        <v>0.2364310526521213</v>
      </c>
      <c r="H6" s="176">
        <f>Assumptions!H12</f>
        <v>0.2364310526521213</v>
      </c>
      <c r="I6" s="176">
        <f>Assumptions!I12</f>
        <v>0.2364310526521213</v>
      </c>
      <c r="J6" s="176">
        <f>Assumptions!J12</f>
        <v>0.2364310526521213</v>
      </c>
      <c r="K6" s="210"/>
      <c r="L6" s="210"/>
    </row>
    <row r="7" spans="1:12" x14ac:dyDescent="0.25">
      <c r="B7" s="30" t="s">
        <v>45</v>
      </c>
      <c r="C7" s="31"/>
      <c r="D7" s="31"/>
      <c r="E7" s="31"/>
      <c r="F7" s="176">
        <f>Assumptions!F13</f>
        <v>0.12818767059166813</v>
      </c>
      <c r="G7" s="176">
        <f>Assumptions!G13</f>
        <v>0.12818767059166813</v>
      </c>
      <c r="H7" s="176">
        <f>Assumptions!H13</f>
        <v>0.12818767059166813</v>
      </c>
      <c r="I7" s="176">
        <f>Assumptions!I13</f>
        <v>0.12818767059166813</v>
      </c>
      <c r="J7" s="176">
        <f>Assumptions!J13</f>
        <v>0.12818767059166813</v>
      </c>
      <c r="K7" s="210"/>
      <c r="L7" s="210"/>
    </row>
    <row r="8" spans="1:12" x14ac:dyDescent="0.25">
      <c r="A8" s="87"/>
      <c r="B8" s="4" t="s">
        <v>46</v>
      </c>
      <c r="C8" s="30"/>
      <c r="D8" s="30"/>
      <c r="E8" s="30"/>
      <c r="F8" s="177">
        <f>Assumptions!F14</f>
        <v>0</v>
      </c>
      <c r="G8" s="177">
        <f>Assumptions!G14</f>
        <v>0</v>
      </c>
      <c r="H8" s="177">
        <f>Assumptions!H14</f>
        <v>0</v>
      </c>
      <c r="I8" s="177">
        <f>Assumptions!I14</f>
        <v>0</v>
      </c>
      <c r="J8" s="177">
        <f>Assumptions!J14</f>
        <v>0</v>
      </c>
      <c r="K8" s="211"/>
      <c r="L8" s="211"/>
    </row>
    <row r="9" spans="1:12" x14ac:dyDescent="0.25">
      <c r="A9" s="87"/>
      <c r="B9" s="4" t="s">
        <v>47</v>
      </c>
      <c r="C9" s="30"/>
      <c r="D9" s="30"/>
      <c r="E9" s="30"/>
      <c r="F9" s="178">
        <f>Assumptions!F15</f>
        <v>0</v>
      </c>
      <c r="G9" s="178">
        <f>Assumptions!G15</f>
        <v>0</v>
      </c>
      <c r="H9" s="178">
        <f>Assumptions!H15</f>
        <v>0</v>
      </c>
      <c r="I9" s="178">
        <f>Assumptions!I15</f>
        <v>0</v>
      </c>
      <c r="J9" s="178">
        <f>Assumptions!J15</f>
        <v>0</v>
      </c>
      <c r="K9" s="212"/>
      <c r="L9" s="212"/>
    </row>
    <row r="10" spans="1:12" x14ac:dyDescent="0.25">
      <c r="B10" s="4" t="s">
        <v>145</v>
      </c>
      <c r="F10" s="178">
        <f>Assumptions!F16</f>
        <v>0</v>
      </c>
      <c r="G10" s="178">
        <f>Assumptions!G16</f>
        <v>0</v>
      </c>
      <c r="H10" s="178">
        <f>Assumptions!H16</f>
        <v>0</v>
      </c>
      <c r="I10" s="178">
        <f>Assumptions!I16</f>
        <v>0</v>
      </c>
      <c r="J10" s="178">
        <f>Assumptions!J16</f>
        <v>0</v>
      </c>
      <c r="K10" s="212"/>
      <c r="L10" s="212"/>
    </row>
    <row r="11" spans="1:12" x14ac:dyDescent="0.25">
      <c r="B11" s="30" t="s">
        <v>48</v>
      </c>
      <c r="C11" s="43"/>
      <c r="D11" s="43"/>
      <c r="E11" s="43"/>
      <c r="F11" s="176">
        <f>Assumptions!F17</f>
        <v>0.13500000000000001</v>
      </c>
      <c r="G11" s="176">
        <f>Assumptions!G17</f>
        <v>0.13500000000000001</v>
      </c>
      <c r="H11" s="176">
        <f>Assumptions!H17</f>
        <v>0.13500000000000001</v>
      </c>
      <c r="I11" s="176">
        <f>Assumptions!I17</f>
        <v>0.13500000000000001</v>
      </c>
      <c r="J11" s="176">
        <f>Assumptions!J17</f>
        <v>0.13500000000000001</v>
      </c>
      <c r="K11" s="210"/>
      <c r="L11" s="210"/>
    </row>
    <row r="12" spans="1:12" s="266" customFormat="1" x14ac:dyDescent="0.25">
      <c r="A12" s="269"/>
      <c r="B12" s="266" t="s">
        <v>139</v>
      </c>
      <c r="E12" s="270"/>
      <c r="F12" s="271">
        <f>Assumptions!F18</f>
        <v>8.1334188582424638E-2</v>
      </c>
      <c r="G12" s="271">
        <f>Assumptions!G18</f>
        <v>8.1334188582424638E-2</v>
      </c>
      <c r="H12" s="271">
        <f>Assumptions!H18</f>
        <v>8.1334188582424638E-2</v>
      </c>
      <c r="I12" s="271">
        <f>Assumptions!I18</f>
        <v>8.1334188582424638E-2</v>
      </c>
      <c r="J12" s="271">
        <f>Assumptions!J18</f>
        <v>8.1334188582424638E-2</v>
      </c>
      <c r="K12" s="272"/>
      <c r="L12" s="272"/>
    </row>
    <row r="13" spans="1:12" x14ac:dyDescent="0.25">
      <c r="B13" s="4" t="s">
        <v>49</v>
      </c>
      <c r="C13" s="30"/>
      <c r="D13" s="30"/>
      <c r="E13" s="39"/>
      <c r="F13" s="178">
        <f>Assumptions!F19</f>
        <v>2534</v>
      </c>
      <c r="G13" s="178">
        <f>Assumptions!G19</f>
        <v>2534</v>
      </c>
      <c r="H13" s="178">
        <f>Assumptions!H19</f>
        <v>2534</v>
      </c>
      <c r="I13" s="178">
        <f>Assumptions!I19</f>
        <v>2534</v>
      </c>
      <c r="J13" s="178">
        <f>Assumptions!J19</f>
        <v>2534</v>
      </c>
      <c r="K13" s="212"/>
      <c r="L13" s="212"/>
    </row>
    <row r="14" spans="1:12" x14ac:dyDescent="0.25">
      <c r="B14" s="4" t="s">
        <v>50</v>
      </c>
      <c r="C14" s="30"/>
      <c r="D14" s="30"/>
      <c r="E14" s="39"/>
      <c r="F14" s="178">
        <f>Assumptions!F20</f>
        <v>2614</v>
      </c>
      <c r="G14" s="178">
        <f>Assumptions!G20</f>
        <v>2614</v>
      </c>
      <c r="H14" s="178">
        <f>Assumptions!H20</f>
        <v>2614</v>
      </c>
      <c r="I14" s="178">
        <f>Assumptions!I20</f>
        <v>2614</v>
      </c>
      <c r="J14" s="178">
        <f>Assumptions!J20</f>
        <v>2614</v>
      </c>
      <c r="K14" s="212"/>
      <c r="L14" s="212"/>
    </row>
    <row r="15" spans="1:12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4.85" customHeight="1" x14ac:dyDescent="0.25">
      <c r="A16" s="179" t="s">
        <v>42</v>
      </c>
      <c r="B16" s="180"/>
      <c r="C16" s="151">
        <f>C39</f>
        <v>44926</v>
      </c>
      <c r="D16" s="151">
        <f t="shared" ref="D16:J16" si="1">D39</f>
        <v>45291</v>
      </c>
      <c r="E16" s="151">
        <f t="shared" si="1"/>
        <v>45657</v>
      </c>
      <c r="F16" s="151">
        <f t="shared" si="1"/>
        <v>46022</v>
      </c>
      <c r="G16" s="151">
        <f t="shared" si="1"/>
        <v>46022</v>
      </c>
      <c r="H16" s="151">
        <f t="shared" si="1"/>
        <v>46022</v>
      </c>
      <c r="I16" s="151">
        <f t="shared" si="1"/>
        <v>46022</v>
      </c>
      <c r="J16" s="151">
        <f t="shared" si="1"/>
        <v>46022</v>
      </c>
      <c r="K16" s="208"/>
      <c r="L16" s="208"/>
    </row>
    <row r="17" spans="1:12" x14ac:dyDescent="0.25">
      <c r="B17" s="4" t="s">
        <v>51</v>
      </c>
      <c r="C17" s="98">
        <v>116609</v>
      </c>
      <c r="D17" s="124">
        <v>134902</v>
      </c>
      <c r="E17" s="22">
        <v>164501</v>
      </c>
      <c r="F17" s="4">
        <f>E17*(1+F4)</f>
        <v>199135.21054103345</v>
      </c>
      <c r="G17" s="4">
        <f t="shared" ref="G17:J17" si="2">F17*(1+G4)</f>
        <v>238962.25264924014</v>
      </c>
      <c r="H17" s="4">
        <f t="shared" si="2"/>
        <v>280780.64686285716</v>
      </c>
      <c r="I17" s="4">
        <f t="shared" si="2"/>
        <v>329917.26006385719</v>
      </c>
      <c r="J17" s="4">
        <f t="shared" si="2"/>
        <v>386003.19427471288</v>
      </c>
    </row>
    <row r="18" spans="1:12" x14ac:dyDescent="0.25">
      <c r="B18" s="4" t="s">
        <v>157</v>
      </c>
      <c r="C18" s="124">
        <v>25249</v>
      </c>
      <c r="D18" s="124">
        <v>25959</v>
      </c>
      <c r="E18" s="22">
        <v>30161</v>
      </c>
      <c r="F18" s="174">
        <f>F17*F5</f>
        <v>35776.096722234775</v>
      </c>
      <c r="G18" s="174">
        <f t="shared" ref="G18:J18" si="3">G17*G5</f>
        <v>42931.316066681728</v>
      </c>
      <c r="H18" s="174">
        <f t="shared" si="3"/>
        <v>50444.296378351035</v>
      </c>
      <c r="I18" s="174">
        <f t="shared" si="3"/>
        <v>59272.048244562466</v>
      </c>
      <c r="J18" s="174">
        <f t="shared" si="3"/>
        <v>69348.296446138076</v>
      </c>
      <c r="K18" s="209"/>
      <c r="L18" s="209"/>
    </row>
    <row r="19" spans="1:12" x14ac:dyDescent="0.25">
      <c r="B19" s="4" t="s">
        <v>178</v>
      </c>
      <c r="C19" s="124">
        <v>35338</v>
      </c>
      <c r="D19" s="124">
        <v>38483</v>
      </c>
      <c r="E19" s="22">
        <v>43873</v>
      </c>
      <c r="F19" s="174">
        <f>F17*F6</f>
        <v>58852.184310397926</v>
      </c>
      <c r="G19" s="174">
        <f t="shared" ref="G19:J19" si="4">G17*G6</f>
        <v>56498.096937982009</v>
      </c>
      <c r="H19" s="174">
        <f t="shared" si="4"/>
        <v>66385.263902128863</v>
      </c>
      <c r="I19" s="174">
        <f t="shared" si="4"/>
        <v>78002.685085001416</v>
      </c>
      <c r="J19" s="174">
        <f t="shared" si="4"/>
        <v>91263.141549451655</v>
      </c>
      <c r="K19" s="209"/>
      <c r="L19" s="209"/>
    </row>
    <row r="20" spans="1:12" x14ac:dyDescent="0.25">
      <c r="B20" s="4" t="s">
        <v>52</v>
      </c>
      <c r="C20" s="124">
        <f>15262+11816</f>
        <v>27078</v>
      </c>
      <c r="D20" s="124">
        <f>12301+11408</f>
        <v>23709</v>
      </c>
      <c r="E20" s="22">
        <f>11347+9740</f>
        <v>21087</v>
      </c>
      <c r="F20" s="174">
        <f>F17*F7</f>
        <v>25526.678772036477</v>
      </c>
      <c r="G20" s="174">
        <f t="shared" ref="G20:J20" si="5">G17*G7</f>
        <v>30632.014526443771</v>
      </c>
      <c r="H20" s="174">
        <f t="shared" si="5"/>
        <v>35992.617068571431</v>
      </c>
      <c r="I20" s="174">
        <f t="shared" si="5"/>
        <v>42291.325055571433</v>
      </c>
      <c r="J20" s="174">
        <f t="shared" si="5"/>
        <v>49480.850315018572</v>
      </c>
      <c r="K20" s="209"/>
      <c r="L20" s="209"/>
    </row>
    <row r="21" spans="1:12" s="11" customFormat="1" x14ac:dyDescent="0.25">
      <c r="A21" s="11" t="s">
        <v>124</v>
      </c>
      <c r="B21" s="17" t="s">
        <v>55</v>
      </c>
      <c r="C21" s="18">
        <f>C17-SUM(C18:C20)</f>
        <v>28944</v>
      </c>
      <c r="D21" s="18">
        <f t="shared" ref="D21:F21" si="6">D17-SUM(D18:D20)</f>
        <v>46751</v>
      </c>
      <c r="E21" s="18">
        <f t="shared" si="6"/>
        <v>69380</v>
      </c>
      <c r="F21" s="18">
        <f t="shared" si="6"/>
        <v>78980.250736364265</v>
      </c>
      <c r="G21" s="18">
        <f t="shared" ref="G21:J21" si="7">G17-SUM(G18:G20)</f>
        <v>108900.82511813262</v>
      </c>
      <c r="H21" s="18">
        <f t="shared" si="7"/>
        <v>127958.46951380582</v>
      </c>
      <c r="I21" s="18">
        <f t="shared" si="7"/>
        <v>150351.20167872187</v>
      </c>
      <c r="J21" s="18">
        <f t="shared" si="7"/>
        <v>175910.90596410458</v>
      </c>
    </row>
    <row r="22" spans="1:12" s="11" customFormat="1" x14ac:dyDescent="0.25">
      <c r="E22" s="35"/>
    </row>
    <row r="23" spans="1:12" s="11" customFormat="1" x14ac:dyDescent="0.25">
      <c r="B23" s="4" t="s">
        <v>15</v>
      </c>
      <c r="C23" s="125">
        <v>8686</v>
      </c>
      <c r="D23" s="125">
        <v>11178</v>
      </c>
      <c r="E23" s="25">
        <v>15498</v>
      </c>
      <c r="F23" s="4">
        <f>Calcs!F8</f>
        <v>19219.714636743385</v>
      </c>
      <c r="G23" s="4">
        <f>Calcs!G8</f>
        <v>26664.030419815535</v>
      </c>
      <c r="H23" s="4">
        <f>Calcs!H8</f>
        <v>33741.237369983275</v>
      </c>
      <c r="I23" s="4">
        <f>Calcs!I8</f>
        <v>40132.808124104136</v>
      </c>
      <c r="J23" s="4">
        <f>Calcs!J8</f>
        <v>45712.92883756938</v>
      </c>
      <c r="K23" s="4"/>
      <c r="L23" s="4"/>
    </row>
    <row r="24" spans="1:12" s="11" customFormat="1" x14ac:dyDescent="0.25">
      <c r="B24" s="4" t="s">
        <v>54</v>
      </c>
      <c r="C24" s="98"/>
      <c r="D24" s="98"/>
      <c r="E24" s="126"/>
      <c r="F24" s="4">
        <f>F8</f>
        <v>0</v>
      </c>
      <c r="G24" s="4">
        <f t="shared" ref="G24:J24" si="8">G8</f>
        <v>0</v>
      </c>
      <c r="H24" s="4">
        <f t="shared" si="8"/>
        <v>0</v>
      </c>
      <c r="I24" s="4">
        <f t="shared" si="8"/>
        <v>0</v>
      </c>
      <c r="J24" s="4">
        <f t="shared" si="8"/>
        <v>0</v>
      </c>
      <c r="K24" s="4"/>
      <c r="L24" s="4"/>
    </row>
    <row r="25" spans="1:12" s="129" customFormat="1" x14ac:dyDescent="0.25">
      <c r="A25" s="129" t="s">
        <v>124</v>
      </c>
      <c r="B25" s="130" t="s">
        <v>53</v>
      </c>
      <c r="C25" s="131">
        <f>SUM(C21,C23:C24)</f>
        <v>37630</v>
      </c>
      <c r="D25" s="131">
        <f t="shared" ref="D25:F25" si="9">SUM(D21,D23:D24)</f>
        <v>57929</v>
      </c>
      <c r="E25" s="131">
        <f t="shared" si="9"/>
        <v>84878</v>
      </c>
      <c r="F25" s="131">
        <f t="shared" si="9"/>
        <v>98199.965373107654</v>
      </c>
      <c r="G25" s="131">
        <f t="shared" ref="G25:J25" si="10">SUM(G21,G23:G24)</f>
        <v>135564.85553794814</v>
      </c>
      <c r="H25" s="131">
        <f t="shared" si="10"/>
        <v>161699.7068837891</v>
      </c>
      <c r="I25" s="131">
        <f t="shared" si="10"/>
        <v>190484.00980282601</v>
      </c>
      <c r="J25" s="131">
        <f t="shared" si="10"/>
        <v>221623.83480167395</v>
      </c>
    </row>
    <row r="26" spans="1:12" s="11" customFormat="1" x14ac:dyDescent="0.25">
      <c r="C26" s="13"/>
      <c r="D26" s="4"/>
      <c r="E26" s="36"/>
      <c r="F26" s="4"/>
      <c r="G26" s="4"/>
      <c r="H26" s="4"/>
      <c r="I26" s="4"/>
      <c r="J26" s="4"/>
      <c r="K26" s="13"/>
      <c r="L26" s="13"/>
    </row>
    <row r="27" spans="1:12" s="11" customFormat="1" x14ac:dyDescent="0.25">
      <c r="B27" s="4" t="s">
        <v>56</v>
      </c>
      <c r="C27" s="96">
        <v>-81</v>
      </c>
      <c r="D27" s="96">
        <v>-366</v>
      </c>
      <c r="E27" s="97">
        <v>-690</v>
      </c>
      <c r="F27" s="4">
        <f>F9</f>
        <v>0</v>
      </c>
      <c r="G27" s="4">
        <f t="shared" ref="G27:J27" si="11">G9</f>
        <v>0</v>
      </c>
      <c r="H27" s="4">
        <f t="shared" si="11"/>
        <v>0</v>
      </c>
      <c r="I27" s="4">
        <f t="shared" si="11"/>
        <v>0</v>
      </c>
      <c r="J27" s="4">
        <f t="shared" si="11"/>
        <v>0</v>
      </c>
      <c r="K27" s="4"/>
      <c r="L27" s="4"/>
    </row>
    <row r="28" spans="1:12" s="11" customFormat="1" x14ac:dyDescent="0.25">
      <c r="B28" s="4" t="s">
        <v>57</v>
      </c>
      <c r="C28" s="96">
        <v>-320</v>
      </c>
      <c r="D28" s="96">
        <v>-150</v>
      </c>
      <c r="E28" s="97">
        <v>171</v>
      </c>
      <c r="F28" s="4">
        <f>F10</f>
        <v>0</v>
      </c>
      <c r="G28" s="4">
        <f t="shared" ref="G28:J28" si="12">G10</f>
        <v>0</v>
      </c>
      <c r="H28" s="4">
        <f t="shared" si="12"/>
        <v>0</v>
      </c>
      <c r="I28" s="4">
        <f t="shared" si="12"/>
        <v>0</v>
      </c>
      <c r="J28" s="4">
        <f t="shared" si="12"/>
        <v>0</v>
      </c>
      <c r="K28" s="4"/>
      <c r="L28" s="4"/>
    </row>
    <row r="29" spans="1:12" s="11" customFormat="1" x14ac:dyDescent="0.25">
      <c r="B29" s="4"/>
      <c r="C29" s="10"/>
      <c r="D29" s="10"/>
      <c r="E29" s="22"/>
      <c r="F29" s="4"/>
      <c r="G29" s="4"/>
      <c r="H29" s="4"/>
      <c r="I29" s="4"/>
      <c r="J29" s="4"/>
      <c r="K29" s="4"/>
      <c r="L29" s="4"/>
    </row>
    <row r="30" spans="1:12" s="11" customFormat="1" x14ac:dyDescent="0.25">
      <c r="B30" s="4" t="s">
        <v>41</v>
      </c>
      <c r="C30" s="9">
        <v>461</v>
      </c>
      <c r="D30" s="9">
        <v>1639</v>
      </c>
      <c r="E30" s="45">
        <v>2517</v>
      </c>
      <c r="F30" s="312">
        <f>IF(circ=1,Debt!F33,0)</f>
        <v>0</v>
      </c>
      <c r="G30" s="312">
        <f>IF(circ=1,Debt!G33,0)</f>
        <v>0</v>
      </c>
      <c r="H30" s="312">
        <f>IF(circ=1,Debt!H33,0)</f>
        <v>0</v>
      </c>
      <c r="I30" s="312">
        <f>IF(circ=1,Debt!I33,0)</f>
        <v>0</v>
      </c>
      <c r="J30" s="312">
        <f>IF(circ=1,Debt!J33,0)</f>
        <v>0</v>
      </c>
      <c r="K30" s="184"/>
      <c r="L30" s="184"/>
    </row>
    <row r="31" spans="1:12" x14ac:dyDescent="0.25">
      <c r="B31" s="4" t="s">
        <v>33</v>
      </c>
      <c r="C31" s="9">
        <v>-715</v>
      </c>
      <c r="D31" s="9">
        <v>-446</v>
      </c>
      <c r="E31" s="45">
        <v>-715</v>
      </c>
      <c r="F31" s="312">
        <f>IF(circ=1,-Debt!F28,0)</f>
        <v>0</v>
      </c>
      <c r="G31" s="312">
        <f>IF(circ=1,-Debt!G28,0)</f>
        <v>0</v>
      </c>
      <c r="H31" s="312">
        <f>IF(circ=1,-Debt!H28,0)</f>
        <v>0</v>
      </c>
      <c r="I31" s="312">
        <f>IF(circ=1,-Debt!I28,0)</f>
        <v>0</v>
      </c>
      <c r="J31" s="312">
        <f>IF(circ=1,-Debt!J28,0)</f>
        <v>0</v>
      </c>
      <c r="K31" s="184"/>
      <c r="L31" s="184"/>
    </row>
    <row r="32" spans="1:12" x14ac:dyDescent="0.25">
      <c r="C32" s="10"/>
      <c r="D32" s="10"/>
      <c r="E32" s="22"/>
      <c r="H32" s="4"/>
    </row>
    <row r="33" spans="1:12" s="11" customFormat="1" x14ac:dyDescent="0.25">
      <c r="A33" s="11" t="s">
        <v>124</v>
      </c>
      <c r="B33" s="17" t="s">
        <v>84</v>
      </c>
      <c r="C33" s="18">
        <f t="shared" ref="C33:D33" si="13">C21+SUM(C27:C31)</f>
        <v>28289</v>
      </c>
      <c r="D33" s="18">
        <f t="shared" si="13"/>
        <v>47428</v>
      </c>
      <c r="E33" s="18">
        <f>E21+SUM(E27:E31)</f>
        <v>70663</v>
      </c>
      <c r="F33" s="18">
        <f>F21+SUM(F27:F31)</f>
        <v>78980.250736364265</v>
      </c>
      <c r="G33" s="18">
        <f t="shared" ref="G33:J33" si="14">G21+SUM(G27:G31)</f>
        <v>108900.82511813262</v>
      </c>
      <c r="H33" s="18">
        <f t="shared" si="14"/>
        <v>127958.46951380582</v>
      </c>
      <c r="I33" s="18">
        <f t="shared" si="14"/>
        <v>150351.20167872187</v>
      </c>
      <c r="J33" s="18">
        <f t="shared" si="14"/>
        <v>175910.90596410458</v>
      </c>
    </row>
    <row r="34" spans="1:12" x14ac:dyDescent="0.25">
      <c r="E34" s="37"/>
      <c r="H34" s="4"/>
    </row>
    <row r="35" spans="1:12" x14ac:dyDescent="0.25">
      <c r="B35" s="4" t="s">
        <v>58</v>
      </c>
      <c r="C35" s="133">
        <v>5619</v>
      </c>
      <c r="D35" s="4">
        <v>8330</v>
      </c>
      <c r="E35" s="59">
        <v>8303</v>
      </c>
      <c r="F35" s="4">
        <f>F33*F11</f>
        <v>10662.333849409177</v>
      </c>
      <c r="G35" s="4">
        <f t="shared" ref="G35:J35" si="15">G33*G11</f>
        <v>14701.611390947905</v>
      </c>
      <c r="H35" s="4">
        <f t="shared" si="15"/>
        <v>17274.393384363786</v>
      </c>
      <c r="I35" s="4">
        <f t="shared" si="15"/>
        <v>20297.412226627453</v>
      </c>
      <c r="J35" s="4">
        <f t="shared" si="15"/>
        <v>23747.972305154119</v>
      </c>
    </row>
    <row r="36" spans="1:12" s="11" customFormat="1" x14ac:dyDescent="0.25">
      <c r="A36" s="11" t="s">
        <v>124</v>
      </c>
      <c r="B36" s="17" t="s">
        <v>59</v>
      </c>
      <c r="C36" s="18">
        <f>C33-C35</f>
        <v>22670</v>
      </c>
      <c r="D36" s="34">
        <f t="shared" ref="D36:F36" si="16">D33-D35</f>
        <v>39098</v>
      </c>
      <c r="E36" s="18">
        <f t="shared" si="16"/>
        <v>62360</v>
      </c>
      <c r="F36" s="18">
        <f t="shared" si="16"/>
        <v>68317.916886955092</v>
      </c>
      <c r="G36" s="18">
        <f t="shared" ref="G36:J36" si="17">G33-G35</f>
        <v>94199.213727184717</v>
      </c>
      <c r="H36" s="18">
        <f t="shared" si="17"/>
        <v>110684.07612944202</v>
      </c>
      <c r="I36" s="18">
        <f t="shared" si="17"/>
        <v>130053.78945209442</v>
      </c>
      <c r="J36" s="18">
        <f t="shared" si="17"/>
        <v>152162.93365895047</v>
      </c>
    </row>
    <row r="37" spans="1:12" s="266" customFormat="1" x14ac:dyDescent="0.25">
      <c r="A37" s="269"/>
      <c r="B37" s="266" t="s">
        <v>181</v>
      </c>
      <c r="C37" s="273">
        <f t="shared" ref="C37:D37" si="18">C38/C36</f>
        <v>0</v>
      </c>
      <c r="D37" s="276">
        <f t="shared" si="18"/>
        <v>0</v>
      </c>
      <c r="E37" s="274">
        <f>E38/E36</f>
        <v>8.1334188582424638E-2</v>
      </c>
      <c r="F37" s="266">
        <f>F12</f>
        <v>8.1334188582424638E-2</v>
      </c>
      <c r="G37" s="266">
        <f t="shared" ref="G37:J37" si="19">G12</f>
        <v>8.1334188582424638E-2</v>
      </c>
      <c r="H37" s="266">
        <f t="shared" si="19"/>
        <v>8.1334188582424638E-2</v>
      </c>
      <c r="I37" s="266">
        <f t="shared" si="19"/>
        <v>8.1334188582424638E-2</v>
      </c>
      <c r="J37" s="266">
        <f t="shared" si="19"/>
        <v>8.1334188582424638E-2</v>
      </c>
    </row>
    <row r="38" spans="1:12" x14ac:dyDescent="0.25">
      <c r="B38" s="4" t="s">
        <v>60</v>
      </c>
      <c r="C38" s="10">
        <v>0</v>
      </c>
      <c r="D38" s="10">
        <v>0</v>
      </c>
      <c r="E38" s="22">
        <v>5072</v>
      </c>
      <c r="F38" s="4">
        <f>F36*F37</f>
        <v>5556.5823356420178</v>
      </c>
      <c r="G38" s="4">
        <f t="shared" ref="G38:J38" si="20">G36*G37</f>
        <v>7661.6166136029651</v>
      </c>
      <c r="H38" s="4">
        <f t="shared" si="20"/>
        <v>9002.3995209834829</v>
      </c>
      <c r="I38" s="4">
        <f t="shared" si="20"/>
        <v>10577.819437155596</v>
      </c>
      <c r="J38" s="4">
        <f t="shared" si="20"/>
        <v>12376.048741472046</v>
      </c>
    </row>
    <row r="39" spans="1:12" x14ac:dyDescent="0.25">
      <c r="A39" s="20" t="s">
        <v>61</v>
      </c>
      <c r="B39" s="19"/>
      <c r="C39" s="55">
        <v>44926</v>
      </c>
      <c r="D39" s="55">
        <v>45291</v>
      </c>
      <c r="E39" s="55">
        <v>45657</v>
      </c>
      <c r="F39" s="55">
        <v>46022</v>
      </c>
      <c r="G39" s="55">
        <v>46022</v>
      </c>
      <c r="H39" s="55">
        <v>46022</v>
      </c>
      <c r="I39" s="55">
        <v>46022</v>
      </c>
      <c r="J39" s="55">
        <v>46022</v>
      </c>
      <c r="K39" s="205"/>
      <c r="L39" s="205"/>
    </row>
    <row r="40" spans="1:12" x14ac:dyDescent="0.25">
      <c r="B40" s="4" t="s">
        <v>49</v>
      </c>
      <c r="C40" s="10">
        <v>2687</v>
      </c>
      <c r="D40" s="10">
        <v>2574</v>
      </c>
      <c r="E40" s="22">
        <v>2534</v>
      </c>
      <c r="F40" s="175">
        <f>F13</f>
        <v>2534</v>
      </c>
      <c r="G40" s="175">
        <f t="shared" ref="G40:J40" si="21">G13</f>
        <v>2534</v>
      </c>
      <c r="H40" s="175">
        <f t="shared" si="21"/>
        <v>2534</v>
      </c>
      <c r="I40" s="175">
        <f t="shared" si="21"/>
        <v>2534</v>
      </c>
      <c r="J40" s="175">
        <f t="shared" si="21"/>
        <v>2534</v>
      </c>
      <c r="K40" s="209"/>
      <c r="L40" s="209"/>
    </row>
    <row r="41" spans="1:12" x14ac:dyDescent="0.25">
      <c r="B41" s="4" t="s">
        <v>50</v>
      </c>
      <c r="C41" s="10">
        <v>2702</v>
      </c>
      <c r="D41" s="10">
        <v>2629</v>
      </c>
      <c r="E41" s="22">
        <v>2614</v>
      </c>
      <c r="F41" s="175">
        <f>F14</f>
        <v>2614</v>
      </c>
      <c r="G41" s="175">
        <f t="shared" ref="G41:J41" si="22">G14</f>
        <v>2614</v>
      </c>
      <c r="H41" s="175">
        <f t="shared" si="22"/>
        <v>2614</v>
      </c>
      <c r="I41" s="175">
        <f t="shared" si="22"/>
        <v>2614</v>
      </c>
      <c r="J41" s="175">
        <f t="shared" si="22"/>
        <v>2614</v>
      </c>
      <c r="K41" s="209"/>
      <c r="L41" s="209"/>
    </row>
    <row r="42" spans="1:12" x14ac:dyDescent="0.25">
      <c r="B42" s="4" t="s">
        <v>62</v>
      </c>
      <c r="C42" s="182">
        <f t="shared" ref="C42:D42" si="23">C36/C40</f>
        <v>8.4369184964644592</v>
      </c>
      <c r="D42" s="182">
        <f t="shared" si="23"/>
        <v>15.189588189588189</v>
      </c>
      <c r="E42" s="183">
        <f>E36/E40</f>
        <v>24.609313338595108</v>
      </c>
      <c r="F42" s="174">
        <f>F36/F40</f>
        <v>26.960503901718663</v>
      </c>
      <c r="G42" s="174">
        <f t="shared" ref="G42:J42" si="24">G36/G40</f>
        <v>37.174117492969501</v>
      </c>
      <c r="H42" s="174">
        <f t="shared" si="24"/>
        <v>43.679588054239154</v>
      </c>
      <c r="I42" s="174">
        <f t="shared" si="24"/>
        <v>51.323515963731026</v>
      </c>
      <c r="J42" s="174">
        <f t="shared" si="24"/>
        <v>60.048513677565296</v>
      </c>
      <c r="K42" s="209"/>
      <c r="L42" s="209"/>
    </row>
    <row r="43" spans="1:12" s="11" customFormat="1" x14ac:dyDescent="0.25">
      <c r="A43" s="11" t="s">
        <v>124</v>
      </c>
      <c r="B43" s="17" t="s">
        <v>63</v>
      </c>
      <c r="C43" s="181">
        <f t="shared" ref="C43:D43" si="25">C36/C41</f>
        <v>8.3900814211695049</v>
      </c>
      <c r="D43" s="181">
        <f t="shared" si="25"/>
        <v>14.871814378090528</v>
      </c>
      <c r="E43" s="181">
        <f>E36/E41</f>
        <v>23.856159143075747</v>
      </c>
      <c r="F43" s="181">
        <f>F36/F41</f>
        <v>26.135392841222298</v>
      </c>
      <c r="G43" s="181">
        <f t="shared" ref="G43:J43" si="26">G36/G41</f>
        <v>36.036424532205324</v>
      </c>
      <c r="H43" s="181">
        <f t="shared" si="26"/>
        <v>42.342798825341248</v>
      </c>
      <c r="I43" s="181">
        <f t="shared" si="26"/>
        <v>49.752788619775984</v>
      </c>
      <c r="J43" s="181">
        <f t="shared" si="26"/>
        <v>58.210762685137901</v>
      </c>
      <c r="K43" s="213"/>
      <c r="L43" s="213"/>
    </row>
    <row r="44" spans="1:12" x14ac:dyDescent="0.25">
      <c r="C44" s="14"/>
      <c r="D44" s="14"/>
      <c r="E44" s="38"/>
      <c r="F44" s="14"/>
      <c r="G44" s="14"/>
      <c r="H44" s="14"/>
      <c r="I44" s="14"/>
      <c r="J44" s="14"/>
    </row>
    <row r="45" spans="1:12" x14ac:dyDescent="0.25">
      <c r="D45" s="14"/>
      <c r="E45" s="14"/>
      <c r="F45" s="14"/>
    </row>
  </sheetData>
  <conditionalFormatting sqref="F4:L14">
    <cfRule type="expression" dxfId="1" priority="29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4"/>
  <sheetViews>
    <sheetView showGridLines="0" zoomScaleNormal="100" workbookViewId="0">
      <selection activeCell="F41" sqref="F15:J41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Meta Platforms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4"/>
      <c r="C2" s="265">
        <v>2022</v>
      </c>
      <c r="D2" s="265">
        <f>C2+1</f>
        <v>2023</v>
      </c>
      <c r="E2" s="265">
        <f t="shared" ref="E2:J2" si="0">D2+1</f>
        <v>2024</v>
      </c>
      <c r="F2" s="265">
        <f t="shared" si="0"/>
        <v>2025</v>
      </c>
      <c r="G2" s="265">
        <f t="shared" si="0"/>
        <v>2026</v>
      </c>
      <c r="H2" s="265">
        <f t="shared" si="0"/>
        <v>2027</v>
      </c>
      <c r="I2" s="265">
        <f t="shared" si="0"/>
        <v>2028</v>
      </c>
      <c r="J2" s="265">
        <f t="shared" si="0"/>
        <v>2029</v>
      </c>
      <c r="K2" s="214"/>
      <c r="L2" s="214"/>
    </row>
    <row r="3" spans="1:12" x14ac:dyDescent="0.25">
      <c r="K3" s="6"/>
      <c r="L3" s="6"/>
    </row>
    <row r="4" spans="1:12" x14ac:dyDescent="0.25">
      <c r="B4" s="4" t="s">
        <v>140</v>
      </c>
      <c r="C4" s="43"/>
      <c r="D4" s="43"/>
      <c r="E4" s="44"/>
      <c r="F4" s="103">
        <f>Assumptions!F45</f>
        <v>1.4999999999999999E-2</v>
      </c>
      <c r="G4" s="103">
        <f>F4</f>
        <v>1.4999999999999999E-2</v>
      </c>
      <c r="H4" s="103">
        <f t="shared" ref="H4:J4" si="1">G4</f>
        <v>1.4999999999999999E-2</v>
      </c>
      <c r="I4" s="103">
        <f t="shared" si="1"/>
        <v>1.4999999999999999E-2</v>
      </c>
      <c r="J4" s="103">
        <f t="shared" si="1"/>
        <v>1.4999999999999999E-2</v>
      </c>
      <c r="K4" s="171"/>
      <c r="L4" s="171"/>
    </row>
    <row r="5" spans="1:12" x14ac:dyDescent="0.25">
      <c r="B5" s="4" t="s">
        <v>153</v>
      </c>
      <c r="C5" s="43"/>
      <c r="D5" s="43"/>
      <c r="E5" s="44"/>
      <c r="F5" s="103">
        <f>Assumptions!F46</f>
        <v>0.10330636287925302</v>
      </c>
      <c r="G5" s="103">
        <f>Assumptions!G46</f>
        <v>0.10330636287925302</v>
      </c>
      <c r="H5" s="103">
        <f>Assumptions!H46</f>
        <v>0.10330636287925302</v>
      </c>
      <c r="I5" s="103">
        <f>Assumptions!I46</f>
        <v>0.10330636287925302</v>
      </c>
      <c r="J5" s="103">
        <f>Assumptions!J46</f>
        <v>0.10330636287925302</v>
      </c>
      <c r="K5" s="171"/>
      <c r="L5" s="171"/>
    </row>
    <row r="6" spans="1:12" x14ac:dyDescent="0.25">
      <c r="B6" s="4" t="s">
        <v>65</v>
      </c>
      <c r="C6" s="43"/>
      <c r="D6" s="43"/>
      <c r="E6" s="44"/>
      <c r="F6" s="103">
        <f>Assumptions!F47</f>
        <v>0.23806542209469853</v>
      </c>
      <c r="G6" s="103">
        <f>Assumptions!G47</f>
        <v>0.23806542209469853</v>
      </c>
      <c r="H6" s="103">
        <f>Assumptions!H47</f>
        <v>0.23806542209469853</v>
      </c>
      <c r="I6" s="103">
        <f>Assumptions!I47</f>
        <v>0.23806542209469853</v>
      </c>
      <c r="J6" s="103">
        <f>Assumptions!J47</f>
        <v>0.23806542209469853</v>
      </c>
      <c r="K6" s="171"/>
      <c r="L6" s="171"/>
    </row>
    <row r="7" spans="1:12" x14ac:dyDescent="0.25">
      <c r="B7" s="4" t="s">
        <v>66</v>
      </c>
      <c r="C7" s="43"/>
      <c r="D7" s="43"/>
      <c r="E7" s="44"/>
      <c r="F7" s="103">
        <f>Assumptions!F50</f>
        <v>7.9130218053385687E-2</v>
      </c>
      <c r="G7" s="103">
        <f>Assumptions!G50</f>
        <v>7.9130218053385687E-2</v>
      </c>
      <c r="H7" s="103">
        <f>Assumptions!H50</f>
        <v>7.9130218053385687E-2</v>
      </c>
      <c r="I7" s="103">
        <f>Assumptions!I50</f>
        <v>7.9130218053385687E-2</v>
      </c>
      <c r="J7" s="103">
        <f>Assumptions!J50</f>
        <v>7.9130218053385687E-2</v>
      </c>
      <c r="K7" s="171"/>
      <c r="L7" s="171"/>
    </row>
    <row r="8" spans="1:12" x14ac:dyDescent="0.25">
      <c r="B8" s="4" t="s">
        <v>162</v>
      </c>
      <c r="C8" s="43"/>
      <c r="D8" s="43"/>
      <c r="E8" s="150"/>
      <c r="F8" s="102">
        <f>Assumptions!F49</f>
        <v>6070</v>
      </c>
      <c r="G8" s="102">
        <f>Assumptions!G49</f>
        <v>6070</v>
      </c>
      <c r="H8" s="102">
        <f>Assumptions!H49</f>
        <v>6070</v>
      </c>
      <c r="I8" s="102">
        <f>Assumptions!I49</f>
        <v>6070</v>
      </c>
      <c r="J8" s="102">
        <f>Assumptions!J49</f>
        <v>6070</v>
      </c>
      <c r="K8" s="198"/>
      <c r="L8" s="198"/>
    </row>
    <row r="9" spans="1:12" x14ac:dyDescent="0.25">
      <c r="C9" s="30"/>
      <c r="D9" s="30"/>
      <c r="E9" s="30"/>
      <c r="F9" s="104"/>
      <c r="G9" s="104"/>
      <c r="H9" s="104"/>
      <c r="I9" s="104"/>
      <c r="J9" s="104"/>
      <c r="K9" s="171"/>
      <c r="L9" s="171"/>
    </row>
    <row r="10" spans="1:12" x14ac:dyDescent="0.25">
      <c r="B10" s="4" t="s">
        <v>152</v>
      </c>
      <c r="C10" s="43"/>
      <c r="D10" s="43"/>
      <c r="E10" s="44"/>
      <c r="F10" s="103">
        <f>Assumptions!F54</f>
        <v>0.25486555485560825</v>
      </c>
      <c r="G10" s="103">
        <f>Assumptions!G54</f>
        <v>0.25486555485560825</v>
      </c>
      <c r="H10" s="103">
        <f>Assumptions!H54</f>
        <v>0.25486555485560825</v>
      </c>
      <c r="I10" s="103">
        <f>Assumptions!I54</f>
        <v>0.25486555485560825</v>
      </c>
      <c r="J10" s="103">
        <f>Assumptions!J54</f>
        <v>0.25486555485560825</v>
      </c>
      <c r="K10" s="171"/>
      <c r="L10" s="171"/>
    </row>
    <row r="11" spans="1:12" x14ac:dyDescent="0.25">
      <c r="B11" s="4" t="s">
        <v>67</v>
      </c>
      <c r="C11" s="43"/>
      <c r="D11" s="43"/>
      <c r="E11" s="26"/>
      <c r="F11" s="103">
        <f>Assumptions!F55</f>
        <v>0.15750056230661211</v>
      </c>
      <c r="G11" s="103">
        <f>Assumptions!G55</f>
        <v>0.15750056230661211</v>
      </c>
      <c r="H11" s="103">
        <f>Assumptions!H55</f>
        <v>0.15750056230661211</v>
      </c>
      <c r="I11" s="103">
        <f>Assumptions!I55</f>
        <v>0.15750056230661211</v>
      </c>
      <c r="J11" s="103">
        <f>Assumptions!J55</f>
        <v>0.15750056230661211</v>
      </c>
      <c r="K11" s="171"/>
      <c r="L11" s="171"/>
    </row>
    <row r="12" spans="1:12" x14ac:dyDescent="0.25">
      <c r="B12" s="4" t="s">
        <v>68</v>
      </c>
      <c r="C12" s="43"/>
      <c r="D12" s="43"/>
      <c r="E12" s="44"/>
      <c r="F12" s="257">
        <f>Assumptions!F56</f>
        <v>0.18841830748749247</v>
      </c>
      <c r="G12" s="257">
        <f>Assumptions!G56</f>
        <v>0.18841830748749247</v>
      </c>
      <c r="H12" s="257">
        <f>Assumptions!H56</f>
        <v>0.18841830748749247</v>
      </c>
      <c r="I12" s="257">
        <f>Assumptions!I56</f>
        <v>0.18841830748749247</v>
      </c>
      <c r="J12" s="257">
        <f>Assumptions!J56</f>
        <v>0.18841830748749247</v>
      </c>
      <c r="K12" s="171"/>
      <c r="L12" s="171"/>
    </row>
    <row r="13" spans="1:12" x14ac:dyDescent="0.25">
      <c r="C13" s="43"/>
      <c r="D13" s="43"/>
      <c r="E13" s="43"/>
      <c r="F13" s="104"/>
      <c r="G13" s="104"/>
      <c r="H13" s="104"/>
      <c r="I13" s="104"/>
      <c r="J13" s="104"/>
      <c r="K13" s="171"/>
      <c r="L13" s="171"/>
    </row>
    <row r="14" spans="1:12" ht="15" customHeight="1" x14ac:dyDescent="0.25">
      <c r="A14" s="179" t="s">
        <v>64</v>
      </c>
      <c r="B14" s="180"/>
      <c r="C14" s="254">
        <f t="shared" ref="C14:J14" si="2">C2</f>
        <v>2022</v>
      </c>
      <c r="D14" s="254">
        <f t="shared" si="2"/>
        <v>2023</v>
      </c>
      <c r="E14" s="254">
        <f t="shared" si="2"/>
        <v>2024</v>
      </c>
      <c r="F14" s="254">
        <f t="shared" si="2"/>
        <v>2025</v>
      </c>
      <c r="G14" s="254">
        <f t="shared" si="2"/>
        <v>2026</v>
      </c>
      <c r="H14" s="254">
        <f t="shared" si="2"/>
        <v>2027</v>
      </c>
      <c r="I14" s="254">
        <f t="shared" si="2"/>
        <v>2028</v>
      </c>
      <c r="J14" s="254">
        <f t="shared" si="2"/>
        <v>2029</v>
      </c>
      <c r="K14" s="208"/>
      <c r="L14" s="208"/>
    </row>
    <row r="15" spans="1:12" x14ac:dyDescent="0.25">
      <c r="B15" s="4" t="s">
        <v>158</v>
      </c>
      <c r="C15" s="186">
        <f>1.5%*IncState!C17</f>
        <v>1749.135</v>
      </c>
      <c r="D15" s="186">
        <f>1.5%*IncState!D17</f>
        <v>2023.53</v>
      </c>
      <c r="E15" s="187">
        <f>1.5%*IncState!E17</f>
        <v>2467.5149999999999</v>
      </c>
      <c r="F15" s="4">
        <f>F4*IncState!F17</f>
        <v>2987.0281581155018</v>
      </c>
      <c r="G15" s="4">
        <f>G4*IncState!G17</f>
        <v>3584.4337897386017</v>
      </c>
      <c r="H15" s="4">
        <f>H4*IncState!H17</f>
        <v>4211.7097029428569</v>
      </c>
      <c r="I15" s="4">
        <f>I4*IncState!I17</f>
        <v>4948.7589009578578</v>
      </c>
      <c r="J15" s="4">
        <f>J4*IncState!J17</f>
        <v>5790.0479141206933</v>
      </c>
    </row>
    <row r="16" spans="1:12" x14ac:dyDescent="0.25">
      <c r="B16" s="4" t="s">
        <v>159</v>
      </c>
      <c r="C16" s="186">
        <f>14681-C15</f>
        <v>12931.865</v>
      </c>
      <c r="D16" s="186">
        <f>41862-D15</f>
        <v>39838.47</v>
      </c>
      <c r="E16" s="187">
        <f>43889-E15</f>
        <v>41421.485000000001</v>
      </c>
      <c r="F16" s="310">
        <f>MAX(CashFlow!F23,0)</f>
        <v>39474.987832411498</v>
      </c>
      <c r="G16" s="310">
        <f>MAX(CashFlow!G23,0)</f>
        <v>63834.8932006494</v>
      </c>
      <c r="H16" s="310">
        <f>MAX(CashFlow!H23,0)</f>
        <v>108112.83604343433</v>
      </c>
      <c r="I16" s="310">
        <f>MAX(CashFlow!I23,0)</f>
        <v>175617.76350063476</v>
      </c>
      <c r="J16" s="310">
        <f>MAX(CashFlow!J23,0)</f>
        <v>270601.2032114726</v>
      </c>
    </row>
    <row r="17" spans="1:12" x14ac:dyDescent="0.25">
      <c r="B17" s="4" t="s">
        <v>69</v>
      </c>
      <c r="C17" s="188">
        <v>13466</v>
      </c>
      <c r="D17" s="188">
        <v>16169</v>
      </c>
      <c r="E17" s="189">
        <v>16994</v>
      </c>
      <c r="F17" s="4">
        <f>F5*IncState!F17</f>
        <v>20571.934322188452</v>
      </c>
      <c r="G17" s="4">
        <f>G5*IncState!G17</f>
        <v>24686.321186626141</v>
      </c>
      <c r="H17" s="4">
        <f>H5*IncState!H17</f>
        <v>29006.427394285718</v>
      </c>
      <c r="I17" s="4">
        <f>I5*IncState!I17</f>
        <v>34082.552188285721</v>
      </c>
      <c r="J17" s="4">
        <f>J5*IncState!J17</f>
        <v>39876.586060294292</v>
      </c>
    </row>
    <row r="18" spans="1:12" x14ac:dyDescent="0.25">
      <c r="B18" s="4" t="s">
        <v>70</v>
      </c>
      <c r="C18" s="188">
        <f>5345+26057</f>
        <v>31402</v>
      </c>
      <c r="D18" s="188">
        <f>3793+23541</f>
        <v>27334</v>
      </c>
      <c r="E18" s="189">
        <f>5236+33926</f>
        <v>39162</v>
      </c>
      <c r="F18" s="4">
        <f>F6*IncState!F17</f>
        <v>47407.207951367789</v>
      </c>
      <c r="G18" s="4">
        <f>G6*IncState!G17</f>
        <v>56888.649541641345</v>
      </c>
      <c r="H18" s="4">
        <f>H6*IncState!H17</f>
        <v>66844.163211428575</v>
      </c>
      <c r="I18" s="4">
        <f>I6*IncState!I17</f>
        <v>78541.891773428593</v>
      </c>
      <c r="J18" s="4">
        <f>J6*IncState!J17</f>
        <v>91894.013374911432</v>
      </c>
    </row>
    <row r="19" spans="1:12" s="11" customFormat="1" x14ac:dyDescent="0.25">
      <c r="B19" s="11" t="s">
        <v>71</v>
      </c>
      <c r="C19" s="11">
        <f t="shared" ref="C19:J19" si="3">SUM(C15:C18)</f>
        <v>59549</v>
      </c>
      <c r="D19" s="11">
        <f t="shared" si="3"/>
        <v>85365</v>
      </c>
      <c r="E19" s="24">
        <f t="shared" si="3"/>
        <v>100045</v>
      </c>
      <c r="F19" s="11">
        <f t="shared" si="3"/>
        <v>110441.15826408323</v>
      </c>
      <c r="G19" s="11">
        <f t="shared" ref="G19" si="4">SUM(G15:G18)</f>
        <v>148994.29771865549</v>
      </c>
      <c r="H19" s="11">
        <f t="shared" ref="H19" si="5">SUM(H15:H18)</f>
        <v>208175.1363520915</v>
      </c>
      <c r="I19" s="11">
        <f t="shared" ref="I19" si="6">SUM(I15:I18)</f>
        <v>293190.96636330691</v>
      </c>
      <c r="J19" s="11">
        <f t="shared" ref="J19" si="7">SUM(J15:J18)</f>
        <v>408161.85056079907</v>
      </c>
    </row>
    <row r="20" spans="1:12" x14ac:dyDescent="0.25">
      <c r="A20" s="7"/>
      <c r="E20" s="27"/>
      <c r="I20" s="4"/>
      <c r="J20" s="4"/>
    </row>
    <row r="21" spans="1:12" x14ac:dyDescent="0.25">
      <c r="B21" s="4" t="s">
        <v>72</v>
      </c>
      <c r="C21" s="188">
        <f>79518+12673</f>
        <v>92191</v>
      </c>
      <c r="D21" s="188">
        <f>96587+13294</f>
        <v>109881</v>
      </c>
      <c r="E21" s="189">
        <f>121346+14922</f>
        <v>136268</v>
      </c>
      <c r="F21" s="4">
        <f>Calcs!F9</f>
        <v>189048.28536325661</v>
      </c>
      <c r="G21" s="4">
        <f>Calcs!G9</f>
        <v>239225.76483747145</v>
      </c>
      <c r="H21" s="4">
        <f>Calcs!H9</f>
        <v>284542.07571845962</v>
      </c>
      <c r="I21" s="4">
        <f>Calcs!I9</f>
        <v>324105.19638669258</v>
      </c>
      <c r="J21" s="4">
        <f>Calcs!J9</f>
        <v>356196.37646516913</v>
      </c>
    </row>
    <row r="22" spans="1:12" x14ac:dyDescent="0.25">
      <c r="B22" s="4" t="s">
        <v>160</v>
      </c>
      <c r="C22" s="188">
        <f>897+20306</f>
        <v>21203</v>
      </c>
      <c r="D22" s="188">
        <v>20654</v>
      </c>
      <c r="E22" s="189">
        <f>20654</f>
        <v>20654</v>
      </c>
      <c r="F22" s="132">
        <f>E22-IncState!F24</f>
        <v>20654</v>
      </c>
      <c r="G22" s="132">
        <f>F22-IncState!G24</f>
        <v>20654</v>
      </c>
      <c r="H22" s="132">
        <f>G22-IncState!H24</f>
        <v>20654</v>
      </c>
      <c r="I22" s="132">
        <f>H22-IncState!I24</f>
        <v>20654</v>
      </c>
      <c r="J22" s="132">
        <f>I22-IncState!J24</f>
        <v>20654</v>
      </c>
      <c r="K22" s="132"/>
      <c r="L22" s="132"/>
    </row>
    <row r="23" spans="1:12" x14ac:dyDescent="0.25">
      <c r="B23" s="4" t="s">
        <v>161</v>
      </c>
      <c r="C23" s="188">
        <v>6201</v>
      </c>
      <c r="D23" s="188">
        <v>6141</v>
      </c>
      <c r="E23" s="189">
        <v>6070</v>
      </c>
      <c r="F23" s="4">
        <f>F8</f>
        <v>6070</v>
      </c>
      <c r="G23" s="4">
        <f t="shared" ref="G23:J23" si="8">G8</f>
        <v>6070</v>
      </c>
      <c r="H23" s="4">
        <f t="shared" si="8"/>
        <v>6070</v>
      </c>
      <c r="I23" s="4">
        <f t="shared" si="8"/>
        <v>6070</v>
      </c>
      <c r="J23" s="4">
        <f t="shared" si="8"/>
        <v>6070</v>
      </c>
    </row>
    <row r="24" spans="1:12" x14ac:dyDescent="0.25">
      <c r="B24" s="4" t="s">
        <v>163</v>
      </c>
      <c r="C24" s="188">
        <f>6583</f>
        <v>6583</v>
      </c>
      <c r="D24" s="188">
        <v>7582</v>
      </c>
      <c r="E24" s="189">
        <v>13017</v>
      </c>
      <c r="F24" s="4">
        <f>F7*IncState!F17</f>
        <v>15757.612632218845</v>
      </c>
      <c r="G24" s="4">
        <f>G7*IncState!G17</f>
        <v>18909.135158662615</v>
      </c>
      <c r="H24" s="4">
        <f>H7*IncState!H17</f>
        <v>22218.23381142857</v>
      </c>
      <c r="I24" s="4">
        <f>I7*IncState!I17</f>
        <v>26106.424728428574</v>
      </c>
      <c r="J24" s="4">
        <f>J7*IncState!J17</f>
        <v>30544.516932261427</v>
      </c>
    </row>
    <row r="25" spans="1:12" s="11" customFormat="1" x14ac:dyDescent="0.25">
      <c r="B25" s="11" t="s">
        <v>73</v>
      </c>
      <c r="C25" s="11">
        <f>SUM(C21:C24)</f>
        <v>126178</v>
      </c>
      <c r="D25" s="11">
        <f>SUM(D21:D24)</f>
        <v>144258</v>
      </c>
      <c r="E25" s="24">
        <f>SUM(E21:E24)</f>
        <v>176009</v>
      </c>
      <c r="F25" s="11">
        <f>SUM(F21:F24)</f>
        <v>231529.89799547545</v>
      </c>
      <c r="G25" s="11">
        <f t="shared" ref="G25:J25" si="9">SUM(G21:G24)</f>
        <v>284858.89999613405</v>
      </c>
      <c r="H25" s="11">
        <f t="shared" si="9"/>
        <v>333484.30952988821</v>
      </c>
      <c r="I25" s="11">
        <f t="shared" si="9"/>
        <v>376935.62111512118</v>
      </c>
      <c r="J25" s="11">
        <f t="shared" si="9"/>
        <v>413464.89339743054</v>
      </c>
    </row>
    <row r="26" spans="1:12" x14ac:dyDescent="0.25">
      <c r="E26" s="27"/>
      <c r="I26" s="4"/>
      <c r="J26" s="4"/>
    </row>
    <row r="27" spans="1:12" s="11" customFormat="1" x14ac:dyDescent="0.25">
      <c r="A27" s="11" t="s">
        <v>124</v>
      </c>
      <c r="B27" s="17" t="s">
        <v>74</v>
      </c>
      <c r="C27" s="18">
        <f>SUM(C25,C19)</f>
        <v>185727</v>
      </c>
      <c r="D27" s="18">
        <f>SUM(D25,D19)</f>
        <v>229623</v>
      </c>
      <c r="E27" s="18">
        <f>SUM(E25,E19)</f>
        <v>276054</v>
      </c>
      <c r="F27" s="18">
        <f>SUM(F25,F19)</f>
        <v>341971.05625955865</v>
      </c>
      <c r="G27" s="18">
        <f t="shared" ref="G27:J27" si="10">SUM(G25,G19)</f>
        <v>433853.19771478954</v>
      </c>
      <c r="H27" s="18">
        <f t="shared" si="10"/>
        <v>541659.44588197977</v>
      </c>
      <c r="I27" s="18">
        <f t="shared" si="10"/>
        <v>670126.58747842815</v>
      </c>
      <c r="J27" s="18">
        <f t="shared" si="10"/>
        <v>821626.74395822966</v>
      </c>
    </row>
    <row r="28" spans="1:12" x14ac:dyDescent="0.25">
      <c r="A28" s="11"/>
      <c r="E28" s="27"/>
      <c r="I28" s="4"/>
      <c r="J28" s="4"/>
      <c r="K28" s="6"/>
      <c r="L28" s="6"/>
    </row>
    <row r="29" spans="1:12" x14ac:dyDescent="0.25">
      <c r="B29" s="4" t="s">
        <v>75</v>
      </c>
      <c r="C29" s="9">
        <v>0</v>
      </c>
      <c r="D29" s="9">
        <v>0</v>
      </c>
      <c r="E29" s="45">
        <v>0</v>
      </c>
      <c r="F29" s="310">
        <f>MIN(CashFlow!F23,0)</f>
        <v>0</v>
      </c>
      <c r="G29" s="310">
        <f>MIN(CashFlow!G23,0)</f>
        <v>0</v>
      </c>
      <c r="H29" s="310">
        <f>MIN(CashFlow!H23,0)</f>
        <v>0</v>
      </c>
      <c r="I29" s="310">
        <f>MIN(CashFlow!I23,0)</f>
        <v>0</v>
      </c>
      <c r="J29" s="310">
        <f>MIN(CashFlow!J23,0)</f>
        <v>0</v>
      </c>
    </row>
    <row r="30" spans="1:12" x14ac:dyDescent="0.25">
      <c r="B30" s="4" t="s">
        <v>151</v>
      </c>
      <c r="C30" s="188">
        <v>4990</v>
      </c>
      <c r="D30" s="9">
        <v>4849</v>
      </c>
      <c r="E30" s="45">
        <v>7687</v>
      </c>
      <c r="F30" s="4">
        <f>F10*IncState!F18</f>
        <v>9118.0947416802737</v>
      </c>
      <c r="G30" s="4">
        <f>G10*IncState!G18</f>
        <v>10941.713690016328</v>
      </c>
      <c r="H30" s="4">
        <f>H10*IncState!H18</f>
        <v>12856.513585769186</v>
      </c>
      <c r="I30" s="4">
        <f>I10*IncState!I18</f>
        <v>15106.403463278793</v>
      </c>
      <c r="J30" s="4">
        <f>J10*IncState!J18</f>
        <v>17674.492052036185</v>
      </c>
    </row>
    <row r="31" spans="1:12" x14ac:dyDescent="0.25">
      <c r="B31" s="4" t="s">
        <v>76</v>
      </c>
      <c r="C31" s="188">
        <f>1117+1367+19552</f>
        <v>22036</v>
      </c>
      <c r="D31" s="9">
        <f>1623+25488</f>
        <v>27111</v>
      </c>
      <c r="E31" s="45">
        <f>1942+23967</f>
        <v>25909</v>
      </c>
      <c r="F31" s="4">
        <f>F11*IncState!F17</f>
        <v>31363.907635258358</v>
      </c>
      <c r="G31" s="4">
        <f>G11*IncState!G17</f>
        <v>37636.689162310031</v>
      </c>
      <c r="H31" s="4">
        <f>H11*IncState!H17</f>
        <v>44223.109765714289</v>
      </c>
      <c r="I31" s="4">
        <f>I11*IncState!I17</f>
        <v>51962.153974714289</v>
      </c>
      <c r="J31" s="4">
        <f>J11*IncState!J17</f>
        <v>60795.720150415713</v>
      </c>
    </row>
    <row r="32" spans="1:12" s="11" customFormat="1" x14ac:dyDescent="0.25">
      <c r="B32" s="11" t="s">
        <v>77</v>
      </c>
      <c r="C32" s="11">
        <f t="shared" ref="C32:E32" si="11">SUM(C29:C31)</f>
        <v>27026</v>
      </c>
      <c r="D32" s="11">
        <f t="shared" si="11"/>
        <v>31960</v>
      </c>
      <c r="E32" s="24">
        <f t="shared" si="11"/>
        <v>33596</v>
      </c>
      <c r="F32" s="11">
        <f>SUM(F29:F31)</f>
        <v>40482.002376938632</v>
      </c>
      <c r="G32" s="11">
        <f t="shared" ref="G32:J32" si="12">SUM(G29:G31)</f>
        <v>48578.402852326355</v>
      </c>
      <c r="H32" s="11">
        <f t="shared" si="12"/>
        <v>57079.623351483475</v>
      </c>
      <c r="I32" s="11">
        <f t="shared" si="12"/>
        <v>67068.557437993077</v>
      </c>
      <c r="J32" s="11">
        <f t="shared" si="12"/>
        <v>78470.21220245189</v>
      </c>
    </row>
    <row r="33" spans="1:12" x14ac:dyDescent="0.25">
      <c r="B33" s="11"/>
      <c r="E33" s="27"/>
      <c r="I33" s="4"/>
      <c r="J33" s="4"/>
    </row>
    <row r="34" spans="1:12" x14ac:dyDescent="0.25">
      <c r="B34" s="4" t="s">
        <v>78</v>
      </c>
      <c r="C34" s="188">
        <v>9923</v>
      </c>
      <c r="D34" s="9">
        <v>18385</v>
      </c>
      <c r="E34" s="45">
        <v>28826</v>
      </c>
      <c r="F34" s="4">
        <f>Debt!F20</f>
        <v>28826</v>
      </c>
      <c r="G34" s="4">
        <f>Debt!G20</f>
        <v>28826</v>
      </c>
      <c r="H34" s="4">
        <f>Debt!H20</f>
        <v>28826</v>
      </c>
      <c r="I34" s="4">
        <f>Debt!I20</f>
        <v>28826</v>
      </c>
      <c r="J34" s="4">
        <f>Debt!J20</f>
        <v>28826</v>
      </c>
    </row>
    <row r="35" spans="1:12" x14ac:dyDescent="0.25">
      <c r="B35" s="4" t="s">
        <v>79</v>
      </c>
      <c r="C35" s="188">
        <f>15301+7764</f>
        <v>23065</v>
      </c>
      <c r="D35" s="9">
        <f>17226+7514+1370</f>
        <v>26110</v>
      </c>
      <c r="E35" s="45">
        <f>2716+9987+18292</f>
        <v>30995</v>
      </c>
      <c r="F35" s="4">
        <f>F12*IncState!F17</f>
        <v>37520.719331306995</v>
      </c>
      <c r="G35" s="4">
        <f>G12*IncState!G17</f>
        <v>45024.863197568389</v>
      </c>
      <c r="H35" s="4">
        <f>H12*IncState!H17</f>
        <v>52904.214257142856</v>
      </c>
      <c r="I35" s="4">
        <f>I12*IncState!I17</f>
        <v>62162.451752142864</v>
      </c>
      <c r="J35" s="4">
        <f>J12*IncState!J17</f>
        <v>72730.068550007141</v>
      </c>
    </row>
    <row r="36" spans="1:12" x14ac:dyDescent="0.25">
      <c r="B36" s="11" t="s">
        <v>80</v>
      </c>
      <c r="C36" s="11">
        <f t="shared" ref="C36:E36" si="13">SUM(C34:C35)</f>
        <v>32988</v>
      </c>
      <c r="D36" s="11">
        <f t="shared" si="13"/>
        <v>44495</v>
      </c>
      <c r="E36" s="24">
        <f t="shared" si="13"/>
        <v>59821</v>
      </c>
      <c r="F36" s="11">
        <f>SUM(F34:F35)</f>
        <v>66346.719331306987</v>
      </c>
      <c r="G36" s="11">
        <f t="shared" ref="G36:J36" si="14">SUM(G34:G35)</f>
        <v>73850.863197568397</v>
      </c>
      <c r="H36" s="11">
        <f t="shared" si="14"/>
        <v>81730.214257142856</v>
      </c>
      <c r="I36" s="11">
        <f t="shared" si="14"/>
        <v>90988.451752142864</v>
      </c>
      <c r="J36" s="11">
        <f t="shared" si="14"/>
        <v>101556.06855000714</v>
      </c>
      <c r="K36" s="11"/>
      <c r="L36" s="11"/>
    </row>
    <row r="37" spans="1:12" x14ac:dyDescent="0.25">
      <c r="E37" s="27"/>
      <c r="I37" s="4"/>
      <c r="J37" s="4"/>
    </row>
    <row r="38" spans="1:12" x14ac:dyDescent="0.25">
      <c r="B38" s="4" t="s">
        <v>17</v>
      </c>
      <c r="C38" s="190">
        <v>125713</v>
      </c>
      <c r="D38" s="190">
        <v>153168</v>
      </c>
      <c r="E38" s="219">
        <v>182637</v>
      </c>
      <c r="F38" s="4">
        <f>Calcs!F17</f>
        <v>235142.33455131308</v>
      </c>
      <c r="G38" s="4">
        <f>Calcs!G17</f>
        <v>311423.9316648948</v>
      </c>
      <c r="H38" s="4">
        <f>Calcs!H17</f>
        <v>402849.60827335331</v>
      </c>
      <c r="I38" s="4">
        <f>Calcs!I17</f>
        <v>512069.57828829216</v>
      </c>
      <c r="J38" s="4">
        <f>Calcs!J17</f>
        <v>641600.46320577059</v>
      </c>
    </row>
    <row r="39" spans="1:12" s="11" customFormat="1" x14ac:dyDescent="0.25">
      <c r="A39" s="11" t="s">
        <v>124</v>
      </c>
      <c r="B39" s="17" t="s">
        <v>81</v>
      </c>
      <c r="C39" s="18">
        <f>SUM(C38,C36,C32)</f>
        <v>185727</v>
      </c>
      <c r="D39" s="18">
        <f>SUM(D38,D36,D32)</f>
        <v>229623</v>
      </c>
      <c r="E39" s="18">
        <f t="shared" ref="E39:F39" si="15">SUM(E38,E36,E32)</f>
        <v>276054</v>
      </c>
      <c r="F39" s="18">
        <f t="shared" si="15"/>
        <v>341971.05625955871</v>
      </c>
      <c r="G39" s="18">
        <f t="shared" ref="G39:J39" si="16">SUM(G38,G36,G32)</f>
        <v>433853.19771478954</v>
      </c>
      <c r="H39" s="18">
        <f t="shared" si="16"/>
        <v>541659.44588197966</v>
      </c>
      <c r="I39" s="18">
        <f t="shared" si="16"/>
        <v>670126.58747842815</v>
      </c>
      <c r="J39" s="18">
        <f t="shared" si="16"/>
        <v>821626.74395822966</v>
      </c>
    </row>
    <row r="40" spans="1:12" x14ac:dyDescent="0.25">
      <c r="E40" s="27"/>
      <c r="I40" s="4"/>
      <c r="J40" s="4"/>
      <c r="K40" s="6"/>
      <c r="L40" s="6"/>
    </row>
    <row r="41" spans="1:12" x14ac:dyDescent="0.25">
      <c r="A41" s="4" t="s">
        <v>124</v>
      </c>
      <c r="B41" s="11" t="s">
        <v>82</v>
      </c>
      <c r="C41" s="46">
        <f>C39-C27</f>
        <v>0</v>
      </c>
      <c r="D41" s="46">
        <f t="shared" ref="D41:J41" si="17">D39-D27</f>
        <v>0</v>
      </c>
      <c r="E41" s="152">
        <f t="shared" si="17"/>
        <v>0</v>
      </c>
      <c r="F41" s="46">
        <f t="shared" si="17"/>
        <v>0</v>
      </c>
      <c r="G41" s="46">
        <f t="shared" ref="G41:J41" si="18">G39-G27</f>
        <v>0</v>
      </c>
      <c r="H41" s="46">
        <f t="shared" si="18"/>
        <v>0</v>
      </c>
      <c r="I41" s="46">
        <f t="shared" si="18"/>
        <v>0</v>
      </c>
      <c r="J41" s="46">
        <f t="shared" si="18"/>
        <v>0</v>
      </c>
      <c r="K41" s="46"/>
      <c r="L41" s="46"/>
    </row>
    <row r="42" spans="1:12" x14ac:dyDescent="0.25">
      <c r="I42" s="4"/>
      <c r="J42" s="4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</sheetData>
  <conditionalFormatting sqref="F4:L13">
    <cfRule type="expression" dxfId="0" priority="35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4"/>
  <sheetViews>
    <sheetView showGridLines="0" topLeftCell="B1" zoomScaleNormal="100" workbookViewId="0">
      <selection activeCell="F4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Meta Platforms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9" t="s">
        <v>83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8"/>
      <c r="L2" s="208"/>
    </row>
    <row r="3" spans="1:12" x14ac:dyDescent="0.25">
      <c r="B3" s="4" t="s">
        <v>156</v>
      </c>
      <c r="F3" s="4">
        <f>IncState!F36</f>
        <v>68317.916886955092</v>
      </c>
      <c r="G3" s="4">
        <f>IncState!G36</f>
        <v>94199.213727184717</v>
      </c>
      <c r="H3" s="4">
        <f>IncState!H36</f>
        <v>110684.07612944202</v>
      </c>
      <c r="I3" s="4">
        <f>IncState!I36</f>
        <v>130053.78945209442</v>
      </c>
      <c r="J3" s="4">
        <f>IncState!J36</f>
        <v>152162.93365895047</v>
      </c>
    </row>
    <row r="4" spans="1:12" x14ac:dyDescent="0.25">
      <c r="B4" s="4" t="s">
        <v>15</v>
      </c>
      <c r="F4" s="4">
        <f>IncState!F23</f>
        <v>19219.714636743385</v>
      </c>
      <c r="G4" s="4">
        <f>IncState!G23</f>
        <v>26664.030419815535</v>
      </c>
      <c r="H4" s="4">
        <f>IncState!H23</f>
        <v>33741.237369983275</v>
      </c>
      <c r="I4" s="4">
        <f>IncState!I23</f>
        <v>40132.808124104136</v>
      </c>
      <c r="J4" s="4">
        <f>IncState!J23</f>
        <v>45712.92883756938</v>
      </c>
    </row>
    <row r="5" spans="1:12" x14ac:dyDescent="0.25">
      <c r="B5" s="4" t="s">
        <v>225</v>
      </c>
      <c r="F5" s="4">
        <f>IncState!F24</f>
        <v>0</v>
      </c>
      <c r="G5" s="4">
        <f>IncState!G24</f>
        <v>0</v>
      </c>
      <c r="H5" s="4">
        <f>IncState!H24</f>
        <v>0</v>
      </c>
      <c r="I5" s="4">
        <f>IncState!I24</f>
        <v>0</v>
      </c>
      <c r="J5" s="4">
        <f>IncState!J24</f>
        <v>0</v>
      </c>
    </row>
    <row r="6" spans="1:12" x14ac:dyDescent="0.25">
      <c r="B6" s="4" t="s">
        <v>89</v>
      </c>
      <c r="F6" s="4">
        <f>Calcs!F25</f>
        <v>-5456.6530547331204</v>
      </c>
      <c r="G6" s="4">
        <f>Calcs!G25</f>
        <v>-6096.8336109466181</v>
      </c>
      <c r="H6" s="4">
        <f>Calcs!H25</f>
        <v>-6401.6752914939279</v>
      </c>
      <c r="I6" s="4">
        <f>Calcs!I25</f>
        <v>-7521.9684675054305</v>
      </c>
      <c r="J6" s="4">
        <f>Calcs!J25</f>
        <v>-8585.789722195419</v>
      </c>
    </row>
    <row r="7" spans="1:12" x14ac:dyDescent="0.25">
      <c r="B7" s="4" t="s">
        <v>226</v>
      </c>
      <c r="F7" s="4">
        <f>BalSheet!E24-BalSheet!F24</f>
        <v>-2740.6126322188447</v>
      </c>
      <c r="G7" s="4">
        <f>BalSheet!F24-BalSheet!G24</f>
        <v>-3151.5225264437704</v>
      </c>
      <c r="H7" s="4">
        <f>BalSheet!G24-BalSheet!H24</f>
        <v>-3309.0986527659552</v>
      </c>
      <c r="I7" s="4">
        <f>BalSheet!H24-BalSheet!I24</f>
        <v>-3888.1909170000035</v>
      </c>
      <c r="J7" s="4">
        <f>BalSheet!I24-BalSheet!J24</f>
        <v>-4438.0922038328536</v>
      </c>
    </row>
    <row r="8" spans="1:12" x14ac:dyDescent="0.25">
      <c r="B8" s="4" t="s">
        <v>227</v>
      </c>
      <c r="F8" s="4">
        <f>BalSheet!F35-BalSheet!E35</f>
        <v>6525.7193313069947</v>
      </c>
      <c r="G8" s="4">
        <f>BalSheet!G35-BalSheet!F35</f>
        <v>7504.1438662613946</v>
      </c>
      <c r="H8" s="4">
        <f>BalSheet!H35-BalSheet!G35</f>
        <v>7879.3510595744665</v>
      </c>
      <c r="I8" s="4">
        <f>BalSheet!I35-BalSheet!H35</f>
        <v>9258.2374950000085</v>
      </c>
      <c r="J8" s="4">
        <f>BalSheet!J35-BalSheet!I35</f>
        <v>10567.616797864277</v>
      </c>
    </row>
    <row r="9" spans="1:12" s="11" customFormat="1" x14ac:dyDescent="0.25">
      <c r="B9" s="11" t="s">
        <v>228</v>
      </c>
      <c r="F9" s="11">
        <f>SUM(F3:F8)</f>
        <v>85866.085168053512</v>
      </c>
      <c r="G9" s="11">
        <f t="shared" ref="G9:J9" si="1">SUM(G3:G8)</f>
        <v>119119.03187587125</v>
      </c>
      <c r="H9" s="11">
        <f t="shared" si="1"/>
        <v>142593.89061473985</v>
      </c>
      <c r="I9" s="11">
        <f t="shared" si="1"/>
        <v>168034.67568669317</v>
      </c>
      <c r="J9" s="11">
        <f t="shared" si="1"/>
        <v>195419.59736835584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-72000</v>
      </c>
      <c r="G11" s="4">
        <f>-Calcs!G7</f>
        <v>-76841.509894030387</v>
      </c>
      <c r="H11" s="4">
        <f>-Calcs!H7</f>
        <v>-79057.548250971435</v>
      </c>
      <c r="I11" s="4">
        <f>-Calcs!I7</f>
        <v>-79695.928792337145</v>
      </c>
      <c r="J11" s="4">
        <f>-Calcs!J7</f>
        <v>-77804.108916045938</v>
      </c>
    </row>
    <row r="12" spans="1:12" s="11" customFormat="1" x14ac:dyDescent="0.25">
      <c r="B12" s="11" t="s">
        <v>229</v>
      </c>
      <c r="F12" s="11">
        <f>F11</f>
        <v>-72000</v>
      </c>
      <c r="G12" s="11">
        <f t="shared" ref="G12:J12" si="2">G11</f>
        <v>-76841.509894030387</v>
      </c>
      <c r="H12" s="11">
        <f t="shared" si="2"/>
        <v>-79057.548250971435</v>
      </c>
      <c r="I12" s="11">
        <f t="shared" si="2"/>
        <v>-79695.928792337145</v>
      </c>
      <c r="J12" s="11">
        <f t="shared" si="2"/>
        <v>-77804.108916045938</v>
      </c>
    </row>
    <row r="13" spans="1:12" x14ac:dyDescent="0.25">
      <c r="I13" s="4"/>
      <c r="J13" s="4"/>
    </row>
    <row r="14" spans="1:12" x14ac:dyDescent="0.25">
      <c r="B14" s="4" t="s">
        <v>230</v>
      </c>
      <c r="F14" s="4">
        <f>Calcs!F15</f>
        <v>-5556.5823356420178</v>
      </c>
      <c r="G14" s="4">
        <f>Calcs!G15</f>
        <v>-7661.6166136029651</v>
      </c>
      <c r="H14" s="4">
        <f>Calcs!H15</f>
        <v>-9002.3995209834829</v>
      </c>
      <c r="I14" s="4">
        <f>Calcs!I15</f>
        <v>-10577.819437155596</v>
      </c>
      <c r="J14" s="4">
        <f>Calcs!J15</f>
        <v>-12376.048741472046</v>
      </c>
    </row>
    <row r="15" spans="1:12" x14ac:dyDescent="0.25">
      <c r="B15" s="4" t="s">
        <v>143</v>
      </c>
      <c r="F15" s="4">
        <f>Calcs!F16</f>
        <v>-10256</v>
      </c>
      <c r="G15" s="4">
        <f>Calcs!G16</f>
        <v>-10256</v>
      </c>
      <c r="H15" s="4">
        <f>Calcs!H16</f>
        <v>-10256</v>
      </c>
      <c r="I15" s="4">
        <f>Calcs!I16</f>
        <v>-10256</v>
      </c>
      <c r="J15" s="4">
        <f>Calcs!J16</f>
        <v>-10256</v>
      </c>
    </row>
    <row r="16" spans="1:12" x14ac:dyDescent="0.25">
      <c r="B16" s="4" t="s">
        <v>231</v>
      </c>
      <c r="F16" s="4">
        <f>SUM(Debt!F8:F9)</f>
        <v>0</v>
      </c>
      <c r="G16" s="4">
        <f>SUM(Debt!G8:G9)</f>
        <v>0</v>
      </c>
      <c r="H16" s="4">
        <f>SUM(Debt!H8:H9)</f>
        <v>0</v>
      </c>
      <c r="I16" s="4">
        <f>SUM(Debt!I8:I9)</f>
        <v>0</v>
      </c>
      <c r="J16" s="4">
        <f>SUM(Debt!J8:J9)</f>
        <v>0</v>
      </c>
    </row>
    <row r="17" spans="2:10" s="11" customFormat="1" x14ac:dyDescent="0.25">
      <c r="B17" s="11" t="s">
        <v>232</v>
      </c>
      <c r="F17" s="11">
        <f>SUM(F14:F16)</f>
        <v>-15812.582335642019</v>
      </c>
      <c r="G17" s="11">
        <f t="shared" ref="G17:J17" si="3">SUM(G14:G16)</f>
        <v>-17917.616613602964</v>
      </c>
      <c r="H17" s="11">
        <f t="shared" si="3"/>
        <v>-19258.399520983483</v>
      </c>
      <c r="I17" s="11">
        <f t="shared" si="3"/>
        <v>-20833.819437155595</v>
      </c>
      <c r="J17" s="11">
        <f t="shared" si="3"/>
        <v>-22632.048741472048</v>
      </c>
    </row>
    <row r="18" spans="2:10" x14ac:dyDescent="0.25">
      <c r="I18" s="4"/>
      <c r="J18" s="4"/>
    </row>
    <row r="19" spans="2:10" x14ac:dyDescent="0.25">
      <c r="B19" s="4" t="s">
        <v>233</v>
      </c>
      <c r="F19" s="4">
        <f>SUM(F17,F12,F9)</f>
        <v>-1946.4971675885026</v>
      </c>
      <c r="G19" s="4">
        <f t="shared" ref="G19:J19" si="4">SUM(G17,G12,G9)</f>
        <v>24359.905368237902</v>
      </c>
      <c r="H19" s="4">
        <f t="shared" si="4"/>
        <v>44277.942842784934</v>
      </c>
      <c r="I19" s="4">
        <f t="shared" si="4"/>
        <v>67504.927457200421</v>
      </c>
      <c r="J19" s="4">
        <f t="shared" si="4"/>
        <v>94983.439710837847</v>
      </c>
    </row>
    <row r="20" spans="2:10" x14ac:dyDescent="0.25">
      <c r="I20" s="4"/>
      <c r="J20" s="4"/>
    </row>
    <row r="21" spans="2:10" x14ac:dyDescent="0.25">
      <c r="B21" s="4" t="s">
        <v>234</v>
      </c>
      <c r="F21" s="4">
        <f>BalSheet!E16</f>
        <v>41421.485000000001</v>
      </c>
      <c r="G21" s="4">
        <f>BalSheet!F16</f>
        <v>39474.987832411498</v>
      </c>
      <c r="H21" s="4">
        <f>BalSheet!G16</f>
        <v>63834.8932006494</v>
      </c>
      <c r="I21" s="4">
        <f>BalSheet!H16</f>
        <v>108112.83604343433</v>
      </c>
      <c r="J21" s="4">
        <f>BalSheet!I16</f>
        <v>175617.76350063476</v>
      </c>
    </row>
    <row r="22" spans="2:10" x14ac:dyDescent="0.25">
      <c r="B22" s="4" t="str">
        <f>B19</f>
        <v>Net changes in Cash</v>
      </c>
      <c r="F22" s="4">
        <f>F19</f>
        <v>-1946.4971675885026</v>
      </c>
      <c r="G22" s="4">
        <f t="shared" ref="G22:J22" si="5">G19</f>
        <v>24359.905368237902</v>
      </c>
      <c r="H22" s="4">
        <f t="shared" si="5"/>
        <v>44277.942842784934</v>
      </c>
      <c r="I22" s="4">
        <f t="shared" si="5"/>
        <v>67504.927457200421</v>
      </c>
      <c r="J22" s="4">
        <f t="shared" si="5"/>
        <v>94983.439710837847</v>
      </c>
    </row>
    <row r="23" spans="2:10" x14ac:dyDescent="0.25">
      <c r="B23" s="4" t="s">
        <v>235</v>
      </c>
      <c r="F23" s="4">
        <f>SUM(F21:F22)</f>
        <v>39474.987832411498</v>
      </c>
      <c r="G23" s="4">
        <f t="shared" ref="G23:J23" si="6">SUM(G21:G22)</f>
        <v>63834.8932006494</v>
      </c>
      <c r="H23" s="4">
        <f t="shared" si="6"/>
        <v>108112.83604343433</v>
      </c>
      <c r="I23" s="4">
        <f t="shared" si="6"/>
        <v>175617.76350063476</v>
      </c>
      <c r="J23" s="4">
        <f t="shared" si="6"/>
        <v>270601.2032114726</v>
      </c>
    </row>
    <row r="24" spans="2:10" x14ac:dyDescent="0.25">
      <c r="B24" s="309" t="s">
        <v>236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Meta Platforms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9" t="s">
        <v>86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8"/>
      <c r="L2" s="208"/>
    </row>
    <row r="3" spans="1:12" x14ac:dyDescent="0.25">
      <c r="A3" s="11" t="s">
        <v>124</v>
      </c>
      <c r="B3" s="4" t="s">
        <v>87</v>
      </c>
      <c r="D3" s="238"/>
      <c r="E3" s="23"/>
      <c r="F3" s="239">
        <f>IncState!F17</f>
        <v>199135.21054103345</v>
      </c>
      <c r="G3" s="239">
        <f>IncState!G17</f>
        <v>238962.25264924014</v>
      </c>
      <c r="H3" s="239">
        <f>IncState!H17</f>
        <v>280780.64686285716</v>
      </c>
      <c r="I3" s="239">
        <f>IncState!I17</f>
        <v>329917.26006385719</v>
      </c>
      <c r="J3" s="239">
        <f>IncState!J17</f>
        <v>386003.19427471288</v>
      </c>
      <c r="K3" s="216"/>
      <c r="L3" s="216"/>
    </row>
    <row r="4" spans="1:12" x14ac:dyDescent="0.25">
      <c r="B4" s="4" t="s">
        <v>55</v>
      </c>
      <c r="E4" s="27"/>
      <c r="F4" s="4">
        <f>IncState!F21</f>
        <v>78980.250736364265</v>
      </c>
      <c r="G4" s="4">
        <f>IncState!G21</f>
        <v>108900.82511813262</v>
      </c>
      <c r="H4" s="4">
        <f>IncState!H21</f>
        <v>127958.46951380582</v>
      </c>
      <c r="I4" s="4">
        <f>IncState!I21</f>
        <v>150351.20167872187</v>
      </c>
      <c r="J4" s="4">
        <f>IncState!J21</f>
        <v>175910.90596410458</v>
      </c>
    </row>
    <row r="5" spans="1:12" x14ac:dyDescent="0.25">
      <c r="B5" s="30" t="s">
        <v>92</v>
      </c>
      <c r="C5" s="30"/>
      <c r="D5" s="30"/>
      <c r="E5" s="39"/>
      <c r="F5" s="43">
        <f>Assumptions!F17</f>
        <v>0.13500000000000001</v>
      </c>
      <c r="G5" s="43">
        <f>Assumptions!G17</f>
        <v>0.13500000000000001</v>
      </c>
      <c r="H5" s="43">
        <f>Assumptions!H17</f>
        <v>0.13500000000000001</v>
      </c>
      <c r="I5" s="43">
        <f>Assumptions!I17</f>
        <v>0.13500000000000001</v>
      </c>
      <c r="J5" s="43">
        <f>Assumptions!J17</f>
        <v>0.13500000000000001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2"/>
      <c r="L6" s="172"/>
    </row>
    <row r="7" spans="1:12" x14ac:dyDescent="0.25">
      <c r="A7" s="24" t="s">
        <v>124</v>
      </c>
      <c r="B7" s="21" t="s">
        <v>88</v>
      </c>
      <c r="C7" s="119"/>
      <c r="D7" s="119"/>
      <c r="E7" s="119"/>
      <c r="F7" s="134">
        <f t="shared" ref="F7:J7" si="1">F4*(1-F5)</f>
        <v>68317.916886955092</v>
      </c>
      <c r="G7" s="134">
        <f t="shared" ref="G7:J7" si="2">G4*(1-G5)</f>
        <v>94199.213727184717</v>
      </c>
      <c r="H7" s="134">
        <f t="shared" si="2"/>
        <v>110684.07612944202</v>
      </c>
      <c r="I7" s="134">
        <f t="shared" si="2"/>
        <v>130053.78945209442</v>
      </c>
      <c r="J7" s="134">
        <f t="shared" si="2"/>
        <v>152162.93365895047</v>
      </c>
      <c r="K7" s="216"/>
      <c r="L7" s="216"/>
    </row>
    <row r="8" spans="1:12" x14ac:dyDescent="0.25">
      <c r="B8" s="4" t="s">
        <v>15</v>
      </c>
      <c r="C8" s="119"/>
      <c r="D8" s="119"/>
      <c r="E8" s="120"/>
      <c r="F8" s="135">
        <f>CashFlow!F4</f>
        <v>19219.714636743385</v>
      </c>
      <c r="G8" s="135">
        <f>CashFlow!G4</f>
        <v>26664.030419815535</v>
      </c>
      <c r="H8" s="135">
        <f>CashFlow!H4</f>
        <v>33741.237369983275</v>
      </c>
      <c r="I8" s="135">
        <f>CashFlow!I4</f>
        <v>40132.808124104136</v>
      </c>
      <c r="J8" s="135">
        <f>CashFlow!J4</f>
        <v>45712.92883756938</v>
      </c>
      <c r="K8" s="215"/>
      <c r="L8" s="215"/>
    </row>
    <row r="9" spans="1:12" x14ac:dyDescent="0.25">
      <c r="B9" s="4" t="s">
        <v>54</v>
      </c>
      <c r="C9" s="5"/>
      <c r="D9" s="5"/>
      <c r="E9" s="23"/>
      <c r="F9" s="311">
        <f>CashFlow!F5</f>
        <v>0</v>
      </c>
      <c r="G9" s="311">
        <f>CashFlow!G5</f>
        <v>0</v>
      </c>
      <c r="H9" s="311">
        <f>CashFlow!H5</f>
        <v>0</v>
      </c>
      <c r="I9" s="311">
        <f>CashFlow!I5</f>
        <v>0</v>
      </c>
      <c r="J9" s="311">
        <f>CashFlow!J5</f>
        <v>0</v>
      </c>
      <c r="K9" s="215"/>
      <c r="L9" s="215"/>
    </row>
    <row r="10" spans="1:12" x14ac:dyDescent="0.25">
      <c r="B10" s="4" t="s">
        <v>89</v>
      </c>
      <c r="C10" s="5"/>
      <c r="D10" s="5"/>
      <c r="E10" s="23"/>
      <c r="F10" s="311">
        <f>CashFlow!F6</f>
        <v>-5456.6530547331204</v>
      </c>
      <c r="G10" s="311">
        <f>CashFlow!G6</f>
        <v>-6096.8336109466181</v>
      </c>
      <c r="H10" s="311">
        <f>CashFlow!H6</f>
        <v>-6401.6752914939279</v>
      </c>
      <c r="I10" s="311">
        <f>CashFlow!I6</f>
        <v>-7521.9684675054305</v>
      </c>
      <c r="J10" s="311">
        <f>CashFlow!J6</f>
        <v>-8585.789722195419</v>
      </c>
      <c r="K10" s="215"/>
      <c r="L10" s="215"/>
    </row>
    <row r="11" spans="1:12" x14ac:dyDescent="0.25">
      <c r="B11" s="4" t="s">
        <v>165</v>
      </c>
      <c r="C11" s="5"/>
      <c r="D11" s="5"/>
      <c r="E11" s="23"/>
      <c r="F11" s="311">
        <f>CashFlow!F7</f>
        <v>-2740.6126322188447</v>
      </c>
      <c r="G11" s="311">
        <f>CashFlow!G7</f>
        <v>-3151.5225264437704</v>
      </c>
      <c r="H11" s="311">
        <f>CashFlow!H7</f>
        <v>-3309.0986527659552</v>
      </c>
      <c r="I11" s="311">
        <f>CashFlow!I7</f>
        <v>-3888.1909170000035</v>
      </c>
      <c r="J11" s="311">
        <f>CashFlow!J7</f>
        <v>-4438.0922038328536</v>
      </c>
      <c r="K11" s="215"/>
      <c r="L11" s="215"/>
    </row>
    <row r="12" spans="1:12" x14ac:dyDescent="0.25">
      <c r="B12" s="4" t="s">
        <v>166</v>
      </c>
      <c r="E12" s="27"/>
      <c r="F12" s="311">
        <f>CashFlow!F8</f>
        <v>6525.7193313069947</v>
      </c>
      <c r="G12" s="311">
        <f>CashFlow!G8</f>
        <v>7504.1438662613946</v>
      </c>
      <c r="H12" s="311">
        <f>CashFlow!H8</f>
        <v>7879.3510595744665</v>
      </c>
      <c r="I12" s="311">
        <f>CashFlow!I8</f>
        <v>9258.2374950000085</v>
      </c>
      <c r="J12" s="311">
        <f>CashFlow!J8</f>
        <v>10567.616797864277</v>
      </c>
      <c r="K12" s="215"/>
      <c r="L12" s="215"/>
    </row>
    <row r="13" spans="1:12" x14ac:dyDescent="0.25">
      <c r="B13" s="4" t="s">
        <v>90</v>
      </c>
      <c r="E13" s="27"/>
      <c r="F13" s="132">
        <f>CashFlow!F11</f>
        <v>-72000</v>
      </c>
      <c r="G13" s="132">
        <f>CashFlow!G11</f>
        <v>-76841.509894030387</v>
      </c>
      <c r="H13" s="132">
        <f>CashFlow!H11</f>
        <v>-79057.548250971435</v>
      </c>
      <c r="I13" s="132">
        <f>CashFlow!I11</f>
        <v>-79695.928792337145</v>
      </c>
      <c r="J13" s="132">
        <f>CashFlow!J11</f>
        <v>-77804.108916045938</v>
      </c>
      <c r="K13" s="132"/>
      <c r="L13" s="132"/>
    </row>
    <row r="14" spans="1:12" x14ac:dyDescent="0.25">
      <c r="E14" s="63"/>
      <c r="F14" s="136"/>
      <c r="G14" s="136"/>
      <c r="H14" s="136"/>
      <c r="I14" s="136"/>
      <c r="J14" s="136"/>
      <c r="K14" s="136"/>
      <c r="L14" s="136"/>
    </row>
    <row r="15" spans="1:12" s="11" customFormat="1" x14ac:dyDescent="0.25">
      <c r="A15" s="24" t="s">
        <v>124</v>
      </c>
      <c r="B15" s="34" t="s">
        <v>91</v>
      </c>
      <c r="C15" s="34"/>
      <c r="D15" s="34"/>
      <c r="E15" s="34"/>
      <c r="F15" s="34">
        <f>SUM(F7:F13)</f>
        <v>13866.085168053512</v>
      </c>
      <c r="G15" s="34">
        <f t="shared" ref="G15:J15" si="3">SUM(G7:G13)</f>
        <v>42277.521981840866</v>
      </c>
      <c r="H15" s="34">
        <f t="shared" si="3"/>
        <v>63536.342363768417</v>
      </c>
      <c r="I15" s="34">
        <f t="shared" si="3"/>
        <v>88338.746894356023</v>
      </c>
      <c r="J15" s="34">
        <f t="shared" si="3"/>
        <v>117615.4884523099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5" t="str">
        <f>CoName</f>
        <v>Meta Platforms Inc.</v>
      </c>
    </row>
    <row r="2" spans="1:13" x14ac:dyDescent="0.25">
      <c r="G2" s="146"/>
    </row>
    <row r="3" spans="1:13" x14ac:dyDescent="0.25">
      <c r="A3" s="27" t="s">
        <v>124</v>
      </c>
      <c r="B3" s="162" t="s">
        <v>100</v>
      </c>
      <c r="C3" s="163"/>
      <c r="D3" s="163"/>
      <c r="E3" s="164"/>
      <c r="F3" s="11"/>
      <c r="G3" s="77" t="s">
        <v>108</v>
      </c>
      <c r="H3" s="77" t="s">
        <v>103</v>
      </c>
      <c r="I3" s="77" t="s">
        <v>104</v>
      </c>
      <c r="J3" s="77" t="s">
        <v>105</v>
      </c>
      <c r="K3" s="77" t="s">
        <v>106</v>
      </c>
      <c r="L3" s="77" t="s">
        <v>111</v>
      </c>
      <c r="M3" s="77" t="s">
        <v>107</v>
      </c>
    </row>
    <row r="4" spans="1:13" x14ac:dyDescent="0.25">
      <c r="A4" s="27"/>
      <c r="B4" s="258" t="s">
        <v>167</v>
      </c>
      <c r="C4" s="67"/>
      <c r="D4" s="72"/>
      <c r="E4" s="259">
        <f>Assumptions!F17</f>
        <v>0.13500000000000001</v>
      </c>
      <c r="G4" s="138" t="s">
        <v>237</v>
      </c>
      <c r="H4" s="139">
        <v>1.08</v>
      </c>
      <c r="I4" s="80">
        <v>21607</v>
      </c>
      <c r="J4" s="81">
        <v>3600000</v>
      </c>
      <c r="K4" s="141">
        <f>I4/J4</f>
        <v>6.0019444444444443E-3</v>
      </c>
      <c r="L4" s="153">
        <f>E4</f>
        <v>0.13500000000000001</v>
      </c>
      <c r="M4" s="142">
        <f>H4/((1+K4*(1-L4)))</f>
        <v>1.0744219429978235</v>
      </c>
    </row>
    <row r="5" spans="1:13" x14ac:dyDescent="0.25">
      <c r="A5" s="27"/>
      <c r="B5" s="67" t="s">
        <v>93</v>
      </c>
      <c r="C5" s="67"/>
      <c r="D5" s="72"/>
      <c r="E5" s="137">
        <v>4.1399999999999999E-2</v>
      </c>
      <c r="G5" s="138" t="s">
        <v>239</v>
      </c>
      <c r="H5" s="139">
        <v>1.07</v>
      </c>
      <c r="I5" s="80">
        <f>7832+35376</f>
        <v>43208</v>
      </c>
      <c r="J5" s="81">
        <v>3580000</v>
      </c>
      <c r="K5" s="141">
        <f t="shared" ref="K5:K7" si="0">I5/J5</f>
        <v>1.2069273743016759E-2</v>
      </c>
      <c r="L5" s="153">
        <f>L4</f>
        <v>0.13500000000000001</v>
      </c>
      <c r="M5" s="142">
        <f t="shared" ref="M5:M7" si="1">H5/((1+K5*(1-L5)))</f>
        <v>1.0589447001528942</v>
      </c>
    </row>
    <row r="6" spans="1:13" x14ac:dyDescent="0.25">
      <c r="A6" s="27"/>
      <c r="B6" s="67" t="s">
        <v>94</v>
      </c>
      <c r="C6" s="67"/>
      <c r="D6" s="72"/>
      <c r="E6" s="137">
        <v>0.05</v>
      </c>
      <c r="G6" s="138" t="s">
        <v>240</v>
      </c>
      <c r="H6" s="140">
        <v>1.37</v>
      </c>
      <c r="I6" s="82">
        <v>50742</v>
      </c>
      <c r="J6" s="81">
        <v>2460000</v>
      </c>
      <c r="K6" s="141">
        <f t="shared" si="0"/>
        <v>2.0626829268292683E-2</v>
      </c>
      <c r="L6" s="153">
        <f t="shared" ref="L6:L7" si="2">L5</f>
        <v>0.13500000000000001</v>
      </c>
      <c r="M6" s="142">
        <f t="shared" si="1"/>
        <v>1.3459846626042149</v>
      </c>
    </row>
    <row r="7" spans="1:13" x14ac:dyDescent="0.25">
      <c r="A7" s="27"/>
      <c r="B7" s="67" t="s">
        <v>95</v>
      </c>
      <c r="C7" s="67"/>
      <c r="D7" s="72"/>
      <c r="E7" s="221">
        <f>M11*0.66</f>
        <v>0.69886806199250751</v>
      </c>
      <c r="G7" s="138" t="s">
        <v>238</v>
      </c>
      <c r="H7" s="140">
        <v>0.85</v>
      </c>
      <c r="I7" s="82">
        <f>47+3490</f>
        <v>3537</v>
      </c>
      <c r="J7" s="83">
        <v>13580</v>
      </c>
      <c r="K7" s="141">
        <f t="shared" si="0"/>
        <v>0.26045655375552285</v>
      </c>
      <c r="L7" s="153">
        <f t="shared" si="2"/>
        <v>0.13500000000000001</v>
      </c>
      <c r="M7" s="142">
        <f t="shared" si="1"/>
        <v>0.69371054006714739</v>
      </c>
    </row>
    <row r="8" spans="1:13" x14ac:dyDescent="0.25">
      <c r="A8" s="27"/>
      <c r="B8" s="67" t="s">
        <v>96</v>
      </c>
      <c r="C8" s="67"/>
      <c r="D8" s="72"/>
      <c r="E8" s="137">
        <f>E5+E6*E7</f>
        <v>7.6343403099625368E-2</v>
      </c>
      <c r="L8" s="66"/>
    </row>
    <row r="9" spans="1:13" x14ac:dyDescent="0.25">
      <c r="A9" s="27"/>
      <c r="B9" s="68" t="s">
        <v>97</v>
      </c>
      <c r="C9" s="68"/>
      <c r="D9" s="73"/>
      <c r="E9" s="143">
        <f>1-E10</f>
        <v>0.98268493440325611</v>
      </c>
      <c r="G9" s="4" t="s">
        <v>109</v>
      </c>
      <c r="L9" s="27"/>
      <c r="M9" s="220">
        <f>AVERAGE(M4:M7)</f>
        <v>1.0432654614555201</v>
      </c>
    </row>
    <row r="10" spans="1:13" x14ac:dyDescent="0.25">
      <c r="A10" s="27"/>
      <c r="B10" s="69" t="s">
        <v>98</v>
      </c>
      <c r="C10" s="69"/>
      <c r="D10" s="74"/>
      <c r="E10" s="144">
        <f>MAIN!F8/MAIN!F6</f>
        <v>1.731506559674386E-2</v>
      </c>
      <c r="M10" s="66"/>
    </row>
    <row r="11" spans="1:13" x14ac:dyDescent="0.25">
      <c r="A11" s="27"/>
      <c r="B11" s="161" t="s">
        <v>182</v>
      </c>
      <c r="C11" s="70"/>
      <c r="D11" s="75"/>
      <c r="E11" s="145">
        <f>Assumptions!F25</f>
        <v>4.8500000000000001E-2</v>
      </c>
      <c r="G11" s="4" t="s">
        <v>110</v>
      </c>
      <c r="L11" s="27"/>
      <c r="M11" s="220">
        <f>M9*(1+E10*(1-E4))</f>
        <v>1.0588910030189507</v>
      </c>
    </row>
    <row r="12" spans="1:13" x14ac:dyDescent="0.25">
      <c r="A12" s="27"/>
      <c r="B12" s="71" t="s">
        <v>99</v>
      </c>
      <c r="C12" s="71"/>
      <c r="D12" s="76"/>
      <c r="E12" s="145">
        <f>E11*(1-E4)</f>
        <v>4.1952500000000004E-2</v>
      </c>
      <c r="M12" s="66"/>
    </row>
    <row r="13" spans="1:13" s="11" customFormat="1" x14ac:dyDescent="0.25">
      <c r="A13" s="24" t="s">
        <v>124</v>
      </c>
      <c r="B13" s="162" t="s">
        <v>100</v>
      </c>
      <c r="C13" s="163"/>
      <c r="D13" s="164"/>
      <c r="E13" s="158">
        <f>WACC!E8*WACC!E9+WACC!E12*WACC!E10</f>
        <v>7.5747922356524083E-2</v>
      </c>
      <c r="F13" s="4"/>
    </row>
    <row r="14" spans="1:13" s="11" customFormat="1" x14ac:dyDescent="0.25">
      <c r="A14" s="24"/>
      <c r="B14" s="77" t="s">
        <v>101</v>
      </c>
      <c r="C14" s="77"/>
      <c r="D14" s="114"/>
      <c r="E14" s="147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H31" sqref="H31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13" width="11.7109375" style="4" customWidth="1"/>
    <col min="14" max="16384" width="9" style="4"/>
  </cols>
  <sheetData>
    <row r="1" spans="1:14" ht="19.5" x14ac:dyDescent="0.3">
      <c r="A1" s="255" t="str">
        <f>CoName</f>
        <v>Meta Platforms Inc.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112</v>
      </c>
      <c r="B2" s="19"/>
      <c r="C2" s="42"/>
      <c r="D2" s="77">
        <v>1</v>
      </c>
      <c r="E2" s="77">
        <f>D2+1</f>
        <v>2</v>
      </c>
      <c r="F2" s="77">
        <f t="shared" ref="F2:H2" si="0">E2+1</f>
        <v>3</v>
      </c>
      <c r="G2" s="77">
        <f t="shared" si="0"/>
        <v>4</v>
      </c>
      <c r="H2" s="77">
        <f t="shared" si="0"/>
        <v>5</v>
      </c>
      <c r="I2" s="159"/>
      <c r="J2" s="159"/>
      <c r="K2" s="159"/>
      <c r="L2" s="159"/>
      <c r="M2" s="159"/>
      <c r="N2" s="159"/>
    </row>
    <row r="3" spans="1:14" x14ac:dyDescent="0.25">
      <c r="B3" s="4" t="s">
        <v>187</v>
      </c>
      <c r="D3" s="8">
        <f>1/(1+$K$3)^D2</f>
        <v>0.92958580650512312</v>
      </c>
      <c r="E3" s="8">
        <f t="shared" ref="E3:H3" si="1">1/(1+$K$3)^E2</f>
        <v>0.8641297716557802</v>
      </c>
      <c r="F3" s="8">
        <f t="shared" si="1"/>
        <v>0.80328277070972631</v>
      </c>
      <c r="G3" s="8">
        <f t="shared" si="1"/>
        <v>0.74672026226187083</v>
      </c>
      <c r="H3" s="8">
        <f t="shared" si="1"/>
        <v>0.69414055722841828</v>
      </c>
      <c r="I3" s="162" t="s">
        <v>100</v>
      </c>
      <c r="J3" s="163"/>
      <c r="K3" s="158">
        <f>WACC!E13</f>
        <v>7.5747922356524083E-2</v>
      </c>
    </row>
    <row r="4" spans="1:14" x14ac:dyDescent="0.25">
      <c r="B4" s="4" t="s">
        <v>188</v>
      </c>
      <c r="D4" s="4">
        <f>D3*'Free Cash Flow'!F15</f>
        <v>12889.715964013751</v>
      </c>
      <c r="E4" s="4">
        <f>E3*'Free Cash Flow'!G15</f>
        <v>36533.265416340379</v>
      </c>
      <c r="F4" s="4">
        <f>F3*'Free Cash Flow'!H15</f>
        <v>51037.649134729654</v>
      </c>
      <c r="G4" s="4">
        <f>G3*'Free Cash Flow'!I15</f>
        <v>65964.33224883856</v>
      </c>
      <c r="H4" s="4">
        <f>H3*'Free Cash Flow'!J15</f>
        <v>81641.680692978989</v>
      </c>
      <c r="I4" s="77" t="s">
        <v>101</v>
      </c>
      <c r="J4" s="77"/>
      <c r="K4" s="158">
        <f>WACC!E14</f>
        <v>2.5000000000000001E-2</v>
      </c>
    </row>
    <row r="5" spans="1:14" x14ac:dyDescent="0.25">
      <c r="G5" s="146"/>
      <c r="H5" s="4">
        <f>(H4*(1+K4))/(K3-K4)</f>
        <v>1648988.1521138828</v>
      </c>
    </row>
    <row r="6" spans="1:14" x14ac:dyDescent="0.25">
      <c r="A6" s="77" t="s">
        <v>113</v>
      </c>
      <c r="B6" s="19"/>
      <c r="C6" s="42"/>
      <c r="D6" s="86"/>
      <c r="E6" s="77" t="s">
        <v>172</v>
      </c>
      <c r="F6" s="19"/>
      <c r="G6" s="42"/>
      <c r="H6" s="86" t="s">
        <v>168</v>
      </c>
    </row>
    <row r="7" spans="1:14" x14ac:dyDescent="0.25">
      <c r="B7" s="4" t="s">
        <v>114</v>
      </c>
      <c r="C7" s="4">
        <f>SUM(D4:H4)</f>
        <v>248066.64345690134</v>
      </c>
      <c r="E7" s="4" t="s">
        <v>114</v>
      </c>
      <c r="G7" s="4">
        <f>C7</f>
        <v>248066.64345690134</v>
      </c>
    </row>
    <row r="8" spans="1:14" x14ac:dyDescent="0.25">
      <c r="B8" s="4" t="s">
        <v>115</v>
      </c>
      <c r="C8" s="4">
        <f>H5*H3</f>
        <v>1144629.5547713903</v>
      </c>
      <c r="E8" s="4" t="s">
        <v>173</v>
      </c>
      <c r="G8" s="4">
        <f>G10*H3*IncState!J25</f>
        <v>2307571.3827649928</v>
      </c>
    </row>
    <row r="9" spans="1:14" x14ac:dyDescent="0.25">
      <c r="B9" s="4" t="s">
        <v>116</v>
      </c>
      <c r="C9" s="4">
        <f>SUM(C7:C8)</f>
        <v>1392696.1982282917</v>
      </c>
      <c r="E9" s="4" t="s">
        <v>116</v>
      </c>
      <c r="G9" s="4">
        <f>SUM(G7:G8)</f>
        <v>2555638.0262218942</v>
      </c>
    </row>
    <row r="10" spans="1:14" x14ac:dyDescent="0.25">
      <c r="C10" s="85"/>
      <c r="E10" s="4" t="s">
        <v>117</v>
      </c>
      <c r="G10" s="85">
        <v>15</v>
      </c>
    </row>
    <row r="11" spans="1:14" x14ac:dyDescent="0.25">
      <c r="I11" s="159"/>
    </row>
    <row r="12" spans="1:14" x14ac:dyDescent="0.25">
      <c r="B12" s="27" t="s">
        <v>118</v>
      </c>
      <c r="C12" s="37">
        <f>MAIN!F7</f>
        <v>77815</v>
      </c>
      <c r="E12" s="27" t="s">
        <v>118</v>
      </c>
      <c r="F12" s="156"/>
      <c r="G12" s="37">
        <f>C12</f>
        <v>77815</v>
      </c>
      <c r="I12" s="159"/>
    </row>
    <row r="13" spans="1:14" x14ac:dyDescent="0.25">
      <c r="B13" s="27" t="s">
        <v>119</v>
      </c>
      <c r="C13" s="37">
        <f>MAIN!F8</f>
        <v>28826</v>
      </c>
      <c r="E13" s="27" t="s">
        <v>119</v>
      </c>
      <c r="F13" s="156"/>
      <c r="G13" s="37">
        <f>C13</f>
        <v>28826</v>
      </c>
    </row>
    <row r="14" spans="1:14" x14ac:dyDescent="0.25">
      <c r="B14" s="27" t="s">
        <v>120</v>
      </c>
      <c r="C14" s="79">
        <v>0</v>
      </c>
      <c r="E14" s="4" t="s">
        <v>120</v>
      </c>
      <c r="G14" s="79">
        <v>0</v>
      </c>
    </row>
    <row r="15" spans="1:14" x14ac:dyDescent="0.25">
      <c r="B15" s="4" t="s">
        <v>121</v>
      </c>
      <c r="C15" s="66">
        <f>C9+C12-SUM(C13:C14)</f>
        <v>1441685.1982282917</v>
      </c>
      <c r="E15" s="4" t="s">
        <v>121</v>
      </c>
      <c r="G15" s="66">
        <f>G9+G12-SUM(G13:G14)</f>
        <v>2604627.0262218942</v>
      </c>
    </row>
    <row r="17" spans="1:17" x14ac:dyDescent="0.25">
      <c r="B17" s="4" t="s">
        <v>122</v>
      </c>
      <c r="C17" s="4">
        <f>MAIN!F5</f>
        <v>2511</v>
      </c>
      <c r="E17" s="4" t="s">
        <v>122</v>
      </c>
      <c r="G17" s="4">
        <f>C17</f>
        <v>2511</v>
      </c>
    </row>
    <row r="18" spans="1:17" x14ac:dyDescent="0.25">
      <c r="A18" s="4" t="s">
        <v>124</v>
      </c>
      <c r="B18" s="148" t="s">
        <v>123</v>
      </c>
      <c r="C18" s="157">
        <f>C15/C17</f>
        <v>574.14782884440126</v>
      </c>
      <c r="E18" s="148" t="s">
        <v>123</v>
      </c>
      <c r="F18" s="156"/>
      <c r="G18" s="157">
        <f>G15/G17</f>
        <v>1037.2867487940639</v>
      </c>
    </row>
    <row r="19" spans="1:17" x14ac:dyDescent="0.25">
      <c r="C19" s="21"/>
    </row>
    <row r="20" spans="1:17" x14ac:dyDescent="0.25">
      <c r="A20" s="115" t="s">
        <v>146</v>
      </c>
      <c r="B20" s="19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17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147</v>
      </c>
      <c r="D22" s="116"/>
      <c r="E22" s="117">
        <v>5.0000000000000001E-3</v>
      </c>
      <c r="F22" s="116"/>
      <c r="G22" s="116"/>
      <c r="J22" s="116" t="s">
        <v>147</v>
      </c>
      <c r="K22" s="116"/>
      <c r="L22" s="117">
        <v>5.0000000000000001E-3</v>
      </c>
    </row>
    <row r="23" spans="1:17" x14ac:dyDescent="0.25">
      <c r="B23" s="116"/>
      <c r="C23" s="116" t="s">
        <v>148</v>
      </c>
      <c r="D23" s="116"/>
      <c r="E23" s="149">
        <v>2.5000000000000001E-3</v>
      </c>
      <c r="F23" s="116"/>
      <c r="G23" s="116"/>
      <c r="J23" s="116" t="s">
        <v>171</v>
      </c>
      <c r="K23" s="116"/>
      <c r="L23" s="155">
        <v>2</v>
      </c>
    </row>
    <row r="24" spans="1:17" x14ac:dyDescent="0.25">
      <c r="B24" s="116"/>
      <c r="C24" s="116"/>
      <c r="D24" s="116"/>
      <c r="E24" s="167"/>
      <c r="F24" s="116"/>
      <c r="G24" s="116"/>
      <c r="J24" s="116"/>
      <c r="K24" s="116"/>
      <c r="L24" s="166"/>
    </row>
    <row r="25" spans="1:17" x14ac:dyDescent="0.25">
      <c r="B25" s="116"/>
      <c r="C25" s="116"/>
      <c r="D25" s="116"/>
      <c r="E25" s="116"/>
      <c r="F25" s="116"/>
      <c r="H25" s="116"/>
      <c r="I25" s="169"/>
      <c r="P25" s="169"/>
    </row>
    <row r="26" spans="1:17" x14ac:dyDescent="0.25">
      <c r="B26" s="159"/>
      <c r="C26" s="165"/>
      <c r="D26" s="116"/>
      <c r="E26" s="240"/>
      <c r="F26" s="241"/>
      <c r="G26" s="240"/>
      <c r="I26" s="116"/>
      <c r="J26" s="240"/>
    </row>
    <row r="27" spans="1:17" x14ac:dyDescent="0.25">
      <c r="B27" s="159"/>
      <c r="C27" s="321"/>
      <c r="D27" s="169"/>
      <c r="E27" s="241" t="s">
        <v>241</v>
      </c>
      <c r="F27" s="242"/>
      <c r="G27" s="242"/>
      <c r="H27" s="315"/>
      <c r="I27" s="316"/>
      <c r="J27" s="169" t="s">
        <v>242</v>
      </c>
      <c r="K27" s="316"/>
      <c r="N27" s="243"/>
      <c r="P27" s="169"/>
    </row>
    <row r="28" spans="1:17" x14ac:dyDescent="0.25">
      <c r="B28" s="159"/>
      <c r="C28" s="322">
        <f>C18</f>
        <v>574.14782884440126</v>
      </c>
      <c r="D28" s="227">
        <f>E28-E23</f>
        <v>2.2500000000000003E-2</v>
      </c>
      <c r="E28" s="242">
        <v>2.5000000000000001E-2</v>
      </c>
      <c r="F28" s="227">
        <f>E28+E23</f>
        <v>2.75E-2</v>
      </c>
      <c r="G28" s="169"/>
      <c r="H28" s="326">
        <f>G18</f>
        <v>1037.2867487940639</v>
      </c>
      <c r="I28" s="317">
        <f>J28-L23</f>
        <v>13</v>
      </c>
      <c r="J28" s="317">
        <v>15</v>
      </c>
      <c r="K28" s="317">
        <f>J28+L23</f>
        <v>17</v>
      </c>
      <c r="N28" s="244"/>
      <c r="O28" s="47"/>
      <c r="P28" s="47"/>
      <c r="Q28" s="47"/>
    </row>
    <row r="29" spans="1:17" x14ac:dyDescent="0.25">
      <c r="C29" s="227">
        <f>C30+$E$22</f>
        <v>8.5747922356524092E-2</v>
      </c>
      <c r="D29" s="313">
        <f t="dataTable" ref="D29:F33" dt2D="1" dtr="1" r1="K4" r2="K3" ca="1"/>
        <v>447.62399731187799</v>
      </c>
      <c r="E29" s="323">
        <v>462.15913186911922</v>
      </c>
      <c r="F29" s="313">
        <v>477.94196196374588</v>
      </c>
      <c r="G29" s="245"/>
      <c r="H29" s="318">
        <f t="shared" ref="H29:H30" si="2">C29</f>
        <v>8.5747922356524092E-2</v>
      </c>
      <c r="I29" s="319">
        <f t="dataTable" ref="I29:K33" dt2D="1" dtr="1" r1="G10" r2="K3"/>
        <v>875.45219082182587</v>
      </c>
      <c r="J29" s="324">
        <v>992.44379965701</v>
      </c>
      <c r="K29" s="319">
        <v>1109.435408492194</v>
      </c>
      <c r="N29" s="247"/>
      <c r="O29" s="165"/>
      <c r="P29" s="165"/>
      <c r="Q29" s="165"/>
    </row>
    <row r="30" spans="1:17" x14ac:dyDescent="0.25">
      <c r="C30" s="227">
        <f>C31+$E$22</f>
        <v>8.0747922356524088E-2</v>
      </c>
      <c r="D30" s="313">
        <v>494.86543786228953</v>
      </c>
      <c r="E30" s="314">
        <v>512.79332060456909</v>
      </c>
      <c r="F30" s="313">
        <v>532.40463830063368</v>
      </c>
      <c r="G30" s="246"/>
      <c r="H30" s="318">
        <f t="shared" si="2"/>
        <v>8.0747922356524088E-2</v>
      </c>
      <c r="I30" s="319">
        <v>894.83460052583769</v>
      </c>
      <c r="J30" s="324">
        <v>1014.5576310945561</v>
      </c>
      <c r="K30" s="320">
        <v>1134.2806616632743</v>
      </c>
      <c r="M30" s="47"/>
      <c r="N30" s="165"/>
      <c r="O30" s="85"/>
      <c r="P30" s="85"/>
      <c r="Q30" s="85"/>
    </row>
    <row r="31" spans="1:17" x14ac:dyDescent="0.25">
      <c r="C31" s="227">
        <v>7.5747922356524083E-2</v>
      </c>
      <c r="D31" s="314">
        <v>551.68614888972525</v>
      </c>
      <c r="E31" s="314">
        <v>574.14782884440126</v>
      </c>
      <c r="F31" s="314">
        <v>598.93724425975699</v>
      </c>
      <c r="G31" s="246"/>
      <c r="H31" s="318">
        <f>C31</f>
        <v>7.5747922356524083E-2</v>
      </c>
      <c r="I31" s="324">
        <v>914.75541292442392</v>
      </c>
      <c r="J31" s="324">
        <v>1037.2867487940639</v>
      </c>
      <c r="K31" s="325">
        <v>1159.818084663704</v>
      </c>
      <c r="M31" s="47"/>
      <c r="N31" s="165"/>
      <c r="O31" s="85"/>
      <c r="P31" s="85"/>
      <c r="Q31" s="85"/>
    </row>
    <row r="32" spans="1:17" x14ac:dyDescent="0.25">
      <c r="C32" s="227">
        <f>C31-$E$22</f>
        <v>7.0747922356524079E-2</v>
      </c>
      <c r="D32" s="313">
        <v>621.11493413637118</v>
      </c>
      <c r="E32" s="314">
        <v>649.79120389458933</v>
      </c>
      <c r="F32" s="313">
        <v>681.7828086094579</v>
      </c>
      <c r="G32" s="246"/>
      <c r="H32" s="318">
        <f>C32</f>
        <v>7.0747922356524079E-2</v>
      </c>
      <c r="I32" s="319">
        <v>935.23225945865329</v>
      </c>
      <c r="J32" s="324">
        <v>1060.6513208671531</v>
      </c>
      <c r="K32" s="320">
        <v>1186.0703822756525</v>
      </c>
      <c r="L32" s="146"/>
      <c r="M32" s="47"/>
      <c r="N32" s="165"/>
      <c r="O32" s="85"/>
      <c r="P32" s="85"/>
      <c r="Q32" s="85"/>
    </row>
    <row r="33" spans="2:17" x14ac:dyDescent="0.25">
      <c r="C33" s="227">
        <f>C32-$E$22</f>
        <v>6.5747922356524074E-2</v>
      </c>
      <c r="D33" s="313">
        <v>707.58505554586782</v>
      </c>
      <c r="E33" s="323">
        <v>745.04754569713691</v>
      </c>
      <c r="F33" s="313">
        <v>787.40735939477622</v>
      </c>
      <c r="G33" s="246"/>
      <c r="H33" s="318">
        <f>C33</f>
        <v>6.5747922356524074E-2</v>
      </c>
      <c r="I33" s="319">
        <v>956.28343632666019</v>
      </c>
      <c r="J33" s="324">
        <v>1084.6722762851109</v>
      </c>
      <c r="K33" s="320">
        <v>1213.0611162435612</v>
      </c>
      <c r="M33" s="47"/>
      <c r="N33" s="165"/>
      <c r="O33" s="85"/>
      <c r="P33" s="85"/>
      <c r="Q33" s="85"/>
    </row>
    <row r="34" spans="2:17" x14ac:dyDescent="0.25">
      <c r="D34" s="47"/>
      <c r="E34" s="223"/>
      <c r="F34" s="227"/>
      <c r="G34" s="246"/>
      <c r="H34" s="228"/>
      <c r="I34" s="228"/>
      <c r="J34" s="228"/>
      <c r="K34" s="243"/>
      <c r="M34" s="47"/>
      <c r="N34" s="165"/>
      <c r="O34" s="85"/>
      <c r="P34" s="85"/>
      <c r="Q34" s="85"/>
    </row>
    <row r="35" spans="2:17" x14ac:dyDescent="0.25">
      <c r="B35" s="248"/>
      <c r="C35" s="248"/>
      <c r="D35" s="248"/>
      <c r="E35" s="249"/>
      <c r="F35" s="250"/>
      <c r="G35" s="249"/>
    </row>
    <row r="36" spans="2:17" x14ac:dyDescent="0.25">
      <c r="B36" s="116"/>
      <c r="C36" s="116"/>
      <c r="D36" s="116"/>
      <c r="E36" s="116"/>
      <c r="F36" s="241"/>
      <c r="G36" s="241"/>
      <c r="H36" s="241"/>
      <c r="I36" s="169"/>
      <c r="J36" s="169"/>
      <c r="P36" s="169"/>
    </row>
    <row r="37" spans="2:17" x14ac:dyDescent="0.25">
      <c r="F37" s="229"/>
      <c r="G37" s="229"/>
      <c r="H37" s="227"/>
      <c r="I37" s="227"/>
      <c r="J37" s="227"/>
      <c r="M37" s="169"/>
      <c r="O37" s="85"/>
      <c r="P37" s="85"/>
      <c r="Q37" s="85"/>
    </row>
    <row r="38" spans="2:17" x14ac:dyDescent="0.25">
      <c r="E38" s="47"/>
      <c r="F38" s="226"/>
      <c r="G38" s="251"/>
      <c r="H38" s="246"/>
      <c r="I38" s="246"/>
      <c r="J38" s="246"/>
      <c r="L38" s="85"/>
      <c r="M38" s="85"/>
      <c r="N38" s="252"/>
      <c r="O38" s="168"/>
      <c r="P38" s="168"/>
      <c r="Q38" s="168"/>
    </row>
    <row r="39" spans="2:17" x14ac:dyDescent="0.25">
      <c r="E39" s="47"/>
      <c r="F39" s="227"/>
      <c r="G39" s="246"/>
      <c r="H39" s="226"/>
      <c r="I39" s="226"/>
      <c r="J39" s="226"/>
      <c r="K39" s="47"/>
      <c r="M39" s="47"/>
      <c r="N39" s="165"/>
      <c r="O39" s="253"/>
      <c r="P39" s="253"/>
      <c r="Q39" s="253"/>
    </row>
    <row r="40" spans="2:17" x14ac:dyDescent="0.25">
      <c r="D40" s="8"/>
      <c r="E40" s="47"/>
      <c r="F40" s="227"/>
      <c r="G40" s="246"/>
      <c r="H40" s="226"/>
      <c r="I40" s="226"/>
      <c r="J40" s="226"/>
      <c r="K40" s="8"/>
      <c r="L40" s="47"/>
      <c r="M40" s="47"/>
      <c r="N40" s="165"/>
      <c r="O40" s="253"/>
      <c r="P40" s="253"/>
      <c r="Q40" s="253"/>
    </row>
    <row r="41" spans="2:17" x14ac:dyDescent="0.25">
      <c r="D41" s="8"/>
      <c r="E41" s="146"/>
      <c r="F41" s="227"/>
      <c r="G41" s="246"/>
      <c r="H41" s="226"/>
      <c r="I41" s="226"/>
      <c r="J41" s="226"/>
      <c r="K41" s="8"/>
      <c r="L41" s="146"/>
      <c r="M41" s="47"/>
      <c r="N41" s="165"/>
      <c r="O41" s="253"/>
      <c r="P41" s="253"/>
      <c r="Q41" s="253"/>
    </row>
    <row r="42" spans="2:17" x14ac:dyDescent="0.25">
      <c r="D42" s="8"/>
      <c r="E42" s="47"/>
      <c r="F42" s="227"/>
      <c r="G42" s="246"/>
      <c r="H42" s="226"/>
      <c r="I42" s="226"/>
      <c r="J42" s="226"/>
      <c r="K42" s="8"/>
      <c r="L42" s="47"/>
      <c r="M42" s="47"/>
      <c r="N42" s="165"/>
      <c r="O42" s="253"/>
      <c r="P42" s="253"/>
      <c r="Q42" s="253"/>
    </row>
    <row r="43" spans="2:17" x14ac:dyDescent="0.25">
      <c r="D43" s="8"/>
      <c r="E43" s="8"/>
      <c r="F43" s="227"/>
      <c r="G43" s="246"/>
      <c r="H43" s="226"/>
      <c r="I43" s="226"/>
      <c r="J43" s="226"/>
      <c r="K43" s="8"/>
      <c r="L43" s="47"/>
      <c r="M43" s="47"/>
      <c r="N43" s="165"/>
      <c r="O43" s="253"/>
      <c r="P43" s="253"/>
      <c r="Q43" s="253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88a26cf8-717e-46a4-ac0d-03f11284dc6b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2025-12-06T19:40:13Z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