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1117" documentId="8_{023EF36E-4D46-4BBB-BCBC-D9AA3E1E66DD}" xr6:coauthVersionLast="47" xr6:coauthVersionMax="47" xr10:uidLastSave="{E8148091-93E6-4873-B7A0-3FBD23C3A58A}"/>
  <bookViews>
    <workbookView xWindow="-105" yWindow="0" windowWidth="19410" windowHeight="21705" tabRatio="808" xr2:uid="{00000000-000D-0000-FFFF-FFFF00000000}"/>
  </bookViews>
  <sheets>
    <sheet name="MAIN" sheetId="3" r:id="rId1"/>
    <sheet name="Assumptions" sheetId="13" r:id="rId2"/>
    <sheet name="Revenue" sheetId="32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  <sheet name="COMPS" sheetId="23" r:id="rId12"/>
    <sheet name="Presentation" sheetId="22" r:id="rId13"/>
  </sheets>
  <externalReferences>
    <externalReference r:id="rId14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Presentation!$R$17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3" l="1"/>
  <c r="J9" i="3" s="1"/>
  <c r="J5" i="3"/>
  <c r="J6" i="3" s="1"/>
  <c r="I8" i="3"/>
  <c r="I9" i="3" s="1"/>
  <c r="I5" i="3"/>
  <c r="I6" i="3" s="1"/>
  <c r="E11" i="3"/>
  <c r="T8" i="12"/>
  <c r="R8" i="12"/>
  <c r="L12" i="12"/>
  <c r="L13" i="12" s="1"/>
  <c r="M9" i="11"/>
  <c r="J5" i="11"/>
  <c r="I5" i="11"/>
  <c r="J31" i="32"/>
  <c r="K31" i="32"/>
  <c r="L31" i="32" s="1"/>
  <c r="M31" i="32" s="1"/>
  <c r="N31" i="32" s="1"/>
  <c r="I31" i="32"/>
  <c r="G31" i="32"/>
  <c r="G29" i="32"/>
  <c r="I33" i="13"/>
  <c r="J33" i="13"/>
  <c r="K33" i="13" s="1"/>
  <c r="L33" i="13" s="1"/>
  <c r="M33" i="13" s="1"/>
  <c r="G8" i="13"/>
  <c r="H8" i="13"/>
  <c r="I8" i="13"/>
  <c r="J8" i="13"/>
  <c r="K8" i="13"/>
  <c r="L8" i="13"/>
  <c r="M8" i="13"/>
  <c r="F8" i="13"/>
  <c r="G7" i="13"/>
  <c r="H7" i="13"/>
  <c r="I7" i="13"/>
  <c r="J7" i="13"/>
  <c r="K7" i="13"/>
  <c r="L7" i="13"/>
  <c r="M7" i="13"/>
  <c r="F7" i="13"/>
  <c r="I7" i="11"/>
  <c r="J7" i="11"/>
  <c r="J4" i="32"/>
  <c r="K4" i="32"/>
  <c r="L4" i="32"/>
  <c r="M4" i="32" s="1"/>
  <c r="N4" i="32" s="1"/>
  <c r="I4" i="32"/>
  <c r="G14" i="32"/>
  <c r="G12" i="32"/>
  <c r="G11" i="32" s="1"/>
  <c r="G10" i="32"/>
  <c r="G6" i="32"/>
  <c r="H6" i="32" s="1"/>
  <c r="I6" i="32" s="1"/>
  <c r="J6" i="32" s="1"/>
  <c r="K6" i="32" s="1"/>
  <c r="L6" i="32" s="1"/>
  <c r="M6" i="32" s="1"/>
  <c r="N6" i="32" s="1"/>
  <c r="G16" i="32"/>
  <c r="G8" i="32"/>
  <c r="G27" i="32"/>
  <c r="I29" i="32"/>
  <c r="J29" i="32" s="1"/>
  <c r="K29" i="32" s="1"/>
  <c r="L29" i="32" s="1"/>
  <c r="M29" i="32" s="1"/>
  <c r="N29" i="32" s="1"/>
  <c r="S16" i="12"/>
  <c r="C12" i="3" s="1"/>
  <c r="S15" i="12"/>
  <c r="N16" i="12"/>
  <c r="D12" i="3" s="1"/>
  <c r="D13" i="3" s="1"/>
  <c r="O8" i="12"/>
  <c r="M8" i="12"/>
  <c r="E2" i="12"/>
  <c r="F2" i="12" s="1"/>
  <c r="G2" i="12" s="1"/>
  <c r="H2" i="12" s="1"/>
  <c r="I2" i="12" s="1"/>
  <c r="J2" i="12" s="1"/>
  <c r="K2" i="12" s="1"/>
  <c r="G14" i="12"/>
  <c r="C17" i="12"/>
  <c r="G17" i="12" s="1"/>
  <c r="C13" i="12"/>
  <c r="G13" i="12" s="1"/>
  <c r="C12" i="12"/>
  <c r="G12" i="12" s="1"/>
  <c r="J6" i="11"/>
  <c r="K6" i="11" s="1"/>
  <c r="K5" i="11"/>
  <c r="J4" i="11"/>
  <c r="I4" i="11"/>
  <c r="K4" i="11" s="1"/>
  <c r="E11" i="11"/>
  <c r="G5" i="10"/>
  <c r="H5" i="10"/>
  <c r="I5" i="10"/>
  <c r="J5" i="10"/>
  <c r="K5" i="10"/>
  <c r="L5" i="10"/>
  <c r="M5" i="10"/>
  <c r="G9" i="10"/>
  <c r="H9" i="10"/>
  <c r="I9" i="10"/>
  <c r="J9" i="10"/>
  <c r="K9" i="10"/>
  <c r="L9" i="10"/>
  <c r="M9" i="10"/>
  <c r="F9" i="10"/>
  <c r="F8" i="10"/>
  <c r="F5" i="10"/>
  <c r="G4" i="8"/>
  <c r="H4" i="8" s="1"/>
  <c r="I4" i="8" s="1"/>
  <c r="J4" i="8" s="1"/>
  <c r="K4" i="8" s="1"/>
  <c r="L4" i="8" s="1"/>
  <c r="M4" i="8" s="1"/>
  <c r="C17" i="8"/>
  <c r="C18" i="8" s="1"/>
  <c r="D17" i="8"/>
  <c r="D18" i="8" s="1"/>
  <c r="E17" i="8"/>
  <c r="G5" i="9"/>
  <c r="H5" i="9"/>
  <c r="I5" i="9"/>
  <c r="J5" i="9"/>
  <c r="K5" i="9"/>
  <c r="L5" i="9"/>
  <c r="M5" i="9"/>
  <c r="G14" i="9"/>
  <c r="G17" i="9" s="1"/>
  <c r="H14" i="9"/>
  <c r="H17" i="9" s="1"/>
  <c r="I14" i="9"/>
  <c r="I17" i="9" s="1"/>
  <c r="J14" i="9"/>
  <c r="J17" i="9" s="1"/>
  <c r="K14" i="9"/>
  <c r="K17" i="9" s="1"/>
  <c r="L14" i="9"/>
  <c r="L17" i="9" s="1"/>
  <c r="M14" i="9"/>
  <c r="M17" i="9" s="1"/>
  <c r="G15" i="9"/>
  <c r="H15" i="9"/>
  <c r="I15" i="9"/>
  <c r="J15" i="9"/>
  <c r="K15" i="9"/>
  <c r="L15" i="9"/>
  <c r="M15" i="9"/>
  <c r="G16" i="9"/>
  <c r="H16" i="9"/>
  <c r="I16" i="9"/>
  <c r="J16" i="9"/>
  <c r="K16" i="9"/>
  <c r="L16" i="9"/>
  <c r="M16" i="9"/>
  <c r="G37" i="8"/>
  <c r="H37" i="8"/>
  <c r="I37" i="8"/>
  <c r="J37" i="8"/>
  <c r="K37" i="8"/>
  <c r="L37" i="8"/>
  <c r="M37" i="8"/>
  <c r="G25" i="8"/>
  <c r="H25" i="8"/>
  <c r="I25" i="8"/>
  <c r="J25" i="8"/>
  <c r="K25" i="8"/>
  <c r="L25" i="8"/>
  <c r="M25" i="8"/>
  <c r="G26" i="8"/>
  <c r="H26" i="8"/>
  <c r="I26" i="8"/>
  <c r="J26" i="8"/>
  <c r="K26" i="8"/>
  <c r="L26" i="8"/>
  <c r="M26" i="8"/>
  <c r="G24" i="7"/>
  <c r="H24" i="7"/>
  <c r="I24" i="7"/>
  <c r="J24" i="7"/>
  <c r="K24" i="7"/>
  <c r="L24" i="7"/>
  <c r="M24" i="7"/>
  <c r="G27" i="7"/>
  <c r="H27" i="7"/>
  <c r="I27" i="7"/>
  <c r="J27" i="7"/>
  <c r="K27" i="7"/>
  <c r="L27" i="7"/>
  <c r="M27" i="7"/>
  <c r="G28" i="7"/>
  <c r="H28" i="7"/>
  <c r="I28" i="7"/>
  <c r="J28" i="7"/>
  <c r="K28" i="7"/>
  <c r="L28" i="7"/>
  <c r="M28" i="7"/>
  <c r="G38" i="7"/>
  <c r="G39" i="7" s="1"/>
  <c r="G15" i="5" s="1"/>
  <c r="H38" i="7"/>
  <c r="H39" i="7" s="1"/>
  <c r="H15" i="5" s="1"/>
  <c r="I38" i="7"/>
  <c r="I39" i="7" s="1"/>
  <c r="I15" i="5" s="1"/>
  <c r="J38" i="7"/>
  <c r="J39" i="7" s="1"/>
  <c r="J15" i="5" s="1"/>
  <c r="K38" i="7"/>
  <c r="K39" i="7" s="1"/>
  <c r="K15" i="5" s="1"/>
  <c r="L38" i="7"/>
  <c r="L39" i="7" s="1"/>
  <c r="L15" i="5" s="1"/>
  <c r="M38" i="7"/>
  <c r="M39" i="7" s="1"/>
  <c r="M15" i="5" s="1"/>
  <c r="G41" i="7"/>
  <c r="H41" i="7"/>
  <c r="I41" i="7"/>
  <c r="J41" i="7"/>
  <c r="K41" i="7"/>
  <c r="L41" i="7"/>
  <c r="M41" i="7"/>
  <c r="G42" i="7"/>
  <c r="H42" i="7"/>
  <c r="I42" i="7"/>
  <c r="J42" i="7"/>
  <c r="K42" i="7"/>
  <c r="L42" i="7"/>
  <c r="M42" i="7"/>
  <c r="G32" i="6"/>
  <c r="H32" i="6"/>
  <c r="I32" i="6"/>
  <c r="J32" i="6"/>
  <c r="K32" i="6"/>
  <c r="L32" i="6"/>
  <c r="M32" i="6"/>
  <c r="G26" i="6"/>
  <c r="H26" i="6"/>
  <c r="I26" i="6"/>
  <c r="J26" i="6"/>
  <c r="K26" i="6"/>
  <c r="L26" i="6"/>
  <c r="M26" i="6"/>
  <c r="G27" i="6"/>
  <c r="H27" i="6"/>
  <c r="I27" i="6"/>
  <c r="J27" i="6"/>
  <c r="K27" i="6"/>
  <c r="L27" i="6"/>
  <c r="M27" i="6"/>
  <c r="G28" i="6"/>
  <c r="H28" i="6"/>
  <c r="I28" i="6"/>
  <c r="J28" i="6"/>
  <c r="K28" i="6"/>
  <c r="L28" i="6"/>
  <c r="M28" i="6"/>
  <c r="G17" i="6"/>
  <c r="G18" i="6"/>
  <c r="H18" i="6"/>
  <c r="I18" i="6"/>
  <c r="J18" i="6"/>
  <c r="K18" i="6"/>
  <c r="L18" i="6"/>
  <c r="M18" i="6"/>
  <c r="G19" i="6"/>
  <c r="H19" i="6"/>
  <c r="I19" i="6"/>
  <c r="J19" i="6"/>
  <c r="K19" i="6"/>
  <c r="L19" i="6"/>
  <c r="M19" i="6"/>
  <c r="G20" i="6"/>
  <c r="H17" i="6" s="1"/>
  <c r="H20" i="6" s="1"/>
  <c r="G21" i="6"/>
  <c r="G22" i="6" s="1"/>
  <c r="H21" i="6"/>
  <c r="I21" i="6"/>
  <c r="J21" i="6"/>
  <c r="K21" i="6"/>
  <c r="L21" i="6"/>
  <c r="M21" i="6"/>
  <c r="G16" i="5"/>
  <c r="H16" i="5"/>
  <c r="I16" i="5"/>
  <c r="J16" i="5"/>
  <c r="K16" i="5"/>
  <c r="L16" i="5"/>
  <c r="M16" i="5"/>
  <c r="F15" i="9"/>
  <c r="F14" i="9"/>
  <c r="F23" i="7"/>
  <c r="F5" i="9"/>
  <c r="F4" i="9"/>
  <c r="E24" i="5"/>
  <c r="E23" i="5"/>
  <c r="E22" i="5"/>
  <c r="E21" i="5"/>
  <c r="E20" i="5"/>
  <c r="E19" i="5"/>
  <c r="F16" i="5"/>
  <c r="F15" i="5"/>
  <c r="F13" i="5"/>
  <c r="E17" i="5"/>
  <c r="F32" i="6"/>
  <c r="F21" i="6"/>
  <c r="F18" i="6"/>
  <c r="F17" i="6"/>
  <c r="E20" i="6"/>
  <c r="F26" i="8"/>
  <c r="F25" i="8"/>
  <c r="F8" i="5"/>
  <c r="F6" i="5"/>
  <c r="E9" i="5"/>
  <c r="F39" i="7"/>
  <c r="F42" i="7"/>
  <c r="F41" i="7"/>
  <c r="F38" i="7"/>
  <c r="E33" i="7"/>
  <c r="F28" i="7"/>
  <c r="F27" i="7"/>
  <c r="F24" i="7"/>
  <c r="D57" i="13"/>
  <c r="C57" i="13"/>
  <c r="E56" i="13"/>
  <c r="D56" i="13"/>
  <c r="C56" i="13"/>
  <c r="E55" i="13"/>
  <c r="F55" i="13" s="1"/>
  <c r="F12" i="8" s="1"/>
  <c r="D55" i="13"/>
  <c r="C55" i="13"/>
  <c r="E51" i="13"/>
  <c r="D51" i="13"/>
  <c r="C51" i="13"/>
  <c r="D50" i="13"/>
  <c r="C50" i="13"/>
  <c r="E50" i="13"/>
  <c r="E48" i="13"/>
  <c r="F48" i="13" s="1"/>
  <c r="D48" i="13"/>
  <c r="C48" i="13"/>
  <c r="E47" i="13"/>
  <c r="F47" i="13" s="1"/>
  <c r="D47" i="13"/>
  <c r="C47" i="13"/>
  <c r="E46" i="13"/>
  <c r="D46" i="13"/>
  <c r="C46" i="13"/>
  <c r="E45" i="13"/>
  <c r="D45" i="13"/>
  <c r="E41" i="13"/>
  <c r="D41" i="13"/>
  <c r="C41" i="13"/>
  <c r="E40" i="13"/>
  <c r="D40" i="13"/>
  <c r="C40" i="13"/>
  <c r="D34" i="13"/>
  <c r="E34" i="13"/>
  <c r="F34" i="13" s="1"/>
  <c r="G34" i="13" s="1"/>
  <c r="H34" i="13" s="1"/>
  <c r="I34" i="13" s="1"/>
  <c r="J34" i="13" s="1"/>
  <c r="K34" i="13" s="1"/>
  <c r="L34" i="13" s="1"/>
  <c r="M34" i="13" s="1"/>
  <c r="H33" i="13"/>
  <c r="G33" i="13"/>
  <c r="C33" i="13"/>
  <c r="D33" i="13"/>
  <c r="E33" i="13"/>
  <c r="F3" i="5" s="1"/>
  <c r="F29" i="13"/>
  <c r="G29" i="13" s="1"/>
  <c r="I35" i="13"/>
  <c r="E20" i="13"/>
  <c r="D20" i="13"/>
  <c r="C20" i="13"/>
  <c r="E19" i="13"/>
  <c r="D19" i="13"/>
  <c r="C19" i="13"/>
  <c r="E18" i="13"/>
  <c r="F12" i="7" s="1"/>
  <c r="D18" i="13"/>
  <c r="C18" i="13"/>
  <c r="E17" i="13"/>
  <c r="F17" i="13" s="1"/>
  <c r="G17" i="13" s="1"/>
  <c r="D17" i="13"/>
  <c r="C17" i="13"/>
  <c r="E13" i="13"/>
  <c r="D13" i="13"/>
  <c r="C13" i="13"/>
  <c r="E12" i="13"/>
  <c r="D12" i="13"/>
  <c r="C12" i="13"/>
  <c r="E11" i="13"/>
  <c r="D11" i="13"/>
  <c r="C11" i="13"/>
  <c r="D10" i="13"/>
  <c r="C10" i="13"/>
  <c r="E10" i="13"/>
  <c r="G30" i="32"/>
  <c r="F38" i="32"/>
  <c r="G38" i="32"/>
  <c r="H35" i="32"/>
  <c r="I35" i="32"/>
  <c r="J35" i="32"/>
  <c r="K35" i="32"/>
  <c r="L35" i="32"/>
  <c r="M35" i="32"/>
  <c r="N35" i="32"/>
  <c r="H36" i="32"/>
  <c r="I36" i="32"/>
  <c r="J36" i="32"/>
  <c r="K36" i="32"/>
  <c r="L36" i="32"/>
  <c r="M36" i="32"/>
  <c r="N36" i="32"/>
  <c r="H37" i="32"/>
  <c r="I37" i="32"/>
  <c r="J37" i="32"/>
  <c r="K37" i="32"/>
  <c r="L37" i="32"/>
  <c r="M37" i="32"/>
  <c r="N37" i="32"/>
  <c r="H38" i="32"/>
  <c r="I38" i="32" s="1"/>
  <c r="G36" i="32"/>
  <c r="G37" i="32"/>
  <c r="G35" i="32"/>
  <c r="F37" i="32"/>
  <c r="F36" i="32"/>
  <c r="F35" i="32"/>
  <c r="E38" i="32"/>
  <c r="E37" i="32"/>
  <c r="E36" i="32"/>
  <c r="E35" i="32"/>
  <c r="D38" i="32"/>
  <c r="D39" i="32" s="1"/>
  <c r="D37" i="32"/>
  <c r="D36" i="32"/>
  <c r="D35" i="32"/>
  <c r="F39" i="32"/>
  <c r="E39" i="32"/>
  <c r="F40" i="32" s="1"/>
  <c r="C39" i="32"/>
  <c r="C38" i="32"/>
  <c r="C37" i="32"/>
  <c r="C36" i="32"/>
  <c r="C35" i="32"/>
  <c r="F31" i="32"/>
  <c r="E31" i="32"/>
  <c r="D31" i="32"/>
  <c r="F29" i="32"/>
  <c r="H29" i="32" s="1"/>
  <c r="E29" i="32"/>
  <c r="D29" i="32"/>
  <c r="F27" i="32"/>
  <c r="H27" i="32" s="1"/>
  <c r="I27" i="32" s="1"/>
  <c r="J27" i="32" s="1"/>
  <c r="K27" i="32" s="1"/>
  <c r="L27" i="32" s="1"/>
  <c r="M27" i="32" s="1"/>
  <c r="N27" i="32" s="1"/>
  <c r="E27" i="32"/>
  <c r="D27" i="32"/>
  <c r="E32" i="32"/>
  <c r="E33" i="32" s="1"/>
  <c r="D32" i="32"/>
  <c r="D33" i="32" s="1"/>
  <c r="C32" i="32"/>
  <c r="F32" i="32"/>
  <c r="F33" i="32" s="1"/>
  <c r="G9" i="32"/>
  <c r="G7" i="32"/>
  <c r="H10" i="32"/>
  <c r="I10" i="32" s="1"/>
  <c r="J10" i="32" s="1"/>
  <c r="K10" i="32" s="1"/>
  <c r="L10" i="32" s="1"/>
  <c r="M10" i="32" s="1"/>
  <c r="N10" i="32" s="1"/>
  <c r="H8" i="32"/>
  <c r="I8" i="32" s="1"/>
  <c r="J8" i="32" s="1"/>
  <c r="K8" i="32" s="1"/>
  <c r="L8" i="32" s="1"/>
  <c r="M8" i="32" s="1"/>
  <c r="N8" i="32" s="1"/>
  <c r="G3" i="32"/>
  <c r="F20" i="32"/>
  <c r="E20" i="32"/>
  <c r="D20" i="32"/>
  <c r="F18" i="32"/>
  <c r="E18" i="32"/>
  <c r="D18" i="32"/>
  <c r="F16" i="32"/>
  <c r="E16" i="32"/>
  <c r="D16" i="32"/>
  <c r="F14" i="32"/>
  <c r="E14" i="32"/>
  <c r="D14" i="32"/>
  <c r="F12" i="32"/>
  <c r="E12" i="32"/>
  <c r="D12" i="32"/>
  <c r="F10" i="32"/>
  <c r="E10" i="32"/>
  <c r="D10" i="32"/>
  <c r="F8" i="32"/>
  <c r="E8" i="32"/>
  <c r="D8" i="32"/>
  <c r="F6" i="32"/>
  <c r="E6" i="32"/>
  <c r="D6" i="32"/>
  <c r="E4" i="32"/>
  <c r="D4" i="32"/>
  <c r="F4" i="32"/>
  <c r="E22" i="32"/>
  <c r="D22" i="32"/>
  <c r="E23" i="32" s="1"/>
  <c r="C22" i="32"/>
  <c r="F22" i="32"/>
  <c r="F23" i="32" s="1"/>
  <c r="A1" i="32"/>
  <c r="C38" i="8"/>
  <c r="C34" i="8"/>
  <c r="C25" i="8"/>
  <c r="C24" i="8"/>
  <c r="D38" i="8"/>
  <c r="D39" i="8"/>
  <c r="D34" i="8"/>
  <c r="D32" i="8"/>
  <c r="E34" i="8"/>
  <c r="E33" i="8"/>
  <c r="D35" i="8"/>
  <c r="D25" i="8"/>
  <c r="E25" i="8"/>
  <c r="E28" i="8" s="1"/>
  <c r="D24" i="8"/>
  <c r="E24" i="8"/>
  <c r="E18" i="8"/>
  <c r="F21" i="9" s="1"/>
  <c r="D38" i="7"/>
  <c r="C38" i="7"/>
  <c r="E38" i="7"/>
  <c r="D44" i="7"/>
  <c r="D43" i="7"/>
  <c r="C44" i="7"/>
  <c r="C43" i="7"/>
  <c r="C20" i="7"/>
  <c r="C21" i="7" s="1"/>
  <c r="C33" i="7" s="1"/>
  <c r="C36" i="7" s="1"/>
  <c r="D20" i="7"/>
  <c r="D21" i="7" s="1"/>
  <c r="E20" i="7"/>
  <c r="C16" i="7"/>
  <c r="E2" i="6"/>
  <c r="F2" i="6"/>
  <c r="G2" i="6"/>
  <c r="H2" i="6"/>
  <c r="I2" i="6"/>
  <c r="I11" i="6" s="1"/>
  <c r="J2" i="6"/>
  <c r="J11" i="6" s="1"/>
  <c r="K2" i="6"/>
  <c r="L2" i="6"/>
  <c r="M2" i="6"/>
  <c r="D2" i="6"/>
  <c r="D11" i="6" s="1"/>
  <c r="D22" i="13"/>
  <c r="E22" i="13"/>
  <c r="F22" i="13"/>
  <c r="G22" i="13"/>
  <c r="H22" i="13"/>
  <c r="I22" i="13"/>
  <c r="J22" i="13"/>
  <c r="K22" i="13"/>
  <c r="L22" i="13"/>
  <c r="M22" i="13"/>
  <c r="C22" i="13"/>
  <c r="E2" i="13"/>
  <c r="F2" i="13"/>
  <c r="G2" i="13"/>
  <c r="H2" i="13"/>
  <c r="I2" i="13"/>
  <c r="J2" i="13"/>
  <c r="K2" i="13"/>
  <c r="L2" i="13"/>
  <c r="M2" i="13"/>
  <c r="D2" i="13"/>
  <c r="D2" i="7"/>
  <c r="D16" i="7" s="1"/>
  <c r="E2" i="8"/>
  <c r="F2" i="8"/>
  <c r="G2" i="8" s="1"/>
  <c r="D2" i="8"/>
  <c r="F8" i="3"/>
  <c r="F7" i="3"/>
  <c r="G9" i="7"/>
  <c r="H9" i="7"/>
  <c r="I9" i="7"/>
  <c r="J9" i="7"/>
  <c r="K9" i="7"/>
  <c r="L9" i="7"/>
  <c r="M9" i="7"/>
  <c r="G10" i="7"/>
  <c r="H10" i="7"/>
  <c r="I10" i="7"/>
  <c r="J10" i="7"/>
  <c r="K10" i="7"/>
  <c r="L10" i="7"/>
  <c r="M10" i="7"/>
  <c r="A1" i="10"/>
  <c r="E22" i="8"/>
  <c r="D28" i="8"/>
  <c r="C28" i="8"/>
  <c r="C35" i="8"/>
  <c r="C39" i="8"/>
  <c r="C42" i="8" s="1"/>
  <c r="C10" i="5"/>
  <c r="C18" i="5" s="1"/>
  <c r="D2" i="5"/>
  <c r="E2" i="5" s="1"/>
  <c r="F6" i="3"/>
  <c r="E10" i="11" s="1"/>
  <c r="E9" i="11" s="1"/>
  <c r="F14" i="13"/>
  <c r="F8" i="7" s="1"/>
  <c r="F39" i="13"/>
  <c r="G39" i="13" s="1"/>
  <c r="H39" i="13" s="1"/>
  <c r="I39" i="13" s="1"/>
  <c r="J39" i="13" s="1"/>
  <c r="K39" i="13" s="1"/>
  <c r="L39" i="13" s="1"/>
  <c r="M39" i="13" s="1"/>
  <c r="A1" i="22"/>
  <c r="A1" i="23"/>
  <c r="K11" i="6"/>
  <c r="K8" i="6"/>
  <c r="L8" i="6"/>
  <c r="M8" i="6"/>
  <c r="H11" i="6"/>
  <c r="G11" i="6"/>
  <c r="F11" i="6"/>
  <c r="E11" i="6"/>
  <c r="C11" i="6"/>
  <c r="K11" i="5"/>
  <c r="L11" i="5"/>
  <c r="M11" i="5"/>
  <c r="F25" i="13"/>
  <c r="G25" i="13" s="1"/>
  <c r="F24" i="13"/>
  <c r="F4" i="6" s="1"/>
  <c r="F26" i="13"/>
  <c r="F6" i="6" s="1"/>
  <c r="F50" i="13"/>
  <c r="G50" i="13" s="1"/>
  <c r="F16" i="8"/>
  <c r="E16" i="8"/>
  <c r="D16" i="8"/>
  <c r="C16" i="8"/>
  <c r="F10" i="7"/>
  <c r="A1" i="3"/>
  <c r="A1" i="13"/>
  <c r="A1" i="5"/>
  <c r="A1" i="6"/>
  <c r="A1" i="7"/>
  <c r="A1" i="8"/>
  <c r="A1" i="9"/>
  <c r="A1" i="11"/>
  <c r="A1" i="12"/>
  <c r="F8" i="6"/>
  <c r="F11" i="5"/>
  <c r="B21" i="5"/>
  <c r="B20" i="5"/>
  <c r="J8" i="6"/>
  <c r="I8" i="6"/>
  <c r="H8" i="6"/>
  <c r="G8" i="6"/>
  <c r="J11" i="5"/>
  <c r="I11" i="5"/>
  <c r="H11" i="5"/>
  <c r="F9" i="7"/>
  <c r="G11" i="5"/>
  <c r="K8" i="3" l="1"/>
  <c r="K9" i="3" s="1"/>
  <c r="K5" i="3"/>
  <c r="K6" i="3" s="1"/>
  <c r="E12" i="3"/>
  <c r="E13" i="3" s="1"/>
  <c r="C13" i="3"/>
  <c r="K7" i="11"/>
  <c r="H12" i="32"/>
  <c r="I12" i="32" s="1"/>
  <c r="J12" i="32" s="1"/>
  <c r="K12" i="32" s="1"/>
  <c r="L12" i="32" s="1"/>
  <c r="M12" i="32" s="1"/>
  <c r="N12" i="32" s="1"/>
  <c r="G5" i="32"/>
  <c r="H5" i="32" s="1"/>
  <c r="H9" i="32"/>
  <c r="I9" i="32" s="1"/>
  <c r="J9" i="32" s="1"/>
  <c r="K9" i="32" s="1"/>
  <c r="L9" i="32" s="1"/>
  <c r="M9" i="32" s="1"/>
  <c r="N9" i="32" s="1"/>
  <c r="H7" i="32"/>
  <c r="I7" i="32" s="1"/>
  <c r="J7" i="32" s="1"/>
  <c r="K7" i="32" s="1"/>
  <c r="L7" i="32" s="1"/>
  <c r="M7" i="32" s="1"/>
  <c r="N7" i="32" s="1"/>
  <c r="L10" i="12"/>
  <c r="L9" i="12" s="1"/>
  <c r="C22" i="8"/>
  <c r="C30" i="8" s="1"/>
  <c r="C44" i="8" s="1"/>
  <c r="C45" i="13"/>
  <c r="D22" i="8"/>
  <c r="E25" i="5"/>
  <c r="I17" i="6"/>
  <c r="I20" i="6" s="1"/>
  <c r="H22" i="6"/>
  <c r="H29" i="13"/>
  <c r="G9" i="6"/>
  <c r="F9" i="6"/>
  <c r="F19" i="6" s="1"/>
  <c r="F6" i="8"/>
  <c r="G47" i="13"/>
  <c r="H47" i="13" s="1"/>
  <c r="H31" i="32"/>
  <c r="J38" i="32"/>
  <c r="E40" i="32"/>
  <c r="D40" i="32"/>
  <c r="H18" i="32"/>
  <c r="I18" i="32" s="1"/>
  <c r="J18" i="32" s="1"/>
  <c r="K18" i="32" s="1"/>
  <c r="L18" i="32" s="1"/>
  <c r="M18" i="32" s="1"/>
  <c r="N18" i="32" s="1"/>
  <c r="G17" i="32"/>
  <c r="H16" i="32"/>
  <c r="I16" i="32" s="1"/>
  <c r="J16" i="32" s="1"/>
  <c r="K16" i="32" s="1"/>
  <c r="L16" i="32" s="1"/>
  <c r="M16" i="32" s="1"/>
  <c r="N16" i="32" s="1"/>
  <c r="G15" i="32"/>
  <c r="H15" i="32" s="1"/>
  <c r="I15" i="32" s="1"/>
  <c r="J15" i="32" s="1"/>
  <c r="K15" i="32" s="1"/>
  <c r="L15" i="32" s="1"/>
  <c r="M15" i="32" s="1"/>
  <c r="N15" i="32" s="1"/>
  <c r="H20" i="32"/>
  <c r="I20" i="32" s="1"/>
  <c r="J20" i="32" s="1"/>
  <c r="K20" i="32" s="1"/>
  <c r="L20" i="32" s="1"/>
  <c r="M20" i="32" s="1"/>
  <c r="N20" i="32" s="1"/>
  <c r="G19" i="32"/>
  <c r="H19" i="32" s="1"/>
  <c r="I19" i="32" s="1"/>
  <c r="J19" i="32" s="1"/>
  <c r="K19" i="32" s="1"/>
  <c r="L19" i="32" s="1"/>
  <c r="M19" i="32" s="1"/>
  <c r="N19" i="32" s="1"/>
  <c r="H14" i="32"/>
  <c r="I14" i="32" s="1"/>
  <c r="J14" i="32" s="1"/>
  <c r="K14" i="32" s="1"/>
  <c r="L14" i="32" s="1"/>
  <c r="M14" i="32" s="1"/>
  <c r="N14" i="32" s="1"/>
  <c r="G13" i="32"/>
  <c r="H13" i="32" s="1"/>
  <c r="I13" i="32" s="1"/>
  <c r="J13" i="32" s="1"/>
  <c r="K13" i="32" s="1"/>
  <c r="L13" i="32" s="1"/>
  <c r="M13" i="32" s="1"/>
  <c r="N13" i="32" s="1"/>
  <c r="G26" i="32"/>
  <c r="H26" i="32" s="1"/>
  <c r="D23" i="32"/>
  <c r="G28" i="32"/>
  <c r="H28" i="32" s="1"/>
  <c r="I28" i="32" s="1"/>
  <c r="J28" i="32" s="1"/>
  <c r="K28" i="32" s="1"/>
  <c r="L28" i="32" s="1"/>
  <c r="M28" i="32" s="1"/>
  <c r="N28" i="32" s="1"/>
  <c r="D42" i="8"/>
  <c r="E35" i="8"/>
  <c r="E38" i="8" s="1"/>
  <c r="E2" i="7"/>
  <c r="D33" i="7"/>
  <c r="D36" i="7" s="1"/>
  <c r="D25" i="7"/>
  <c r="G16" i="8"/>
  <c r="H2" i="8"/>
  <c r="F9" i="3"/>
  <c r="F5" i="6"/>
  <c r="F10" i="8"/>
  <c r="G11" i="7"/>
  <c r="H17" i="13"/>
  <c r="G5" i="6"/>
  <c r="H25" i="13"/>
  <c r="G26" i="13"/>
  <c r="G6" i="6" s="1"/>
  <c r="G18" i="13"/>
  <c r="H18" i="13" s="1"/>
  <c r="I18" i="13" s="1"/>
  <c r="G55" i="13"/>
  <c r="G12" i="7"/>
  <c r="G14" i="13"/>
  <c r="G24" i="13"/>
  <c r="G4" i="6" s="1"/>
  <c r="D10" i="5"/>
  <c r="D18" i="5" s="1"/>
  <c r="E10" i="5"/>
  <c r="E18" i="5" s="1"/>
  <c r="F2" i="5"/>
  <c r="L11" i="6"/>
  <c r="M11" i="6"/>
  <c r="D30" i="8"/>
  <c r="E30" i="8"/>
  <c r="G10" i="8"/>
  <c r="H50" i="13"/>
  <c r="H10" i="8" s="1"/>
  <c r="F4" i="5"/>
  <c r="G4" i="5" s="1"/>
  <c r="H4" i="5" s="1"/>
  <c r="I4" i="5" s="1"/>
  <c r="J4" i="5" s="1"/>
  <c r="K4" i="5" s="1"/>
  <c r="L4" i="5" s="1"/>
  <c r="M4" i="5" s="1"/>
  <c r="H6" i="8"/>
  <c r="I47" i="13"/>
  <c r="G6" i="8"/>
  <c r="C25" i="7"/>
  <c r="F7" i="8"/>
  <c r="G48" i="13"/>
  <c r="F12" i="13"/>
  <c r="G12" i="13" s="1"/>
  <c r="F45" i="13"/>
  <c r="F4" i="8" s="1"/>
  <c r="F56" i="13"/>
  <c r="F46" i="13"/>
  <c r="E21" i="7"/>
  <c r="F51" i="13"/>
  <c r="H11" i="32" l="1"/>
  <c r="I11" i="32" s="1"/>
  <c r="J11" i="32" s="1"/>
  <c r="K11" i="32" s="1"/>
  <c r="L11" i="32" s="1"/>
  <c r="M11" i="32" s="1"/>
  <c r="N11" i="32" s="1"/>
  <c r="H17" i="32"/>
  <c r="I17" i="32" s="1"/>
  <c r="J17" i="32" s="1"/>
  <c r="K17" i="32" s="1"/>
  <c r="L17" i="32" s="1"/>
  <c r="M17" i="32" s="1"/>
  <c r="N17" i="32" s="1"/>
  <c r="G22" i="32"/>
  <c r="G23" i="32" s="1"/>
  <c r="F6" i="13" s="1"/>
  <c r="J17" i="6"/>
  <c r="J20" i="6" s="1"/>
  <c r="I22" i="6"/>
  <c r="F20" i="6"/>
  <c r="F16" i="9"/>
  <c r="F17" i="9" s="1"/>
  <c r="I29" i="13"/>
  <c r="H9" i="6"/>
  <c r="E39" i="8"/>
  <c r="E42" i="8" s="1"/>
  <c r="E44" i="8" s="1"/>
  <c r="E57" i="13"/>
  <c r="F57" i="13" s="1"/>
  <c r="H12" i="7"/>
  <c r="H30" i="32"/>
  <c r="I30" i="32" s="1"/>
  <c r="J30" i="32" s="1"/>
  <c r="K30" i="32" s="1"/>
  <c r="L30" i="32" s="1"/>
  <c r="M30" i="32" s="1"/>
  <c r="N30" i="32" s="1"/>
  <c r="K38" i="32"/>
  <c r="G32" i="32"/>
  <c r="H3" i="32"/>
  <c r="I3" i="32" s="1"/>
  <c r="J3" i="32" s="1"/>
  <c r="K3" i="32" s="1"/>
  <c r="L3" i="32" s="1"/>
  <c r="M3" i="32" s="1"/>
  <c r="N3" i="32" s="1"/>
  <c r="H32" i="32"/>
  <c r="I26" i="32"/>
  <c r="I5" i="32"/>
  <c r="D44" i="8"/>
  <c r="E16" i="7"/>
  <c r="F2" i="7"/>
  <c r="I2" i="8"/>
  <c r="H16" i="8"/>
  <c r="H26" i="13"/>
  <c r="I26" i="13" s="1"/>
  <c r="H11" i="7"/>
  <c r="I17" i="13"/>
  <c r="H5" i="6"/>
  <c r="I25" i="13"/>
  <c r="H12" i="13"/>
  <c r="G6" i="7"/>
  <c r="I50" i="13"/>
  <c r="J50" i="13" s="1"/>
  <c r="H24" i="13"/>
  <c r="H4" i="6" s="1"/>
  <c r="H14" i="13"/>
  <c r="G8" i="7"/>
  <c r="G12" i="8"/>
  <c r="H55" i="13"/>
  <c r="J18" i="13"/>
  <c r="I12" i="7"/>
  <c r="G2" i="5"/>
  <c r="F10" i="5"/>
  <c r="F18" i="5" s="1"/>
  <c r="G3" i="5"/>
  <c r="I6" i="8"/>
  <c r="J47" i="13"/>
  <c r="F5" i="8"/>
  <c r="G46" i="13"/>
  <c r="G45" i="13"/>
  <c r="H45" i="13" s="1"/>
  <c r="I45" i="13" s="1"/>
  <c r="J45" i="13" s="1"/>
  <c r="K45" i="13" s="1"/>
  <c r="L45" i="13" s="1"/>
  <c r="M45" i="13" s="1"/>
  <c r="F13" i="13"/>
  <c r="G13" i="13" s="1"/>
  <c r="F6" i="7"/>
  <c r="F14" i="8"/>
  <c r="G57" i="13"/>
  <c r="G51" i="13"/>
  <c r="F9" i="8"/>
  <c r="F11" i="13"/>
  <c r="G11" i="13" s="1"/>
  <c r="E36" i="7"/>
  <c r="E25" i="7"/>
  <c r="F13" i="8"/>
  <c r="G56" i="13"/>
  <c r="G7" i="8"/>
  <c r="H48" i="13"/>
  <c r="H22" i="32" l="1"/>
  <c r="H23" i="32" s="1"/>
  <c r="G6" i="13" s="1"/>
  <c r="K17" i="6"/>
  <c r="K20" i="6" s="1"/>
  <c r="J22" i="6"/>
  <c r="J29" i="13"/>
  <c r="I9" i="6"/>
  <c r="F22" i="6"/>
  <c r="F28" i="6" s="1"/>
  <c r="F37" i="8"/>
  <c r="F26" i="6"/>
  <c r="F27" i="6" s="1"/>
  <c r="E43" i="7"/>
  <c r="E44" i="7"/>
  <c r="I10" i="8"/>
  <c r="I24" i="13"/>
  <c r="I4" i="6" s="1"/>
  <c r="H33" i="32"/>
  <c r="H39" i="32"/>
  <c r="G33" i="32"/>
  <c r="G39" i="32"/>
  <c r="G40" i="32" s="1"/>
  <c r="L38" i="32"/>
  <c r="I32" i="32"/>
  <c r="J26" i="32"/>
  <c r="I22" i="32"/>
  <c r="J5" i="32"/>
  <c r="F16" i="7"/>
  <c r="G2" i="7"/>
  <c r="J2" i="8"/>
  <c r="I16" i="8"/>
  <c r="H6" i="6"/>
  <c r="I11" i="7"/>
  <c r="J17" i="13"/>
  <c r="J25" i="13"/>
  <c r="I5" i="6"/>
  <c r="H12" i="8"/>
  <c r="I55" i="13"/>
  <c r="G5" i="7"/>
  <c r="H11" i="13"/>
  <c r="I14" i="13"/>
  <c r="H8" i="7"/>
  <c r="K18" i="13"/>
  <c r="J12" i="7"/>
  <c r="H13" i="13"/>
  <c r="G7" i="7"/>
  <c r="I12" i="13"/>
  <c r="H6" i="7"/>
  <c r="H2" i="5"/>
  <c r="G10" i="5"/>
  <c r="G18" i="5" s="1"/>
  <c r="J24" i="13"/>
  <c r="H3" i="5"/>
  <c r="K50" i="13"/>
  <c r="J10" i="8"/>
  <c r="J26" i="13"/>
  <c r="I6" i="6"/>
  <c r="J6" i="8"/>
  <c r="K47" i="13"/>
  <c r="H56" i="13"/>
  <c r="G13" i="8"/>
  <c r="F5" i="7"/>
  <c r="H51" i="13"/>
  <c r="G9" i="8"/>
  <c r="H57" i="13"/>
  <c r="G14" i="8"/>
  <c r="I48" i="13"/>
  <c r="H7" i="8"/>
  <c r="F7" i="7"/>
  <c r="H46" i="13"/>
  <c r="G5" i="8"/>
  <c r="I23" i="32" l="1"/>
  <c r="H6" i="13" s="1"/>
  <c r="L17" i="6"/>
  <c r="L20" i="6" s="1"/>
  <c r="K22" i="6"/>
  <c r="K29" i="13"/>
  <c r="J9" i="6"/>
  <c r="I33" i="32"/>
  <c r="I39" i="32"/>
  <c r="I40" i="32" s="1"/>
  <c r="H40" i="32"/>
  <c r="M38" i="32"/>
  <c r="J32" i="32"/>
  <c r="K26" i="32"/>
  <c r="K5" i="32"/>
  <c r="J22" i="32"/>
  <c r="J23" i="32" s="1"/>
  <c r="I6" i="13" s="1"/>
  <c r="H2" i="7"/>
  <c r="G16" i="7"/>
  <c r="J16" i="8"/>
  <c r="K2" i="8"/>
  <c r="J11" i="7"/>
  <c r="K17" i="13"/>
  <c r="K25" i="13"/>
  <c r="J5" i="6"/>
  <c r="J12" i="13"/>
  <c r="I6" i="7"/>
  <c r="I13" i="13"/>
  <c r="H7" i="7"/>
  <c r="L18" i="13"/>
  <c r="K12" i="7"/>
  <c r="J14" i="13"/>
  <c r="I8" i="7"/>
  <c r="I11" i="13"/>
  <c r="H5" i="7"/>
  <c r="J55" i="13"/>
  <c r="I12" i="8"/>
  <c r="I2" i="5"/>
  <c r="H10" i="5"/>
  <c r="H18" i="5" s="1"/>
  <c r="I3" i="5"/>
  <c r="J4" i="6"/>
  <c r="K24" i="13"/>
  <c r="L50" i="13"/>
  <c r="K10" i="8"/>
  <c r="J6" i="6"/>
  <c r="K26" i="13"/>
  <c r="L47" i="13"/>
  <c r="K6" i="8"/>
  <c r="F19" i="13"/>
  <c r="G19" i="13" s="1"/>
  <c r="J48" i="13"/>
  <c r="I7" i="8"/>
  <c r="H14" i="8"/>
  <c r="I57" i="13"/>
  <c r="I51" i="13"/>
  <c r="H9" i="8"/>
  <c r="I46" i="13"/>
  <c r="H5" i="8"/>
  <c r="E4" i="11"/>
  <c r="L4" i="11" s="1"/>
  <c r="L5" i="11" s="1"/>
  <c r="L6" i="11" s="1"/>
  <c r="L7" i="11" s="1"/>
  <c r="I56" i="13"/>
  <c r="H13" i="8"/>
  <c r="M17" i="6" l="1"/>
  <c r="M20" i="6" s="1"/>
  <c r="M22" i="6" s="1"/>
  <c r="L22" i="6"/>
  <c r="L29" i="13"/>
  <c r="K9" i="6"/>
  <c r="J33" i="32"/>
  <c r="J39" i="32"/>
  <c r="J40" i="32" s="1"/>
  <c r="N38" i="32"/>
  <c r="L26" i="32"/>
  <c r="K32" i="32"/>
  <c r="L5" i="32"/>
  <c r="K22" i="32"/>
  <c r="K23" i="32" s="1"/>
  <c r="J6" i="13" s="1"/>
  <c r="I2" i="7"/>
  <c r="H16" i="7"/>
  <c r="L2" i="8"/>
  <c r="K16" i="8"/>
  <c r="K11" i="7"/>
  <c r="L17" i="13"/>
  <c r="L25" i="13"/>
  <c r="K5" i="6"/>
  <c r="H19" i="13"/>
  <c r="G13" i="7"/>
  <c r="J12" i="8"/>
  <c r="K55" i="13"/>
  <c r="J11" i="13"/>
  <c r="I5" i="7"/>
  <c r="K14" i="13"/>
  <c r="J8" i="7"/>
  <c r="M18" i="13"/>
  <c r="M12" i="7" s="1"/>
  <c r="L12" i="7"/>
  <c r="I7" i="7"/>
  <c r="J13" i="13"/>
  <c r="K12" i="13"/>
  <c r="J6" i="7"/>
  <c r="J2" i="5"/>
  <c r="I10" i="5"/>
  <c r="I18" i="5" s="1"/>
  <c r="J3" i="5"/>
  <c r="L24" i="13"/>
  <c r="K4" i="6"/>
  <c r="M50" i="13"/>
  <c r="M10" i="8" s="1"/>
  <c r="L10" i="8"/>
  <c r="K6" i="6"/>
  <c r="L26" i="13"/>
  <c r="M47" i="13"/>
  <c r="M6" i="8" s="1"/>
  <c r="L6" i="8"/>
  <c r="F20" i="13"/>
  <c r="G20" i="13" s="1"/>
  <c r="I5" i="8"/>
  <c r="J46" i="13"/>
  <c r="J51" i="13"/>
  <c r="I9" i="8"/>
  <c r="I14" i="8"/>
  <c r="J57" i="13"/>
  <c r="J7" i="8"/>
  <c r="K48" i="13"/>
  <c r="J56" i="13"/>
  <c r="I13" i="8"/>
  <c r="F11" i="7"/>
  <c r="E12" i="11"/>
  <c r="F40" i="13"/>
  <c r="F13" i="7"/>
  <c r="M29" i="13" l="1"/>
  <c r="M9" i="6" s="1"/>
  <c r="L9" i="6"/>
  <c r="K33" i="32"/>
  <c r="K39" i="32"/>
  <c r="K40" i="32" s="1"/>
  <c r="M26" i="32"/>
  <c r="L32" i="32"/>
  <c r="M5" i="32"/>
  <c r="L22" i="32"/>
  <c r="L23" i="32" s="1"/>
  <c r="K6" i="13" s="1"/>
  <c r="J2" i="7"/>
  <c r="I16" i="7"/>
  <c r="M2" i="8"/>
  <c r="M16" i="8" s="1"/>
  <c r="L16" i="8"/>
  <c r="L11" i="7"/>
  <c r="M17" i="13"/>
  <c r="M11" i="7" s="1"/>
  <c r="M25" i="13"/>
  <c r="M5" i="6" s="1"/>
  <c r="L5" i="6"/>
  <c r="G14" i="7"/>
  <c r="H20" i="13"/>
  <c r="L12" i="13"/>
  <c r="K6" i="7"/>
  <c r="J7" i="7"/>
  <c r="K13" i="13"/>
  <c r="L55" i="13"/>
  <c r="K12" i="8"/>
  <c r="L14" i="13"/>
  <c r="K8" i="7"/>
  <c r="K11" i="13"/>
  <c r="J5" i="7"/>
  <c r="I19" i="13"/>
  <c r="H13" i="7"/>
  <c r="K2" i="5"/>
  <c r="J10" i="5"/>
  <c r="J18" i="5" s="1"/>
  <c r="L4" i="6"/>
  <c r="M24" i="13"/>
  <c r="M4" i="6" s="1"/>
  <c r="K3" i="5"/>
  <c r="M26" i="13"/>
  <c r="M6" i="6" s="1"/>
  <c r="L6" i="6"/>
  <c r="K51" i="13"/>
  <c r="J9" i="8"/>
  <c r="G40" i="13"/>
  <c r="M4" i="11"/>
  <c r="J14" i="8"/>
  <c r="K57" i="13"/>
  <c r="K56" i="13"/>
  <c r="J13" i="8"/>
  <c r="L48" i="13"/>
  <c r="K7" i="8"/>
  <c r="J5" i="8"/>
  <c r="K46" i="13"/>
  <c r="F41" i="13"/>
  <c r="F14" i="7"/>
  <c r="L33" i="32" l="1"/>
  <c r="L39" i="32"/>
  <c r="L40" i="32" s="1"/>
  <c r="N26" i="32"/>
  <c r="N32" i="32" s="1"/>
  <c r="N39" i="32" s="1"/>
  <c r="M32" i="32"/>
  <c r="M22" i="32"/>
  <c r="M23" i="32" s="1"/>
  <c r="L6" i="13" s="1"/>
  <c r="N5" i="32"/>
  <c r="N22" i="32" s="1"/>
  <c r="J16" i="7"/>
  <c r="K2" i="7"/>
  <c r="H14" i="7"/>
  <c r="I20" i="13"/>
  <c r="J19" i="13"/>
  <c r="I13" i="7"/>
  <c r="L11" i="13"/>
  <c r="K5" i="7"/>
  <c r="M14" i="13"/>
  <c r="M8" i="7" s="1"/>
  <c r="L8" i="7"/>
  <c r="M55" i="13"/>
  <c r="M12" i="8" s="1"/>
  <c r="L12" i="8"/>
  <c r="K7" i="7"/>
  <c r="L13" i="13"/>
  <c r="M12" i="13"/>
  <c r="M6" i="7" s="1"/>
  <c r="L6" i="7"/>
  <c r="L2" i="5"/>
  <c r="K10" i="5"/>
  <c r="K18" i="5" s="1"/>
  <c r="M3" i="5"/>
  <c r="L3" i="5"/>
  <c r="L46" i="13"/>
  <c r="K5" i="8"/>
  <c r="M5" i="11"/>
  <c r="H40" i="13"/>
  <c r="K14" i="8"/>
  <c r="L57" i="13"/>
  <c r="G41" i="13"/>
  <c r="L7" i="8"/>
  <c r="M48" i="13"/>
  <c r="M7" i="8" s="1"/>
  <c r="K13" i="8"/>
  <c r="L56" i="13"/>
  <c r="K9" i="8"/>
  <c r="L51" i="13"/>
  <c r="N23" i="32" l="1"/>
  <c r="M6" i="13" s="1"/>
  <c r="M33" i="32"/>
  <c r="M39" i="32"/>
  <c r="M40" i="32" s="1"/>
  <c r="N33" i="32"/>
  <c r="L2" i="7"/>
  <c r="K16" i="7"/>
  <c r="M13" i="13"/>
  <c r="M7" i="7" s="1"/>
  <c r="L7" i="7"/>
  <c r="K19" i="13"/>
  <c r="J13" i="7"/>
  <c r="M11" i="13"/>
  <c r="M5" i="7" s="1"/>
  <c r="L5" i="7"/>
  <c r="J20" i="13"/>
  <c r="I14" i="7"/>
  <c r="M2" i="5"/>
  <c r="M10" i="5" s="1"/>
  <c r="M18" i="5" s="1"/>
  <c r="L10" i="5"/>
  <c r="L18" i="5" s="1"/>
  <c r="H41" i="13"/>
  <c r="L5" i="8"/>
  <c r="M46" i="13"/>
  <c r="M5" i="8" s="1"/>
  <c r="M57" i="13"/>
  <c r="M14" i="8" s="1"/>
  <c r="L14" i="8"/>
  <c r="L9" i="8"/>
  <c r="M51" i="13"/>
  <c r="M9" i="8" s="1"/>
  <c r="M6" i="11"/>
  <c r="M7" i="11"/>
  <c r="M56" i="13"/>
  <c r="M13" i="8" s="1"/>
  <c r="L13" i="8"/>
  <c r="I40" i="13"/>
  <c r="N40" i="32" l="1"/>
  <c r="L16" i="7"/>
  <c r="M2" i="7"/>
  <c r="M16" i="7" s="1"/>
  <c r="K20" i="13"/>
  <c r="J14" i="7"/>
  <c r="L19" i="13"/>
  <c r="K13" i="7"/>
  <c r="M11" i="11"/>
  <c r="E7" i="11" s="1"/>
  <c r="I41" i="13"/>
  <c r="J40" i="13"/>
  <c r="E8" i="11" l="1"/>
  <c r="E13" i="11" s="1"/>
  <c r="P2" i="12" s="1"/>
  <c r="M19" i="13"/>
  <c r="M13" i="7" s="1"/>
  <c r="L13" i="7"/>
  <c r="L20" i="13"/>
  <c r="K14" i="7"/>
  <c r="K40" i="13"/>
  <c r="J41" i="13"/>
  <c r="D3" i="12" l="1"/>
  <c r="G3" i="12"/>
  <c r="H3" i="12"/>
  <c r="I3" i="12"/>
  <c r="K3" i="12"/>
  <c r="J3" i="12"/>
  <c r="F3" i="12"/>
  <c r="E3" i="12"/>
  <c r="M20" i="13"/>
  <c r="M14" i="7" s="1"/>
  <c r="L14" i="7"/>
  <c r="K41" i="13"/>
  <c r="L40" i="13"/>
  <c r="M40" i="13" l="1"/>
  <c r="L41" i="13"/>
  <c r="M41" i="13" l="1"/>
  <c r="K10" i="13"/>
  <c r="H10" i="13"/>
  <c r="M10" i="13"/>
  <c r="M4" i="7" s="1"/>
  <c r="I10" i="13"/>
  <c r="I4" i="7" s="1"/>
  <c r="G10" i="13"/>
  <c r="L10" i="13"/>
  <c r="L4" i="7" s="1"/>
  <c r="J10" i="13"/>
  <c r="F10" i="13"/>
  <c r="H4" i="7" l="1"/>
  <c r="K4" i="7"/>
  <c r="F4" i="7"/>
  <c r="F17" i="7" s="1"/>
  <c r="G4" i="7"/>
  <c r="J4" i="7"/>
  <c r="F3" i="10" l="1"/>
  <c r="F38" i="8"/>
  <c r="F27" i="8"/>
  <c r="F19" i="8"/>
  <c r="F21" i="5" s="1"/>
  <c r="G17" i="7"/>
  <c r="F7" i="5"/>
  <c r="F17" i="8"/>
  <c r="F21" i="8"/>
  <c r="F22" i="5" s="1"/>
  <c r="F34" i="8"/>
  <c r="F24" i="5" s="1"/>
  <c r="F20" i="7"/>
  <c r="F18" i="7"/>
  <c r="F19" i="7"/>
  <c r="F21" i="7" l="1"/>
  <c r="F33" i="8"/>
  <c r="F23" i="5" s="1"/>
  <c r="F20" i="8"/>
  <c r="F20" i="5" s="1"/>
  <c r="F4" i="10"/>
  <c r="F7" i="10" s="1"/>
  <c r="F25" i="7"/>
  <c r="F33" i="7"/>
  <c r="G18" i="7"/>
  <c r="G34" i="8"/>
  <c r="G24" i="5" s="1"/>
  <c r="G20" i="7"/>
  <c r="G17" i="8"/>
  <c r="G19" i="8"/>
  <c r="G21" i="5" s="1"/>
  <c r="G21" i="8"/>
  <c r="G22" i="5" s="1"/>
  <c r="G7" i="5"/>
  <c r="G11" i="9" s="1"/>
  <c r="H17" i="7"/>
  <c r="G19" i="7"/>
  <c r="G27" i="8"/>
  <c r="G7" i="9" s="1"/>
  <c r="G11" i="10" s="1"/>
  <c r="G38" i="8"/>
  <c r="G3" i="10"/>
  <c r="F39" i="8"/>
  <c r="F8" i="9"/>
  <c r="F12" i="10" s="1"/>
  <c r="F19" i="5"/>
  <c r="F9" i="5"/>
  <c r="F11" i="9"/>
  <c r="F7" i="9"/>
  <c r="F11" i="10" s="1"/>
  <c r="G21" i="7" l="1"/>
  <c r="F25" i="5"/>
  <c r="F12" i="9"/>
  <c r="F13" i="10"/>
  <c r="G12" i="9"/>
  <c r="G13" i="10"/>
  <c r="G33" i="7"/>
  <c r="G4" i="10"/>
  <c r="G7" i="10" s="1"/>
  <c r="G39" i="8"/>
  <c r="G8" i="9"/>
  <c r="G12" i="10" s="1"/>
  <c r="G19" i="5"/>
  <c r="G6" i="5"/>
  <c r="F24" i="8"/>
  <c r="F28" i="8" s="1"/>
  <c r="F26" i="5"/>
  <c r="F6" i="9" s="1"/>
  <c r="F10" i="10" s="1"/>
  <c r="F15" i="10" s="1"/>
  <c r="D4" i="12" s="1"/>
  <c r="F35" i="7"/>
  <c r="F36" i="7" s="1"/>
  <c r="H18" i="7"/>
  <c r="H3" i="10"/>
  <c r="H19" i="7"/>
  <c r="H21" i="8"/>
  <c r="H22" i="5" s="1"/>
  <c r="H34" i="8"/>
  <c r="H24" i="5" s="1"/>
  <c r="H17" i="8"/>
  <c r="H38" i="8"/>
  <c r="I17" i="7"/>
  <c r="H27" i="8"/>
  <c r="H19" i="8"/>
  <c r="H21" i="5" s="1"/>
  <c r="H7" i="5"/>
  <c r="H11" i="9" s="1"/>
  <c r="H20" i="7"/>
  <c r="G20" i="8"/>
  <c r="G20" i="5" s="1"/>
  <c r="G33" i="8"/>
  <c r="G23" i="5" s="1"/>
  <c r="H21" i="7" l="1"/>
  <c r="H4" i="10"/>
  <c r="H7" i="10" s="1"/>
  <c r="H33" i="7"/>
  <c r="I27" i="8"/>
  <c r="I17" i="8"/>
  <c r="I21" i="8"/>
  <c r="I22" i="5" s="1"/>
  <c r="I19" i="7"/>
  <c r="J17" i="7"/>
  <c r="I18" i="7"/>
  <c r="I20" i="7"/>
  <c r="I34" i="8"/>
  <c r="I24" i="5" s="1"/>
  <c r="I38" i="8"/>
  <c r="I7" i="5"/>
  <c r="I11" i="9" s="1"/>
  <c r="I19" i="8"/>
  <c r="I21" i="5" s="1"/>
  <c r="I3" i="10"/>
  <c r="H39" i="8"/>
  <c r="H8" i="9"/>
  <c r="H12" i="10" s="1"/>
  <c r="H19" i="5"/>
  <c r="F3" i="9"/>
  <c r="F9" i="9" s="1"/>
  <c r="F19" i="9" s="1"/>
  <c r="F22" i="9" s="1"/>
  <c r="F23" i="9" s="1"/>
  <c r="F43" i="7"/>
  <c r="F14" i="5"/>
  <c r="F17" i="5" s="1"/>
  <c r="F44" i="7"/>
  <c r="H20" i="8"/>
  <c r="H20" i="5" s="1"/>
  <c r="H33" i="8"/>
  <c r="H23" i="5" s="1"/>
  <c r="G8" i="5"/>
  <c r="G9" i="5" s="1"/>
  <c r="H13" i="10"/>
  <c r="H12" i="9"/>
  <c r="H7" i="9"/>
  <c r="H11" i="10" s="1"/>
  <c r="G25" i="5"/>
  <c r="G35" i="7"/>
  <c r="G36" i="7" s="1"/>
  <c r="G24" i="8" l="1"/>
  <c r="G28" i="8" s="1"/>
  <c r="H6" i="5"/>
  <c r="F18" i="8"/>
  <c r="F32" i="8"/>
  <c r="F35" i="8" s="1"/>
  <c r="G14" i="5"/>
  <c r="G44" i="7"/>
  <c r="G3" i="9"/>
  <c r="G43" i="7"/>
  <c r="F41" i="8"/>
  <c r="G13" i="5"/>
  <c r="H25" i="5"/>
  <c r="H26" i="5" s="1"/>
  <c r="H6" i="9" s="1"/>
  <c r="H10" i="10" s="1"/>
  <c r="I33" i="8"/>
  <c r="I23" i="5" s="1"/>
  <c r="I20" i="8"/>
  <c r="I20" i="5" s="1"/>
  <c r="G4" i="9"/>
  <c r="G8" i="10" s="1"/>
  <c r="G23" i="7"/>
  <c r="G25" i="7" s="1"/>
  <c r="J7" i="9"/>
  <c r="J11" i="10" s="1"/>
  <c r="I8" i="9"/>
  <c r="I12" i="10" s="1"/>
  <c r="I39" i="8"/>
  <c r="I21" i="7"/>
  <c r="I19" i="5"/>
  <c r="G26" i="5"/>
  <c r="G6" i="9" s="1"/>
  <c r="G10" i="10" s="1"/>
  <c r="H35" i="7"/>
  <c r="H36" i="7" s="1"/>
  <c r="I7" i="9"/>
  <c r="I11" i="10" s="1"/>
  <c r="I12" i="9"/>
  <c r="I13" i="10"/>
  <c r="J20" i="7"/>
  <c r="J18" i="7"/>
  <c r="J19" i="7"/>
  <c r="J7" i="5"/>
  <c r="J11" i="9" s="1"/>
  <c r="J3" i="10"/>
  <c r="J17" i="8"/>
  <c r="J21" i="8"/>
  <c r="J22" i="5" s="1"/>
  <c r="J27" i="8"/>
  <c r="K17" i="7"/>
  <c r="J38" i="8"/>
  <c r="J19" i="8"/>
  <c r="J21" i="5" s="1"/>
  <c r="J34" i="8"/>
  <c r="J24" i="5" s="1"/>
  <c r="F42" i="8" l="1"/>
  <c r="G15" i="10"/>
  <c r="E4" i="12" s="1"/>
  <c r="G17" i="5"/>
  <c r="G41" i="8" s="1"/>
  <c r="J33" i="8"/>
  <c r="J23" i="5" s="1"/>
  <c r="J20" i="8"/>
  <c r="J20" i="5" s="1"/>
  <c r="I25" i="5"/>
  <c r="I26" i="5" s="1"/>
  <c r="I6" i="9" s="1"/>
  <c r="I10" i="10" s="1"/>
  <c r="H43" i="7"/>
  <c r="H14" i="5"/>
  <c r="H3" i="9"/>
  <c r="H44" i="7"/>
  <c r="G9" i="9"/>
  <c r="G19" i="9" s="1"/>
  <c r="G22" i="9" s="1"/>
  <c r="J8" i="9"/>
  <c r="J12" i="10" s="1"/>
  <c r="J39" i="8"/>
  <c r="K3" i="10"/>
  <c r="K19" i="8"/>
  <c r="K21" i="5" s="1"/>
  <c r="K38" i="8"/>
  <c r="K17" i="8"/>
  <c r="L17" i="7"/>
  <c r="K21" i="8"/>
  <c r="K22" i="5" s="1"/>
  <c r="K27" i="8"/>
  <c r="K7" i="9" s="1"/>
  <c r="K11" i="10" s="1"/>
  <c r="K19" i="7"/>
  <c r="K18" i="7"/>
  <c r="K7" i="5"/>
  <c r="K11" i="9" s="1"/>
  <c r="K20" i="7"/>
  <c r="K34" i="8"/>
  <c r="K24" i="5" s="1"/>
  <c r="G21" i="9"/>
  <c r="F31" i="6"/>
  <c r="F33" i="6" s="1"/>
  <c r="F22" i="8"/>
  <c r="F30" i="8" s="1"/>
  <c r="F44" i="8" s="1"/>
  <c r="J19" i="5"/>
  <c r="J21" i="7"/>
  <c r="H8" i="5"/>
  <c r="I33" i="7"/>
  <c r="I4" i="10"/>
  <c r="I7" i="10" s="1"/>
  <c r="H13" i="5"/>
  <c r="J13" i="10"/>
  <c r="J12" i="9"/>
  <c r="G23" i="9" l="1"/>
  <c r="G18" i="8" s="1"/>
  <c r="H17" i="5"/>
  <c r="K33" i="8"/>
  <c r="K23" i="5" s="1"/>
  <c r="K20" i="8"/>
  <c r="K20" i="5" s="1"/>
  <c r="K8" i="9"/>
  <c r="K12" i="10" s="1"/>
  <c r="K39" i="8"/>
  <c r="I13" i="5"/>
  <c r="H41" i="8"/>
  <c r="K12" i="9"/>
  <c r="K13" i="10"/>
  <c r="M17" i="7"/>
  <c r="L19" i="8"/>
  <c r="L21" i="5" s="1"/>
  <c r="L3" i="10"/>
  <c r="L20" i="7"/>
  <c r="L34" i="8"/>
  <c r="L24" i="5" s="1"/>
  <c r="L19" i="7"/>
  <c r="L18" i="7"/>
  <c r="L21" i="8"/>
  <c r="L22" i="5" s="1"/>
  <c r="L27" i="8"/>
  <c r="L7" i="9" s="1"/>
  <c r="L11" i="10" s="1"/>
  <c r="L7" i="5"/>
  <c r="L11" i="9" s="1"/>
  <c r="L17" i="8"/>
  <c r="L38" i="8"/>
  <c r="K19" i="5"/>
  <c r="K25" i="5" s="1"/>
  <c r="K21" i="7"/>
  <c r="I35" i="7"/>
  <c r="I36" i="7" s="1"/>
  <c r="H4" i="9"/>
  <c r="H8" i="10" s="1"/>
  <c r="H15" i="10" s="1"/>
  <c r="F4" i="12" s="1"/>
  <c r="H23" i="7"/>
  <c r="H25" i="7" s="1"/>
  <c r="H9" i="5"/>
  <c r="J4" i="10"/>
  <c r="J7" i="10" s="1"/>
  <c r="J33" i="7"/>
  <c r="J25" i="5"/>
  <c r="G32" i="8" l="1"/>
  <c r="G35" i="8" s="1"/>
  <c r="G42" i="8" s="1"/>
  <c r="L21" i="7"/>
  <c r="H9" i="9"/>
  <c r="H19" i="9" s="1"/>
  <c r="H22" i="9" s="1"/>
  <c r="K4" i="10"/>
  <c r="K7" i="10" s="1"/>
  <c r="K33" i="7"/>
  <c r="I43" i="7"/>
  <c r="I14" i="5"/>
  <c r="I17" i="5" s="1"/>
  <c r="I3" i="9"/>
  <c r="I44" i="7"/>
  <c r="L13" i="10"/>
  <c r="L12" i="9"/>
  <c r="L33" i="7"/>
  <c r="L4" i="10"/>
  <c r="L7" i="10" s="1"/>
  <c r="M34" i="8"/>
  <c r="M24" i="5" s="1"/>
  <c r="M20" i="7"/>
  <c r="M7" i="5"/>
  <c r="M11" i="9" s="1"/>
  <c r="M27" i="8"/>
  <c r="M7" i="9" s="1"/>
  <c r="M11" i="10" s="1"/>
  <c r="M3" i="10"/>
  <c r="M17" i="8"/>
  <c r="M18" i="7"/>
  <c r="M21" i="8"/>
  <c r="M22" i="5" s="1"/>
  <c r="M38" i="8"/>
  <c r="M19" i="7"/>
  <c r="M19" i="8"/>
  <c r="M21" i="5" s="1"/>
  <c r="L19" i="5"/>
  <c r="L33" i="8"/>
  <c r="L23" i="5" s="1"/>
  <c r="L20" i="8"/>
  <c r="L20" i="5" s="1"/>
  <c r="K26" i="5"/>
  <c r="K6" i="9" s="1"/>
  <c r="K10" i="10" s="1"/>
  <c r="G31" i="6"/>
  <c r="G33" i="6" s="1"/>
  <c r="H21" i="9"/>
  <c r="H23" i="9" s="1"/>
  <c r="G22" i="8"/>
  <c r="G30" i="8" s="1"/>
  <c r="G44" i="8" s="1"/>
  <c r="L8" i="9"/>
  <c r="L12" i="10" s="1"/>
  <c r="L39" i="8"/>
  <c r="J35" i="7"/>
  <c r="J36" i="7" s="1"/>
  <c r="J26" i="5"/>
  <c r="J6" i="9" s="1"/>
  <c r="J10" i="10" s="1"/>
  <c r="I6" i="5"/>
  <c r="H24" i="8"/>
  <c r="H28" i="8" s="1"/>
  <c r="L25" i="5" l="1"/>
  <c r="H32" i="8"/>
  <c r="H35" i="8" s="1"/>
  <c r="H42" i="8" s="1"/>
  <c r="H18" i="8"/>
  <c r="M12" i="9"/>
  <c r="M13" i="10"/>
  <c r="I41" i="8"/>
  <c r="J13" i="5"/>
  <c r="M39" i="8"/>
  <c r="M8" i="9"/>
  <c r="M12" i="10" s="1"/>
  <c r="M20" i="8"/>
  <c r="M20" i="5" s="1"/>
  <c r="M33" i="8"/>
  <c r="M23" i="5" s="1"/>
  <c r="M19" i="5"/>
  <c r="I8" i="5"/>
  <c r="I9" i="5" s="1"/>
  <c r="J14" i="5"/>
  <c r="J3" i="9"/>
  <c r="J44" i="7"/>
  <c r="J43" i="7"/>
  <c r="M21" i="7"/>
  <c r="L35" i="7"/>
  <c r="L36" i="7" s="1"/>
  <c r="K35" i="7"/>
  <c r="K36" i="7" s="1"/>
  <c r="M25" i="5" l="1"/>
  <c r="L3" i="9"/>
  <c r="L43" i="7"/>
  <c r="L14" i="5"/>
  <c r="L44" i="7"/>
  <c r="K43" i="7"/>
  <c r="K14" i="5"/>
  <c r="K44" i="7"/>
  <c r="K3" i="9"/>
  <c r="I24" i="8"/>
  <c r="I28" i="8" s="1"/>
  <c r="J6" i="5"/>
  <c r="J17" i="5"/>
  <c r="M33" i="7"/>
  <c r="M4" i="10"/>
  <c r="M7" i="10" s="1"/>
  <c r="I4" i="9"/>
  <c r="I23" i="7"/>
  <c r="I25" i="7" s="1"/>
  <c r="H31" i="6"/>
  <c r="H33" i="6" s="1"/>
  <c r="I21" i="9"/>
  <c r="H22" i="8"/>
  <c r="H30" i="8" s="1"/>
  <c r="H44" i="8" s="1"/>
  <c r="M26" i="5"/>
  <c r="M6" i="9" s="1"/>
  <c r="M10" i="10" s="1"/>
  <c r="L26" i="5"/>
  <c r="L6" i="9" s="1"/>
  <c r="L10" i="10" s="1"/>
  <c r="I8" i="10" l="1"/>
  <c r="I15" i="10" s="1"/>
  <c r="G4" i="12" s="1"/>
  <c r="I9" i="9"/>
  <c r="I19" i="9" s="1"/>
  <c r="I22" i="9" s="1"/>
  <c r="I23" i="9" s="1"/>
  <c r="K13" i="5"/>
  <c r="K17" i="5" s="1"/>
  <c r="J41" i="8"/>
  <c r="M35" i="7"/>
  <c r="M36" i="7" s="1"/>
  <c r="J8" i="5"/>
  <c r="J9" i="5" s="1"/>
  <c r="J24" i="8" l="1"/>
  <c r="J28" i="8" s="1"/>
  <c r="K6" i="5"/>
  <c r="M3" i="9"/>
  <c r="M44" i="7"/>
  <c r="M43" i="7"/>
  <c r="M14" i="5"/>
  <c r="K41" i="8"/>
  <c r="L13" i="5"/>
  <c r="L17" i="5" s="1"/>
  <c r="I18" i="8"/>
  <c r="I32" i="8"/>
  <c r="I35" i="8" s="1"/>
  <c r="I42" i="8" s="1"/>
  <c r="J4" i="9"/>
  <c r="J23" i="7"/>
  <c r="J25" i="7" s="1"/>
  <c r="I31" i="6" l="1"/>
  <c r="I33" i="6" s="1"/>
  <c r="J21" i="9"/>
  <c r="I22" i="8"/>
  <c r="I30" i="8" s="1"/>
  <c r="I44" i="8" s="1"/>
  <c r="K8" i="5"/>
  <c r="J8" i="10"/>
  <c r="J15" i="10" s="1"/>
  <c r="H4" i="12" s="1"/>
  <c r="J9" i="9"/>
  <c r="J19" i="9" s="1"/>
  <c r="J22" i="9" s="1"/>
  <c r="L41" i="8"/>
  <c r="M13" i="5"/>
  <c r="M17" i="5" s="1"/>
  <c r="M41" i="8" s="1"/>
  <c r="K23" i="7" l="1"/>
  <c r="K25" i="7" s="1"/>
  <c r="K4" i="9"/>
  <c r="K9" i="5"/>
  <c r="J23" i="9"/>
  <c r="J18" i="8" l="1"/>
  <c r="J32" i="8"/>
  <c r="J35" i="8" s="1"/>
  <c r="J42" i="8" s="1"/>
  <c r="K24" i="8"/>
  <c r="K28" i="8" s="1"/>
  <c r="L6" i="5"/>
  <c r="K8" i="10"/>
  <c r="K15" i="10" s="1"/>
  <c r="I4" i="12" s="1"/>
  <c r="K9" i="9"/>
  <c r="K19" i="9" s="1"/>
  <c r="K22" i="9" s="1"/>
  <c r="L8" i="5" l="1"/>
  <c r="J31" i="6"/>
  <c r="J33" i="6" s="1"/>
  <c r="K21" i="9"/>
  <c r="K23" i="9" s="1"/>
  <c r="J22" i="8"/>
  <c r="J30" i="8" s="1"/>
  <c r="J44" i="8" s="1"/>
  <c r="K18" i="8" l="1"/>
  <c r="K32" i="8"/>
  <c r="K35" i="8" s="1"/>
  <c r="K42" i="8" s="1"/>
  <c r="L4" i="9"/>
  <c r="L23" i="7"/>
  <c r="L25" i="7" s="1"/>
  <c r="L9" i="5"/>
  <c r="M6" i="5" l="1"/>
  <c r="L24" i="8"/>
  <c r="L28" i="8" s="1"/>
  <c r="L8" i="10"/>
  <c r="L15" i="10" s="1"/>
  <c r="J4" i="12" s="1"/>
  <c r="L9" i="9"/>
  <c r="L19" i="9" s="1"/>
  <c r="L22" i="9" s="1"/>
  <c r="K31" i="6"/>
  <c r="K33" i="6" s="1"/>
  <c r="L21" i="9"/>
  <c r="K22" i="8"/>
  <c r="K30" i="8" s="1"/>
  <c r="K44" i="8" s="1"/>
  <c r="L23" i="9" l="1"/>
  <c r="M8" i="5"/>
  <c r="M23" i="7" l="1"/>
  <c r="M25" i="7" s="1"/>
  <c r="G8" i="12" s="1"/>
  <c r="M4" i="9"/>
  <c r="M9" i="5"/>
  <c r="M24" i="8" s="1"/>
  <c r="M28" i="8" s="1"/>
  <c r="L32" i="8"/>
  <c r="L35" i="8" s="1"/>
  <c r="L42" i="8" s="1"/>
  <c r="L18" i="8"/>
  <c r="L31" i="6" l="1"/>
  <c r="L33" i="6" s="1"/>
  <c r="M21" i="9"/>
  <c r="L22" i="8"/>
  <c r="L30" i="8" s="1"/>
  <c r="L44" i="8" s="1"/>
  <c r="M8" i="10"/>
  <c r="M15" i="10" s="1"/>
  <c r="K4" i="12" s="1"/>
  <c r="M9" i="9"/>
  <c r="M19" i="9" s="1"/>
  <c r="M22" i="9" s="1"/>
  <c r="M23" i="9" l="1"/>
  <c r="K5" i="12"/>
  <c r="C8" i="12" s="1"/>
  <c r="C7" i="12"/>
  <c r="C9" i="12" l="1"/>
  <c r="C15" i="12" s="1"/>
  <c r="C18" i="12" s="1"/>
  <c r="L8" i="12" s="1"/>
  <c r="G7" i="12"/>
  <c r="G9" i="12" s="1"/>
  <c r="G15" i="12" s="1"/>
  <c r="G18" i="12" s="1"/>
  <c r="Q8" i="12" s="1"/>
  <c r="M18" i="8"/>
  <c r="M32" i="8"/>
  <c r="M35" i="8" s="1"/>
  <c r="M42" i="8" s="1"/>
  <c r="M31" i="6" l="1"/>
  <c r="M33" i="6" s="1"/>
  <c r="M22" i="8"/>
  <c r="M30" i="8" s="1"/>
  <c r="M4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</author>
    <author>Ascoli</author>
  </authors>
  <commentList>
    <comment ref="H4" authorId="0" shapeId="0" xr:uid="{DE640FCE-9F47-41CF-B004-DB74A335952A}">
      <text>
        <r>
          <rPr>
            <b/>
            <sz val="9"/>
            <color indexed="81"/>
            <rFont val="Tahoma"/>
            <family val="2"/>
          </rPr>
          <t>Alan:</t>
        </r>
        <r>
          <rPr>
            <sz val="9"/>
            <color indexed="81"/>
            <rFont val="Tahoma"/>
            <family val="2"/>
          </rPr>
          <t xml:space="preserve">
Only for extra confluence
</t>
        </r>
      </text>
    </comment>
    <comment ref="C5" authorId="1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<sst xmlns="http://schemas.openxmlformats.org/spreadsheetml/2006/main" count="483" uniqueCount="266">
  <si>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</si>
  <si>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</si>
  <si>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</si>
  <si>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</si>
  <si>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</si>
  <si>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</si>
  <si>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</si>
  <si>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</si>
  <si>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</si>
  <si>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</si>
  <si>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</si>
  <si>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</si>
  <si>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</si>
  <si>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</si>
  <si>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</si>
  <si>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</si>
  <si>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</si>
  <si>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</si>
  <si>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</si>
  <si>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</si>
  <si>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</si>
  <si>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Dividends paid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</si>
  <si>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</si>
  <si>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</si>
  <si>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</si>
  <si>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</si>
  <si>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</si>
  <si>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</si>
  <si>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</si>
  <si>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</si>
  <si>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</si>
  <si>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</si>
  <si>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</si>
  <si>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</si>
  <si>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</si>
  <si>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</si>
  <si>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</si>
  <si>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</si>
  <si>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</si>
  <si>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</si>
  <si>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</si>
  <si>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</si>
  <si>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</si>
  <si>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</si>
  <si>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</si>
  <si>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</si>
  <si>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</si>
  <si>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</si>
  <si>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</si>
  <si>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</si>
  <si>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</si>
  <si>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</si>
  <si>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</si>
  <si>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</si>
  <si>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</si>
  <si>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</si>
  <si>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</si>
  <si>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</si>
  <si>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</si>
  <si>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</si>
  <si>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Dividends</t>
  </si>
  <si>
    <t>Shareholder information</t>
  </si>
  <si>
    <t>Basic earnings per share</t>
  </si>
  <si>
    <t>Diluted earnings per share</t>
  </si>
  <si>
    <t>Balance sheet</t>
  </si>
  <si>
    <t>Inventories % of COGS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</si>
  <si>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</si>
  <si>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</si>
  <si>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</si>
  <si>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</si>
  <si>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</si>
  <si>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Inventories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</si>
  <si>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</si>
  <si>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</si>
  <si>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</si>
  <si>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</si>
  <si>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</si>
  <si>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</si>
  <si>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</si>
  <si>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</si>
  <si>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</si>
  <si>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</si>
  <si>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</si>
  <si>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</si>
  <si>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</si>
  <si>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</si>
  <si>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</si>
  <si>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</si>
  <si>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</si>
  <si>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</si>
  <si>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</si>
  <si>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</si>
  <si>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</si>
  <si>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</si>
  <si>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</si>
  <si>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</si>
  <si>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</si>
  <si>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</si>
  <si>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</si>
  <si>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</si>
  <si>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</si>
  <si>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</si>
  <si>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</si>
  <si>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</si>
  <si>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</si>
  <si>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</si>
  <si>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</si>
  <si>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</si>
  <si>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</si>
  <si>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</si>
  <si>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</si>
  <si>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</si>
  <si>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</si>
  <si>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</si>
  <si>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</si>
  <si>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</si>
  <si>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</si>
  <si>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</si>
  <si>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</si>
  <si>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</si>
  <si>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</si>
  <si>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</si>
  <si>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</si>
  <si>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</si>
  <si>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</si>
  <si>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</si>
  <si>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</si>
  <si>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</si>
  <si>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</si>
  <si>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</si>
  <si>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</si>
  <si>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</si>
  <si>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</si>
  <si>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</si>
  <si>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</si>
  <si>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</si>
  <si>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</si>
  <si>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</si>
  <si>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</si>
  <si>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</si>
  <si>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</si>
  <si>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</si>
  <si>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</si>
  <si>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</si>
  <si>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</si>
  <si>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</si>
  <si>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</si>
  <si>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</si>
  <si>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</si>
  <si>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</si>
  <si>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</si>
  <si>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</si>
  <si>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</si>
  <si>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</si>
  <si>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</si>
  <si>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</si>
  <si>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</si>
  <si>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</si>
  <si>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</si>
  <si>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</si>
  <si>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</si>
  <si>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</si>
  <si>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Investment in unconsolidated entities</t>
  </si>
  <si>
    <t>Investment in unconsolidated entities $ balance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</si>
  <si>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</si>
  <si>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</si>
  <si>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</si>
  <si>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</si>
  <si>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</si>
  <si>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</si>
  <si>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</si>
  <si>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</si>
  <si>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</si>
  <si>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</si>
  <si>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</si>
  <si>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DCF tables</t>
  </si>
  <si>
    <t>Diluted s/o</t>
  </si>
  <si>
    <t>Cash</t>
  </si>
  <si>
    <t>Implied Price</t>
  </si>
  <si>
    <t>Difference</t>
  </si>
  <si>
    <t>R&amp;D</t>
  </si>
  <si>
    <t>R&amp;D % of sales</t>
  </si>
  <si>
    <t>Investments in unconsolidated entities</t>
  </si>
  <si>
    <t>Cost of debt</t>
  </si>
  <si>
    <t>Price 10/14/25</t>
  </si>
  <si>
    <t>LTM EV/EBITDA</t>
  </si>
  <si>
    <t>Average</t>
  </si>
  <si>
    <t>Delta -&gt; Average</t>
  </si>
  <si>
    <t>EV/EBITDA 2026E</t>
  </si>
  <si>
    <t>EV/EBIT 2026E</t>
  </si>
  <si>
    <t>Company Symbol</t>
  </si>
  <si>
    <t>Enterprise Value</t>
  </si>
  <si>
    <t>LTM P/E Ratio</t>
  </si>
  <si>
    <t>P/E Ratio 2026E</t>
  </si>
  <si>
    <t xml:space="preserve">LTM EV/EBIT </t>
  </si>
  <si>
    <t>LTM EV/Sales</t>
  </si>
  <si>
    <t>EV/Sales 2026E</t>
  </si>
  <si>
    <t>Delta % Average</t>
  </si>
  <si>
    <t>Presentation slide</t>
  </si>
  <si>
    <t>Football field + SOTP Comps analysis</t>
  </si>
  <si>
    <t>Perpetuity</t>
  </si>
  <si>
    <t>DCF Analysis (Sensitivity tables)</t>
  </si>
  <si>
    <t>Projection ranges</t>
  </si>
  <si>
    <t>Terminal Mult</t>
  </si>
  <si>
    <t>Model Details</t>
  </si>
  <si>
    <t>Current price</t>
  </si>
  <si>
    <t>Microsoft Corp.</t>
  </si>
  <si>
    <t>Productivity and Business Processes</t>
  </si>
  <si>
    <t>Server products and cloud services</t>
  </si>
  <si>
    <t>y/y</t>
  </si>
  <si>
    <t>Microsoft 365 Commerical products and cloud services</t>
  </si>
  <si>
    <t>Gaming</t>
  </si>
  <si>
    <t>LinkedIn</t>
  </si>
  <si>
    <t>Windows and Devices</t>
  </si>
  <si>
    <t>Search and news advertising</t>
  </si>
  <si>
    <t>Dynamic products and cloud services</t>
  </si>
  <si>
    <t>Enterprise and partner services</t>
  </si>
  <si>
    <t>Microsoft 365 Consumer products and cloud servcies</t>
  </si>
  <si>
    <t>Other</t>
  </si>
  <si>
    <t>TOTAL REVENUES</t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</si>
  <si>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</si>
  <si>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</si>
  <si>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</si>
  <si>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</si>
  <si>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</si>
  <si>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</si>
  <si>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</si>
  <si>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</si>
  <si>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Revenues (Individual Businesses)</t>
  </si>
  <si>
    <t>Revenues (Sectors)</t>
  </si>
  <si>
    <t>Intelligent Cloud</t>
  </si>
  <si>
    <t>More Personal Computing</t>
  </si>
  <si>
    <t>EBIT Margins (Sectors)</t>
  </si>
  <si>
    <t>TOTAL EBIT</t>
  </si>
  <si>
    <t>TOTAL EBIT MARGIN</t>
  </si>
  <si>
    <t>Dividend per share (annual)</t>
  </si>
  <si>
    <t>Dividend Per Share</t>
  </si>
  <si>
    <t>Diviend Per Share</t>
  </si>
  <si>
    <t>NO REVOLVER</t>
  </si>
  <si>
    <t>(inc) / Dec in OWC</t>
  </si>
  <si>
    <t>(inc) / Dec in LT assets</t>
  </si>
  <si>
    <t>inc / (dec) in LT liabilities</t>
  </si>
  <si>
    <t>Cash Flow From Operations</t>
  </si>
  <si>
    <t>Cash Flow From Investing</t>
  </si>
  <si>
    <t>Dividends Paid</t>
  </si>
  <si>
    <t>Share Issuance / (repayment)</t>
  </si>
  <si>
    <t>Debt Issuance / (repayment)</t>
  </si>
  <si>
    <t>Cash Flow From Financing</t>
  </si>
  <si>
    <t>Net Changes in Cash</t>
  </si>
  <si>
    <t>Beginning Cash</t>
  </si>
  <si>
    <t>Changes</t>
  </si>
  <si>
    <t>Ending Cash</t>
  </si>
  <si>
    <t>GOOG</t>
  </si>
  <si>
    <t>AAPl</t>
  </si>
  <si>
    <t>Discount Factor</t>
  </si>
  <si>
    <t>PV FCF</t>
  </si>
  <si>
    <t>TV</t>
  </si>
  <si>
    <t>LTGR</t>
  </si>
  <si>
    <t>Term Mult</t>
  </si>
  <si>
    <t>Avg</t>
  </si>
  <si>
    <t>CSCO</t>
  </si>
  <si>
    <t>IBM</t>
  </si>
  <si>
    <t>Valuations</t>
  </si>
  <si>
    <t>Sensitivity Ranges</t>
  </si>
  <si>
    <t>High Price</t>
  </si>
  <si>
    <t>Low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</si>
</sst>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#,##0.0_)"/>
    <numFmt numFmtId="182" formatCode="&quot;$&quot;#,##0.0"/>
    <numFmt numFmtId="183" formatCode="[$$-409]#,##0.00_);\([$$-409]#,##0.00\)"/>
    <numFmt numFmtId="184" formatCode="&quot;$&quot;#,##0.00"/>
  </numFmts>
  <fonts count="7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2" tint="0.3999755851924192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  <font>
      <b/>
      <i/>
      <sz val="11"/>
      <color rgb="FF34A853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6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7" fontId="29" fillId="33" borderId="1" applyNumberFormat="0" applyAlignment="0" applyProtection="0"/>
    <xf numFmtId="169" fontId="6" fillId="0" borderId="0" applyFont="0" applyFill="0" applyBorder="0" applyAlignment="0" applyProtection="0"/>
    <xf numFmtId="167" fontId="29" fillId="0" borderId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5" applyNumberFormat="0" applyAlignment="0" applyProtection="0"/>
    <xf numFmtId="0" fontId="18" fillId="5" borderId="6" applyNumberFormat="0" applyAlignment="0" applyProtection="0"/>
    <xf numFmtId="0" fontId="19" fillId="0" borderId="7" applyNumberFormat="0" applyFill="0" applyAlignment="0" applyProtection="0"/>
    <xf numFmtId="0" fontId="20" fillId="6" borderId="8" applyNumberFormat="0" applyAlignment="0" applyProtection="0"/>
    <xf numFmtId="0" fontId="21" fillId="0" borderId="0" applyNumberFormat="0" applyFill="0" applyBorder="0" applyAlignment="0" applyProtection="0"/>
    <xf numFmtId="0" fontId="6" fillId="7" borderId="9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8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4" fillId="19" borderId="0" applyNumberFormat="0" applyBorder="0" applyAlignment="0" applyProtection="0"/>
    <xf numFmtId="0" fontId="24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24" fillId="31" borderId="0" applyNumberFormat="0" applyBorder="0" applyAlignment="0" applyProtection="0"/>
    <xf numFmtId="166" fontId="26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7" fontId="30" fillId="0" borderId="11" applyNumberFormat="0" applyFill="0" applyAlignment="0" applyProtection="0"/>
    <xf numFmtId="167" fontId="27" fillId="32" borderId="0" applyNumberFormat="0" applyBorder="0" applyProtection="0">
      <alignment horizontal="left" vertical="center"/>
    </xf>
    <xf numFmtId="167" fontId="28" fillId="0" borderId="0" applyNumberFormat="0" applyFill="0" applyBorder="0" applyAlignment="0" applyProtection="0"/>
    <xf numFmtId="171" fontId="7" fillId="0" borderId="0" applyFont="0" applyFill="0" applyBorder="0" applyAlignment="0" applyProtection="0"/>
    <xf numFmtId="169" fontId="29" fillId="33" borderId="1" applyAlignment="0" applyProtection="0"/>
    <xf numFmtId="166" fontId="7" fillId="0" borderId="0" applyNumberFormat="0" applyFill="0" applyBorder="0" applyAlignment="0" applyProtection="0"/>
    <xf numFmtId="166" fontId="7" fillId="0" borderId="0" applyNumberFormat="0" applyFill="0" applyBorder="0" applyAlignment="0" applyProtection="0"/>
    <xf numFmtId="166" fontId="6" fillId="0" borderId="0">
      <protection locked="0"/>
    </xf>
    <xf numFmtId="166" fontId="32" fillId="0" borderId="0" applyNumberFormat="0" applyFill="0" applyBorder="0" applyProtection="0">
      <alignment vertical="center"/>
      <protection hidden="1"/>
    </xf>
    <xf numFmtId="0" fontId="33" fillId="0" borderId="0"/>
    <xf numFmtId="9" fontId="33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5" fillId="0" borderId="0"/>
    <xf numFmtId="167" fontId="43" fillId="32" borderId="0" applyNumberFormat="0" applyBorder="0" applyAlignment="0" applyProtection="0">
      <alignment horizontal="left" vertical="center"/>
    </xf>
    <xf numFmtId="0" fontId="64" fillId="41" borderId="0"/>
    <xf numFmtId="0" fontId="65" fillId="41" borderId="22">
      <alignment horizontal="right"/>
    </xf>
  </cellStyleXfs>
  <cellXfs count="386">
    <xf numFmtId="167" fontId="0" fillId="0" borderId="0" xfId="0"/>
    <xf numFmtId="166" fontId="44" fillId="0" borderId="0" xfId="52" applyNumberFormat="1" applyFont="1" applyFill="1" applyBorder="1" applyAlignment="1">
      <alignment horizontal="center"/>
    </xf>
    <xf numFmtId="167" fontId="44" fillId="0" borderId="0" xfId="0" applyFont="1"/>
    <xf numFmtId="166" fontId="44" fillId="0" borderId="0" xfId="52" applyNumberFormat="1" applyFont="1" applyFill="1" applyBorder="1"/>
    <xf numFmtId="167" fontId="40" fillId="0" borderId="0" xfId="0" applyFont="1"/>
    <xf numFmtId="169" fontId="40" fillId="0" borderId="0" xfId="4" applyFont="1"/>
    <xf numFmtId="167" fontId="45" fillId="0" borderId="0" xfId="0" applyFont="1"/>
    <xf numFmtId="167" fontId="42" fillId="0" borderId="0" xfId="0" applyFont="1"/>
    <xf numFmtId="173" fontId="40" fillId="0" borderId="0" xfId="0" applyNumberFormat="1" applyFont="1"/>
    <xf numFmtId="166" fontId="39" fillId="0" borderId="0" xfId="57" applyFont="1" applyFill="1"/>
    <xf numFmtId="166" fontId="39" fillId="0" borderId="0" xfId="57" applyFont="1"/>
    <xf numFmtId="167" fontId="46" fillId="0" borderId="0" xfId="0" applyFont="1"/>
    <xf numFmtId="173" fontId="46" fillId="0" borderId="0" xfId="0" applyNumberFormat="1" applyFont="1"/>
    <xf numFmtId="167" fontId="39" fillId="0" borderId="0" xfId="0" applyFont="1"/>
    <xf numFmtId="172" fontId="40" fillId="0" borderId="0" xfId="0" applyNumberFormat="1" applyFont="1"/>
    <xf numFmtId="174" fontId="40" fillId="0" borderId="0" xfId="0" applyNumberFormat="1" applyFont="1"/>
    <xf numFmtId="167" fontId="40" fillId="35" borderId="0" xfId="0" applyFont="1" applyFill="1"/>
    <xf numFmtId="166" fontId="34" fillId="35" borderId="0" xfId="54" applyNumberFormat="1" applyFont="1" applyFill="1"/>
    <xf numFmtId="167" fontId="46" fillId="0" borderId="12" xfId="0" applyFont="1" applyBorder="1"/>
    <xf numFmtId="167" fontId="46" fillId="0" borderId="13" xfId="0" applyFont="1" applyBorder="1"/>
    <xf numFmtId="167" fontId="46" fillId="0" borderId="14" xfId="0" applyFont="1" applyBorder="1"/>
    <xf numFmtId="167" fontId="40" fillId="34" borderId="0" xfId="0" applyFont="1" applyFill="1"/>
    <xf numFmtId="166" fontId="34" fillId="34" borderId="0" xfId="54" applyNumberFormat="1" applyFont="1" applyFill="1"/>
    <xf numFmtId="167" fontId="40" fillId="0" borderId="13" xfId="0" applyFont="1" applyBorder="1"/>
    <xf numFmtId="166" fontId="39" fillId="0" borderId="18" xfId="57" applyFont="1" applyBorder="1"/>
    <xf numFmtId="169" fontId="40" fillId="0" borderId="18" xfId="4" applyFont="1" applyBorder="1"/>
    <xf numFmtId="167" fontId="46" fillId="0" borderId="18" xfId="0" applyFont="1" applyBorder="1"/>
    <xf numFmtId="166" fontId="39" fillId="0" borderId="18" xfId="58" applyFont="1" applyBorder="1"/>
    <xf numFmtId="173" fontId="40" fillId="0" borderId="18" xfId="0" applyNumberFormat="1" applyFont="1" applyBorder="1"/>
    <xf numFmtId="167" fontId="40" fillId="0" borderId="18" xfId="0" applyFont="1" applyBorder="1"/>
    <xf numFmtId="169" fontId="40" fillId="0" borderId="18" xfId="4" applyFont="1" applyFill="1" applyBorder="1"/>
    <xf numFmtId="173" fontId="31" fillId="0" borderId="0" xfId="0" applyNumberFormat="1" applyFont="1"/>
    <xf numFmtId="167" fontId="41" fillId="0" borderId="0" xfId="0" applyFont="1"/>
    <xf numFmtId="169" fontId="41" fillId="0" borderId="0" xfId="4" applyFont="1"/>
    <xf numFmtId="169" fontId="41" fillId="0" borderId="18" xfId="4" applyFont="1" applyBorder="1"/>
    <xf numFmtId="167" fontId="48" fillId="0" borderId="0" xfId="0" applyFont="1"/>
    <xf numFmtId="167" fontId="46" fillId="0" borderId="15" xfId="0" applyFont="1" applyBorder="1"/>
    <xf numFmtId="167" fontId="46" fillId="0" borderId="16" xfId="0" applyFont="1" applyBorder="1"/>
    <xf numFmtId="173" fontId="40" fillId="0" borderId="16" xfId="0" applyNumberFormat="1" applyFont="1" applyBorder="1"/>
    <xf numFmtId="167" fontId="40" fillId="0" borderId="16" xfId="0" applyFont="1" applyBorder="1"/>
    <xf numFmtId="174" fontId="40" fillId="0" borderId="15" xfId="0" applyNumberFormat="1" applyFont="1" applyBorder="1"/>
    <xf numFmtId="167" fontId="41" fillId="0" borderId="18" xfId="0" applyFont="1" applyBorder="1"/>
    <xf numFmtId="173" fontId="31" fillId="0" borderId="18" xfId="0" applyNumberFormat="1" applyFont="1" applyBorder="1"/>
    <xf numFmtId="166" fontId="35" fillId="0" borderId="0" xfId="52" applyNumberFormat="1" applyFont="1" applyFill="1" applyBorder="1" applyAlignment="1">
      <alignment horizontal="right"/>
    </xf>
    <xf numFmtId="167" fontId="36" fillId="34" borderId="0" xfId="0" applyFont="1" applyFill="1"/>
    <xf numFmtId="173" fontId="41" fillId="0" borderId="0" xfId="0" applyNumberFormat="1" applyFont="1"/>
    <xf numFmtId="173" fontId="41" fillId="0" borderId="18" xfId="0" applyNumberFormat="1" applyFont="1" applyBorder="1"/>
    <xf numFmtId="166" fontId="39" fillId="0" borderId="18" xfId="57" applyFont="1" applyFill="1" applyBorder="1"/>
    <xf numFmtId="167" fontId="46" fillId="0" borderId="0" xfId="0" applyFont="1" applyAlignment="1">
      <alignment horizontal="right"/>
    </xf>
    <xf numFmtId="10" fontId="40" fillId="0" borderId="0" xfId="0" applyNumberFormat="1" applyFont="1"/>
    <xf numFmtId="172" fontId="40" fillId="0" borderId="0" xfId="4" applyNumberFormat="1" applyFont="1"/>
    <xf numFmtId="167" fontId="49" fillId="0" borderId="0" xfId="0" applyFont="1"/>
    <xf numFmtId="37" fontId="44" fillId="0" borderId="0" xfId="0" applyNumberFormat="1" applyFont="1" applyAlignment="1">
      <alignment horizontal="center"/>
    </xf>
    <xf numFmtId="167" fontId="38" fillId="33" borderId="1" xfId="3" applyFont="1" applyAlignment="1">
      <alignment horizontal="center"/>
    </xf>
    <xf numFmtId="168" fontId="38" fillId="33" borderId="1" xfId="3" applyNumberFormat="1" applyFont="1" applyAlignment="1">
      <alignment horizontal="center"/>
    </xf>
    <xf numFmtId="166" fontId="35" fillId="0" borderId="0" xfId="52" applyNumberFormat="1" applyFont="1" applyFill="1" applyBorder="1" applyAlignment="1">
      <alignment horizontal="center"/>
    </xf>
    <xf numFmtId="167" fontId="50" fillId="34" borderId="0" xfId="0" applyFont="1" applyFill="1"/>
    <xf numFmtId="169" fontId="47" fillId="0" borderId="0" xfId="57" applyNumberFormat="1" applyFont="1" applyFill="1" applyBorder="1"/>
    <xf numFmtId="169" fontId="41" fillId="0" borderId="0" xfId="57" applyNumberFormat="1" applyFont="1" applyFill="1" applyBorder="1"/>
    <xf numFmtId="166" fontId="41" fillId="0" borderId="0" xfId="0" applyNumberFormat="1" applyFont="1"/>
    <xf numFmtId="167" fontId="40" fillId="0" borderId="17" xfId="0" applyFont="1" applyBorder="1"/>
    <xf numFmtId="169" fontId="47" fillId="0" borderId="18" xfId="57" applyNumberFormat="1" applyFont="1" applyFill="1" applyBorder="1"/>
    <xf numFmtId="169" fontId="41" fillId="0" borderId="18" xfId="57" applyNumberFormat="1" applyFont="1" applyFill="1" applyBorder="1"/>
    <xf numFmtId="166" fontId="41" fillId="0" borderId="18" xfId="0" applyNumberFormat="1" applyFont="1" applyBorder="1"/>
    <xf numFmtId="167" fontId="40" fillId="0" borderId="18" xfId="0" applyFont="1" applyBorder="1" applyAlignment="1">
      <alignment horizontal="right"/>
    </xf>
    <xf numFmtId="167" fontId="36" fillId="35" borderId="0" xfId="0" applyFont="1" applyFill="1"/>
    <xf numFmtId="167" fontId="34" fillId="35" borderId="0" xfId="53" applyFont="1" applyFill="1">
      <alignment horizontal="left" vertical="center"/>
    </xf>
    <xf numFmtId="167" fontId="40" fillId="0" borderId="15" xfId="0" applyFont="1" applyBorder="1"/>
    <xf numFmtId="167" fontId="40" fillId="36" borderId="0" xfId="0" applyFont="1" applyFill="1"/>
    <xf numFmtId="167" fontId="40" fillId="37" borderId="15" xfId="0" applyFont="1" applyFill="1" applyBorder="1"/>
    <xf numFmtId="167" fontId="40" fillId="37" borderId="0" xfId="0" applyFont="1" applyFill="1"/>
    <xf numFmtId="167" fontId="40" fillId="38" borderId="15" xfId="0" applyFont="1" applyFill="1" applyBorder="1"/>
    <xf numFmtId="167" fontId="40" fillId="38" borderId="0" xfId="0" applyFont="1" applyFill="1"/>
    <xf numFmtId="167" fontId="40" fillId="36" borderId="18" xfId="0" applyFont="1" applyFill="1" applyBorder="1"/>
    <xf numFmtId="167" fontId="40" fillId="37" borderId="16" xfId="0" applyFont="1" applyFill="1" applyBorder="1"/>
    <xf numFmtId="167" fontId="40" fillId="37" borderId="18" xfId="0" applyFont="1" applyFill="1" applyBorder="1"/>
    <xf numFmtId="167" fontId="40" fillId="38" borderId="16" xfId="0" applyFont="1" applyFill="1" applyBorder="1"/>
    <xf numFmtId="167" fontId="40" fillId="38" borderId="18" xfId="0" applyFont="1" applyFill="1" applyBorder="1"/>
    <xf numFmtId="167" fontId="34" fillId="34" borderId="0" xfId="0" applyFont="1" applyFill="1"/>
    <xf numFmtId="167" fontId="40" fillId="0" borderId="20" xfId="0" applyFont="1" applyBorder="1"/>
    <xf numFmtId="167" fontId="40" fillId="0" borderId="1" xfId="0" applyFont="1" applyBorder="1"/>
    <xf numFmtId="167" fontId="40" fillId="39" borderId="19" xfId="0" applyFont="1" applyFill="1" applyBorder="1"/>
    <xf numFmtId="167" fontId="40" fillId="39" borderId="16" xfId="0" applyFont="1" applyFill="1" applyBorder="1"/>
    <xf numFmtId="167" fontId="40" fillId="39" borderId="1" xfId="0" applyFont="1" applyFill="1" applyBorder="1"/>
    <xf numFmtId="167" fontId="40" fillId="39" borderId="14" xfId="0" applyFont="1" applyFill="1" applyBorder="1"/>
    <xf numFmtId="167" fontId="45" fillId="0" borderId="15" xfId="0" applyFont="1" applyBorder="1"/>
    <xf numFmtId="176" fontId="40" fillId="0" borderId="0" xfId="0" applyNumberFormat="1" applyFont="1"/>
    <xf numFmtId="167" fontId="36" fillId="0" borderId="0" xfId="0" applyFont="1"/>
    <xf numFmtId="166" fontId="34" fillId="0" borderId="0" xfId="54" applyNumberFormat="1" applyFont="1" applyFill="1"/>
    <xf numFmtId="166" fontId="52" fillId="0" borderId="0" xfId="54" applyNumberFormat="1" applyFont="1" applyProtection="1"/>
    <xf numFmtId="173" fontId="6" fillId="0" borderId="0" xfId="0" applyNumberFormat="1" applyFont="1"/>
    <xf numFmtId="167" fontId="53" fillId="0" borderId="0" xfId="0" applyFont="1"/>
    <xf numFmtId="167" fontId="6" fillId="0" borderId="0" xfId="0" applyFont="1"/>
    <xf numFmtId="167" fontId="6" fillId="0" borderId="0" xfId="0" applyFont="1" applyProtection="1">
      <protection locked="0"/>
    </xf>
    <xf numFmtId="169" fontId="6" fillId="0" borderId="0" xfId="4" applyFont="1"/>
    <xf numFmtId="166" fontId="55" fillId="0" borderId="0" xfId="54" applyNumberFormat="1" applyFont="1" applyProtection="1"/>
    <xf numFmtId="169" fontId="29" fillId="0" borderId="0" xfId="3" applyNumberFormat="1" applyFill="1" applyBorder="1"/>
    <xf numFmtId="167" fontId="56" fillId="0" borderId="0" xfId="0" applyFont="1"/>
    <xf numFmtId="167" fontId="56" fillId="0" borderId="18" xfId="0" applyFont="1" applyBorder="1"/>
    <xf numFmtId="167" fontId="38" fillId="0" borderId="0" xfId="0" applyFont="1"/>
    <xf numFmtId="167" fontId="38" fillId="0" borderId="18" xfId="0" applyFont="1" applyBorder="1"/>
    <xf numFmtId="169" fontId="40" fillId="0" borderId="0" xfId="4" applyFont="1" applyFill="1"/>
    <xf numFmtId="169" fontId="57" fillId="33" borderId="1" xfId="3" applyNumberFormat="1" applyFont="1"/>
    <xf numFmtId="167" fontId="57" fillId="33" borderId="1" xfId="3" applyNumberFormat="1" applyFont="1"/>
    <xf numFmtId="169" fontId="57" fillId="33" borderId="14" xfId="3" applyNumberFormat="1" applyFont="1" applyBorder="1"/>
    <xf numFmtId="169" fontId="57" fillId="0" borderId="15" xfId="3" applyNumberFormat="1" applyFont="1" applyFill="1" applyBorder="1"/>
    <xf numFmtId="173" fontId="31" fillId="36" borderId="14" xfId="0" applyNumberFormat="1" applyFont="1" applyFill="1" applyBorder="1"/>
    <xf numFmtId="177" fontId="57" fillId="33" borderId="1" xfId="3" applyNumberFormat="1" applyFont="1"/>
    <xf numFmtId="167" fontId="34" fillId="35" borderId="0" xfId="0" applyFont="1" applyFill="1"/>
    <xf numFmtId="166" fontId="35" fillId="0" borderId="15" xfId="52" applyNumberFormat="1" applyFont="1" applyFill="1" applyBorder="1" applyAlignment="1">
      <alignment horizontal="center"/>
    </xf>
    <xf numFmtId="167" fontId="41" fillId="0" borderId="13" xfId="0" applyFont="1" applyBorder="1"/>
    <xf numFmtId="167" fontId="51" fillId="0" borderId="13" xfId="0" applyFont="1" applyBorder="1"/>
    <xf numFmtId="173" fontId="31" fillId="40" borderId="1" xfId="0" applyNumberFormat="1" applyFont="1" applyFill="1" applyBorder="1"/>
    <xf numFmtId="167" fontId="31" fillId="40" borderId="19" xfId="0" applyFont="1" applyFill="1" applyBorder="1"/>
    <xf numFmtId="167" fontId="54" fillId="0" borderId="0" xfId="0" applyFont="1" applyAlignment="1">
      <alignment horizontal="right"/>
    </xf>
    <xf numFmtId="166" fontId="34" fillId="34" borderId="15" xfId="54" applyNumberFormat="1" applyFont="1" applyFill="1" applyBorder="1" applyProtection="1"/>
    <xf numFmtId="166" fontId="40" fillId="0" borderId="0" xfId="59" applyFont="1" applyProtection="1"/>
    <xf numFmtId="172" fontId="38" fillId="33" borderId="1" xfId="3" applyNumberFormat="1" applyFont="1" applyProtection="1"/>
    <xf numFmtId="166" fontId="4" fillId="0" borderId="0" xfId="54" applyNumberFormat="1" applyFont="1" applyProtection="1"/>
    <xf numFmtId="169" fontId="40" fillId="0" borderId="15" xfId="4" applyFont="1" applyBorder="1"/>
    <xf numFmtId="169" fontId="40" fillId="0" borderId="16" xfId="4" applyFont="1" applyBorder="1"/>
    <xf numFmtId="166" fontId="61" fillId="34" borderId="15" xfId="59" applyFont="1" applyFill="1" applyBorder="1" applyProtection="1"/>
    <xf numFmtId="10" fontId="41" fillId="0" borderId="0" xfId="0" applyNumberFormat="1" applyFont="1"/>
    <xf numFmtId="10" fontId="29" fillId="0" borderId="0" xfId="3" applyNumberFormat="1" applyFill="1" applyBorder="1"/>
    <xf numFmtId="166" fontId="39" fillId="0" borderId="0" xfId="57" applyFont="1" applyBorder="1"/>
    <xf numFmtId="166" fontId="39" fillId="0" borderId="0" xfId="58" applyFont="1" applyBorder="1"/>
    <xf numFmtId="167" fontId="38" fillId="0" borderId="17" xfId="0" applyFont="1" applyBorder="1"/>
    <xf numFmtId="169" fontId="57" fillId="33" borderId="19" xfId="3" applyNumberFormat="1" applyFont="1" applyBorder="1"/>
    <xf numFmtId="167" fontId="3" fillId="0" borderId="18" xfId="0" applyFont="1" applyBorder="1"/>
    <xf numFmtId="179" fontId="46" fillId="0" borderId="0" xfId="0" applyNumberFormat="1" applyFont="1"/>
    <xf numFmtId="179" fontId="46" fillId="0" borderId="12" xfId="0" applyNumberFormat="1" applyFont="1" applyBorder="1"/>
    <xf numFmtId="179" fontId="46" fillId="0" borderId="13" xfId="0" applyNumberFormat="1" applyFont="1" applyBorder="1"/>
    <xf numFmtId="179" fontId="40" fillId="0" borderId="0" xfId="0" applyNumberFormat="1" applyFont="1"/>
    <xf numFmtId="167" fontId="40" fillId="0" borderId="24" xfId="0" applyFont="1" applyBorder="1"/>
    <xf numFmtId="167" fontId="40" fillId="0" borderId="15" xfId="4" applyNumberFormat="1" applyFont="1" applyBorder="1"/>
    <xf numFmtId="179" fontId="40" fillId="0" borderId="15" xfId="4" applyNumberFormat="1" applyFont="1" applyBorder="1"/>
    <xf numFmtId="179" fontId="40" fillId="0" borderId="0" xfId="0" applyNumberFormat="1" applyFont="1" applyAlignment="1">
      <alignment horizontal="right"/>
    </xf>
    <xf numFmtId="173" fontId="40" fillId="36" borderId="19" xfId="0" applyNumberFormat="1" applyFont="1" applyFill="1" applyBorder="1"/>
    <xf numFmtId="37" fontId="34" fillId="34" borderId="18" xfId="0" applyNumberFormat="1" applyFont="1" applyFill="1" applyBorder="1" applyAlignment="1">
      <alignment horizontal="right"/>
    </xf>
    <xf numFmtId="39" fontId="40" fillId="39" borderId="19" xfId="0" applyNumberFormat="1" applyFont="1" applyFill="1" applyBorder="1"/>
    <xf numFmtId="39" fontId="40" fillId="39" borderId="1" xfId="0" applyNumberFormat="1" applyFont="1" applyFill="1" applyBorder="1"/>
    <xf numFmtId="10" fontId="40" fillId="0" borderId="21" xfId="0" applyNumberFormat="1" applyFont="1" applyBorder="1"/>
    <xf numFmtId="39" fontId="40" fillId="0" borderId="0" xfId="0" applyNumberFormat="1" applyFont="1"/>
    <xf numFmtId="173" fontId="40" fillId="37" borderId="16" xfId="0" applyNumberFormat="1" applyFont="1" applyFill="1" applyBorder="1"/>
    <xf numFmtId="173" fontId="40" fillId="37" borderId="1" xfId="0" applyNumberFormat="1" applyFont="1" applyFill="1" applyBorder="1"/>
    <xf numFmtId="173" fontId="40" fillId="38" borderId="19" xfId="0" applyNumberFormat="1" applyFont="1" applyFill="1" applyBorder="1"/>
    <xf numFmtId="167" fontId="40" fillId="0" borderId="0" xfId="0" applyFont="1" applyAlignment="1">
      <alignment horizontal="right"/>
    </xf>
    <xf numFmtId="7" fontId="46" fillId="0" borderId="18" xfId="0" applyNumberFormat="1" applyFont="1" applyBorder="1"/>
    <xf numFmtId="172" fontId="38" fillId="33" borderId="19" xfId="3" applyNumberFormat="1" applyFont="1" applyBorder="1" applyProtection="1"/>
    <xf numFmtId="166" fontId="40" fillId="35" borderId="0" xfId="59" applyFont="1" applyFill="1" applyProtection="1"/>
    <xf numFmtId="172" fontId="38" fillId="35" borderId="0" xfId="3" applyNumberFormat="1" applyFont="1" applyFill="1" applyBorder="1" applyProtection="1"/>
    <xf numFmtId="166" fontId="34" fillId="35" borderId="0" xfId="59" applyFont="1" applyFill="1" applyProtection="1"/>
    <xf numFmtId="179" fontId="41" fillId="0" borderId="18" xfId="0" applyNumberFormat="1" applyFont="1" applyBorder="1"/>
    <xf numFmtId="167" fontId="46" fillId="0" borderId="18" xfId="0" applyFont="1" applyBorder="1" applyAlignment="1">
      <alignment horizontal="right"/>
    </xf>
    <xf numFmtId="173" fontId="40" fillId="39" borderId="19" xfId="0" applyNumberFormat="1" applyFont="1" applyFill="1" applyBorder="1"/>
    <xf numFmtId="167" fontId="67" fillId="0" borderId="0" xfId="0" applyFont="1"/>
    <xf numFmtId="173" fontId="36" fillId="0" borderId="0" xfId="0" applyNumberFormat="1" applyFont="1"/>
    <xf numFmtId="167" fontId="38" fillId="33" borderId="19" xfId="3" applyNumberFormat="1" applyFont="1" applyBorder="1" applyProtection="1"/>
    <xf numFmtId="167" fontId="40" fillId="0" borderId="21" xfId="0" applyFont="1" applyBorder="1"/>
    <xf numFmtId="167" fontId="40" fillId="35" borderId="15" xfId="0" applyFont="1" applyFill="1" applyBorder="1"/>
    <xf numFmtId="180" fontId="46" fillId="0" borderId="14" xfId="0" applyNumberFormat="1" applyFont="1" applyBorder="1"/>
    <xf numFmtId="173" fontId="36" fillId="34" borderId="1" xfId="0" applyNumberFormat="1" applyFont="1" applyFill="1" applyBorder="1"/>
    <xf numFmtId="167" fontId="34" fillId="0" borderId="0" xfId="0" applyFont="1"/>
    <xf numFmtId="167" fontId="38" fillId="33" borderId="1" xfId="3" applyNumberFormat="1" applyFont="1" applyAlignment="1">
      <alignment horizontal="center"/>
    </xf>
    <xf numFmtId="167" fontId="40" fillId="38" borderId="20" xfId="0" applyFont="1" applyFill="1" applyBorder="1"/>
    <xf numFmtId="167" fontId="34" fillId="34" borderId="20" xfId="0" applyFont="1" applyFill="1" applyBorder="1"/>
    <xf numFmtId="167" fontId="34" fillId="34" borderId="15" xfId="0" applyFont="1" applyFill="1" applyBorder="1"/>
    <xf numFmtId="167" fontId="34" fillId="34" borderId="16" xfId="0" applyFont="1" applyFill="1" applyBorder="1"/>
    <xf numFmtId="167" fontId="40" fillId="0" borderId="14" xfId="4" applyNumberFormat="1" applyFont="1" applyBorder="1"/>
    <xf numFmtId="10" fontId="36" fillId="0" borderId="0" xfId="0" applyNumberFormat="1" applyFont="1"/>
    <xf numFmtId="176" fontId="38" fillId="0" borderId="15" xfId="3" applyNumberFormat="1" applyFont="1" applyFill="1" applyBorder="1" applyProtection="1"/>
    <xf numFmtId="172" fontId="38" fillId="0" borderId="15" xfId="3" applyNumberFormat="1" applyFont="1" applyFill="1" applyBorder="1" applyProtection="1"/>
    <xf numFmtId="176" fontId="36" fillId="0" borderId="0" xfId="0" applyNumberFormat="1" applyFont="1"/>
    <xf numFmtId="167" fontId="40" fillId="0" borderId="0" xfId="0" applyFont="1" applyAlignment="1">
      <alignment horizontal="center"/>
    </xf>
    <xf numFmtId="167" fontId="35" fillId="0" borderId="0" xfId="0" applyFont="1"/>
    <xf numFmtId="173" fontId="40" fillId="0" borderId="0" xfId="0" applyNumberFormat="1" applyFont="1" applyAlignment="1">
      <alignment horizontal="right"/>
    </xf>
    <xf numFmtId="178" fontId="36" fillId="0" borderId="0" xfId="0" applyNumberFormat="1" applyFont="1"/>
    <xf numFmtId="167" fontId="46" fillId="0" borderId="0" xfId="0" applyFont="1" applyAlignment="1">
      <alignment horizontal="center"/>
    </xf>
    <xf numFmtId="4" fontId="35" fillId="0" borderId="0" xfId="0" applyNumberFormat="1" applyFont="1"/>
    <xf numFmtId="176" fontId="46" fillId="0" borderId="0" xfId="0" applyNumberFormat="1" applyFont="1"/>
    <xf numFmtId="167" fontId="69" fillId="0" borderId="0" xfId="0" applyFont="1"/>
    <xf numFmtId="39" fontId="46" fillId="0" borderId="0" xfId="0" applyNumberFormat="1" applyFont="1"/>
    <xf numFmtId="10" fontId="46" fillId="0" borderId="0" xfId="0" applyNumberFormat="1" applyFont="1"/>
    <xf numFmtId="169" fontId="57" fillId="0" borderId="0" xfId="3" applyNumberFormat="1" applyFont="1" applyFill="1" applyBorder="1"/>
    <xf numFmtId="169" fontId="40" fillId="0" borderId="0" xfId="4" applyFont="1" applyFill="1" applyBorder="1"/>
    <xf numFmtId="167" fontId="2" fillId="0" borderId="0" xfId="0" applyFont="1"/>
    <xf numFmtId="166" fontId="2" fillId="0" borderId="0" xfId="57" applyFont="1" applyBorder="1"/>
    <xf numFmtId="166" fontId="2" fillId="0" borderId="0" xfId="57" applyFont="1"/>
    <xf numFmtId="169" fontId="70" fillId="33" borderId="1" xfId="3" applyNumberFormat="1" applyFont="1"/>
    <xf numFmtId="177" fontId="70" fillId="33" borderId="1" xfId="3" applyNumberFormat="1" applyFont="1"/>
    <xf numFmtId="167" fontId="70" fillId="33" borderId="1" xfId="3" applyNumberFormat="1" applyFont="1"/>
    <xf numFmtId="37" fontId="34" fillId="34" borderId="0" xfId="52" applyNumberFormat="1" applyFont="1" applyFill="1" applyBorder="1"/>
    <xf numFmtId="166" fontId="34" fillId="34" borderId="0" xfId="52" applyNumberFormat="1" applyFont="1" applyFill="1" applyBorder="1"/>
    <xf numFmtId="174" fontId="46" fillId="0" borderId="13" xfId="0" applyNumberFormat="1" applyFont="1" applyBorder="1"/>
    <xf numFmtId="39" fontId="39" fillId="0" borderId="0" xfId="57" applyNumberFormat="1" applyFont="1" applyBorder="1"/>
    <xf numFmtId="166" fontId="39" fillId="0" borderId="0" xfId="57" applyFont="1" applyFill="1" applyBorder="1"/>
    <xf numFmtId="179" fontId="40" fillId="0" borderId="0" xfId="4" applyNumberFormat="1" applyFont="1" applyBorder="1"/>
    <xf numFmtId="166" fontId="38" fillId="0" borderId="0" xfId="0" applyNumberFormat="1" applyFont="1"/>
    <xf numFmtId="166" fontId="38" fillId="0" borderId="18" xfId="0" applyNumberFormat="1" applyFont="1" applyBorder="1"/>
    <xf numFmtId="166" fontId="38" fillId="0" borderId="0" xfId="57" applyFont="1" applyFill="1"/>
    <xf numFmtId="166" fontId="38" fillId="0" borderId="18" xfId="57" applyFont="1" applyFill="1" applyBorder="1"/>
    <xf numFmtId="166" fontId="2" fillId="0" borderId="0" xfId="57" applyFont="1" applyFill="1"/>
    <xf numFmtId="9" fontId="40" fillId="0" borderId="0" xfId="0" applyNumberFormat="1" applyFont="1"/>
    <xf numFmtId="9" fontId="31" fillId="0" borderId="18" xfId="0" applyNumberFormat="1" applyFont="1" applyBorder="1"/>
    <xf numFmtId="169" fontId="41" fillId="0" borderId="0" xfId="4" applyFont="1" applyBorder="1"/>
    <xf numFmtId="3" fontId="40" fillId="0" borderId="0" xfId="0" applyNumberFormat="1" applyFont="1"/>
    <xf numFmtId="3" fontId="40" fillId="0" borderId="15" xfId="0" applyNumberFormat="1" applyFont="1" applyBorder="1"/>
    <xf numFmtId="178" fontId="34" fillId="34" borderId="0" xfId="0" applyNumberFormat="1" applyFont="1" applyFill="1"/>
    <xf numFmtId="175" fontId="34" fillId="0" borderId="0" xfId="52" applyNumberFormat="1" applyFont="1" applyFill="1" applyBorder="1" applyAlignment="1">
      <alignment horizontal="right" vertical="center"/>
    </xf>
    <xf numFmtId="167" fontId="46" fillId="35" borderId="0" xfId="0" applyFont="1" applyFill="1"/>
    <xf numFmtId="175" fontId="34" fillId="0" borderId="0" xfId="0" applyNumberFormat="1" applyFont="1"/>
    <xf numFmtId="167" fontId="57" fillId="0" borderId="0" xfId="3" applyNumberFormat="1" applyFont="1" applyFill="1" applyBorder="1"/>
    <xf numFmtId="175" fontId="60" fillId="0" borderId="0" xfId="3" applyNumberFormat="1" applyFont="1" applyFill="1" applyBorder="1"/>
    <xf numFmtId="0" fontId="60" fillId="0" borderId="0" xfId="3" applyNumberFormat="1" applyFont="1" applyFill="1" applyBorder="1"/>
    <xf numFmtId="177" fontId="57" fillId="0" borderId="0" xfId="3" applyNumberFormat="1" applyFont="1" applyFill="1" applyBorder="1"/>
    <xf numFmtId="173" fontId="57" fillId="0" borderId="0" xfId="0" applyNumberFormat="1" applyFont="1"/>
    <xf numFmtId="167" fontId="58" fillId="0" borderId="0" xfId="0" applyFont="1"/>
    <xf numFmtId="173" fontId="57" fillId="40" borderId="1" xfId="0" applyNumberFormat="1" applyFont="1" applyFill="1" applyBorder="1"/>
    <xf numFmtId="0" fontId="34" fillId="0" borderId="0" xfId="0" applyNumberFormat="1" applyFont="1"/>
    <xf numFmtId="167" fontId="51" fillId="0" borderId="0" xfId="0" applyFont="1"/>
    <xf numFmtId="167" fontId="31" fillId="0" borderId="0" xfId="0" applyFont="1"/>
    <xf numFmtId="0" fontId="34" fillId="0" borderId="0" xfId="52" applyNumberFormat="1" applyFont="1" applyFill="1" applyBorder="1" applyAlignment="1">
      <alignment horizontal="right" vertical="center"/>
    </xf>
    <xf numFmtId="167" fontId="31" fillId="40" borderId="1" xfId="0" applyFont="1" applyFill="1" applyBorder="1"/>
    <xf numFmtId="166" fontId="2" fillId="0" borderId="0" xfId="57" applyFont="1" applyFill="1" applyBorder="1"/>
    <xf numFmtId="169" fontId="70" fillId="0" borderId="0" xfId="3" applyNumberFormat="1" applyFont="1" applyFill="1" applyBorder="1"/>
    <xf numFmtId="177" fontId="70" fillId="0" borderId="0" xfId="3" applyNumberFormat="1" applyFont="1" applyFill="1" applyBorder="1"/>
    <xf numFmtId="167" fontId="70" fillId="0" borderId="0" xfId="3" applyNumberFormat="1" applyFont="1" applyFill="1" applyBorder="1"/>
    <xf numFmtId="173" fontId="70" fillId="0" borderId="0" xfId="3" applyNumberFormat="1" applyFont="1" applyFill="1" applyBorder="1"/>
    <xf numFmtId="174" fontId="46" fillId="0" borderId="0" xfId="0" applyNumberFormat="1" applyFont="1"/>
    <xf numFmtId="0" fontId="34" fillId="0" borderId="0" xfId="0" applyNumberFormat="1" applyFont="1" applyAlignment="1">
      <alignment horizontal="right"/>
    </xf>
    <xf numFmtId="179" fontId="40" fillId="0" borderId="0" xfId="4" applyNumberFormat="1" applyFont="1" applyFill="1" applyBorder="1"/>
    <xf numFmtId="167" fontId="40" fillId="0" borderId="0" xfId="4" applyNumberFormat="1" applyFont="1" applyFill="1" applyBorder="1"/>
    <xf numFmtId="166" fontId="61" fillId="0" borderId="0" xfId="59" applyFont="1" applyProtection="1"/>
    <xf numFmtId="179" fontId="38" fillId="0" borderId="18" xfId="0" applyNumberFormat="1" applyFont="1" applyBorder="1"/>
    <xf numFmtId="166" fontId="2" fillId="0" borderId="17" xfId="57" applyFont="1" applyFill="1" applyBorder="1"/>
    <xf numFmtId="39" fontId="40" fillId="0" borderId="1" xfId="0" applyNumberFormat="1" applyFont="1" applyBorder="1"/>
    <xf numFmtId="2" fontId="40" fillId="36" borderId="19" xfId="0" applyNumberFormat="1" applyFont="1" applyFill="1" applyBorder="1"/>
    <xf numFmtId="176" fontId="40" fillId="0" borderId="15" xfId="0" applyNumberFormat="1" applyFont="1" applyBorder="1"/>
    <xf numFmtId="167" fontId="40" fillId="42" borderId="15" xfId="0" applyFont="1" applyFill="1" applyBorder="1"/>
    <xf numFmtId="167" fontId="40" fillId="0" borderId="15" xfId="0" applyFont="1" applyBorder="1" applyAlignment="1">
      <alignment horizontal="right"/>
    </xf>
    <xf numFmtId="181" fontId="40" fillId="0" borderId="15" xfId="0" applyNumberFormat="1" applyFont="1" applyBorder="1"/>
    <xf numFmtId="0" fontId="34" fillId="35" borderId="0" xfId="66" applyFont="1" applyFill="1" applyAlignment="1">
      <alignment horizontal="center" wrapText="1"/>
    </xf>
    <xf numFmtId="0" fontId="34" fillId="35" borderId="0" xfId="66" applyFont="1" applyFill="1" applyAlignment="1">
      <alignment horizontal="center"/>
    </xf>
    <xf numFmtId="167" fontId="34" fillId="35" borderId="0" xfId="0" applyFont="1" applyFill="1" applyAlignment="1">
      <alignment horizontal="center" wrapText="1"/>
    </xf>
    <xf numFmtId="182" fontId="40" fillId="0" borderId="0" xfId="0" applyNumberFormat="1" applyFont="1"/>
    <xf numFmtId="182" fontId="40" fillId="42" borderId="15" xfId="0" applyNumberFormat="1" applyFont="1" applyFill="1" applyBorder="1"/>
    <xf numFmtId="182" fontId="40" fillId="0" borderId="15" xfId="0" applyNumberFormat="1" applyFont="1" applyBorder="1"/>
    <xf numFmtId="3" fontId="40" fillId="42" borderId="15" xfId="0" applyNumberFormat="1" applyFont="1" applyFill="1" applyBorder="1"/>
    <xf numFmtId="173" fontId="40" fillId="42" borderId="15" xfId="0" applyNumberFormat="1" applyFont="1" applyFill="1" applyBorder="1"/>
    <xf numFmtId="173" fontId="40" fillId="42" borderId="14" xfId="0" applyNumberFormat="1" applyFont="1" applyFill="1" applyBorder="1"/>
    <xf numFmtId="176" fontId="40" fillId="0" borderId="18" xfId="0" applyNumberFormat="1" applyFont="1" applyBorder="1"/>
    <xf numFmtId="176" fontId="40" fillId="0" borderId="17" xfId="0" applyNumberFormat="1" applyFont="1" applyBorder="1"/>
    <xf numFmtId="169" fontId="57" fillId="36" borderId="1" xfId="3" applyNumberFormat="1" applyFont="1" applyFill="1"/>
    <xf numFmtId="167" fontId="40" fillId="0" borderId="15" xfId="0" applyFont="1" applyBorder="1" applyAlignment="1">
      <alignment horizontal="center"/>
    </xf>
    <xf numFmtId="176" fontId="40" fillId="0" borderId="24" xfId="0" applyNumberFormat="1" applyFont="1" applyBorder="1"/>
    <xf numFmtId="173" fontId="40" fillId="42" borderId="13" xfId="0" applyNumberFormat="1" applyFont="1" applyFill="1" applyBorder="1"/>
    <xf numFmtId="176" fontId="46" fillId="42" borderId="15" xfId="0" applyNumberFormat="1" applyFont="1" applyFill="1" applyBorder="1"/>
    <xf numFmtId="176" fontId="46" fillId="42" borderId="13" xfId="0" applyNumberFormat="1" applyFont="1" applyFill="1" applyBorder="1"/>
    <xf numFmtId="176" fontId="46" fillId="42" borderId="14" xfId="0" applyNumberFormat="1" applyFont="1" applyFill="1" applyBorder="1"/>
    <xf numFmtId="173" fontId="40" fillId="0" borderId="15" xfId="0" applyNumberFormat="1" applyFont="1" applyBorder="1"/>
    <xf numFmtId="173" fontId="46" fillId="43" borderId="1" xfId="0" applyNumberFormat="1" applyFont="1" applyFill="1" applyBorder="1"/>
    <xf numFmtId="10" fontId="40" fillId="0" borderId="0" xfId="4" applyNumberFormat="1" applyFont="1" applyFill="1" applyBorder="1" applyAlignment="1" applyProtection="1">
      <alignment horizontal="right"/>
    </xf>
    <xf numFmtId="180" fontId="46" fillId="0" borderId="0" xfId="0" applyNumberFormat="1" applyFont="1"/>
    <xf numFmtId="4" fontId="1" fillId="0" borderId="0" xfId="0" applyNumberFormat="1" applyFont="1"/>
    <xf numFmtId="183" fontId="38" fillId="33" borderId="1" xfId="3" applyNumberFormat="1" applyFont="1" applyAlignment="1">
      <alignment horizontal="center"/>
    </xf>
    <xf numFmtId="180" fontId="46" fillId="0" borderId="0" xfId="0" applyNumberFormat="1" applyFont="1" applyAlignment="1">
      <alignment horizontal="center"/>
    </xf>
    <xf numFmtId="167" fontId="40" fillId="35" borderId="0" xfId="0" applyFont="1" applyFill="1" applyAlignment="1">
      <alignment horizontal="center"/>
    </xf>
    <xf numFmtId="167" fontId="34" fillId="0" borderId="0" xfId="53" applyFont="1" applyFill="1">
      <alignment horizontal="left" vertical="center"/>
    </xf>
    <xf numFmtId="10" fontId="71" fillId="33" borderId="1" xfId="3" applyNumberFormat="1" applyFont="1" applyAlignment="1">
      <alignment horizontal="center"/>
    </xf>
    <xf numFmtId="176" fontId="40" fillId="0" borderId="0" xfId="0" applyNumberFormat="1" applyFont="1" applyAlignment="1">
      <alignment horizontal="center"/>
    </xf>
    <xf numFmtId="167" fontId="34" fillId="0" borderId="0" xfId="0" applyFont="1" applyAlignment="1">
      <alignment wrapText="1"/>
    </xf>
    <xf numFmtId="167" fontId="34" fillId="0" borderId="0" xfId="0" applyFont="1" applyAlignment="1">
      <alignment horizontal="center" wrapText="1"/>
    </xf>
    <xf numFmtId="176" fontId="66" fillId="0" borderId="0" xfId="0" applyNumberFormat="1" applyFont="1" applyAlignment="1">
      <alignment horizontal="center"/>
    </xf>
    <xf numFmtId="7" fontId="46" fillId="0" borderId="0" xfId="0" applyNumberFormat="1" applyFont="1" applyAlignment="1">
      <alignment horizontal="center"/>
    </xf>
    <xf numFmtId="166" fontId="40" fillId="0" borderId="0" xfId="0" applyNumberFormat="1" applyFont="1" applyAlignment="1">
      <alignment horizontal="center"/>
    </xf>
    <xf numFmtId="10" fontId="40" fillId="0" borderId="0" xfId="0" applyNumberFormat="1" applyFont="1" applyAlignment="1">
      <alignment horizontal="center"/>
    </xf>
    <xf numFmtId="179" fontId="40" fillId="0" borderId="0" xfId="0" applyNumberFormat="1" applyFont="1" applyAlignment="1">
      <alignment horizontal="center"/>
    </xf>
    <xf numFmtId="10" fontId="40" fillId="0" borderId="0" xfId="0" applyNumberFormat="1" applyFont="1" applyAlignment="1">
      <alignment horizontal="right"/>
    </xf>
    <xf numFmtId="5" fontId="40" fillId="0" borderId="0" xfId="0" applyNumberFormat="1" applyFont="1" applyAlignment="1">
      <alignment horizontal="center"/>
    </xf>
    <xf numFmtId="40" fontId="40" fillId="0" borderId="0" xfId="0" applyNumberFormat="1" applyFont="1" applyAlignment="1">
      <alignment horizontal="center"/>
    </xf>
    <xf numFmtId="40" fontId="40" fillId="0" borderId="0" xfId="0" applyNumberFormat="1" applyFont="1" applyAlignment="1">
      <alignment horizontal="right"/>
    </xf>
    <xf numFmtId="166" fontId="40" fillId="0" borderId="0" xfId="0" applyNumberFormat="1" applyFont="1" applyAlignment="1">
      <alignment horizontal="right"/>
    </xf>
    <xf numFmtId="173" fontId="40" fillId="0" borderId="0" xfId="0" applyNumberFormat="1" applyFont="1" applyAlignment="1">
      <alignment horizontal="center"/>
    </xf>
    <xf numFmtId="167" fontId="68" fillId="0" borderId="0" xfId="0" applyFont="1" applyAlignment="1">
      <alignment horizontal="center"/>
    </xf>
    <xf numFmtId="184" fontId="66" fillId="33" borderId="1" xfId="3" applyNumberFormat="1" applyFont="1" applyAlignment="1">
      <alignment horizontal="center"/>
    </xf>
    <xf numFmtId="1" fontId="29" fillId="0" borderId="0" xfId="0" applyNumberFormat="1" applyFont="1"/>
    <xf numFmtId="166" fontId="6" fillId="0" borderId="0" xfId="0" applyNumberFormat="1" applyFont="1" applyAlignment="1">
      <alignment horizontal="right"/>
    </xf>
    <xf numFmtId="173" fontId="29" fillId="0" borderId="0" xfId="0" applyNumberFormat="1" applyFont="1"/>
    <xf numFmtId="175" fontId="6" fillId="0" borderId="0" xfId="0" applyNumberFormat="1" applyFont="1"/>
    <xf numFmtId="169" fontId="38" fillId="0" borderId="0" xfId="0" applyNumberFormat="1" applyFont="1"/>
    <xf numFmtId="1" fontId="34" fillId="34" borderId="0" xfId="0" applyNumberFormat="1" applyFont="1" applyFill="1"/>
    <xf numFmtId="169" fontId="40" fillId="0" borderId="0" xfId="4" applyFont="1" applyBorder="1"/>
    <xf numFmtId="167" fontId="40" fillId="0" borderId="0" xfId="4" applyNumberFormat="1" applyFont="1" applyBorder="1"/>
    <xf numFmtId="166" fontId="40" fillId="0" borderId="0" xfId="59" applyFont="1" applyAlignment="1" applyProtection="1">
      <alignment horizontal="centerContinuous"/>
    </xf>
    <xf numFmtId="166" fontId="40" fillId="0" borderId="0" xfId="59" applyFont="1" applyAlignment="1" applyProtection="1">
      <alignment horizontal="center"/>
    </xf>
    <xf numFmtId="10" fontId="34" fillId="0" borderId="0" xfId="0" applyNumberFormat="1" applyFont="1"/>
    <xf numFmtId="10" fontId="40" fillId="0" borderId="0" xfId="59" applyNumberFormat="1" applyFont="1" applyAlignment="1" applyProtection="1">
      <alignment horizontal="center"/>
    </xf>
    <xf numFmtId="10" fontId="40" fillId="0" borderId="0" xfId="59" applyNumberFormat="1" applyFont="1" applyProtection="1"/>
    <xf numFmtId="179" fontId="40" fillId="0" borderId="0" xfId="59" applyNumberFormat="1" applyFont="1" applyAlignment="1" applyProtection="1">
      <alignment horizontal="right"/>
    </xf>
    <xf numFmtId="176" fontId="40" fillId="0" borderId="0" xfId="59" applyNumberFormat="1" applyFont="1" applyAlignment="1" applyProtection="1">
      <alignment horizontal="right"/>
    </xf>
    <xf numFmtId="167" fontId="36" fillId="0" borderId="0" xfId="0" applyFont="1" applyAlignment="1">
      <alignment horizontal="center"/>
    </xf>
    <xf numFmtId="10" fontId="36" fillId="0" borderId="0" xfId="0" applyNumberFormat="1" applyFont="1" applyAlignment="1">
      <alignment horizontal="center"/>
    </xf>
    <xf numFmtId="176" fontId="36" fillId="0" borderId="0" xfId="59" applyNumberFormat="1" applyFont="1" applyAlignment="1" applyProtection="1">
      <alignment horizontal="right"/>
    </xf>
    <xf numFmtId="10" fontId="40" fillId="0" borderId="0" xfId="59" applyNumberFormat="1" applyFont="1" applyAlignment="1" applyProtection="1">
      <alignment horizontal="right"/>
    </xf>
    <xf numFmtId="172" fontId="40" fillId="0" borderId="0" xfId="59" applyNumberFormat="1" applyFont="1" applyProtection="1"/>
    <xf numFmtId="40" fontId="40" fillId="0" borderId="0" xfId="59" applyNumberFormat="1" applyFont="1" applyProtection="1"/>
    <xf numFmtId="40" fontId="46" fillId="0" borderId="0" xfId="59" applyNumberFormat="1" applyFont="1" applyProtection="1"/>
    <xf numFmtId="176" fontId="36" fillId="0" borderId="0" xfId="0" applyNumberFormat="1" applyFont="1" applyAlignment="1">
      <alignment horizontal="center"/>
    </xf>
    <xf numFmtId="180" fontId="36" fillId="0" borderId="0" xfId="0" applyNumberFormat="1" applyFont="1"/>
    <xf numFmtId="5" fontId="40" fillId="0" borderId="0" xfId="0" applyNumberFormat="1" applyFont="1"/>
    <xf numFmtId="181" fontId="40" fillId="0" borderId="0" xfId="0" applyNumberFormat="1" applyFont="1"/>
    <xf numFmtId="182" fontId="46" fillId="0" borderId="0" xfId="0" applyNumberFormat="1" applyFont="1"/>
    <xf numFmtId="3" fontId="46" fillId="0" borderId="0" xfId="0" applyNumberFormat="1" applyFont="1"/>
    <xf numFmtId="176" fontId="46" fillId="0" borderId="0" xfId="0" applyNumberFormat="1" applyFont="1" applyAlignment="1">
      <alignment horizontal="right"/>
    </xf>
    <xf numFmtId="37" fontId="40" fillId="0" borderId="0" xfId="0" applyNumberFormat="1" applyFont="1"/>
    <xf numFmtId="180" fontId="40" fillId="0" borderId="0" xfId="0" applyNumberFormat="1" applyFont="1"/>
    <xf numFmtId="1" fontId="34" fillId="34" borderId="0" xfId="52" applyNumberFormat="1" applyFont="1" applyFill="1" applyBorder="1" applyAlignment="1">
      <alignment horizontal="right" vertical="center"/>
    </xf>
    <xf numFmtId="173" fontId="57" fillId="40" borderId="16" xfId="0" applyNumberFormat="1" applyFont="1" applyFill="1" applyBorder="1"/>
    <xf numFmtId="167" fontId="72" fillId="0" borderId="0" xfId="0" applyFont="1"/>
    <xf numFmtId="167" fontId="58" fillId="40" borderId="1" xfId="0" applyFont="1" applyFill="1" applyBorder="1"/>
    <xf numFmtId="169" fontId="57" fillId="33" borderId="16" xfId="3" applyNumberFormat="1" applyFont="1" applyBorder="1"/>
    <xf numFmtId="167" fontId="40" fillId="36" borderId="23" xfId="0" applyFont="1" applyFill="1" applyBorder="1"/>
    <xf numFmtId="173" fontId="40" fillId="36" borderId="1" xfId="0" applyNumberFormat="1" applyFont="1" applyFill="1" applyBorder="1"/>
    <xf numFmtId="178" fontId="29" fillId="33" borderId="1" xfId="3" applyNumberFormat="1"/>
    <xf numFmtId="175" fontId="59" fillId="0" borderId="0" xfId="0" applyNumberFormat="1" applyFont="1"/>
    <xf numFmtId="166" fontId="34" fillId="34" borderId="0" xfId="54" applyNumberFormat="1" applyFont="1" applyFill="1" applyBorder="1"/>
    <xf numFmtId="184" fontId="66" fillId="0" borderId="0" xfId="3" applyNumberFormat="1" applyFont="1" applyFill="1" applyBorder="1" applyAlignment="1">
      <alignment horizontal="center"/>
    </xf>
    <xf numFmtId="10" fontId="71" fillId="0" borderId="0" xfId="3" applyNumberFormat="1" applyFont="1" applyFill="1" applyBorder="1" applyAlignment="1">
      <alignment horizontal="center"/>
    </xf>
    <xf numFmtId="1" fontId="34" fillId="35" borderId="0" xfId="0" applyNumberFormat="1" applyFont="1" applyFill="1" applyAlignment="1">
      <alignment horizontal="right"/>
    </xf>
    <xf numFmtId="1" fontId="34" fillId="35" borderId="0" xfId="4" applyNumberFormat="1" applyFont="1" applyFill="1"/>
    <xf numFmtId="1" fontId="34" fillId="35" borderId="0" xfId="0" applyNumberFormat="1" applyFont="1" applyFill="1"/>
    <xf numFmtId="1" fontId="59" fillId="35" borderId="0" xfId="0" applyNumberFormat="1" applyFont="1" applyFill="1"/>
    <xf numFmtId="1" fontId="60" fillId="35" borderId="0" xfId="3" applyNumberFormat="1" applyFont="1" applyFill="1" applyBorder="1"/>
    <xf numFmtId="167" fontId="40" fillId="0" borderId="0" xfId="0" applyFont="1" applyFill="1"/>
    <xf numFmtId="39" fontId="39" fillId="0" borderId="17" xfId="57" applyNumberFormat="1" applyFont="1" applyBorder="1"/>
    <xf numFmtId="179" fontId="39" fillId="0" borderId="0" xfId="57" applyNumberFormat="1" applyFont="1" applyBorder="1"/>
    <xf numFmtId="179" fontId="39" fillId="0" borderId="18" xfId="57" applyNumberFormat="1" applyFont="1" applyBorder="1"/>
    <xf numFmtId="166" fontId="38" fillId="0" borderId="0" xfId="0" applyNumberFormat="1" applyFont="1" applyBorder="1"/>
    <xf numFmtId="166" fontId="38" fillId="0" borderId="0" xfId="57" applyFont="1" applyFill="1" applyBorder="1"/>
    <xf numFmtId="167" fontId="38" fillId="33" borderId="14" xfId="3" applyFont="1" applyBorder="1" applyAlignment="1">
      <alignment horizontal="center"/>
    </xf>
    <xf numFmtId="167" fontId="40" fillId="0" borderId="0" xfId="0" applyFont="1" applyBorder="1"/>
    <xf numFmtId="167" fontId="40" fillId="44" borderId="0" xfId="0" applyFont="1" applyFill="1"/>
    <xf numFmtId="178" fontId="34" fillId="44" borderId="0" xfId="0" applyNumberFormat="1" applyFont="1" applyFill="1" applyAlignment="1">
      <alignment horizontal="right"/>
    </xf>
    <xf numFmtId="178" fontId="34" fillId="44" borderId="0" xfId="0" applyNumberFormat="1" applyFont="1" applyFill="1" applyAlignment="1"/>
    <xf numFmtId="178" fontId="34" fillId="0" borderId="0" xfId="0" applyNumberFormat="1" applyFont="1" applyFill="1" applyAlignment="1">
      <alignment horizontal="right"/>
    </xf>
    <xf numFmtId="9" fontId="38" fillId="45" borderId="0" xfId="0" applyNumberFormat="1" applyFont="1" applyFill="1"/>
    <xf numFmtId="9" fontId="41" fillId="0" borderId="0" xfId="0" applyNumberFormat="1" applyFont="1"/>
    <xf numFmtId="9" fontId="70" fillId="45" borderId="0" xfId="0" applyNumberFormat="1" applyFont="1" applyFill="1"/>
    <xf numFmtId="178" fontId="34" fillId="44" borderId="18" xfId="0" applyNumberFormat="1" applyFont="1" applyFill="1" applyBorder="1" applyAlignment="1">
      <alignment horizontal="right"/>
    </xf>
    <xf numFmtId="9" fontId="70" fillId="45" borderId="18" xfId="0" applyNumberFormat="1" applyFont="1" applyFill="1" applyBorder="1"/>
    <xf numFmtId="9" fontId="41" fillId="0" borderId="18" xfId="0" applyNumberFormat="1" applyFont="1" applyBorder="1"/>
    <xf numFmtId="9" fontId="41" fillId="0" borderId="17" xfId="0" applyNumberFormat="1" applyFont="1" applyBorder="1"/>
    <xf numFmtId="9" fontId="70" fillId="0" borderId="0" xfId="0" applyNumberFormat="1" applyFont="1" applyFill="1"/>
    <xf numFmtId="9" fontId="70" fillId="0" borderId="18" xfId="0" applyNumberFormat="1" applyFont="1" applyFill="1" applyBorder="1"/>
    <xf numFmtId="9" fontId="41" fillId="0" borderId="18" xfId="0" applyNumberFormat="1" applyFont="1" applyFill="1" applyBorder="1"/>
    <xf numFmtId="9" fontId="41" fillId="0" borderId="0" xfId="0" applyNumberFormat="1" applyFont="1" applyFill="1" applyBorder="1"/>
    <xf numFmtId="9" fontId="40" fillId="0" borderId="18" xfId="0" applyNumberFormat="1" applyFont="1" applyBorder="1"/>
    <xf numFmtId="9" fontId="38" fillId="45" borderId="18" xfId="0" applyNumberFormat="1" applyFont="1" applyFill="1" applyBorder="1"/>
    <xf numFmtId="9" fontId="31" fillId="0" borderId="0" xfId="0" applyNumberFormat="1" applyFont="1" applyBorder="1"/>
    <xf numFmtId="179" fontId="57" fillId="33" borderId="1" xfId="3" applyNumberFormat="1" applyFont="1"/>
    <xf numFmtId="179" fontId="40" fillId="0" borderId="18" xfId="0" applyNumberFormat="1" applyFont="1" applyBorder="1"/>
    <xf numFmtId="179" fontId="70" fillId="33" borderId="1" xfId="3" applyNumberFormat="1" applyFont="1"/>
    <xf numFmtId="166" fontId="39" fillId="46" borderId="0" xfId="57" applyFont="1" applyFill="1"/>
    <xf numFmtId="39" fontId="39" fillId="0" borderId="24" xfId="57" applyNumberFormat="1" applyFont="1" applyBorder="1"/>
    <xf numFmtId="179" fontId="38" fillId="0" borderId="0" xfId="0" applyNumberFormat="1" applyFont="1" applyBorder="1"/>
    <xf numFmtId="167" fontId="38" fillId="0" borderId="0" xfId="0" applyFont="1" applyBorder="1"/>
    <xf numFmtId="167" fontId="34" fillId="34" borderId="18" xfId="0" applyFont="1" applyFill="1" applyBorder="1"/>
    <xf numFmtId="10" fontId="36" fillId="34" borderId="19" xfId="0" applyNumberFormat="1" applyFont="1" applyFill="1" applyBorder="1"/>
    <xf numFmtId="180" fontId="40" fillId="0" borderId="15" xfId="0" applyNumberFormat="1" applyFont="1" applyBorder="1" applyAlignment="1">
      <alignment horizontal="center"/>
    </xf>
    <xf numFmtId="180" fontId="46" fillId="0" borderId="15" xfId="0" applyNumberFormat="1" applyFont="1" applyBorder="1" applyAlignment="1">
      <alignment horizontal="center"/>
    </xf>
    <xf numFmtId="180" fontId="40" fillId="0" borderId="0" xfId="0" applyNumberFormat="1" applyFont="1" applyAlignment="1">
      <alignment horizontal="center"/>
    </xf>
    <xf numFmtId="173" fontId="40" fillId="0" borderId="18" xfId="0" applyNumberFormat="1" applyFont="1" applyBorder="1" applyAlignment="1">
      <alignment horizontal="center"/>
    </xf>
    <xf numFmtId="167" fontId="46" fillId="0" borderId="0" xfId="0" applyFont="1" applyBorder="1"/>
    <xf numFmtId="10" fontId="73" fillId="33" borderId="1" xfId="3" applyNumberFormat="1" applyFont="1" applyAlignment="1">
      <alignment horizontal="center"/>
    </xf>
    <xf numFmtId="167" fontId="46" fillId="0" borderId="0" xfId="0" applyFont="1" applyFill="1" applyBorder="1"/>
    <xf numFmtId="167" fontId="40" fillId="0" borderId="0" xfId="0" applyFont="1" applyFill="1" applyBorder="1" applyAlignment="1">
      <alignment horizontal="center"/>
    </xf>
    <xf numFmtId="167" fontId="40" fillId="0" borderId="0" xfId="0" applyFont="1" applyFill="1" applyBorder="1"/>
    <xf numFmtId="167" fontId="34" fillId="0" borderId="18" xfId="53" applyFont="1" applyFill="1" applyBorder="1">
      <alignment horizontal="left" vertical="center"/>
    </xf>
    <xf numFmtId="167" fontId="40" fillId="0" borderId="16" xfId="0" applyFont="1" applyBorder="1" applyAlignment="1">
      <alignment horizontal="center"/>
    </xf>
    <xf numFmtId="10" fontId="73" fillId="33" borderId="0" xfId="3" applyNumberFormat="1" applyFont="1" applyBorder="1" applyAlignment="1">
      <alignment horizontal="center"/>
    </xf>
    <xf numFmtId="10" fontId="71" fillId="33" borderId="0" xfId="3" applyNumberFormat="1" applyFont="1" applyBorder="1" applyAlignment="1">
      <alignment horizontal="center"/>
    </xf>
    <xf numFmtId="10" fontId="71" fillId="33" borderId="17" xfId="3" applyNumberFormat="1" applyFont="1" applyBorder="1" applyAlignment="1">
      <alignment horizontal="center"/>
    </xf>
    <xf numFmtId="184" fontId="66" fillId="33" borderId="15" xfId="3" applyNumberFormat="1" applyFont="1" applyBorder="1" applyAlignment="1">
      <alignment horizontal="center"/>
    </xf>
    <xf numFmtId="184" fontId="66" fillId="33" borderId="16" xfId="3" applyNumberFormat="1" applyFont="1" applyBorder="1" applyAlignment="1">
      <alignment horizontal="center"/>
    </xf>
    <xf numFmtId="167" fontId="40" fillId="0" borderId="22" xfId="0" applyFont="1" applyBorder="1"/>
    <xf numFmtId="167" fontId="46" fillId="0" borderId="0" xfId="0" applyFont="1" applyFill="1" applyBorder="1" applyAlignment="1">
      <alignment horizontal="left"/>
    </xf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4335"/>
      <color rgb="FF34A853"/>
      <color rgb="FF0000FF"/>
      <color rgb="FFB4DE86"/>
      <color rgb="FF44546A"/>
      <color rgb="FF5F6368"/>
      <color rgb="FF4472C4"/>
      <color rgb="FFFBBC05"/>
      <color rgb="FFFF8585"/>
      <color rgb="FF4285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3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showGridLines="0" tabSelected="1" zoomScaleNormal="100" workbookViewId="0">
      <selection activeCell="A4" sqref="A4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18.140625" style="4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7.42578125" style="4" bestFit="1" customWidth="1"/>
    <col min="9" max="11" width="15.7109375" style="4" customWidth="1"/>
    <col min="12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51" customFormat="1" ht="19.5" x14ac:dyDescent="0.3">
      <c r="A1" s="318" t="str">
        <f>CoName</f>
        <v>Microsoft Corp.</v>
      </c>
      <c r="B1" s="2"/>
      <c r="C1" s="2"/>
      <c r="D1" s="155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spans="1:15" s="16" customFormat="1" x14ac:dyDescent="0.25">
      <c r="A2" s="66" t="s">
        <v>204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</row>
    <row r="4" spans="1:15" x14ac:dyDescent="0.25">
      <c r="B4" s="4" t="s">
        <v>3</v>
      </c>
      <c r="C4" s="53" t="s">
        <v>206</v>
      </c>
      <c r="E4" s="4" t="s">
        <v>170</v>
      </c>
      <c r="F4" s="264">
        <v>516.10900000000004</v>
      </c>
      <c r="H4" s="385" t="s">
        <v>263</v>
      </c>
      <c r="I4" s="173" t="s">
        <v>203</v>
      </c>
      <c r="J4" s="173" t="s">
        <v>200</v>
      </c>
      <c r="K4" s="375" t="s">
        <v>186</v>
      </c>
    </row>
    <row r="5" spans="1:15" x14ac:dyDescent="0.25">
      <c r="B5" s="4" t="s">
        <v>4</v>
      </c>
      <c r="C5" s="54">
        <v>247.43</v>
      </c>
      <c r="E5" s="4" t="s">
        <v>176</v>
      </c>
      <c r="F5" s="163">
        <v>7432.3776550000002</v>
      </c>
      <c r="H5" s="173" t="s">
        <v>264</v>
      </c>
      <c r="I5" s="284">
        <f>'DCF Model'!T13</f>
        <v>633.68711984660877</v>
      </c>
      <c r="J5" s="284">
        <f>'DCF Model'!O13</f>
        <v>523.07692004670696</v>
      </c>
      <c r="K5" s="284">
        <f>AVERAGE(I5:J5)</f>
        <v>578.38201994665792</v>
      </c>
    </row>
    <row r="6" spans="1:15" x14ac:dyDescent="0.25">
      <c r="B6" s="4" t="s">
        <v>5</v>
      </c>
      <c r="C6" s="53" t="s">
        <v>9</v>
      </c>
      <c r="E6" s="4" t="s">
        <v>104</v>
      </c>
      <c r="F6" s="163">
        <f>F5*F4</f>
        <v>3835916.9991443953</v>
      </c>
      <c r="H6" s="173"/>
      <c r="I6" s="373">
        <f>I5/$F$4-1</f>
        <v>0.22781644932874401</v>
      </c>
      <c r="J6" s="373">
        <f>J5/$F$4-1</f>
        <v>1.350086909297632E-2</v>
      </c>
      <c r="K6" s="373">
        <f>K5/$F$4-1</f>
        <v>0.12065865921086028</v>
      </c>
    </row>
    <row r="7" spans="1:15" x14ac:dyDescent="0.25">
      <c r="B7" s="4" t="s">
        <v>6</v>
      </c>
      <c r="C7" s="53" t="s">
        <v>8</v>
      </c>
      <c r="E7" s="4" t="s">
        <v>177</v>
      </c>
      <c r="F7" s="53">
        <f>28849+73163</f>
        <v>102012</v>
      </c>
      <c r="H7" s="173"/>
    </row>
    <row r="8" spans="1:15" x14ac:dyDescent="0.25">
      <c r="B8" s="4" t="s">
        <v>2</v>
      </c>
      <c r="C8" s="53" t="s">
        <v>87</v>
      </c>
      <c r="E8" s="4" t="s">
        <v>145</v>
      </c>
      <c r="F8" s="53">
        <f>35376+7832</f>
        <v>43208</v>
      </c>
      <c r="H8" s="173" t="s">
        <v>265</v>
      </c>
      <c r="I8" s="284">
        <f>'DCF Model'!R9</f>
        <v>440.16511299578906</v>
      </c>
      <c r="J8" s="284">
        <f>'DCF Model'!M9</f>
        <v>302.68454096607024</v>
      </c>
      <c r="K8" s="284">
        <f>AVERAGE(I8:J8)</f>
        <v>371.42482698092965</v>
      </c>
    </row>
    <row r="9" spans="1:15" x14ac:dyDescent="0.25">
      <c r="B9" s="29" t="s">
        <v>7</v>
      </c>
      <c r="C9" s="339">
        <v>0</v>
      </c>
      <c r="E9" s="4" t="s">
        <v>118</v>
      </c>
      <c r="F9" s="53">
        <f>F6-F7+F8</f>
        <v>3777112.9991443953</v>
      </c>
      <c r="I9" s="268">
        <f>I8/$F$4-1</f>
        <v>-0.14714699221329408</v>
      </c>
      <c r="J9" s="268">
        <f>J8/$F$4-1</f>
        <v>-0.41352593935376014</v>
      </c>
      <c r="K9" s="268">
        <f>K8/$F$4-1</f>
        <v>-0.28033646578352711</v>
      </c>
    </row>
    <row r="11" spans="1:15" x14ac:dyDescent="0.25">
      <c r="A11" s="29"/>
      <c r="B11" s="36" t="s">
        <v>262</v>
      </c>
      <c r="C11" s="253" t="s">
        <v>203</v>
      </c>
      <c r="D11" s="253" t="s">
        <v>200</v>
      </c>
      <c r="E11" s="378" t="str">
        <f>K4</f>
        <v>Average</v>
      </c>
      <c r="F11" s="173"/>
    </row>
    <row r="12" spans="1:15" x14ac:dyDescent="0.25">
      <c r="A12" s="29"/>
      <c r="B12" s="158" t="s">
        <v>178</v>
      </c>
      <c r="C12" s="382">
        <f>'DCF Model'!S16</f>
        <v>541.49729593829363</v>
      </c>
      <c r="D12" s="382">
        <f>'DCF Model'!N16</f>
        <v>391.53879643685525</v>
      </c>
      <c r="E12" s="383">
        <f>AVERAGE(C12:D12)</f>
        <v>466.51804618757444</v>
      </c>
      <c r="F12" s="326"/>
    </row>
    <row r="13" spans="1:15" x14ac:dyDescent="0.25">
      <c r="A13" s="377"/>
      <c r="B13" s="384" t="s">
        <v>179</v>
      </c>
      <c r="C13" s="379">
        <f>C12/$F$4-1</f>
        <v>4.9191732634566776E-2</v>
      </c>
      <c r="D13" s="380">
        <f>D12/$F$4-1</f>
        <v>-0.24136413734917384</v>
      </c>
      <c r="E13" s="381">
        <f>E12/$F$4-1</f>
        <v>-9.6086202357303585E-2</v>
      </c>
      <c r="F13" s="327"/>
      <c r="G13" s="267"/>
      <c r="L13" s="267"/>
      <c r="M13" s="267"/>
      <c r="N13" s="267"/>
      <c r="O13" s="267"/>
    </row>
    <row r="14" spans="1:15" x14ac:dyDescent="0.25">
      <c r="A14" s="87"/>
      <c r="B14" s="67"/>
      <c r="C14" s="67"/>
      <c r="D14" s="67"/>
      <c r="E14" s="67"/>
      <c r="F14" s="173"/>
    </row>
    <row r="15" spans="1:15" x14ac:dyDescent="0.25">
      <c r="F15" s="173"/>
    </row>
    <row r="16" spans="1:15" x14ac:dyDescent="0.25">
      <c r="F16" s="326"/>
    </row>
    <row r="17" spans="2:6" x14ac:dyDescent="0.25">
      <c r="F17" s="326"/>
    </row>
    <row r="18" spans="2:6" x14ac:dyDescent="0.25">
      <c r="F18" s="327"/>
    </row>
    <row r="19" spans="2:6" x14ac:dyDescent="0.25">
      <c r="F19" s="173"/>
    </row>
    <row r="20" spans="2:6" x14ac:dyDescent="0.25">
      <c r="B20" s="374"/>
      <c r="C20" s="375"/>
      <c r="D20" s="375"/>
      <c r="E20" s="375"/>
      <c r="F20" s="173"/>
    </row>
    <row r="21" spans="2:6" x14ac:dyDescent="0.25">
      <c r="B21" s="376"/>
      <c r="C21" s="326"/>
      <c r="D21" s="326"/>
      <c r="E21" s="326"/>
      <c r="F21" s="326"/>
    </row>
    <row r="22" spans="2:6" x14ac:dyDescent="0.25">
      <c r="B22" s="376"/>
      <c r="C22" s="327"/>
      <c r="D22" s="327"/>
      <c r="E22" s="327"/>
      <c r="F22" s="327"/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W60"/>
  <sheetViews>
    <sheetView showGridLines="0" zoomScaleNormal="100" workbookViewId="0">
      <selection activeCell="K48" sqref="K48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3" width="11.7109375" style="4" customWidth="1"/>
    <col min="14" max="14" width="11.42578125" style="4" customWidth="1"/>
    <col min="15" max="15" width="21.42578125" style="4" bestFit="1" customWidth="1"/>
    <col min="16" max="23" width="11.42578125" style="4" customWidth="1"/>
    <col min="24" max="16384" width="9" style="4"/>
  </cols>
  <sheetData>
    <row r="1" spans="1:23" ht="19.5" x14ac:dyDescent="0.3">
      <c r="A1" s="318" t="str">
        <f>CoName</f>
        <v>Microsoft Corp.</v>
      </c>
      <c r="B1" s="3"/>
      <c r="C1" s="43" t="s">
        <v>0</v>
      </c>
      <c r="D1" s="43" t="s">
        <v>0</v>
      </c>
      <c r="E1" s="43" t="s">
        <v>0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 t="s">
        <v>1</v>
      </c>
      <c r="L1" s="43" t="s">
        <v>1</v>
      </c>
      <c r="M1" s="43" t="s">
        <v>1</v>
      </c>
      <c r="N1" s="43"/>
      <c r="O1" s="43"/>
    </row>
    <row r="2" spans="1:23" x14ac:dyDescent="0.25">
      <c r="A2" s="65" t="s">
        <v>126</v>
      </c>
      <c r="B2" s="108" t="s">
        <v>127</v>
      </c>
      <c r="C2" s="330">
        <v>2023</v>
      </c>
      <c r="D2" s="330">
        <f>C2+1</f>
        <v>2024</v>
      </c>
      <c r="E2" s="330">
        <f t="shared" ref="E2:M2" si="0">D2+1</f>
        <v>2025</v>
      </c>
      <c r="F2" s="330">
        <f t="shared" si="0"/>
        <v>2026</v>
      </c>
      <c r="G2" s="330">
        <f t="shared" si="0"/>
        <v>2027</v>
      </c>
      <c r="H2" s="330">
        <f t="shared" si="0"/>
        <v>2028</v>
      </c>
      <c r="I2" s="330">
        <f t="shared" si="0"/>
        <v>2029</v>
      </c>
      <c r="J2" s="330">
        <f t="shared" si="0"/>
        <v>2030</v>
      </c>
      <c r="K2" s="330">
        <f t="shared" si="0"/>
        <v>2031</v>
      </c>
      <c r="L2" s="330">
        <f t="shared" si="0"/>
        <v>2032</v>
      </c>
      <c r="M2" s="330">
        <f t="shared" si="0"/>
        <v>2033</v>
      </c>
      <c r="N2" s="210"/>
      <c r="O2" s="210"/>
    </row>
    <row r="3" spans="1:23" x14ac:dyDescent="0.25">
      <c r="A3" s="87"/>
      <c r="B3" s="162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</row>
    <row r="4" spans="1:23" x14ac:dyDescent="0.25">
      <c r="B4" s="95" t="s">
        <v>133</v>
      </c>
      <c r="C4"/>
      <c r="D4" s="323">
        <v>1</v>
      </c>
      <c r="E4"/>
      <c r="F4"/>
      <c r="G4" s="90"/>
      <c r="H4" s="90"/>
      <c r="I4" s="90"/>
      <c r="J4" s="90"/>
      <c r="K4" s="90"/>
      <c r="L4" s="90"/>
      <c r="M4" s="90"/>
      <c r="N4" s="90"/>
      <c r="P4" s="285"/>
      <c r="Q4" s="286"/>
      <c r="R4" s="286"/>
    </row>
    <row r="5" spans="1:23" x14ac:dyDescent="0.25">
      <c r="B5" s="89"/>
      <c r="C5" s="91"/>
      <c r="D5" s="114" t="s">
        <v>128</v>
      </c>
      <c r="E5" s="92"/>
      <c r="N5" s="90"/>
      <c r="P5" s="287"/>
      <c r="Q5" s="288"/>
      <c r="R5" s="288"/>
    </row>
    <row r="6" spans="1:23" x14ac:dyDescent="0.25">
      <c r="B6" s="93" t="s">
        <v>134</v>
      </c>
      <c r="D6" s="102">
        <v>0</v>
      </c>
      <c r="E6" s="94"/>
      <c r="F6" s="102">
        <f>Revenue!G23</f>
        <v>0.15539675100016992</v>
      </c>
      <c r="G6" s="102">
        <f>Revenue!H23</f>
        <v>0.16921146642991736</v>
      </c>
      <c r="H6" s="102">
        <f>Revenue!I23</f>
        <v>0.16595177599785571</v>
      </c>
      <c r="I6" s="102">
        <f>Revenue!J23</f>
        <v>0.16036320808293381</v>
      </c>
      <c r="J6" s="102">
        <f>Revenue!K23</f>
        <v>0.15280023360318418</v>
      </c>
      <c r="K6" s="102">
        <f>Revenue!L23</f>
        <v>0.14368981112797985</v>
      </c>
      <c r="L6" s="102">
        <f>Revenue!M23</f>
        <v>0.13350164076091531</v>
      </c>
      <c r="M6" s="102">
        <f>Revenue!N23</f>
        <v>0.12272997781741757</v>
      </c>
      <c r="N6" s="183"/>
      <c r="P6" s="183"/>
      <c r="Q6" s="289"/>
      <c r="R6" s="289"/>
      <c r="S6" s="289"/>
      <c r="T6" s="289"/>
      <c r="U6" s="289"/>
      <c r="V6" s="289"/>
      <c r="W6" s="289"/>
    </row>
    <row r="7" spans="1:23" x14ac:dyDescent="0.25">
      <c r="B7" s="4" t="s">
        <v>130</v>
      </c>
      <c r="D7" s="102">
        <v>0.03</v>
      </c>
      <c r="E7" s="94"/>
      <c r="F7" s="102">
        <f>F6+$D$7</f>
        <v>0.18539675100016992</v>
      </c>
      <c r="G7" s="102">
        <f t="shared" ref="G7:M7" si="1">G6+$D$7</f>
        <v>0.19921146642991736</v>
      </c>
      <c r="H7" s="102">
        <f t="shared" si="1"/>
        <v>0.19595177599785571</v>
      </c>
      <c r="I7" s="102">
        <f t="shared" si="1"/>
        <v>0.1903632080829338</v>
      </c>
      <c r="J7" s="102">
        <f t="shared" si="1"/>
        <v>0.18280023360318418</v>
      </c>
      <c r="K7" s="102">
        <f t="shared" si="1"/>
        <v>0.17368981112797985</v>
      </c>
      <c r="L7" s="102">
        <f t="shared" si="1"/>
        <v>0.16350164076091531</v>
      </c>
      <c r="M7" s="102">
        <f t="shared" si="1"/>
        <v>0.15272997781741757</v>
      </c>
      <c r="N7" s="183"/>
      <c r="P7" s="183"/>
      <c r="Q7" s="183"/>
      <c r="R7" s="183"/>
      <c r="S7" s="183"/>
      <c r="T7" s="183"/>
      <c r="U7" s="183"/>
      <c r="V7" s="183"/>
      <c r="W7" s="183"/>
    </row>
    <row r="8" spans="1:23" x14ac:dyDescent="0.25">
      <c r="B8" s="4" t="s">
        <v>129</v>
      </c>
      <c r="D8" s="102">
        <v>-0.03</v>
      </c>
      <c r="E8" s="94"/>
      <c r="F8" s="102">
        <f>F6+$D$8</f>
        <v>0.12539675100016992</v>
      </c>
      <c r="G8" s="102">
        <f t="shared" ref="G8:M8" si="2">G6+$D$8</f>
        <v>0.13921146642991736</v>
      </c>
      <c r="H8" s="102">
        <f t="shared" si="2"/>
        <v>0.13595177599785571</v>
      </c>
      <c r="I8" s="102">
        <f t="shared" si="2"/>
        <v>0.13036320808293381</v>
      </c>
      <c r="J8" s="102">
        <f t="shared" si="2"/>
        <v>0.12280023360318418</v>
      </c>
      <c r="K8" s="102">
        <f t="shared" si="2"/>
        <v>0.11368981112797985</v>
      </c>
      <c r="L8" s="102">
        <f t="shared" si="2"/>
        <v>0.10350164076091531</v>
      </c>
      <c r="M8" s="102">
        <f t="shared" si="2"/>
        <v>9.2729977817417569E-2</v>
      </c>
      <c r="N8" s="183"/>
    </row>
    <row r="9" spans="1:23" x14ac:dyDescent="0.25">
      <c r="N9" s="32"/>
      <c r="O9" s="32"/>
      <c r="P9" s="183"/>
      <c r="Q9" s="183"/>
    </row>
    <row r="10" spans="1:23" x14ac:dyDescent="0.25">
      <c r="B10" s="118" t="s">
        <v>150</v>
      </c>
      <c r="C10" s="358">
        <f>Revenue!D23</f>
        <v>6.8820295556564215E-2</v>
      </c>
      <c r="D10" s="358">
        <f>Revenue!E23</f>
        <v>0.1566996201307127</v>
      </c>
      <c r="E10" s="203">
        <f>Revenue!F23</f>
        <v>0.14932156232406713</v>
      </c>
      <c r="F10" s="106">
        <f t="shared" ref="F10" si="3">CHOOSE(ScenarioREV,F6,F7,F8)</f>
        <v>0.15539675100016992</v>
      </c>
      <c r="G10" s="106">
        <f t="shared" ref="G10:M10" si="4">CHOOSE(ScenarioREV,G6,G7,G8)</f>
        <v>0.16921146642991736</v>
      </c>
      <c r="H10" s="106">
        <f t="shared" si="4"/>
        <v>0.16595177599785571</v>
      </c>
      <c r="I10" s="106">
        <f t="shared" si="4"/>
        <v>0.16036320808293381</v>
      </c>
      <c r="J10" s="106">
        <f t="shared" si="4"/>
        <v>0.15280023360318418</v>
      </c>
      <c r="K10" s="106">
        <f t="shared" si="4"/>
        <v>0.14368981112797985</v>
      </c>
      <c r="L10" s="106">
        <f t="shared" si="4"/>
        <v>0.13350164076091531</v>
      </c>
      <c r="M10" s="106">
        <f t="shared" si="4"/>
        <v>0.12272997781741757</v>
      </c>
      <c r="N10" s="31"/>
      <c r="O10" s="31"/>
      <c r="P10" s="183"/>
      <c r="Q10" s="183"/>
    </row>
    <row r="11" spans="1:23" x14ac:dyDescent="0.25">
      <c r="B11" s="4" t="s">
        <v>135</v>
      </c>
      <c r="C11" s="8">
        <f>IncState!C18/IncState!C17</f>
        <v>0.31079914116508978</v>
      </c>
      <c r="D11" s="8">
        <f>IncState!D18/IncState!D17</f>
        <v>0.30235556172028621</v>
      </c>
      <c r="E11" s="8">
        <f>IncState!E18/IncState!E17</f>
        <v>0.31176257613834818</v>
      </c>
      <c r="F11" s="102">
        <f>E11</f>
        <v>0.31176257613834818</v>
      </c>
      <c r="G11" s="102">
        <f t="shared" ref="G11:M11" si="5">F11</f>
        <v>0.31176257613834818</v>
      </c>
      <c r="H11" s="102">
        <f t="shared" si="5"/>
        <v>0.31176257613834818</v>
      </c>
      <c r="I11" s="102">
        <f t="shared" si="5"/>
        <v>0.31176257613834818</v>
      </c>
      <c r="J11" s="102">
        <f t="shared" si="5"/>
        <v>0.31176257613834818</v>
      </c>
      <c r="K11" s="102">
        <f t="shared" si="5"/>
        <v>0.31176257613834818</v>
      </c>
      <c r="L11" s="102">
        <f t="shared" si="5"/>
        <v>0.31176257613834818</v>
      </c>
      <c r="M11" s="102">
        <f t="shared" si="5"/>
        <v>0.31176257613834818</v>
      </c>
      <c r="N11" s="183"/>
      <c r="O11" s="183"/>
      <c r="P11" s="183"/>
      <c r="Q11" s="183"/>
    </row>
    <row r="12" spans="1:23" x14ac:dyDescent="0.25">
      <c r="B12" s="4" t="s">
        <v>181</v>
      </c>
      <c r="C12" s="8">
        <f>IncState!C19/IncState!C17</f>
        <v>0.12832975485454073</v>
      </c>
      <c r="D12" s="8">
        <f>IncState!D19/IncState!D17</f>
        <v>0.12038903076835208</v>
      </c>
      <c r="E12" s="8">
        <f>IncState!E19/IncState!E17</f>
        <v>0.11531853871164686</v>
      </c>
      <c r="F12" s="102">
        <f>E12</f>
        <v>0.11531853871164686</v>
      </c>
      <c r="G12" s="102">
        <f t="shared" ref="G12:M12" si="6">F12</f>
        <v>0.11531853871164686</v>
      </c>
      <c r="H12" s="102">
        <f t="shared" si="6"/>
        <v>0.11531853871164686</v>
      </c>
      <c r="I12" s="102">
        <f t="shared" si="6"/>
        <v>0.11531853871164686</v>
      </c>
      <c r="J12" s="102">
        <f t="shared" si="6"/>
        <v>0.11531853871164686</v>
      </c>
      <c r="K12" s="102">
        <f t="shared" si="6"/>
        <v>0.11531853871164686</v>
      </c>
      <c r="L12" s="102">
        <f t="shared" si="6"/>
        <v>0.11531853871164686</v>
      </c>
      <c r="M12" s="102">
        <f t="shared" si="6"/>
        <v>0.11531853871164686</v>
      </c>
      <c r="N12" s="183"/>
      <c r="O12" s="183"/>
      <c r="P12" s="183"/>
      <c r="Q12" s="183"/>
    </row>
    <row r="13" spans="1:23" x14ac:dyDescent="0.25">
      <c r="B13" s="4" t="s">
        <v>45</v>
      </c>
      <c r="C13" s="8">
        <f>IncState!C20/IncState!C17</f>
        <v>0.14314229761932851</v>
      </c>
      <c r="D13" s="8">
        <f>IncState!D20/IncState!D17</f>
        <v>0.13081241177862452</v>
      </c>
      <c r="E13" s="8">
        <f>IncState!E20/IncState!E17</f>
        <v>0.11669932274140649</v>
      </c>
      <c r="F13" s="102">
        <f>E13</f>
        <v>0.11669932274140649</v>
      </c>
      <c r="G13" s="102">
        <f t="shared" ref="G13:M13" si="7">F13</f>
        <v>0.11669932274140649</v>
      </c>
      <c r="H13" s="102">
        <f t="shared" si="7"/>
        <v>0.11669932274140649</v>
      </c>
      <c r="I13" s="102">
        <f t="shared" si="7"/>
        <v>0.11669932274140649</v>
      </c>
      <c r="J13" s="102">
        <f t="shared" si="7"/>
        <v>0.11669932274140649</v>
      </c>
      <c r="K13" s="102">
        <f t="shared" si="7"/>
        <v>0.11669932274140649</v>
      </c>
      <c r="L13" s="102">
        <f t="shared" si="7"/>
        <v>0.11669932274140649</v>
      </c>
      <c r="M13" s="102">
        <f t="shared" si="7"/>
        <v>0.11669932274140649</v>
      </c>
      <c r="N13" s="183"/>
      <c r="O13" s="183"/>
    </row>
    <row r="14" spans="1:23" x14ac:dyDescent="0.25">
      <c r="B14" s="4" t="s">
        <v>137</v>
      </c>
      <c r="C14" s="4">
        <v>0</v>
      </c>
      <c r="D14" s="4">
        <v>0</v>
      </c>
      <c r="E14" s="4">
        <v>0</v>
      </c>
      <c r="F14" s="103">
        <f>E14</f>
        <v>0</v>
      </c>
      <c r="G14" s="103">
        <f t="shared" ref="G14:M14" si="8">F14</f>
        <v>0</v>
      </c>
      <c r="H14" s="103">
        <f t="shared" si="8"/>
        <v>0</v>
      </c>
      <c r="I14" s="103">
        <f t="shared" si="8"/>
        <v>0</v>
      </c>
      <c r="J14" s="103">
        <f t="shared" si="8"/>
        <v>0</v>
      </c>
      <c r="K14" s="103">
        <f t="shared" si="8"/>
        <v>0</v>
      </c>
      <c r="L14" s="103">
        <f t="shared" si="8"/>
        <v>0</v>
      </c>
      <c r="M14" s="103">
        <f t="shared" si="8"/>
        <v>0</v>
      </c>
      <c r="N14" s="211"/>
      <c r="O14" s="211"/>
    </row>
    <row r="15" spans="1:23" x14ac:dyDescent="0.25">
      <c r="B15" s="4" t="s">
        <v>138</v>
      </c>
      <c r="C15" s="4">
        <v>0</v>
      </c>
      <c r="D15" s="4">
        <v>0</v>
      </c>
      <c r="E15" s="4">
        <v>0</v>
      </c>
      <c r="F15" s="103">
        <v>0</v>
      </c>
      <c r="G15" s="103">
        <v>0</v>
      </c>
      <c r="H15" s="103">
        <v>0</v>
      </c>
      <c r="I15" s="103">
        <v>0</v>
      </c>
      <c r="J15" s="103">
        <v>0</v>
      </c>
      <c r="K15" s="103">
        <v>0</v>
      </c>
      <c r="L15" s="103">
        <v>0</v>
      </c>
      <c r="M15" s="103">
        <v>0</v>
      </c>
      <c r="N15" s="211"/>
      <c r="O15" s="211"/>
    </row>
    <row r="16" spans="1:23" x14ac:dyDescent="0.25">
      <c r="B16" s="4" t="s">
        <v>140</v>
      </c>
      <c r="C16" s="4">
        <v>0</v>
      </c>
      <c r="D16" s="4">
        <v>0</v>
      </c>
      <c r="E16" s="4">
        <v>0</v>
      </c>
      <c r="F16" s="103">
        <v>0</v>
      </c>
      <c r="G16" s="103">
        <v>0</v>
      </c>
      <c r="H16" s="103">
        <v>0</v>
      </c>
      <c r="I16" s="103">
        <v>0</v>
      </c>
      <c r="J16" s="103">
        <v>0</v>
      </c>
      <c r="K16" s="103">
        <v>0</v>
      </c>
      <c r="L16" s="103">
        <v>0</v>
      </c>
      <c r="M16" s="103">
        <v>0</v>
      </c>
      <c r="N16" s="211"/>
      <c r="O16" s="211"/>
    </row>
    <row r="17" spans="1:15" x14ac:dyDescent="0.25">
      <c r="B17" s="4" t="s">
        <v>48</v>
      </c>
      <c r="C17" s="8">
        <f>IncState!C35/IncState!C33</f>
        <v>0.18978625253328257</v>
      </c>
      <c r="D17" s="8">
        <f>IncState!D35/IncState!D33</f>
        <v>0.18147828587863099</v>
      </c>
      <c r="E17" s="8">
        <f>IncState!E35/IncState!E33</f>
        <v>0.17629644009803683</v>
      </c>
      <c r="F17" s="102">
        <f>E17</f>
        <v>0.17629644009803683</v>
      </c>
      <c r="G17" s="102">
        <f t="shared" ref="G17:M17" si="9">F17</f>
        <v>0.17629644009803683</v>
      </c>
      <c r="H17" s="102">
        <f t="shared" si="9"/>
        <v>0.17629644009803683</v>
      </c>
      <c r="I17" s="102">
        <f t="shared" si="9"/>
        <v>0.17629644009803683</v>
      </c>
      <c r="J17" s="102">
        <f t="shared" si="9"/>
        <v>0.17629644009803683</v>
      </c>
      <c r="K17" s="102">
        <f t="shared" si="9"/>
        <v>0.17629644009803683</v>
      </c>
      <c r="L17" s="102">
        <f t="shared" si="9"/>
        <v>0.17629644009803683</v>
      </c>
      <c r="M17" s="102">
        <f t="shared" si="9"/>
        <v>0.17629644009803683</v>
      </c>
      <c r="N17" s="183"/>
      <c r="O17" s="183"/>
    </row>
    <row r="18" spans="1:15" x14ac:dyDescent="0.25">
      <c r="B18" s="4" t="s">
        <v>235</v>
      </c>
      <c r="C18" s="132">
        <f>IncState!C38</f>
        <v>2.6591458501208702</v>
      </c>
      <c r="D18" s="132">
        <f>IncState!D38</f>
        <v>2.9297537343560758</v>
      </c>
      <c r="E18" s="132">
        <f>IncState!E38</f>
        <v>3.239876227633526</v>
      </c>
      <c r="F18" s="359">
        <v>3.32</v>
      </c>
      <c r="G18" s="359">
        <f t="shared" ref="G18:M18" si="10">F18</f>
        <v>3.32</v>
      </c>
      <c r="H18" s="359">
        <f t="shared" si="10"/>
        <v>3.32</v>
      </c>
      <c r="I18" s="359">
        <f t="shared" si="10"/>
        <v>3.32</v>
      </c>
      <c r="J18" s="359">
        <f t="shared" si="10"/>
        <v>3.32</v>
      </c>
      <c r="K18" s="359">
        <f t="shared" si="10"/>
        <v>3.32</v>
      </c>
      <c r="L18" s="359">
        <f t="shared" si="10"/>
        <v>3.32</v>
      </c>
      <c r="M18" s="359">
        <f t="shared" si="10"/>
        <v>3.32</v>
      </c>
      <c r="N18" s="183"/>
      <c r="O18" s="183"/>
    </row>
    <row r="19" spans="1:15" x14ac:dyDescent="0.25">
      <c r="B19" s="4" t="s">
        <v>49</v>
      </c>
      <c r="C19" s="4">
        <f>IncState!C41</f>
        <v>7446</v>
      </c>
      <c r="D19" s="4">
        <f>IncState!D41</f>
        <v>7431</v>
      </c>
      <c r="E19" s="4">
        <f>IncState!E41</f>
        <v>7433</v>
      </c>
      <c r="F19" s="103">
        <f>E19</f>
        <v>7433</v>
      </c>
      <c r="G19" s="103">
        <f t="shared" ref="G19:M19" si="11">F19</f>
        <v>7433</v>
      </c>
      <c r="H19" s="103">
        <f t="shared" si="11"/>
        <v>7433</v>
      </c>
      <c r="I19" s="103">
        <f t="shared" si="11"/>
        <v>7433</v>
      </c>
      <c r="J19" s="103">
        <f t="shared" si="11"/>
        <v>7433</v>
      </c>
      <c r="K19" s="103">
        <f t="shared" si="11"/>
        <v>7433</v>
      </c>
      <c r="L19" s="103">
        <f t="shared" si="11"/>
        <v>7433</v>
      </c>
      <c r="M19" s="103">
        <f t="shared" si="11"/>
        <v>7433</v>
      </c>
      <c r="N19" s="211"/>
      <c r="O19" s="211"/>
    </row>
    <row r="20" spans="1:15" x14ac:dyDescent="0.25">
      <c r="B20" s="4" t="s">
        <v>50</v>
      </c>
      <c r="C20" s="4">
        <f>IncState!C42</f>
        <v>7472</v>
      </c>
      <c r="D20" s="4">
        <f>IncState!D42</f>
        <v>7469</v>
      </c>
      <c r="E20" s="4">
        <f>IncState!E42</f>
        <v>7465</v>
      </c>
      <c r="F20" s="103">
        <f>E20</f>
        <v>7465</v>
      </c>
      <c r="G20" s="103">
        <f t="shared" ref="G20:M20" si="12">F20</f>
        <v>7465</v>
      </c>
      <c r="H20" s="103">
        <f t="shared" si="12"/>
        <v>7465</v>
      </c>
      <c r="I20" s="103">
        <f t="shared" si="12"/>
        <v>7465</v>
      </c>
      <c r="J20" s="103">
        <f t="shared" si="12"/>
        <v>7465</v>
      </c>
      <c r="K20" s="103">
        <f t="shared" si="12"/>
        <v>7465</v>
      </c>
      <c r="L20" s="103">
        <f t="shared" si="12"/>
        <v>7465</v>
      </c>
      <c r="M20" s="103">
        <f t="shared" si="12"/>
        <v>7465</v>
      </c>
      <c r="N20" s="211"/>
      <c r="O20" s="211"/>
    </row>
    <row r="21" spans="1:15" x14ac:dyDescent="0.25">
      <c r="F21" s="105"/>
      <c r="G21" s="105"/>
      <c r="H21" s="105"/>
      <c r="I21" s="105"/>
      <c r="J21" s="105"/>
      <c r="K21" s="105"/>
      <c r="L21" s="105"/>
      <c r="M21" s="105"/>
      <c r="N21" s="183"/>
      <c r="O21" s="183"/>
    </row>
    <row r="22" spans="1:15" x14ac:dyDescent="0.25">
      <c r="A22" s="65" t="s">
        <v>126</v>
      </c>
      <c r="B22" s="108" t="s">
        <v>145</v>
      </c>
      <c r="C22" s="330">
        <f>C2</f>
        <v>2023</v>
      </c>
      <c r="D22" s="330">
        <f t="shared" ref="D22:M22" si="13">D2</f>
        <v>2024</v>
      </c>
      <c r="E22" s="330">
        <f t="shared" si="13"/>
        <v>2025</v>
      </c>
      <c r="F22" s="330">
        <f t="shared" si="13"/>
        <v>2026</v>
      </c>
      <c r="G22" s="330">
        <f t="shared" si="13"/>
        <v>2027</v>
      </c>
      <c r="H22" s="330">
        <f t="shared" si="13"/>
        <v>2028</v>
      </c>
      <c r="I22" s="330">
        <f t="shared" si="13"/>
        <v>2029</v>
      </c>
      <c r="J22" s="330">
        <f t="shared" si="13"/>
        <v>2030</v>
      </c>
      <c r="K22" s="330">
        <f t="shared" si="13"/>
        <v>2031</v>
      </c>
      <c r="L22" s="330">
        <f t="shared" si="13"/>
        <v>2032</v>
      </c>
      <c r="M22" s="330">
        <f t="shared" si="13"/>
        <v>2033</v>
      </c>
      <c r="N22" s="212"/>
      <c r="O22" s="212"/>
    </row>
    <row r="23" spans="1:15" x14ac:dyDescent="0.25">
      <c r="A23" s="87"/>
      <c r="B23" s="162"/>
      <c r="C23" s="210"/>
      <c r="D23" s="210"/>
      <c r="E23" s="210"/>
      <c r="F23" s="212"/>
      <c r="G23" s="212"/>
      <c r="H23" s="212"/>
      <c r="I23" s="212"/>
      <c r="J23" s="212"/>
      <c r="K23" s="212"/>
      <c r="L23" s="212"/>
      <c r="M23" s="212"/>
      <c r="N23" s="212"/>
      <c r="O23" s="212"/>
    </row>
    <row r="24" spans="1:15" x14ac:dyDescent="0.25">
      <c r="B24" s="4" t="s">
        <v>139</v>
      </c>
      <c r="E24" s="8">
        <v>3.4599999999999999E-2</v>
      </c>
      <c r="F24" s="102">
        <f>E24</f>
        <v>3.4599999999999999E-2</v>
      </c>
      <c r="G24" s="102">
        <f t="shared" ref="G24:M24" si="14">F24</f>
        <v>3.4599999999999999E-2</v>
      </c>
      <c r="H24" s="102">
        <f t="shared" si="14"/>
        <v>3.4599999999999999E-2</v>
      </c>
      <c r="I24" s="102">
        <f t="shared" si="14"/>
        <v>3.4599999999999999E-2</v>
      </c>
      <c r="J24" s="102">
        <f t="shared" si="14"/>
        <v>3.4599999999999999E-2</v>
      </c>
      <c r="K24" s="102">
        <f t="shared" si="14"/>
        <v>3.4599999999999999E-2</v>
      </c>
      <c r="L24" s="102">
        <f t="shared" si="14"/>
        <v>3.4599999999999999E-2</v>
      </c>
      <c r="M24" s="102">
        <f t="shared" si="14"/>
        <v>3.4599999999999999E-2</v>
      </c>
      <c r="N24" s="183"/>
      <c r="O24" s="183"/>
    </row>
    <row r="25" spans="1:15" x14ac:dyDescent="0.25">
      <c r="B25" s="4" t="s">
        <v>26</v>
      </c>
      <c r="E25" s="8">
        <v>3.4599999999999999E-2</v>
      </c>
      <c r="F25" s="102">
        <f>E25</f>
        <v>3.4599999999999999E-2</v>
      </c>
      <c r="G25" s="102">
        <f t="shared" ref="G25:M25" si="15">F25</f>
        <v>3.4599999999999999E-2</v>
      </c>
      <c r="H25" s="102">
        <f t="shared" si="15"/>
        <v>3.4599999999999999E-2</v>
      </c>
      <c r="I25" s="102">
        <f t="shared" si="15"/>
        <v>3.4599999999999999E-2</v>
      </c>
      <c r="J25" s="102">
        <f t="shared" si="15"/>
        <v>3.4599999999999999E-2</v>
      </c>
      <c r="K25" s="102">
        <f t="shared" si="15"/>
        <v>3.4599999999999999E-2</v>
      </c>
      <c r="L25" s="102">
        <f t="shared" si="15"/>
        <v>3.4599999999999999E-2</v>
      </c>
      <c r="M25" s="102">
        <f t="shared" si="15"/>
        <v>3.4599999999999999E-2</v>
      </c>
      <c r="N25" s="183"/>
      <c r="O25" s="183"/>
    </row>
    <row r="26" spans="1:15" x14ac:dyDescent="0.25">
      <c r="B26" s="4" t="s">
        <v>27</v>
      </c>
      <c r="C26" s="8"/>
      <c r="D26" s="8"/>
      <c r="E26" s="8">
        <v>0.04</v>
      </c>
      <c r="F26" s="127">
        <f>E26</f>
        <v>0.04</v>
      </c>
      <c r="G26" s="127">
        <f t="shared" ref="G26:M26" si="16">F26</f>
        <v>0.04</v>
      </c>
      <c r="H26" s="127">
        <f t="shared" si="16"/>
        <v>0.04</v>
      </c>
      <c r="I26" s="127">
        <f t="shared" si="16"/>
        <v>0.04</v>
      </c>
      <c r="J26" s="127">
        <f t="shared" si="16"/>
        <v>0.04</v>
      </c>
      <c r="K26" s="127">
        <f t="shared" si="16"/>
        <v>0.04</v>
      </c>
      <c r="L26" s="127">
        <f t="shared" si="16"/>
        <v>0.04</v>
      </c>
      <c r="M26" s="102">
        <f t="shared" si="16"/>
        <v>0.04</v>
      </c>
      <c r="N26" s="183"/>
      <c r="O26" s="183"/>
    </row>
    <row r="27" spans="1:15" x14ac:dyDescent="0.25">
      <c r="F27" s="105"/>
      <c r="G27" s="105"/>
      <c r="H27" s="105"/>
      <c r="I27" s="105"/>
      <c r="J27" s="105"/>
      <c r="K27" s="105"/>
      <c r="L27" s="105"/>
      <c r="M27" s="105"/>
      <c r="N27" s="183"/>
      <c r="O27" s="183"/>
    </row>
    <row r="28" spans="1:15" x14ac:dyDescent="0.25">
      <c r="B28" s="4" t="s">
        <v>28</v>
      </c>
      <c r="F28" s="103">
        <v>0</v>
      </c>
      <c r="G28" s="103">
        <v>0</v>
      </c>
      <c r="H28" s="103">
        <v>0</v>
      </c>
      <c r="I28" s="103">
        <v>0</v>
      </c>
      <c r="J28" s="103">
        <v>0</v>
      </c>
      <c r="K28" s="103">
        <v>0</v>
      </c>
      <c r="L28" s="103">
        <v>0</v>
      </c>
      <c r="M28" s="103">
        <v>0</v>
      </c>
      <c r="N28" s="211"/>
      <c r="O28" s="211"/>
    </row>
    <row r="29" spans="1:15" x14ac:dyDescent="0.25">
      <c r="B29" s="4" t="s">
        <v>29</v>
      </c>
      <c r="F29" s="103">
        <f>BalSheet!E32</f>
        <v>0</v>
      </c>
      <c r="G29" s="103">
        <f>F29</f>
        <v>0</v>
      </c>
      <c r="H29" s="103">
        <f t="shared" ref="H29:M29" si="17">G29</f>
        <v>0</v>
      </c>
      <c r="I29" s="103">
        <f t="shared" si="17"/>
        <v>0</v>
      </c>
      <c r="J29" s="103">
        <f t="shared" si="17"/>
        <v>0</v>
      </c>
      <c r="K29" s="103">
        <f t="shared" si="17"/>
        <v>0</v>
      </c>
      <c r="L29" s="103">
        <f t="shared" si="17"/>
        <v>0</v>
      </c>
      <c r="M29" s="103">
        <f t="shared" si="17"/>
        <v>0</v>
      </c>
      <c r="N29" s="211"/>
      <c r="O29" s="211"/>
    </row>
    <row r="30" spans="1:15" x14ac:dyDescent="0.25">
      <c r="F30" s="105"/>
      <c r="G30" s="105"/>
      <c r="H30" s="105"/>
      <c r="I30" s="105"/>
      <c r="J30" s="105"/>
      <c r="K30" s="105"/>
      <c r="L30" s="105"/>
      <c r="M30" s="105"/>
      <c r="N30" s="183"/>
      <c r="O30" s="183"/>
    </row>
    <row r="31" spans="1:15" x14ac:dyDescent="0.25">
      <c r="A31" s="65" t="s">
        <v>126</v>
      </c>
      <c r="B31" s="108" t="s">
        <v>142</v>
      </c>
      <c r="C31" s="330">
        <v>2023</v>
      </c>
      <c r="D31" s="330">
        <v>2024</v>
      </c>
      <c r="E31" s="330">
        <v>2025</v>
      </c>
      <c r="F31" s="330">
        <v>2026</v>
      </c>
      <c r="G31" s="330">
        <v>2027</v>
      </c>
      <c r="H31" s="330">
        <v>2028</v>
      </c>
      <c r="I31" s="330">
        <v>2029</v>
      </c>
      <c r="J31" s="330">
        <v>2030</v>
      </c>
      <c r="K31" s="330">
        <v>2031</v>
      </c>
      <c r="L31" s="330">
        <v>2032</v>
      </c>
      <c r="M31" s="330">
        <v>2033</v>
      </c>
      <c r="N31" s="213"/>
      <c r="O31" s="213"/>
    </row>
    <row r="32" spans="1:15" x14ac:dyDescent="0.25">
      <c r="A32" s="87"/>
      <c r="B32" s="162"/>
      <c r="C32" s="210"/>
      <c r="D32" s="210"/>
      <c r="E32" s="210"/>
      <c r="F32" s="212"/>
      <c r="G32" s="212"/>
      <c r="H32" s="212"/>
      <c r="I32" s="212"/>
      <c r="J32" s="212"/>
      <c r="K32" s="213"/>
      <c r="L32" s="213"/>
      <c r="M32" s="213"/>
      <c r="N32" s="213"/>
      <c r="O32" s="213"/>
    </row>
    <row r="33" spans="1:15" x14ac:dyDescent="0.25">
      <c r="B33" s="4" t="s">
        <v>143</v>
      </c>
      <c r="C33" s="8">
        <f>28107/IncState!C17</f>
        <v>0.13263336715192411</v>
      </c>
      <c r="D33" s="8">
        <f>44477/IncState!D17</f>
        <v>0.18144842160230415</v>
      </c>
      <c r="E33" s="8">
        <f>64551/IncState!E17</f>
        <v>0.22912850875324786</v>
      </c>
      <c r="F33" s="252">
        <v>0.24</v>
      </c>
      <c r="G33" s="252">
        <f>F33-0.015</f>
        <v>0.22499999999999998</v>
      </c>
      <c r="H33" s="252">
        <f t="shared" ref="H33:M33" si="18">G33-0.015</f>
        <v>0.20999999999999996</v>
      </c>
      <c r="I33" s="252">
        <f t="shared" si="18"/>
        <v>0.19499999999999995</v>
      </c>
      <c r="J33" s="252">
        <f t="shared" si="18"/>
        <v>0.17999999999999994</v>
      </c>
      <c r="K33" s="252">
        <f t="shared" si="18"/>
        <v>0.16499999999999992</v>
      </c>
      <c r="L33" s="252">
        <f t="shared" si="18"/>
        <v>0.14999999999999991</v>
      </c>
      <c r="M33" s="252">
        <f t="shared" si="18"/>
        <v>0.1349999999999999</v>
      </c>
      <c r="N33" s="183"/>
      <c r="O33" s="183"/>
    </row>
    <row r="34" spans="1:15" x14ac:dyDescent="0.25">
      <c r="B34" s="4" t="s">
        <v>156</v>
      </c>
      <c r="D34" s="8">
        <f>IncState!D23/BalSheet!C24</f>
        <v>0.20263303844999864</v>
      </c>
      <c r="E34" s="8">
        <f>IncState!E23/BalSheet!D24</f>
        <v>0.22098064081991822</v>
      </c>
      <c r="F34" s="102">
        <f>E34</f>
        <v>0.22098064081991822</v>
      </c>
      <c r="G34" s="102">
        <f t="shared" ref="G34:M34" si="19">F34</f>
        <v>0.22098064081991822</v>
      </c>
      <c r="H34" s="102">
        <f t="shared" si="19"/>
        <v>0.22098064081991822</v>
      </c>
      <c r="I34" s="102">
        <f t="shared" si="19"/>
        <v>0.22098064081991822</v>
      </c>
      <c r="J34" s="102">
        <f t="shared" si="19"/>
        <v>0.22098064081991822</v>
      </c>
      <c r="K34" s="102">
        <f t="shared" si="19"/>
        <v>0.22098064081991822</v>
      </c>
      <c r="L34" s="102">
        <f t="shared" si="19"/>
        <v>0.22098064081991822</v>
      </c>
      <c r="M34" s="102">
        <f t="shared" si="19"/>
        <v>0.22098064081991822</v>
      </c>
      <c r="N34" s="183"/>
      <c r="O34" s="183"/>
    </row>
    <row r="35" spans="1:15" x14ac:dyDescent="0.25">
      <c r="B35" s="4" t="s">
        <v>144</v>
      </c>
      <c r="F35" s="107">
        <v>-16000</v>
      </c>
      <c r="G35" s="107">
        <v>-16000</v>
      </c>
      <c r="H35" s="107">
        <v>-16000</v>
      </c>
      <c r="I35" s="107">
        <f>-60000-SUM(F35:H35)</f>
        <v>-12000</v>
      </c>
      <c r="J35" s="107">
        <v>0</v>
      </c>
      <c r="K35" s="107">
        <v>0</v>
      </c>
      <c r="L35" s="107">
        <v>0</v>
      </c>
      <c r="M35" s="107">
        <v>0</v>
      </c>
      <c r="N35" s="214"/>
      <c r="O35" s="214"/>
    </row>
    <row r="36" spans="1:15" x14ac:dyDescent="0.25">
      <c r="F36" s="32"/>
      <c r="G36" s="32"/>
      <c r="H36" s="32"/>
      <c r="I36" s="32"/>
      <c r="J36" s="32"/>
      <c r="K36" s="32"/>
      <c r="L36" s="32"/>
      <c r="M36" s="32"/>
      <c r="N36" s="32"/>
      <c r="O36" s="32"/>
    </row>
    <row r="37" spans="1:15" x14ac:dyDescent="0.25">
      <c r="A37" s="65" t="s">
        <v>126</v>
      </c>
      <c r="B37" s="108" t="s">
        <v>61</v>
      </c>
      <c r="C37" s="330">
        <v>2023</v>
      </c>
      <c r="D37" s="330">
        <v>2024</v>
      </c>
      <c r="E37" s="330">
        <v>2025</v>
      </c>
      <c r="F37" s="331">
        <v>2026</v>
      </c>
      <c r="G37" s="331">
        <v>2027</v>
      </c>
      <c r="H37" s="331">
        <v>2028</v>
      </c>
      <c r="I37" s="331">
        <v>2029</v>
      </c>
      <c r="J37" s="331">
        <v>2030</v>
      </c>
      <c r="K37" s="332">
        <v>2031</v>
      </c>
      <c r="L37" s="332">
        <v>2032</v>
      </c>
      <c r="M37" s="332">
        <v>2033</v>
      </c>
      <c r="N37" s="213"/>
      <c r="O37" s="213"/>
    </row>
    <row r="38" spans="1:15" x14ac:dyDescent="0.25">
      <c r="A38" s="87"/>
      <c r="B38" s="162"/>
      <c r="C38" s="210"/>
      <c r="D38" s="210"/>
      <c r="E38" s="210"/>
      <c r="F38" s="324"/>
      <c r="G38" s="324"/>
      <c r="H38" s="324"/>
      <c r="I38" s="324"/>
      <c r="J38" s="324"/>
      <c r="K38" s="213"/>
      <c r="L38" s="213"/>
      <c r="M38" s="213"/>
      <c r="N38" s="213"/>
      <c r="O38" s="213"/>
    </row>
    <row r="39" spans="1:15" x14ac:dyDescent="0.25">
      <c r="B39" s="4" t="s">
        <v>237</v>
      </c>
      <c r="C39" s="8"/>
      <c r="D39" s="8"/>
      <c r="E39" s="8"/>
      <c r="F39" s="107">
        <f>E39</f>
        <v>0</v>
      </c>
      <c r="G39" s="107">
        <f t="shared" ref="G39:M39" si="20">F39</f>
        <v>0</v>
      </c>
      <c r="H39" s="107">
        <f t="shared" si="20"/>
        <v>0</v>
      </c>
      <c r="I39" s="107">
        <f t="shared" si="20"/>
        <v>0</v>
      </c>
      <c r="J39" s="107">
        <f t="shared" si="20"/>
        <v>0</v>
      </c>
      <c r="K39" s="107">
        <f t="shared" si="20"/>
        <v>0</v>
      </c>
      <c r="L39" s="107">
        <f t="shared" si="20"/>
        <v>0</v>
      </c>
      <c r="M39" s="107">
        <f t="shared" si="20"/>
        <v>0</v>
      </c>
      <c r="N39" s="183"/>
      <c r="O39" s="183"/>
    </row>
    <row r="40" spans="1:15" x14ac:dyDescent="0.25">
      <c r="B40" s="4" t="s">
        <v>49</v>
      </c>
      <c r="C40" s="4">
        <f>C19</f>
        <v>7446</v>
      </c>
      <c r="D40" s="4">
        <f t="shared" ref="D40:E40" si="21">D19</f>
        <v>7431</v>
      </c>
      <c r="E40" s="4">
        <f t="shared" si="21"/>
        <v>7433</v>
      </c>
      <c r="F40" s="103">
        <f t="shared" ref="F40:M41" si="22">F19</f>
        <v>7433</v>
      </c>
      <c r="G40" s="103">
        <f t="shared" si="22"/>
        <v>7433</v>
      </c>
      <c r="H40" s="103">
        <f t="shared" si="22"/>
        <v>7433</v>
      </c>
      <c r="I40" s="103">
        <f t="shared" si="22"/>
        <v>7433</v>
      </c>
      <c r="J40" s="103">
        <f t="shared" si="22"/>
        <v>7433</v>
      </c>
      <c r="K40" s="103">
        <f t="shared" si="22"/>
        <v>7433</v>
      </c>
      <c r="L40" s="103">
        <f t="shared" si="22"/>
        <v>7433</v>
      </c>
      <c r="M40" s="103">
        <f t="shared" si="22"/>
        <v>7433</v>
      </c>
      <c r="N40" s="211"/>
      <c r="O40" s="211"/>
    </row>
    <row r="41" spans="1:15" x14ac:dyDescent="0.25">
      <c r="B41" s="4" t="s">
        <v>50</v>
      </c>
      <c r="C41" s="4">
        <f t="shared" ref="C41:E41" si="23">C20</f>
        <v>7472</v>
      </c>
      <c r="D41" s="4">
        <f t="shared" si="23"/>
        <v>7469</v>
      </c>
      <c r="E41" s="4">
        <f t="shared" si="23"/>
        <v>7465</v>
      </c>
      <c r="F41" s="103">
        <f t="shared" si="22"/>
        <v>7465</v>
      </c>
      <c r="G41" s="103">
        <f t="shared" si="22"/>
        <v>7465</v>
      </c>
      <c r="H41" s="103">
        <f t="shared" si="22"/>
        <v>7465</v>
      </c>
      <c r="I41" s="103">
        <f t="shared" si="22"/>
        <v>7465</v>
      </c>
      <c r="J41" s="103">
        <f t="shared" si="22"/>
        <v>7465</v>
      </c>
      <c r="K41" s="103">
        <f t="shared" si="22"/>
        <v>7465</v>
      </c>
      <c r="L41" s="103">
        <f t="shared" si="22"/>
        <v>7465</v>
      </c>
      <c r="M41" s="103">
        <f t="shared" si="22"/>
        <v>7465</v>
      </c>
      <c r="N41" s="211"/>
      <c r="O41" s="211"/>
    </row>
    <row r="42" spans="1:15" x14ac:dyDescent="0.25">
      <c r="F42" s="32"/>
      <c r="G42" s="32"/>
      <c r="H42" s="32"/>
      <c r="I42" s="32"/>
      <c r="J42" s="32"/>
      <c r="K42" s="32"/>
      <c r="L42" s="32"/>
      <c r="M42" s="32"/>
      <c r="N42" s="32"/>
      <c r="O42" s="32"/>
    </row>
    <row r="43" spans="1:15" x14ac:dyDescent="0.25">
      <c r="A43" s="65" t="s">
        <v>126</v>
      </c>
      <c r="B43" s="108" t="s">
        <v>131</v>
      </c>
      <c r="C43" s="330">
        <v>2023</v>
      </c>
      <c r="D43" s="330">
        <v>2024</v>
      </c>
      <c r="E43" s="330">
        <v>2025</v>
      </c>
      <c r="F43" s="331">
        <v>2026</v>
      </c>
      <c r="G43" s="331">
        <v>2027</v>
      </c>
      <c r="H43" s="331">
        <v>2028</v>
      </c>
      <c r="I43" s="331">
        <v>2029</v>
      </c>
      <c r="J43" s="331">
        <v>2030</v>
      </c>
      <c r="K43" s="332">
        <v>2031</v>
      </c>
      <c r="L43" s="332">
        <v>2032</v>
      </c>
      <c r="M43" s="332">
        <v>2033</v>
      </c>
      <c r="N43" s="213"/>
      <c r="O43" s="213"/>
    </row>
    <row r="44" spans="1:15" x14ac:dyDescent="0.25">
      <c r="A44" s="87"/>
      <c r="B44" s="162"/>
      <c r="C44" s="210"/>
      <c r="D44" s="210"/>
      <c r="E44" s="210"/>
      <c r="F44" s="324"/>
      <c r="G44" s="324"/>
      <c r="H44" s="324"/>
      <c r="I44" s="324"/>
      <c r="J44" s="324"/>
      <c r="K44" s="213"/>
      <c r="L44" s="213"/>
      <c r="M44" s="213"/>
      <c r="N44" s="213"/>
      <c r="O44" s="213"/>
    </row>
    <row r="45" spans="1:15" x14ac:dyDescent="0.25">
      <c r="B45" s="4" t="s">
        <v>141</v>
      </c>
      <c r="C45" s="8">
        <f>BalSheet!C17/IncState!C17</f>
        <v>0.25</v>
      </c>
      <c r="D45" s="8">
        <f>BalSheet!D17/IncState!D17</f>
        <v>0.25</v>
      </c>
      <c r="E45" s="8">
        <f>BalSheet!E17/IncState!E17</f>
        <v>0.25</v>
      </c>
      <c r="F45" s="102">
        <f>E45</f>
        <v>0.25</v>
      </c>
      <c r="G45" s="102">
        <f t="shared" ref="G45:M45" si="24">F45</f>
        <v>0.25</v>
      </c>
      <c r="H45" s="102">
        <f t="shared" si="24"/>
        <v>0.25</v>
      </c>
      <c r="I45" s="102">
        <f t="shared" si="24"/>
        <v>0.25</v>
      </c>
      <c r="J45" s="102">
        <f t="shared" si="24"/>
        <v>0.25</v>
      </c>
      <c r="K45" s="102">
        <f t="shared" si="24"/>
        <v>0.25</v>
      </c>
      <c r="L45" s="102">
        <f t="shared" si="24"/>
        <v>0.25</v>
      </c>
      <c r="M45" s="102">
        <f t="shared" si="24"/>
        <v>0.25</v>
      </c>
      <c r="N45" s="183"/>
      <c r="O45" s="183"/>
    </row>
    <row r="46" spans="1:15" x14ac:dyDescent="0.25">
      <c r="B46" s="4" t="s">
        <v>154</v>
      </c>
      <c r="C46" s="8">
        <f>BalSheet!C19/IncState!C17</f>
        <v>0.22975249510416912</v>
      </c>
      <c r="D46" s="8">
        <f>BalSheet!D19/IncState!D17</f>
        <v>0.23222721746722041</v>
      </c>
      <c r="E46" s="8">
        <f>BalSheet!E19/IncState!E17</f>
        <v>0.24813292442248441</v>
      </c>
      <c r="F46" s="102">
        <f>E46</f>
        <v>0.24813292442248441</v>
      </c>
      <c r="G46" s="102">
        <f t="shared" ref="G46:M46" si="25">F46</f>
        <v>0.24813292442248441</v>
      </c>
      <c r="H46" s="102">
        <f t="shared" si="25"/>
        <v>0.24813292442248441</v>
      </c>
      <c r="I46" s="102">
        <f t="shared" si="25"/>
        <v>0.24813292442248441</v>
      </c>
      <c r="J46" s="102">
        <f t="shared" si="25"/>
        <v>0.24813292442248441</v>
      </c>
      <c r="K46" s="102">
        <f t="shared" si="25"/>
        <v>0.24813292442248441</v>
      </c>
      <c r="L46" s="102">
        <f t="shared" si="25"/>
        <v>0.24813292442248441</v>
      </c>
      <c r="M46" s="102">
        <f t="shared" si="25"/>
        <v>0.24813292442248441</v>
      </c>
      <c r="N46" s="183"/>
      <c r="O46" s="183"/>
    </row>
    <row r="47" spans="1:15" x14ac:dyDescent="0.25">
      <c r="B47" s="4" t="s">
        <v>65</v>
      </c>
      <c r="C47" s="8">
        <f>BalSheet!C20/IncState!C18</f>
        <v>3.7957578610145301E-2</v>
      </c>
      <c r="D47" s="8">
        <f>BalSheet!D20/IncState!D18</f>
        <v>1.6811938365221147E-2</v>
      </c>
      <c r="E47" s="8">
        <f>BalSheet!E20/IncState!E18</f>
        <v>1.0679600596600289E-2</v>
      </c>
      <c r="F47" s="102">
        <f t="shared" ref="F47:M47" si="26">E47</f>
        <v>1.0679600596600289E-2</v>
      </c>
      <c r="G47" s="102">
        <f t="shared" si="26"/>
        <v>1.0679600596600289E-2</v>
      </c>
      <c r="H47" s="102">
        <f t="shared" si="26"/>
        <v>1.0679600596600289E-2</v>
      </c>
      <c r="I47" s="102">
        <f t="shared" si="26"/>
        <v>1.0679600596600289E-2</v>
      </c>
      <c r="J47" s="102">
        <f t="shared" si="26"/>
        <v>1.0679600596600289E-2</v>
      </c>
      <c r="K47" s="102">
        <f t="shared" si="26"/>
        <v>1.0679600596600289E-2</v>
      </c>
      <c r="L47" s="102">
        <f t="shared" si="26"/>
        <v>1.0679600596600289E-2</v>
      </c>
      <c r="M47" s="102">
        <f t="shared" si="26"/>
        <v>1.0679600596600289E-2</v>
      </c>
      <c r="N47" s="183"/>
      <c r="O47" s="183"/>
    </row>
    <row r="48" spans="1:15" x14ac:dyDescent="0.25">
      <c r="B48" s="4" t="s">
        <v>66</v>
      </c>
      <c r="C48" s="8">
        <f>BalSheet!C21/IncState!C17</f>
        <v>0.10290446641342048</v>
      </c>
      <c r="D48" s="8">
        <f>BalSheet!D21/IncState!D17</f>
        <v>0.1061553022576513</v>
      </c>
      <c r="E48" s="8">
        <f>BalSheet!E21/IncState!E17</f>
        <v>9.1305675057858041E-2</v>
      </c>
      <c r="F48" s="102">
        <f t="shared" ref="F48:M48" si="27">E48</f>
        <v>9.1305675057858041E-2</v>
      </c>
      <c r="G48" s="102">
        <f t="shared" si="27"/>
        <v>9.1305675057858041E-2</v>
      </c>
      <c r="H48" s="102">
        <f t="shared" si="27"/>
        <v>9.1305675057858041E-2</v>
      </c>
      <c r="I48" s="102">
        <f t="shared" si="27"/>
        <v>9.1305675057858041E-2</v>
      </c>
      <c r="J48" s="102">
        <f t="shared" si="27"/>
        <v>9.1305675057858041E-2</v>
      </c>
      <c r="K48" s="102">
        <f t="shared" si="27"/>
        <v>9.1305675057858041E-2</v>
      </c>
      <c r="L48" s="102">
        <f t="shared" si="27"/>
        <v>9.1305675057858041E-2</v>
      </c>
      <c r="M48" s="102">
        <f t="shared" si="27"/>
        <v>9.1305675057858041E-2</v>
      </c>
      <c r="N48" s="183"/>
      <c r="O48" s="183"/>
    </row>
    <row r="49" spans="1:15" x14ac:dyDescent="0.25">
      <c r="E49" s="8"/>
      <c r="F49" s="105"/>
      <c r="G49" s="105"/>
      <c r="H49" s="105"/>
      <c r="I49" s="105"/>
      <c r="J49" s="105"/>
      <c r="K49" s="105"/>
      <c r="L49" s="105"/>
      <c r="M49" s="105"/>
      <c r="N49" s="183"/>
      <c r="O49" s="183"/>
    </row>
    <row r="50" spans="1:15" x14ac:dyDescent="0.25">
      <c r="B50" s="4" t="s">
        <v>182</v>
      </c>
      <c r="C50" s="4">
        <f>BalSheet!C26</f>
        <v>9879</v>
      </c>
      <c r="D50" s="4">
        <f>BalSheet!D26</f>
        <v>14600</v>
      </c>
      <c r="E50" s="4">
        <f>BalSheet!E26</f>
        <v>15405</v>
      </c>
      <c r="F50" s="103">
        <f>E50</f>
        <v>15405</v>
      </c>
      <c r="G50" s="103">
        <f t="shared" ref="G50:M50" si="28">F50</f>
        <v>15405</v>
      </c>
      <c r="H50" s="103">
        <f t="shared" si="28"/>
        <v>15405</v>
      </c>
      <c r="I50" s="103">
        <f t="shared" si="28"/>
        <v>15405</v>
      </c>
      <c r="J50" s="103">
        <f t="shared" si="28"/>
        <v>15405</v>
      </c>
      <c r="K50" s="103">
        <f t="shared" si="28"/>
        <v>15405</v>
      </c>
      <c r="L50" s="103">
        <f t="shared" si="28"/>
        <v>15405</v>
      </c>
      <c r="M50" s="103">
        <f t="shared" si="28"/>
        <v>15405</v>
      </c>
      <c r="N50" s="211"/>
      <c r="O50" s="211"/>
    </row>
    <row r="51" spans="1:15" x14ac:dyDescent="0.25">
      <c r="B51" s="4" t="s">
        <v>67</v>
      </c>
      <c r="C51" s="8">
        <f>BalSheet!C27/IncState!C17</f>
        <v>0.14440223674586508</v>
      </c>
      <c r="D51" s="8">
        <f>BalSheet!D27/IncState!D17</f>
        <v>0.14874225895676438</v>
      </c>
      <c r="E51" s="8">
        <f>BalSheet!E27/IncState!E17</f>
        <v>0.14398844258920077</v>
      </c>
      <c r="F51" s="102">
        <f>E51</f>
        <v>0.14398844258920077</v>
      </c>
      <c r="G51" s="102">
        <f t="shared" ref="G51:M51" si="29">F51</f>
        <v>0.14398844258920077</v>
      </c>
      <c r="H51" s="102">
        <f t="shared" si="29"/>
        <v>0.14398844258920077</v>
      </c>
      <c r="I51" s="102">
        <f t="shared" si="29"/>
        <v>0.14398844258920077</v>
      </c>
      <c r="J51" s="102">
        <f t="shared" si="29"/>
        <v>0.14398844258920077</v>
      </c>
      <c r="K51" s="102">
        <f t="shared" si="29"/>
        <v>0.14398844258920077</v>
      </c>
      <c r="L51" s="102">
        <f t="shared" si="29"/>
        <v>0.14398844258920077</v>
      </c>
      <c r="M51" s="102">
        <f t="shared" si="29"/>
        <v>0.14398844258920077</v>
      </c>
      <c r="N51" s="183"/>
      <c r="O51" s="183"/>
    </row>
    <row r="52" spans="1:15" x14ac:dyDescent="0.25">
      <c r="F52" s="32"/>
      <c r="G52" s="32"/>
      <c r="H52" s="32"/>
      <c r="I52" s="32"/>
      <c r="J52" s="32"/>
      <c r="K52" s="32"/>
      <c r="L52" s="32"/>
      <c r="M52" s="32"/>
      <c r="N52" s="32"/>
      <c r="O52" s="32"/>
    </row>
    <row r="53" spans="1:15" x14ac:dyDescent="0.25">
      <c r="A53" s="65" t="s">
        <v>126</v>
      </c>
      <c r="B53" s="108" t="s">
        <v>132</v>
      </c>
      <c r="C53" s="330">
        <v>2023</v>
      </c>
      <c r="D53" s="330">
        <v>2024</v>
      </c>
      <c r="E53" s="330">
        <v>2025</v>
      </c>
      <c r="F53" s="331">
        <v>2026</v>
      </c>
      <c r="G53" s="331">
        <v>2027</v>
      </c>
      <c r="H53" s="331">
        <v>2028</v>
      </c>
      <c r="I53" s="331">
        <v>2029</v>
      </c>
      <c r="J53" s="331">
        <v>2030</v>
      </c>
      <c r="K53" s="332">
        <v>2031</v>
      </c>
      <c r="L53" s="332">
        <v>2032</v>
      </c>
      <c r="M53" s="332">
        <v>2033</v>
      </c>
      <c r="N53" s="213"/>
      <c r="O53" s="213"/>
    </row>
    <row r="54" spans="1:15" x14ac:dyDescent="0.25">
      <c r="A54" s="87"/>
      <c r="B54" s="162"/>
      <c r="C54" s="210"/>
      <c r="D54" s="210"/>
      <c r="E54" s="210"/>
      <c r="F54" s="324"/>
      <c r="G54" s="324"/>
      <c r="H54" s="324"/>
      <c r="I54" s="324"/>
      <c r="J54" s="324"/>
      <c r="K54" s="213"/>
      <c r="L54" s="213"/>
      <c r="M54" s="213"/>
      <c r="N54" s="213"/>
      <c r="O54" s="213"/>
    </row>
    <row r="55" spans="1:15" x14ac:dyDescent="0.25">
      <c r="B55" s="4" t="s">
        <v>155</v>
      </c>
      <c r="C55" s="8">
        <f>BalSheet!C33/IncState!C18</f>
        <v>0.27473695398023168</v>
      </c>
      <c r="D55" s="8">
        <f>BalSheet!D33/IncState!D18</f>
        <v>0.29678603232857492</v>
      </c>
      <c r="E55" s="8">
        <f>BalSheet!E33/IncState!E18</f>
        <v>0.31565164918992156</v>
      </c>
      <c r="F55" s="102">
        <f t="shared" ref="F55:M55" si="30">E55</f>
        <v>0.31565164918992156</v>
      </c>
      <c r="G55" s="102">
        <f t="shared" si="30"/>
        <v>0.31565164918992156</v>
      </c>
      <c r="H55" s="102">
        <f t="shared" si="30"/>
        <v>0.31565164918992156</v>
      </c>
      <c r="I55" s="102">
        <f t="shared" si="30"/>
        <v>0.31565164918992156</v>
      </c>
      <c r="J55" s="102">
        <f t="shared" si="30"/>
        <v>0.31565164918992156</v>
      </c>
      <c r="K55" s="102">
        <f t="shared" si="30"/>
        <v>0.31565164918992156</v>
      </c>
      <c r="L55" s="102">
        <f t="shared" si="30"/>
        <v>0.31565164918992156</v>
      </c>
      <c r="M55" s="102">
        <f t="shared" si="30"/>
        <v>0.31565164918992156</v>
      </c>
      <c r="N55" s="183"/>
      <c r="O55" s="183"/>
    </row>
    <row r="56" spans="1:15" x14ac:dyDescent="0.25">
      <c r="B56" s="4" t="s">
        <v>68</v>
      </c>
      <c r="C56" s="8">
        <f>BalSheet!C34/IncState!C17</f>
        <v>0.38131798126607364</v>
      </c>
      <c r="D56" s="8">
        <f>BalSheet!D34/IncState!D17</f>
        <v>0.38490221195975882</v>
      </c>
      <c r="E56" s="8">
        <f>BalSheet!E34/IncState!E17</f>
        <v>0.40285527679572913</v>
      </c>
      <c r="F56" s="102">
        <f t="shared" ref="F56:M56" si="31">E56</f>
        <v>0.40285527679572913</v>
      </c>
      <c r="G56" s="102">
        <f t="shared" si="31"/>
        <v>0.40285527679572913</v>
      </c>
      <c r="H56" s="102">
        <f t="shared" si="31"/>
        <v>0.40285527679572913</v>
      </c>
      <c r="I56" s="102">
        <f t="shared" si="31"/>
        <v>0.40285527679572913</v>
      </c>
      <c r="J56" s="102">
        <f t="shared" si="31"/>
        <v>0.40285527679572913</v>
      </c>
      <c r="K56" s="102">
        <f t="shared" si="31"/>
        <v>0.40285527679572913</v>
      </c>
      <c r="L56" s="102">
        <f t="shared" si="31"/>
        <v>0.40285527679572913</v>
      </c>
      <c r="M56" s="102">
        <f t="shared" si="31"/>
        <v>0.40285527679572913</v>
      </c>
      <c r="N56" s="183"/>
      <c r="O56" s="183"/>
    </row>
    <row r="57" spans="1:15" x14ac:dyDescent="0.25">
      <c r="B57" s="4" t="s">
        <v>69</v>
      </c>
      <c r="C57" s="8">
        <f>BalSheet!C38/IncState!C17</f>
        <v>0.28131090295637401</v>
      </c>
      <c r="D57" s="8">
        <f>BalSheet!D38/IncState!D17</f>
        <v>0.30887476440303197</v>
      </c>
      <c r="E57" s="8">
        <f>BalSheet!E38/IncState!E17</f>
        <v>0.3342065283752893</v>
      </c>
      <c r="F57" s="102">
        <f t="shared" ref="F57:M57" si="32">E57</f>
        <v>0.3342065283752893</v>
      </c>
      <c r="G57" s="102">
        <f t="shared" si="32"/>
        <v>0.3342065283752893</v>
      </c>
      <c r="H57" s="102">
        <f t="shared" si="32"/>
        <v>0.3342065283752893</v>
      </c>
      <c r="I57" s="102">
        <f t="shared" si="32"/>
        <v>0.3342065283752893</v>
      </c>
      <c r="J57" s="102">
        <f t="shared" si="32"/>
        <v>0.3342065283752893</v>
      </c>
      <c r="K57" s="102">
        <f t="shared" si="32"/>
        <v>0.3342065283752893</v>
      </c>
      <c r="L57" s="102">
        <f t="shared" si="32"/>
        <v>0.3342065283752893</v>
      </c>
      <c r="M57" s="102">
        <f t="shared" si="32"/>
        <v>0.3342065283752893</v>
      </c>
      <c r="N57" s="183"/>
      <c r="O57" s="183"/>
    </row>
    <row r="58" spans="1:15" x14ac:dyDescent="0.25">
      <c r="F58" s="122"/>
      <c r="G58" s="32"/>
      <c r="H58" s="32"/>
      <c r="I58" s="32"/>
      <c r="J58" s="32"/>
    </row>
    <row r="59" spans="1:15" x14ac:dyDescent="0.25">
      <c r="F59" s="123"/>
      <c r="G59" s="96"/>
      <c r="H59" s="96"/>
      <c r="I59" s="96"/>
      <c r="J59" s="96"/>
    </row>
    <row r="60" spans="1:15" x14ac:dyDescent="0.25">
      <c r="F60" s="96"/>
      <c r="G60" s="96"/>
      <c r="H60" s="96"/>
      <c r="I60" s="96"/>
      <c r="J60" s="96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P6:P7 Q7:W7 D7:D8 P9:Q12 F11:O21 F39:O41 F55:O57 F59:J60 N22:O22 N31:O31 F32:O35 F23:O30 F6:N8">
    <cfRule type="expression" dxfId="8" priority="14">
      <formula>$E$10&gt;1</formula>
    </cfRule>
  </conditionalFormatting>
  <conditionalFormatting sqref="E7">
    <cfRule type="expression" dxfId="7" priority="32">
      <formula>$E$10&lt;&gt;2</formula>
    </cfRule>
  </conditionalFormatting>
  <conditionalFormatting sqref="E8">
    <cfRule type="expression" dxfId="6" priority="33">
      <formula>$E$10&lt;&gt;3</formula>
    </cfRule>
  </conditionalFormatting>
  <conditionalFormatting sqref="F45:O51">
    <cfRule type="expression" dxfId="5" priority="8">
      <formula>$E$10&gt;1</formula>
    </cfRule>
  </conditionalFormatting>
  <conditionalFormatting sqref="K37:O38">
    <cfRule type="expression" dxfId="4" priority="3">
      <formula>$E$10&gt;1</formula>
    </cfRule>
  </conditionalFormatting>
  <conditionalFormatting sqref="K43:O44">
    <cfRule type="expression" dxfId="3" priority="2">
      <formula>$E$10&gt;1</formula>
    </cfRule>
  </conditionalFormatting>
  <conditionalFormatting sqref="K53:O54">
    <cfRule type="expression" dxfId="2" priority="1">
      <formula>$E$10&gt;1</formula>
    </cfRule>
  </conditionalFormatting>
  <dataValidations count="1">
    <dataValidation type="list" allowBlank="1" showInputMessage="1" showErrorMessage="1" sqref="D4 P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N41"/>
  <sheetViews>
    <sheetView showGridLines="0" topLeftCell="C1" workbookViewId="0">
      <selection activeCell="K29" sqref="K29"/>
    </sheetView>
  </sheetViews>
  <sheetFormatPr defaultColWidth="11.7109375" defaultRowHeight="15" x14ac:dyDescent="0.25"/>
  <cols>
    <col min="1" max="1" width="2" style="4" bestFit="1" customWidth="1"/>
    <col min="2" max="2" width="49.85546875" style="4" bestFit="1" customWidth="1"/>
    <col min="3" max="16384" width="11.7109375" style="4"/>
  </cols>
  <sheetData>
    <row r="1" spans="1:14" ht="19.5" x14ac:dyDescent="0.3">
      <c r="A1" s="318" t="str">
        <f>CoName</f>
        <v>Microsoft Corp.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4" s="344" customFormat="1" x14ac:dyDescent="0.25">
      <c r="A2" s="341" t="s">
        <v>126</v>
      </c>
      <c r="B2" s="343" t="s">
        <v>228</v>
      </c>
      <c r="C2" s="342">
        <v>2022</v>
      </c>
      <c r="D2" s="342">
        <v>2023</v>
      </c>
      <c r="E2" s="342">
        <v>2024</v>
      </c>
      <c r="F2" s="342">
        <v>2025</v>
      </c>
      <c r="G2" s="342" t="s">
        <v>220</v>
      </c>
      <c r="H2" s="342" t="s">
        <v>221</v>
      </c>
      <c r="I2" s="342" t="s">
        <v>222</v>
      </c>
      <c r="J2" s="342" t="s">
        <v>223</v>
      </c>
      <c r="K2" s="342" t="s">
        <v>224</v>
      </c>
      <c r="L2" s="342" t="s">
        <v>225</v>
      </c>
      <c r="M2" s="342" t="s">
        <v>226</v>
      </c>
      <c r="N2" s="348" t="s">
        <v>227</v>
      </c>
    </row>
    <row r="3" spans="1:14" x14ac:dyDescent="0.25">
      <c r="B3" s="29" t="s">
        <v>208</v>
      </c>
      <c r="C3" s="4">
        <v>67350</v>
      </c>
      <c r="D3" s="4">
        <v>65007</v>
      </c>
      <c r="E3" s="4">
        <v>79828</v>
      </c>
      <c r="F3" s="29">
        <v>98435</v>
      </c>
      <c r="G3" s="4">
        <f>F3*(1+G4)</f>
        <v>123043.75</v>
      </c>
      <c r="H3" s="4">
        <f t="shared" ref="H3:N3" si="0">G3*(1+H4)</f>
        <v>156265.5625</v>
      </c>
      <c r="I3" s="4">
        <f t="shared" si="0"/>
        <v>194550.62531250002</v>
      </c>
      <c r="J3" s="4">
        <f t="shared" si="0"/>
        <v>237351.76288125003</v>
      </c>
      <c r="K3" s="4">
        <f t="shared" si="0"/>
        <v>283635.35664309381</v>
      </c>
      <c r="L3" s="4">
        <f t="shared" si="0"/>
        <v>331853.36727241974</v>
      </c>
      <c r="M3" s="4">
        <f t="shared" si="0"/>
        <v>379972.10552692058</v>
      </c>
      <c r="N3" s="29">
        <f t="shared" si="0"/>
        <v>425568.75819015107</v>
      </c>
    </row>
    <row r="4" spans="1:14" s="346" customFormat="1" x14ac:dyDescent="0.25">
      <c r="B4" s="350" t="s">
        <v>209</v>
      </c>
      <c r="D4" s="346">
        <f t="shared" ref="D4:E4" si="1">D3/C3-1</f>
        <v>-3.4788418708240565E-2</v>
      </c>
      <c r="E4" s="346">
        <f t="shared" si="1"/>
        <v>0.22799083175657997</v>
      </c>
      <c r="F4" s="350">
        <f>F3/E3-1</f>
        <v>0.23308864057724099</v>
      </c>
      <c r="G4" s="347">
        <v>0.25</v>
      </c>
      <c r="H4" s="347">
        <v>0.27</v>
      </c>
      <c r="I4" s="347">
        <f>H4-0.025</f>
        <v>0.24500000000000002</v>
      </c>
      <c r="J4" s="347">
        <f t="shared" ref="J4:N4" si="2">I4-0.025</f>
        <v>0.22000000000000003</v>
      </c>
      <c r="K4" s="347">
        <f t="shared" si="2"/>
        <v>0.19500000000000003</v>
      </c>
      <c r="L4" s="347">
        <f t="shared" si="2"/>
        <v>0.17000000000000004</v>
      </c>
      <c r="M4" s="347">
        <f t="shared" si="2"/>
        <v>0.14500000000000005</v>
      </c>
      <c r="N4" s="349">
        <f t="shared" si="2"/>
        <v>0.12000000000000005</v>
      </c>
    </row>
    <row r="5" spans="1:14" x14ac:dyDescent="0.25">
      <c r="B5" s="29" t="s">
        <v>210</v>
      </c>
      <c r="C5" s="4">
        <v>44970</v>
      </c>
      <c r="D5" s="4">
        <v>66949</v>
      </c>
      <c r="E5" s="4">
        <v>76969</v>
      </c>
      <c r="F5" s="29">
        <v>87767</v>
      </c>
      <c r="G5" s="4">
        <f>F5*(1+G6)</f>
        <v>100079.85408411178</v>
      </c>
      <c r="H5" s="4">
        <f t="shared" ref="H5" si="3">G5*(1+H6)</f>
        <v>114120.08150554429</v>
      </c>
      <c r="I5" s="4">
        <f t="shared" ref="I5" si="4">H5*(1+I6)</f>
        <v>130130.01589597248</v>
      </c>
      <c r="J5" s="4">
        <f t="shared" ref="J5" si="5">I5*(1+J6)</f>
        <v>148385.98793204819</v>
      </c>
      <c r="K5" s="4">
        <f t="shared" ref="K5" si="6">J5*(1+K6)</f>
        <v>169203.09478922776</v>
      </c>
      <c r="L5" s="4">
        <f t="shared" ref="L5" si="7">K5*(1+L6)</f>
        <v>192940.63870345402</v>
      </c>
      <c r="M5" s="4">
        <f t="shared" ref="M5" si="8">L5*(1+M6)</f>
        <v>220008.32850999816</v>
      </c>
      <c r="N5" s="29">
        <f t="shared" ref="N5" si="9">M5*(1+N6)</f>
        <v>250873.35119771605</v>
      </c>
    </row>
    <row r="6" spans="1:14" s="346" customFormat="1" x14ac:dyDescent="0.25">
      <c r="B6" s="350" t="s">
        <v>209</v>
      </c>
      <c r="D6" s="346">
        <f t="shared" ref="D6" si="10">D5/C5-1</f>
        <v>0.4887480542583944</v>
      </c>
      <c r="E6" s="346">
        <f t="shared" ref="E6" si="11">E5/D5-1</f>
        <v>0.14966616379632258</v>
      </c>
      <c r="F6" s="350">
        <f>F5/E5-1</f>
        <v>0.14029024672270651</v>
      </c>
      <c r="G6" s="347">
        <f>F6</f>
        <v>0.14029024672270651</v>
      </c>
      <c r="H6" s="347">
        <f t="shared" ref="H4:N20" si="12">G6</f>
        <v>0.14029024672270651</v>
      </c>
      <c r="I6" s="347">
        <f t="shared" si="12"/>
        <v>0.14029024672270651</v>
      </c>
      <c r="J6" s="347">
        <f t="shared" si="12"/>
        <v>0.14029024672270651</v>
      </c>
      <c r="K6" s="347">
        <f t="shared" si="12"/>
        <v>0.14029024672270651</v>
      </c>
      <c r="L6" s="347">
        <f t="shared" si="12"/>
        <v>0.14029024672270651</v>
      </c>
      <c r="M6" s="347">
        <f t="shared" si="12"/>
        <v>0.14029024672270651</v>
      </c>
      <c r="N6" s="349">
        <f t="shared" si="12"/>
        <v>0.14029024672270651</v>
      </c>
    </row>
    <row r="7" spans="1:14" x14ac:dyDescent="0.25">
      <c r="B7" s="29" t="s">
        <v>211</v>
      </c>
      <c r="C7" s="4">
        <v>24732</v>
      </c>
      <c r="D7" s="4">
        <v>15466</v>
      </c>
      <c r="E7" s="4">
        <v>21503</v>
      </c>
      <c r="F7" s="29">
        <v>23455</v>
      </c>
      <c r="G7" s="4">
        <f>F7*(1+G8)</f>
        <v>24287.353965811479</v>
      </c>
      <c r="H7" s="4">
        <f t="shared" ref="H7" si="13">G7*(1+H8)</f>
        <v>25149.245903245301</v>
      </c>
      <c r="I7" s="4">
        <f t="shared" ref="I7" si="14">H7*(1+I8)</f>
        <v>26041.724034336083</v>
      </c>
      <c r="J7" s="4">
        <f t="shared" ref="J7" si="15">I7*(1+J8)</f>
        <v>26965.873779658945</v>
      </c>
      <c r="K7" s="4">
        <f t="shared" ref="K7" si="16">J7*(1+K8)</f>
        <v>27922.819078404238</v>
      </c>
      <c r="L7" s="4">
        <f t="shared" ref="L7" si="17">K7*(1+L8)</f>
        <v>28913.723755298128</v>
      </c>
      <c r="M7" s="4">
        <f t="shared" ref="M7" si="18">L7*(1+M8)</f>
        <v>29939.792936031445</v>
      </c>
      <c r="N7" s="29">
        <f t="shared" ref="N7" si="19">M7*(1+N8)</f>
        <v>31002.274512918259</v>
      </c>
    </row>
    <row r="8" spans="1:14" s="346" customFormat="1" x14ac:dyDescent="0.25">
      <c r="B8" s="350" t="s">
        <v>209</v>
      </c>
      <c r="D8" s="346">
        <f t="shared" ref="D8" si="20">D7/C7-1</f>
        <v>-0.37465631570435065</v>
      </c>
      <c r="E8" s="346">
        <f t="shared" ref="E8" si="21">E7/D7-1</f>
        <v>0.39034010086641668</v>
      </c>
      <c r="F8" s="350">
        <f>F7/E7-1</f>
        <v>9.077803097242243E-2</v>
      </c>
      <c r="G8" s="347">
        <f>AVERAGE(D8:F8)</f>
        <v>3.5487272044829488E-2</v>
      </c>
      <c r="H8" s="347">
        <f t="shared" si="12"/>
        <v>3.5487272044829488E-2</v>
      </c>
      <c r="I8" s="347">
        <f t="shared" si="12"/>
        <v>3.5487272044829488E-2</v>
      </c>
      <c r="J8" s="347">
        <f t="shared" si="12"/>
        <v>3.5487272044829488E-2</v>
      </c>
      <c r="K8" s="347">
        <f t="shared" si="12"/>
        <v>3.5487272044829488E-2</v>
      </c>
      <c r="L8" s="347">
        <f t="shared" si="12"/>
        <v>3.5487272044829488E-2</v>
      </c>
      <c r="M8" s="347">
        <f t="shared" si="12"/>
        <v>3.5487272044829488E-2</v>
      </c>
      <c r="N8" s="349">
        <f t="shared" si="12"/>
        <v>3.5487272044829488E-2</v>
      </c>
    </row>
    <row r="9" spans="1:14" x14ac:dyDescent="0.25">
      <c r="B9" s="29" t="s">
        <v>212</v>
      </c>
      <c r="C9" s="4">
        <v>16230</v>
      </c>
      <c r="D9" s="4">
        <v>14989</v>
      </c>
      <c r="E9" s="4">
        <v>16372</v>
      </c>
      <c r="F9" s="29">
        <v>17812</v>
      </c>
      <c r="G9" s="4">
        <f>F9*(1+G10)</f>
        <v>19378.655265086734</v>
      </c>
      <c r="H9" s="4">
        <f t="shared" ref="H9" si="22">G9*(1+H10)</f>
        <v>21083.10576482561</v>
      </c>
      <c r="I9" s="4">
        <f t="shared" ref="I9" si="23">H9*(1+I10)</f>
        <v>22937.471285308682</v>
      </c>
      <c r="J9" s="4">
        <f t="shared" ref="J9" si="24">I9*(1+J10)</f>
        <v>24954.937608961536</v>
      </c>
      <c r="K9" s="4">
        <f t="shared" ref="K9" si="25">J9*(1+K10)</f>
        <v>27149.85027429898</v>
      </c>
      <c r="L9" s="4">
        <f t="shared" ref="L9" si="26">K9*(1+L10)</f>
        <v>29537.8165823243</v>
      </c>
      <c r="M9" s="4">
        <f t="shared" ref="M9" si="27">L9*(1+M10)</f>
        <v>32135.816574905963</v>
      </c>
      <c r="N9" s="29">
        <f t="shared" ref="N9" si="28">M9*(1+N10)</f>
        <v>34962.323774262462</v>
      </c>
    </row>
    <row r="10" spans="1:14" s="346" customFormat="1" x14ac:dyDescent="0.25">
      <c r="B10" s="350" t="s">
        <v>209</v>
      </c>
      <c r="D10" s="346">
        <f t="shared" ref="D10" si="29">D9/C9-1</f>
        <v>-7.6463339494762805E-2</v>
      </c>
      <c r="E10" s="346">
        <f t="shared" ref="E10" si="30">E9/D9-1</f>
        <v>9.2267662952832064E-2</v>
      </c>
      <c r="F10" s="350">
        <f>F9/E9-1</f>
        <v>8.7955045199120452E-2</v>
      </c>
      <c r="G10" s="347">
        <f>F10</f>
        <v>8.7955045199120452E-2</v>
      </c>
      <c r="H10" s="347">
        <f t="shared" si="12"/>
        <v>8.7955045199120452E-2</v>
      </c>
      <c r="I10" s="347">
        <f t="shared" si="12"/>
        <v>8.7955045199120452E-2</v>
      </c>
      <c r="J10" s="347">
        <f t="shared" si="12"/>
        <v>8.7955045199120452E-2</v>
      </c>
      <c r="K10" s="347">
        <f t="shared" si="12"/>
        <v>8.7955045199120452E-2</v>
      </c>
      <c r="L10" s="347">
        <f t="shared" si="12"/>
        <v>8.7955045199120452E-2</v>
      </c>
      <c r="M10" s="347">
        <f t="shared" si="12"/>
        <v>8.7955045199120452E-2</v>
      </c>
      <c r="N10" s="349">
        <f t="shared" si="12"/>
        <v>8.7955045199120452E-2</v>
      </c>
    </row>
    <row r="11" spans="1:14" x14ac:dyDescent="0.25">
      <c r="B11" s="29" t="s">
        <v>213</v>
      </c>
      <c r="C11" s="4">
        <v>13631</v>
      </c>
      <c r="D11" s="4">
        <v>17147</v>
      </c>
      <c r="E11" s="4">
        <v>17026</v>
      </c>
      <c r="F11" s="29">
        <v>17314</v>
      </c>
      <c r="G11" s="4">
        <f>F11*(1+G12)</f>
        <v>17606.871608128742</v>
      </c>
      <c r="H11" s="4">
        <f t="shared" ref="H11" si="31">G11*(1+H12)</f>
        <v>17904.697229128451</v>
      </c>
      <c r="I11" s="4">
        <f t="shared" ref="I11" si="32">H11*(1+I12)</f>
        <v>18207.560661642779</v>
      </c>
      <c r="J11" s="4">
        <f t="shared" ref="J11" si="33">I11*(1+J12)</f>
        <v>18515.54712179508</v>
      </c>
      <c r="K11" s="4">
        <f t="shared" ref="K11" si="34">J11*(1+K12)</f>
        <v>18828.743267165511</v>
      </c>
      <c r="L11" s="4">
        <f t="shared" ref="L11" si="35">K11*(1+L12)</f>
        <v>19147.237221173713</v>
      </c>
      <c r="M11" s="4">
        <f t="shared" ref="M11" si="36">L11*(1+M12)</f>
        <v>19471.118597873934</v>
      </c>
      <c r="N11" s="29">
        <f t="shared" ref="N11" si="37">M11*(1+N12)</f>
        <v>19800.47852716958</v>
      </c>
    </row>
    <row r="12" spans="1:14" s="346" customFormat="1" x14ac:dyDescent="0.25">
      <c r="B12" s="350" t="s">
        <v>209</v>
      </c>
      <c r="D12" s="346">
        <f t="shared" ref="D12" si="38">D11/C11-1</f>
        <v>0.25794145697307602</v>
      </c>
      <c r="E12" s="346">
        <f t="shared" ref="E12" si="39">E11/D11-1</f>
        <v>-7.0566279815711397E-3</v>
      </c>
      <c r="F12" s="350">
        <f>F11/E11-1</f>
        <v>1.6915306002584174E-2</v>
      </c>
      <c r="G12" s="347">
        <f>F12</f>
        <v>1.6915306002584174E-2</v>
      </c>
      <c r="H12" s="347">
        <f t="shared" si="12"/>
        <v>1.6915306002584174E-2</v>
      </c>
      <c r="I12" s="347">
        <f t="shared" si="12"/>
        <v>1.6915306002584174E-2</v>
      </c>
      <c r="J12" s="347">
        <f t="shared" si="12"/>
        <v>1.6915306002584174E-2</v>
      </c>
      <c r="K12" s="347">
        <f t="shared" si="12"/>
        <v>1.6915306002584174E-2</v>
      </c>
      <c r="L12" s="347">
        <f t="shared" si="12"/>
        <v>1.6915306002584174E-2</v>
      </c>
      <c r="M12" s="347">
        <f t="shared" si="12"/>
        <v>1.6915306002584174E-2</v>
      </c>
      <c r="N12" s="349">
        <f t="shared" si="12"/>
        <v>1.6915306002584174E-2</v>
      </c>
    </row>
    <row r="13" spans="1:14" x14ac:dyDescent="0.25">
      <c r="B13" s="29" t="s">
        <v>214</v>
      </c>
      <c r="C13" s="4">
        <v>11526</v>
      </c>
      <c r="D13" s="4">
        <v>12125</v>
      </c>
      <c r="E13" s="4">
        <v>12306</v>
      </c>
      <c r="F13" s="29">
        <v>13878</v>
      </c>
      <c r="G13" s="4">
        <f>F13*(1+G14)</f>
        <v>15650.811311555339</v>
      </c>
      <c r="H13" s="4">
        <f t="shared" ref="H13" si="40">G13*(1+H14)</f>
        <v>17650.086086605315</v>
      </c>
      <c r="I13" s="4">
        <f t="shared" ref="I13" si="41">H13*(1+I14)</f>
        <v>19904.753348765527</v>
      </c>
      <c r="J13" s="4">
        <f t="shared" ref="J13" si="42">I13*(1+J14)</f>
        <v>22447.437589319681</v>
      </c>
      <c r="K13" s="4">
        <f t="shared" ref="K13" si="43">J13*(1+K14)</f>
        <v>25314.930835736919</v>
      </c>
      <c r="L13" s="4">
        <f t="shared" ref="L13" si="44">K13*(1+L14)</f>
        <v>28548.725023432227</v>
      </c>
      <c r="M13" s="4">
        <f t="shared" ref="M13" si="45">L13*(1+M14)</f>
        <v>32195.61237406082</v>
      </c>
      <c r="N13" s="29">
        <f t="shared" ref="N13" si="46">M13*(1+N14)</f>
        <v>36308.362467675608</v>
      </c>
    </row>
    <row r="14" spans="1:14" s="346" customFormat="1" x14ac:dyDescent="0.25">
      <c r="B14" s="350" t="s">
        <v>209</v>
      </c>
      <c r="D14" s="346">
        <f t="shared" ref="D14" si="47">D13/C13-1</f>
        <v>5.1969460350511865E-2</v>
      </c>
      <c r="E14" s="346">
        <f t="shared" ref="E14" si="48">E13/D13-1</f>
        <v>1.492783505154649E-2</v>
      </c>
      <c r="F14" s="350">
        <f>F13/E13-1</f>
        <v>0.12774256460263289</v>
      </c>
      <c r="G14" s="347">
        <f>F14</f>
        <v>0.12774256460263289</v>
      </c>
      <c r="H14" s="347">
        <f t="shared" si="12"/>
        <v>0.12774256460263289</v>
      </c>
      <c r="I14" s="347">
        <f t="shared" si="12"/>
        <v>0.12774256460263289</v>
      </c>
      <c r="J14" s="347">
        <f t="shared" si="12"/>
        <v>0.12774256460263289</v>
      </c>
      <c r="K14" s="347">
        <f t="shared" si="12"/>
        <v>0.12774256460263289</v>
      </c>
      <c r="L14" s="347">
        <f t="shared" si="12"/>
        <v>0.12774256460263289</v>
      </c>
      <c r="M14" s="347">
        <f t="shared" si="12"/>
        <v>0.12774256460263289</v>
      </c>
      <c r="N14" s="349">
        <f t="shared" si="12"/>
        <v>0.12774256460263289</v>
      </c>
    </row>
    <row r="15" spans="1:14" x14ac:dyDescent="0.25">
      <c r="B15" s="29" t="s">
        <v>215</v>
      </c>
      <c r="C15" s="4">
        <v>7605</v>
      </c>
      <c r="D15" s="4">
        <v>5796</v>
      </c>
      <c r="E15" s="4">
        <v>6831</v>
      </c>
      <c r="F15" s="29">
        <v>7827</v>
      </c>
      <c r="G15" s="4">
        <f>F15*(1+G16)</f>
        <v>8052.6980440778107</v>
      </c>
      <c r="H15" s="4">
        <f t="shared" ref="H15" si="49">G15*(1+H16)</f>
        <v>8284.9042786629107</v>
      </c>
      <c r="I15" s="4">
        <f t="shared" ref="I15" si="50">H15*(1+I16)</f>
        <v>8523.8063728325924</v>
      </c>
      <c r="J15" s="4">
        <f t="shared" ref="J15" si="51">I15*(1+J16)</f>
        <v>8769.5974072578247</v>
      </c>
      <c r="K15" s="4">
        <f t="shared" ref="K15" si="52">J15*(1+K16)</f>
        <v>9022.476030251044</v>
      </c>
      <c r="L15" s="4">
        <f t="shared" ref="L15" si="53">K15*(1+L16)</f>
        <v>9282.6466183137236</v>
      </c>
      <c r="M15" s="4">
        <f t="shared" ref="M15" si="54">L15*(1+M16)</f>
        <v>9550.319441313457</v>
      </c>
      <c r="N15" s="29">
        <f t="shared" ref="N15" si="55">M15*(1+N16)</f>
        <v>9825.7108324240653</v>
      </c>
    </row>
    <row r="16" spans="1:14" s="346" customFormat="1" x14ac:dyDescent="0.25">
      <c r="B16" s="350" t="s">
        <v>209</v>
      </c>
      <c r="D16" s="346">
        <f t="shared" ref="D16" si="56">D15/C15-1</f>
        <v>-0.23786982248520705</v>
      </c>
      <c r="E16" s="346">
        <f t="shared" ref="E16" si="57">E15/D15-1</f>
        <v>0.1785714285714286</v>
      </c>
      <c r="F16" s="350">
        <f>F15/E15-1</f>
        <v>0.14580588493631974</v>
      </c>
      <c r="G16" s="347">
        <f>AVERAGE(D16:F16)</f>
        <v>2.8835830340847097E-2</v>
      </c>
      <c r="H16" s="347">
        <f t="shared" si="12"/>
        <v>2.8835830340847097E-2</v>
      </c>
      <c r="I16" s="347">
        <f t="shared" si="12"/>
        <v>2.8835830340847097E-2</v>
      </c>
      <c r="J16" s="347">
        <f t="shared" si="12"/>
        <v>2.8835830340847097E-2</v>
      </c>
      <c r="K16" s="347">
        <f t="shared" si="12"/>
        <v>2.8835830340847097E-2</v>
      </c>
      <c r="L16" s="347">
        <f t="shared" si="12"/>
        <v>2.8835830340847097E-2</v>
      </c>
      <c r="M16" s="347">
        <f t="shared" si="12"/>
        <v>2.8835830340847097E-2</v>
      </c>
      <c r="N16" s="349">
        <f t="shared" si="12"/>
        <v>2.8835830340847097E-2</v>
      </c>
    </row>
    <row r="17" spans="1:14" x14ac:dyDescent="0.25">
      <c r="B17" s="29" t="s">
        <v>216</v>
      </c>
      <c r="C17" s="4">
        <v>4687</v>
      </c>
      <c r="D17" s="4">
        <v>7900</v>
      </c>
      <c r="E17" s="4">
        <v>7594</v>
      </c>
      <c r="F17" s="29">
        <v>7760</v>
      </c>
      <c r="G17" s="4">
        <f>F17*(1+G18)</f>
        <v>8148</v>
      </c>
      <c r="H17" s="4">
        <f t="shared" ref="H17" si="58">G17*(1+H18)</f>
        <v>8555.4</v>
      </c>
      <c r="I17" s="4">
        <f t="shared" ref="I17" si="59">H17*(1+I18)</f>
        <v>8983.17</v>
      </c>
      <c r="J17" s="4">
        <f t="shared" ref="J17" si="60">I17*(1+J18)</f>
        <v>9432.3284999999996</v>
      </c>
      <c r="K17" s="4">
        <f t="shared" ref="K17" si="61">J17*(1+K18)</f>
        <v>9903.9449249999998</v>
      </c>
      <c r="L17" s="4">
        <f t="shared" ref="L17" si="62">K17*(1+L18)</f>
        <v>10399.14217125</v>
      </c>
      <c r="M17" s="4">
        <f t="shared" ref="M17" si="63">L17*(1+M18)</f>
        <v>10919.099279812501</v>
      </c>
      <c r="N17" s="29">
        <f t="shared" ref="N17" si="64">M17*(1+N18)</f>
        <v>11465.054243803126</v>
      </c>
    </row>
    <row r="18" spans="1:14" s="346" customFormat="1" x14ac:dyDescent="0.25">
      <c r="B18" s="350" t="s">
        <v>209</v>
      </c>
      <c r="D18" s="346">
        <f t="shared" ref="D18" si="65">D17/C17-1</f>
        <v>0.68551312139961595</v>
      </c>
      <c r="E18" s="346">
        <f t="shared" ref="E18" si="66">E17/D17-1</f>
        <v>-3.8734177215189902E-2</v>
      </c>
      <c r="F18" s="350">
        <f>F17/E17-1</f>
        <v>2.1859362654727432E-2</v>
      </c>
      <c r="G18" s="347">
        <v>0.05</v>
      </c>
      <c r="H18" s="347">
        <f t="shared" si="12"/>
        <v>0.05</v>
      </c>
      <c r="I18" s="347">
        <f t="shared" si="12"/>
        <v>0.05</v>
      </c>
      <c r="J18" s="347">
        <f t="shared" si="12"/>
        <v>0.05</v>
      </c>
      <c r="K18" s="347">
        <f t="shared" si="12"/>
        <v>0.05</v>
      </c>
      <c r="L18" s="347">
        <f t="shared" si="12"/>
        <v>0.05</v>
      </c>
      <c r="M18" s="347">
        <f t="shared" si="12"/>
        <v>0.05</v>
      </c>
      <c r="N18" s="349">
        <f t="shared" si="12"/>
        <v>0.05</v>
      </c>
    </row>
    <row r="19" spans="1:14" x14ac:dyDescent="0.25">
      <c r="B19" s="29" t="s">
        <v>217</v>
      </c>
      <c r="C19" s="4">
        <v>7306</v>
      </c>
      <c r="D19" s="4">
        <v>6417</v>
      </c>
      <c r="E19" s="4">
        <v>6648</v>
      </c>
      <c r="F19" s="29">
        <v>7404</v>
      </c>
      <c r="G19" s="4">
        <f>F19*(1+G20)</f>
        <v>9255</v>
      </c>
      <c r="H19" s="4">
        <f t="shared" ref="H19" si="67">G19*(1+H20)</f>
        <v>11568.75</v>
      </c>
      <c r="I19" s="4">
        <f t="shared" ref="I19" si="68">H19*(1+I20)</f>
        <v>14460.9375</v>
      </c>
      <c r="J19" s="4">
        <f t="shared" ref="J19" si="69">I19*(1+J20)</f>
        <v>18076.171875</v>
      </c>
      <c r="K19" s="4">
        <f t="shared" ref="K19" si="70">J19*(1+K20)</f>
        <v>22595.21484375</v>
      </c>
      <c r="L19" s="4">
        <f t="shared" ref="L19" si="71">K19*(1+L20)</f>
        <v>28244.0185546875</v>
      </c>
      <c r="M19" s="4">
        <f t="shared" ref="M19" si="72">L19*(1+M20)</f>
        <v>35305.023193359375</v>
      </c>
      <c r="N19" s="29">
        <f t="shared" ref="N19" si="73">M19*(1+N20)</f>
        <v>44131.278991699219</v>
      </c>
    </row>
    <row r="20" spans="1:14" s="346" customFormat="1" x14ac:dyDescent="0.25">
      <c r="B20" s="350" t="s">
        <v>209</v>
      </c>
      <c r="D20" s="346">
        <f t="shared" ref="D20" si="74">D19/C19-1</f>
        <v>-0.12168081029290989</v>
      </c>
      <c r="E20" s="346">
        <f t="shared" ref="E20" si="75">E19/D19-1</f>
        <v>3.5998129967274473E-2</v>
      </c>
      <c r="F20" s="350">
        <f>F19/E19-1</f>
        <v>0.11371841155234663</v>
      </c>
      <c r="G20" s="347">
        <v>0.25</v>
      </c>
      <c r="H20" s="347">
        <f t="shared" si="12"/>
        <v>0.25</v>
      </c>
      <c r="I20" s="347">
        <f t="shared" si="12"/>
        <v>0.25</v>
      </c>
      <c r="J20" s="347">
        <f t="shared" si="12"/>
        <v>0.25</v>
      </c>
      <c r="K20" s="347">
        <f t="shared" si="12"/>
        <v>0.25</v>
      </c>
      <c r="L20" s="347">
        <f t="shared" si="12"/>
        <v>0.25</v>
      </c>
      <c r="M20" s="347">
        <f t="shared" si="12"/>
        <v>0.25</v>
      </c>
      <c r="N20" s="349">
        <f t="shared" si="12"/>
        <v>0.25</v>
      </c>
    </row>
    <row r="21" spans="1:14" hidden="1" x14ac:dyDescent="0.25">
      <c r="B21" s="29" t="s">
        <v>218</v>
      </c>
      <c r="C21" s="4">
        <v>233</v>
      </c>
      <c r="D21" s="4">
        <v>119</v>
      </c>
      <c r="E21" s="4">
        <v>45</v>
      </c>
      <c r="F21" s="29">
        <v>72</v>
      </c>
      <c r="N21" s="29"/>
    </row>
    <row r="22" spans="1:14" s="11" customFormat="1" x14ac:dyDescent="0.25">
      <c r="A22" s="11" t="s">
        <v>126</v>
      </c>
      <c r="B22" s="26" t="s">
        <v>219</v>
      </c>
      <c r="C22" s="11">
        <f t="shared" ref="C22:E22" si="76">SUM(C21,C19,C17,C15,C13,C3,C5,C7,C11,C9)</f>
        <v>198270</v>
      </c>
      <c r="D22" s="11">
        <f t="shared" si="76"/>
        <v>211915</v>
      </c>
      <c r="E22" s="11">
        <f t="shared" si="76"/>
        <v>245122</v>
      </c>
      <c r="F22" s="26">
        <f>SUM(F21,F19,F17,F15,F13,F3,F5,F7,F11,F9)</f>
        <v>281724</v>
      </c>
      <c r="G22" s="11">
        <f t="shared" ref="G22:N22" si="77">SUM(G21,G19,G17,G15,G13,G3,G5,G7,G11,G9)</f>
        <v>325502.99427877186</v>
      </c>
      <c r="H22" s="11">
        <f t="shared" si="77"/>
        <v>380581.83326801186</v>
      </c>
      <c r="I22" s="11">
        <f t="shared" si="77"/>
        <v>443740.06441135821</v>
      </c>
      <c r="J22" s="11">
        <f t="shared" si="77"/>
        <v>514899.6446952913</v>
      </c>
      <c r="K22" s="11">
        <f t="shared" si="77"/>
        <v>593576.43068692833</v>
      </c>
      <c r="L22" s="11">
        <f t="shared" si="77"/>
        <v>678867.3159023535</v>
      </c>
      <c r="M22" s="11">
        <f t="shared" si="77"/>
        <v>769497.21643427631</v>
      </c>
      <c r="N22" s="26">
        <f t="shared" si="77"/>
        <v>863937.59273781953</v>
      </c>
    </row>
    <row r="23" spans="1:14" s="346" customFormat="1" x14ac:dyDescent="0.25">
      <c r="B23" s="351" t="s">
        <v>209</v>
      </c>
      <c r="D23" s="346">
        <f t="shared" ref="D23" si="78">D22/C22-1</f>
        <v>6.8820295556564215E-2</v>
      </c>
      <c r="E23" s="346">
        <f t="shared" ref="E23" si="79">E22/D22-1</f>
        <v>0.1566996201307127</v>
      </c>
      <c r="F23" s="351">
        <f>F22/E22-1</f>
        <v>0.14932156232406713</v>
      </c>
      <c r="G23" s="352">
        <f t="shared" ref="G23:N23" si="80">G22/F22-1</f>
        <v>0.15539675100016992</v>
      </c>
      <c r="H23" s="352">
        <f t="shared" si="80"/>
        <v>0.16921146642991736</v>
      </c>
      <c r="I23" s="352">
        <f t="shared" si="80"/>
        <v>0.16595177599785571</v>
      </c>
      <c r="J23" s="352">
        <f t="shared" si="80"/>
        <v>0.16036320808293381</v>
      </c>
      <c r="K23" s="352">
        <f t="shared" si="80"/>
        <v>0.15280023360318418</v>
      </c>
      <c r="L23" s="352">
        <f t="shared" si="80"/>
        <v>0.14368981112797985</v>
      </c>
      <c r="M23" s="352">
        <f t="shared" si="80"/>
        <v>0.13350164076091531</v>
      </c>
      <c r="N23" s="353">
        <f t="shared" si="80"/>
        <v>0.12272997781741757</v>
      </c>
    </row>
    <row r="24" spans="1:14" x14ac:dyDescent="0.25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</row>
    <row r="25" spans="1:14" s="344" customFormat="1" x14ac:dyDescent="0.25">
      <c r="A25" s="341" t="s">
        <v>126</v>
      </c>
      <c r="B25" s="343" t="s">
        <v>229</v>
      </c>
      <c r="C25" s="342">
        <v>2022</v>
      </c>
      <c r="D25" s="342">
        <v>2023</v>
      </c>
      <c r="E25" s="342">
        <v>2024</v>
      </c>
      <c r="F25" s="342">
        <v>2025</v>
      </c>
      <c r="G25" s="342" t="s">
        <v>220</v>
      </c>
      <c r="H25" s="342" t="s">
        <v>221</v>
      </c>
      <c r="I25" s="342" t="s">
        <v>222</v>
      </c>
      <c r="J25" s="342" t="s">
        <v>223</v>
      </c>
      <c r="K25" s="342" t="s">
        <v>224</v>
      </c>
      <c r="L25" s="342" t="s">
        <v>225</v>
      </c>
      <c r="M25" s="342" t="s">
        <v>226</v>
      </c>
      <c r="N25" s="348" t="s">
        <v>227</v>
      </c>
    </row>
    <row r="26" spans="1:14" x14ac:dyDescent="0.25">
      <c r="B26" s="29" t="s">
        <v>207</v>
      </c>
      <c r="C26" s="4">
        <v>63364</v>
      </c>
      <c r="D26" s="4">
        <v>94151</v>
      </c>
      <c r="E26" s="4">
        <v>106820</v>
      </c>
      <c r="F26" s="29">
        <v>120810</v>
      </c>
      <c r="G26" s="4">
        <f>F26*(1+G27)</f>
        <v>136632.24208949634</v>
      </c>
      <c r="H26" s="4">
        <f t="shared" ref="H26" si="81">G26*(1+H27)</f>
        <v>154526.6913202776</v>
      </c>
      <c r="I26" s="4">
        <f t="shared" ref="I26" si="82">H26*(1+I27)</f>
        <v>171674.2066566757</v>
      </c>
      <c r="J26" s="4">
        <f t="shared" ref="J26" si="83">I26*(1+J27)</f>
        <v>187291.06305926183</v>
      </c>
      <c r="K26" s="4">
        <f t="shared" ref="K26" si="84">J26*(1+K27)</f>
        <v>200582.73213658491</v>
      </c>
      <c r="L26" s="4">
        <f t="shared" ref="L26" si="85">K26*(1+L27)</f>
        <v>210806.02952325804</v>
      </c>
      <c r="M26" s="4">
        <f t="shared" ref="M26" si="86">L26*(1+M27)</f>
        <v>217334.26717222767</v>
      </c>
      <c r="N26" s="29">
        <f t="shared" ref="N26" si="87">M26*(1+N27)</f>
        <v>219717.98583370473</v>
      </c>
    </row>
    <row r="27" spans="1:14" x14ac:dyDescent="0.25">
      <c r="B27" s="29" t="s">
        <v>209</v>
      </c>
      <c r="D27" s="346">
        <f t="shared" ref="D27" si="88">D26/C26-1</f>
        <v>0.48587526040022722</v>
      </c>
      <c r="E27" s="346">
        <f t="shared" ref="E27" si="89">E26/D26-1</f>
        <v>0.13456044014402391</v>
      </c>
      <c r="F27" s="350">
        <f>F26/E26-1</f>
        <v>0.13096798352368477</v>
      </c>
      <c r="G27" s="347">
        <f>F27</f>
        <v>0.13096798352368477</v>
      </c>
      <c r="H27" s="347">
        <f t="shared" ref="H27:N27" si="90">G27</f>
        <v>0.13096798352368477</v>
      </c>
      <c r="I27" s="347">
        <f>H27-0.02</f>
        <v>0.11096798352368477</v>
      </c>
      <c r="J27" s="347">
        <f t="shared" ref="J27:N31" si="91">I27-0.02</f>
        <v>9.0967983523684764E-2</v>
      </c>
      <c r="K27" s="347">
        <f t="shared" si="91"/>
        <v>7.0967983523684761E-2</v>
      </c>
      <c r="L27" s="347">
        <f t="shared" si="91"/>
        <v>5.0967983523684757E-2</v>
      </c>
      <c r="M27" s="347">
        <f t="shared" si="91"/>
        <v>3.0967983523684756E-2</v>
      </c>
      <c r="N27" s="349">
        <f t="shared" si="91"/>
        <v>1.0967983523684756E-2</v>
      </c>
    </row>
    <row r="28" spans="1:14" x14ac:dyDescent="0.25">
      <c r="B28" s="29" t="s">
        <v>230</v>
      </c>
      <c r="C28" s="4">
        <v>74965</v>
      </c>
      <c r="D28" s="4">
        <v>72944</v>
      </c>
      <c r="E28" s="4">
        <v>87464</v>
      </c>
      <c r="F28" s="29">
        <v>106265</v>
      </c>
      <c r="G28" s="4">
        <f>F28*(1+G29)</f>
        <v>129107.40676163908</v>
      </c>
      <c r="H28" s="4">
        <f t="shared" ref="H28" si="92">G28*(1+H29)</f>
        <v>156859.9490021675</v>
      </c>
      <c r="I28" s="4">
        <f t="shared" ref="I28" si="93">H28*(1+I29)</f>
        <v>187440.89578712179</v>
      </c>
      <c r="J28" s="4">
        <f t="shared" ref="J28" si="94">I28*(1+J29)</f>
        <v>220234.99463154559</v>
      </c>
      <c r="K28" s="4">
        <f t="shared" ref="K28" si="95">J28*(1+K29)</f>
        <v>254361.95109180899</v>
      </c>
      <c r="L28" s="4">
        <f t="shared" ref="L28" si="96">K28*(1+L29)</f>
        <v>288689.87969390338</v>
      </c>
      <c r="M28" s="4">
        <f t="shared" ref="M28" si="97">L28*(1+M29)</f>
        <v>321876.80533611419</v>
      </c>
      <c r="N28" s="29">
        <f t="shared" ref="N28" si="98">M28*(1+N29)</f>
        <v>352441.2646438767</v>
      </c>
    </row>
    <row r="29" spans="1:14" x14ac:dyDescent="0.25">
      <c r="B29" s="29" t="s">
        <v>209</v>
      </c>
      <c r="D29" s="346">
        <f t="shared" ref="D29" si="99">D28/C28-1</f>
        <v>-2.6959247648902784E-2</v>
      </c>
      <c r="E29" s="346">
        <f t="shared" ref="E29" si="100">E28/D28-1</f>
        <v>0.19905681070410175</v>
      </c>
      <c r="F29" s="350">
        <f>F28/E28-1</f>
        <v>0.21495701088447827</v>
      </c>
      <c r="G29" s="347">
        <f>F29</f>
        <v>0.21495701088447827</v>
      </c>
      <c r="H29" s="347">
        <f t="shared" ref="H29:N29" si="101">G29</f>
        <v>0.21495701088447827</v>
      </c>
      <c r="I29" s="347">
        <f>H29-0.02</f>
        <v>0.19495701088447828</v>
      </c>
      <c r="J29" s="347">
        <f t="shared" si="91"/>
        <v>0.17495701088447829</v>
      </c>
      <c r="K29" s="347">
        <f t="shared" si="91"/>
        <v>0.1549570108844783</v>
      </c>
      <c r="L29" s="347">
        <f t="shared" si="91"/>
        <v>0.13495701088447831</v>
      </c>
      <c r="M29" s="347">
        <f t="shared" si="91"/>
        <v>0.11495701088447831</v>
      </c>
      <c r="N29" s="349">
        <f t="shared" si="91"/>
        <v>9.4957010884478305E-2</v>
      </c>
    </row>
    <row r="30" spans="1:14" x14ac:dyDescent="0.25">
      <c r="B30" s="29" t="s">
        <v>231</v>
      </c>
      <c r="C30" s="4">
        <v>59941</v>
      </c>
      <c r="D30" s="4">
        <v>44820</v>
      </c>
      <c r="E30" s="4">
        <v>50838</v>
      </c>
      <c r="F30" s="29">
        <v>54649</v>
      </c>
      <c r="G30" s="4">
        <f>F30+14000</f>
        <v>68649</v>
      </c>
      <c r="H30" s="4">
        <f t="shared" ref="H30" si="102">G30*(1+H31)</f>
        <v>73795.176855895188</v>
      </c>
      <c r="I30" s="4">
        <f t="shared" ref="I30" si="103">H30*(1+I31)</f>
        <v>79327.129706082385</v>
      </c>
      <c r="J30" s="4">
        <f t="shared" ref="J30" si="104">I30*(1+J31)</f>
        <v>85273.777711705741</v>
      </c>
      <c r="K30" s="4">
        <f t="shared" ref="K30" si="105">J30*(1+K31)</f>
        <v>91666.207918624001</v>
      </c>
      <c r="L30" s="4">
        <f t="shared" ref="L30" si="106">K30*(1+L31)</f>
        <v>98537.837769874561</v>
      </c>
      <c r="M30" s="4">
        <f t="shared" ref="M30" si="107">L30*(1+M31)</f>
        <v>105924.58980065846</v>
      </c>
      <c r="N30" s="29">
        <f t="shared" ref="N30" si="108">M30*(1+N31)</f>
        <v>113865.0794290921</v>
      </c>
    </row>
    <row r="31" spans="1:14" x14ac:dyDescent="0.25">
      <c r="B31" s="29" t="s">
        <v>209</v>
      </c>
      <c r="D31" s="346">
        <f t="shared" ref="D31" si="109">D30/C30-1</f>
        <v>-0.25226472698153179</v>
      </c>
      <c r="E31" s="346">
        <f t="shared" ref="E31" si="110">E30/D30-1</f>
        <v>0.1342704149933065</v>
      </c>
      <c r="F31" s="350">
        <f>F30/E30-1</f>
        <v>7.4963609898107686E-2</v>
      </c>
      <c r="G31" s="347">
        <f>F31</f>
        <v>7.4963609898107686E-2</v>
      </c>
      <c r="H31" s="347">
        <f t="shared" ref="H31:N31" si="111">G31</f>
        <v>7.4963609898107686E-2</v>
      </c>
      <c r="I31" s="347">
        <f>H31</f>
        <v>7.4963609898107686E-2</v>
      </c>
      <c r="J31" s="347">
        <f t="shared" ref="J31:N31" si="112">I31</f>
        <v>7.4963609898107686E-2</v>
      </c>
      <c r="K31" s="347">
        <f t="shared" si="112"/>
        <v>7.4963609898107686E-2</v>
      </c>
      <c r="L31" s="347">
        <f t="shared" si="112"/>
        <v>7.4963609898107686E-2</v>
      </c>
      <c r="M31" s="347">
        <f t="shared" si="112"/>
        <v>7.4963609898107686E-2</v>
      </c>
      <c r="N31" s="347">
        <f t="shared" si="112"/>
        <v>7.4963609898107686E-2</v>
      </c>
    </row>
    <row r="32" spans="1:14" s="11" customFormat="1" x14ac:dyDescent="0.25">
      <c r="A32" s="11" t="s">
        <v>126</v>
      </c>
      <c r="B32" s="26" t="s">
        <v>219</v>
      </c>
      <c r="C32" s="11">
        <f t="shared" ref="C32:E32" si="113">SUM(C30,C28,C26)</f>
        <v>198270</v>
      </c>
      <c r="D32" s="11">
        <f t="shared" si="113"/>
        <v>211915</v>
      </c>
      <c r="E32" s="11">
        <f t="shared" si="113"/>
        <v>245122</v>
      </c>
      <c r="F32" s="26">
        <f>SUM(F30,F28,F26)</f>
        <v>281724</v>
      </c>
      <c r="G32" s="11">
        <f t="shared" ref="G32:N32" si="114">SUM(G30,G28,G26)</f>
        <v>334388.6488511354</v>
      </c>
      <c r="H32" s="11">
        <f t="shared" si="114"/>
        <v>385181.81717834028</v>
      </c>
      <c r="I32" s="11">
        <f t="shared" si="114"/>
        <v>438442.23214987991</v>
      </c>
      <c r="J32" s="11">
        <f t="shared" si="114"/>
        <v>492799.83540251316</v>
      </c>
      <c r="K32" s="11">
        <f t="shared" si="114"/>
        <v>546610.89114701794</v>
      </c>
      <c r="L32" s="11">
        <f t="shared" si="114"/>
        <v>598033.74698703596</v>
      </c>
      <c r="M32" s="11">
        <f t="shared" si="114"/>
        <v>645135.66230900027</v>
      </c>
      <c r="N32" s="26">
        <f t="shared" si="114"/>
        <v>686024.32990667352</v>
      </c>
    </row>
    <row r="33" spans="1:14" x14ac:dyDescent="0.25">
      <c r="B33" s="29" t="s">
        <v>209</v>
      </c>
      <c r="D33" s="346">
        <f t="shared" ref="D33" si="115">D32/C32-1</f>
        <v>6.8820295556564215E-2</v>
      </c>
      <c r="E33" s="346">
        <f t="shared" ref="E33" si="116">E32/D32-1</f>
        <v>0.1566996201307127</v>
      </c>
      <c r="F33" s="354">
        <f>F32/E32-1</f>
        <v>0.14932156232406713</v>
      </c>
      <c r="G33" s="355">
        <f t="shared" ref="G33:N33" si="117">G32/F32-1</f>
        <v>0.18693703359009306</v>
      </c>
      <c r="H33" s="355">
        <f t="shared" si="117"/>
        <v>0.15189860212574735</v>
      </c>
      <c r="I33" s="355">
        <f t="shared" si="117"/>
        <v>0.13827344022025811</v>
      </c>
      <c r="J33" s="355">
        <f t="shared" si="117"/>
        <v>0.12397894013561017</v>
      </c>
      <c r="K33" s="355">
        <f t="shared" si="117"/>
        <v>0.10919454894004277</v>
      </c>
      <c r="L33" s="355">
        <f t="shared" si="117"/>
        <v>9.4075798109531705E-2</v>
      </c>
      <c r="M33" s="355">
        <f t="shared" si="117"/>
        <v>7.87612999421341E-2</v>
      </c>
      <c r="N33" s="354">
        <f t="shared" si="117"/>
        <v>6.3379952444930554E-2</v>
      </c>
    </row>
    <row r="34" spans="1:14" s="344" customFormat="1" x14ac:dyDescent="0.25">
      <c r="A34" s="341" t="s">
        <v>126</v>
      </c>
      <c r="B34" s="343" t="s">
        <v>232</v>
      </c>
      <c r="C34" s="342">
        <v>2022</v>
      </c>
      <c r="D34" s="342">
        <v>2023</v>
      </c>
      <c r="E34" s="342">
        <v>2024</v>
      </c>
      <c r="F34" s="342">
        <v>2025</v>
      </c>
      <c r="G34" s="342" t="s">
        <v>220</v>
      </c>
      <c r="H34" s="342" t="s">
        <v>221</v>
      </c>
      <c r="I34" s="342" t="s">
        <v>222</v>
      </c>
      <c r="J34" s="342" t="s">
        <v>223</v>
      </c>
      <c r="K34" s="342" t="s">
        <v>224</v>
      </c>
      <c r="L34" s="342" t="s">
        <v>225</v>
      </c>
      <c r="M34" s="342" t="s">
        <v>226</v>
      </c>
      <c r="N34" s="348" t="s">
        <v>227</v>
      </c>
    </row>
    <row r="35" spans="1:14" s="202" customFormat="1" x14ac:dyDescent="0.25">
      <c r="B35" s="356" t="s">
        <v>207</v>
      </c>
      <c r="C35" s="202">
        <f>29690/C26</f>
        <v>0.46856259074553375</v>
      </c>
      <c r="D35" s="202">
        <f>34189/D26</f>
        <v>0.36312944100434408</v>
      </c>
      <c r="E35" s="202">
        <f>40540/E26</f>
        <v>0.37951694439243588</v>
      </c>
      <c r="F35" s="356">
        <f>69773/F26</f>
        <v>0.57754324973098259</v>
      </c>
      <c r="G35" s="345">
        <f>F35</f>
        <v>0.57754324973098259</v>
      </c>
      <c r="H35" s="345">
        <f t="shared" ref="H35:N35" si="118">G35</f>
        <v>0.57754324973098259</v>
      </c>
      <c r="I35" s="345">
        <f t="shared" si="118"/>
        <v>0.57754324973098259</v>
      </c>
      <c r="J35" s="345">
        <f t="shared" si="118"/>
        <v>0.57754324973098259</v>
      </c>
      <c r="K35" s="345">
        <f t="shared" si="118"/>
        <v>0.57754324973098259</v>
      </c>
      <c r="L35" s="345">
        <f t="shared" si="118"/>
        <v>0.57754324973098259</v>
      </c>
      <c r="M35" s="345">
        <f t="shared" si="118"/>
        <v>0.57754324973098259</v>
      </c>
      <c r="N35" s="357">
        <f t="shared" si="118"/>
        <v>0.57754324973098259</v>
      </c>
    </row>
    <row r="36" spans="1:14" s="202" customFormat="1" x14ac:dyDescent="0.25">
      <c r="B36" s="356" t="s">
        <v>230</v>
      </c>
      <c r="C36" s="202">
        <f>33203/C28</f>
        <v>0.44291335956779831</v>
      </c>
      <c r="D36" s="202">
        <f>37884/D28</f>
        <v>0.51935731520070194</v>
      </c>
      <c r="E36" s="202">
        <f>49584/E28</f>
        <v>0.56690752766852648</v>
      </c>
      <c r="F36" s="356">
        <f>44589/F28</f>
        <v>0.41960193854985178</v>
      </c>
      <c r="G36" s="345">
        <f t="shared" ref="G36:N38" si="119">F36</f>
        <v>0.41960193854985178</v>
      </c>
      <c r="H36" s="345">
        <f t="shared" si="119"/>
        <v>0.41960193854985178</v>
      </c>
      <c r="I36" s="345">
        <f t="shared" si="119"/>
        <v>0.41960193854985178</v>
      </c>
      <c r="J36" s="345">
        <f t="shared" si="119"/>
        <v>0.41960193854985178</v>
      </c>
      <c r="K36" s="345">
        <f t="shared" si="119"/>
        <v>0.41960193854985178</v>
      </c>
      <c r="L36" s="345">
        <f t="shared" si="119"/>
        <v>0.41960193854985178</v>
      </c>
      <c r="M36" s="345">
        <f t="shared" si="119"/>
        <v>0.41960193854985178</v>
      </c>
      <c r="N36" s="357">
        <f t="shared" si="119"/>
        <v>0.41960193854985178</v>
      </c>
    </row>
    <row r="37" spans="1:14" s="202" customFormat="1" x14ac:dyDescent="0.25">
      <c r="B37" s="356" t="s">
        <v>231</v>
      </c>
      <c r="C37" s="202">
        <f>20490/C30</f>
        <v>0.34183613886988873</v>
      </c>
      <c r="D37" s="202">
        <f>16450/D30</f>
        <v>0.36702365015618027</v>
      </c>
      <c r="E37" s="202">
        <f>19309/E30</f>
        <v>0.37981431212872263</v>
      </c>
      <c r="F37" s="356">
        <f>14166/F30</f>
        <v>0.25921791798569049</v>
      </c>
      <c r="G37" s="345">
        <f t="shared" si="119"/>
        <v>0.25921791798569049</v>
      </c>
      <c r="H37" s="345">
        <f t="shared" si="119"/>
        <v>0.25921791798569049</v>
      </c>
      <c r="I37" s="345">
        <f t="shared" si="119"/>
        <v>0.25921791798569049</v>
      </c>
      <c r="J37" s="345">
        <f t="shared" si="119"/>
        <v>0.25921791798569049</v>
      </c>
      <c r="K37" s="345">
        <f t="shared" si="119"/>
        <v>0.25921791798569049</v>
      </c>
      <c r="L37" s="345">
        <f t="shared" si="119"/>
        <v>0.25921791798569049</v>
      </c>
      <c r="M37" s="345">
        <f t="shared" si="119"/>
        <v>0.25921791798569049</v>
      </c>
      <c r="N37" s="357">
        <f t="shared" si="119"/>
        <v>0.25921791798569049</v>
      </c>
    </row>
    <row r="38" spans="1:14" s="202" customFormat="1" x14ac:dyDescent="0.25">
      <c r="B38" s="356" t="s">
        <v>234</v>
      </c>
      <c r="C38" s="202">
        <f>83383/C32</f>
        <v>0.4205527815604983</v>
      </c>
      <c r="D38" s="202">
        <f>88523/D32</f>
        <v>0.41772880636104098</v>
      </c>
      <c r="E38" s="202">
        <f>109433/E32</f>
        <v>0.44644299573273716</v>
      </c>
      <c r="F38" s="356">
        <f>128528/F32</f>
        <v>0.45621956240859851</v>
      </c>
      <c r="G38" s="345">
        <f t="shared" si="119"/>
        <v>0.45621956240859851</v>
      </c>
      <c r="H38" s="345">
        <f t="shared" si="119"/>
        <v>0.45621956240859851</v>
      </c>
      <c r="I38" s="345">
        <f t="shared" si="119"/>
        <v>0.45621956240859851</v>
      </c>
      <c r="J38" s="345">
        <f t="shared" si="119"/>
        <v>0.45621956240859851</v>
      </c>
      <c r="K38" s="345">
        <f t="shared" si="119"/>
        <v>0.45621956240859851</v>
      </c>
      <c r="L38" s="345">
        <f t="shared" si="119"/>
        <v>0.45621956240859851</v>
      </c>
      <c r="M38" s="345">
        <f t="shared" si="119"/>
        <v>0.45621956240859851</v>
      </c>
      <c r="N38" s="357">
        <f t="shared" si="119"/>
        <v>0.45621956240859851</v>
      </c>
    </row>
    <row r="39" spans="1:14" s="11" customFormat="1" x14ac:dyDescent="0.25">
      <c r="A39" s="11" t="s">
        <v>126</v>
      </c>
      <c r="B39" s="26" t="s">
        <v>233</v>
      </c>
      <c r="C39" s="11">
        <f>C32*C38</f>
        <v>83383</v>
      </c>
      <c r="D39" s="11">
        <f t="shared" ref="D39:N39" si="120">D32*D38</f>
        <v>88523</v>
      </c>
      <c r="E39" s="11">
        <f t="shared" si="120"/>
        <v>109433</v>
      </c>
      <c r="F39" s="26">
        <f t="shared" si="120"/>
        <v>128528</v>
      </c>
      <c r="G39" s="11">
        <f t="shared" si="120"/>
        <v>152554.6430532675</v>
      </c>
      <c r="H39" s="11">
        <f t="shared" si="120"/>
        <v>175727.48008085121</v>
      </c>
      <c r="I39" s="11">
        <f t="shared" si="120"/>
        <v>200025.92329286737</v>
      </c>
      <c r="J39" s="11">
        <f t="shared" si="120"/>
        <v>224824.92526236392</v>
      </c>
      <c r="K39" s="11">
        <f t="shared" si="120"/>
        <v>249374.5815668666</v>
      </c>
      <c r="L39" s="11">
        <f t="shared" si="120"/>
        <v>272834.69435600005</v>
      </c>
      <c r="M39" s="11">
        <f t="shared" si="120"/>
        <v>294323.50955279346</v>
      </c>
      <c r="N39" s="26">
        <f t="shared" si="120"/>
        <v>312977.71959167463</v>
      </c>
    </row>
    <row r="40" spans="1:14" x14ac:dyDescent="0.25">
      <c r="B40" s="29" t="s">
        <v>209</v>
      </c>
      <c r="D40" s="346">
        <f t="shared" ref="D40" si="121">D39/C39-1</f>
        <v>6.1643260616672357E-2</v>
      </c>
      <c r="E40" s="346">
        <f t="shared" ref="E40" si="122">E39/D39-1</f>
        <v>0.23620979858341906</v>
      </c>
      <c r="F40" s="354">
        <f>F39/E39-1</f>
        <v>0.17449032741494785</v>
      </c>
      <c r="G40" s="355">
        <f t="shared" ref="G40" si="123">G39/F39-1</f>
        <v>0.18693703359009328</v>
      </c>
      <c r="H40" s="355">
        <f t="shared" ref="H40" si="124">H39/G39-1</f>
        <v>0.15189860212574757</v>
      </c>
      <c r="I40" s="355">
        <f t="shared" ref="I40" si="125">I39/H39-1</f>
        <v>0.13827344022025811</v>
      </c>
      <c r="J40" s="355">
        <f t="shared" ref="J40" si="126">J39/I39-1</f>
        <v>0.12397894013561017</v>
      </c>
      <c r="K40" s="355">
        <f t="shared" ref="K40" si="127">K39/J39-1</f>
        <v>0.10919454894004299</v>
      </c>
      <c r="L40" s="355">
        <f t="shared" ref="L40" si="128">L39/K39-1</f>
        <v>9.4075798109531483E-2</v>
      </c>
      <c r="M40" s="355">
        <f t="shared" ref="M40" si="129">M39/L39-1</f>
        <v>7.87612999421341E-2</v>
      </c>
      <c r="N40" s="354">
        <f t="shared" ref="N40" si="130">N39/M39-1</f>
        <v>6.3379952444930776E-2</v>
      </c>
    </row>
    <row r="41" spans="1:14" x14ac:dyDescent="0.25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P40"/>
  <sheetViews>
    <sheetView showGridLines="0" zoomScaleNormal="100" workbookViewId="0">
      <selection activeCell="E6" sqref="E6:E8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3" width="11.7109375" style="4" customWidth="1"/>
    <col min="14" max="15" width="11.42578125" style="4" customWidth="1"/>
    <col min="16" max="256" width="8.85546875" style="4"/>
    <col min="257" max="257" width="1.7109375" style="4" customWidth="1"/>
    <col min="258" max="258" width="40.7109375" style="4" customWidth="1"/>
    <col min="259" max="266" width="10.7109375" style="4" customWidth="1"/>
    <col min="267" max="512" width="8.85546875" style="4"/>
    <col min="513" max="513" width="1.7109375" style="4" customWidth="1"/>
    <col min="514" max="514" width="40.7109375" style="4" customWidth="1"/>
    <col min="515" max="522" width="10.7109375" style="4" customWidth="1"/>
    <col min="523" max="768" width="8.85546875" style="4"/>
    <col min="769" max="769" width="1.7109375" style="4" customWidth="1"/>
    <col min="770" max="770" width="40.7109375" style="4" customWidth="1"/>
    <col min="771" max="778" width="10.7109375" style="4" customWidth="1"/>
    <col min="779" max="1024" width="8.85546875" style="4"/>
    <col min="1025" max="1025" width="1.7109375" style="4" customWidth="1"/>
    <col min="1026" max="1026" width="40.7109375" style="4" customWidth="1"/>
    <col min="1027" max="1034" width="10.7109375" style="4" customWidth="1"/>
    <col min="1035" max="1280" width="8.85546875" style="4"/>
    <col min="1281" max="1281" width="1.7109375" style="4" customWidth="1"/>
    <col min="1282" max="1282" width="40.7109375" style="4" customWidth="1"/>
    <col min="1283" max="1290" width="10.7109375" style="4" customWidth="1"/>
    <col min="1291" max="1536" width="8.85546875" style="4"/>
    <col min="1537" max="1537" width="1.7109375" style="4" customWidth="1"/>
    <col min="1538" max="1538" width="40.7109375" style="4" customWidth="1"/>
    <col min="1539" max="1546" width="10.7109375" style="4" customWidth="1"/>
    <col min="1547" max="1792" width="8.85546875" style="4"/>
    <col min="1793" max="1793" width="1.7109375" style="4" customWidth="1"/>
    <col min="1794" max="1794" width="40.7109375" style="4" customWidth="1"/>
    <col min="1795" max="1802" width="10.7109375" style="4" customWidth="1"/>
    <col min="1803" max="2048" width="8.85546875" style="4"/>
    <col min="2049" max="2049" width="1.7109375" style="4" customWidth="1"/>
    <col min="2050" max="2050" width="40.7109375" style="4" customWidth="1"/>
    <col min="2051" max="2058" width="10.7109375" style="4" customWidth="1"/>
    <col min="2059" max="2304" width="8.85546875" style="4"/>
    <col min="2305" max="2305" width="1.7109375" style="4" customWidth="1"/>
    <col min="2306" max="2306" width="40.7109375" style="4" customWidth="1"/>
    <col min="2307" max="2314" width="10.7109375" style="4" customWidth="1"/>
    <col min="2315" max="2560" width="8.85546875" style="4"/>
    <col min="2561" max="2561" width="1.7109375" style="4" customWidth="1"/>
    <col min="2562" max="2562" width="40.7109375" style="4" customWidth="1"/>
    <col min="2563" max="2570" width="10.7109375" style="4" customWidth="1"/>
    <col min="2571" max="2816" width="8.85546875" style="4"/>
    <col min="2817" max="2817" width="1.7109375" style="4" customWidth="1"/>
    <col min="2818" max="2818" width="40.7109375" style="4" customWidth="1"/>
    <col min="2819" max="2826" width="10.7109375" style="4" customWidth="1"/>
    <col min="2827" max="3072" width="8.85546875" style="4"/>
    <col min="3073" max="3073" width="1.7109375" style="4" customWidth="1"/>
    <col min="3074" max="3074" width="40.7109375" style="4" customWidth="1"/>
    <col min="3075" max="3082" width="10.7109375" style="4" customWidth="1"/>
    <col min="3083" max="3328" width="8.85546875" style="4"/>
    <col min="3329" max="3329" width="1.7109375" style="4" customWidth="1"/>
    <col min="3330" max="3330" width="40.7109375" style="4" customWidth="1"/>
    <col min="3331" max="3338" width="10.7109375" style="4" customWidth="1"/>
    <col min="3339" max="3584" width="8.85546875" style="4"/>
    <col min="3585" max="3585" width="1.7109375" style="4" customWidth="1"/>
    <col min="3586" max="3586" width="40.7109375" style="4" customWidth="1"/>
    <col min="3587" max="3594" width="10.7109375" style="4" customWidth="1"/>
    <col min="3595" max="3840" width="8.85546875" style="4"/>
    <col min="3841" max="3841" width="1.7109375" style="4" customWidth="1"/>
    <col min="3842" max="3842" width="40.7109375" style="4" customWidth="1"/>
    <col min="3843" max="3850" width="10.7109375" style="4" customWidth="1"/>
    <col min="3851" max="4096" width="8.85546875" style="4"/>
    <col min="4097" max="4097" width="1.7109375" style="4" customWidth="1"/>
    <col min="4098" max="4098" width="40.7109375" style="4" customWidth="1"/>
    <col min="4099" max="4106" width="10.7109375" style="4" customWidth="1"/>
    <col min="4107" max="4352" width="8.85546875" style="4"/>
    <col min="4353" max="4353" width="1.7109375" style="4" customWidth="1"/>
    <col min="4354" max="4354" width="40.7109375" style="4" customWidth="1"/>
    <col min="4355" max="4362" width="10.7109375" style="4" customWidth="1"/>
    <col min="4363" max="4608" width="8.85546875" style="4"/>
    <col min="4609" max="4609" width="1.7109375" style="4" customWidth="1"/>
    <col min="4610" max="4610" width="40.7109375" style="4" customWidth="1"/>
    <col min="4611" max="4618" width="10.7109375" style="4" customWidth="1"/>
    <col min="4619" max="4864" width="8.85546875" style="4"/>
    <col min="4865" max="4865" width="1.7109375" style="4" customWidth="1"/>
    <col min="4866" max="4866" width="40.7109375" style="4" customWidth="1"/>
    <col min="4867" max="4874" width="10.7109375" style="4" customWidth="1"/>
    <col min="4875" max="5120" width="8.85546875" style="4"/>
    <col min="5121" max="5121" width="1.7109375" style="4" customWidth="1"/>
    <col min="5122" max="5122" width="40.7109375" style="4" customWidth="1"/>
    <col min="5123" max="5130" width="10.7109375" style="4" customWidth="1"/>
    <col min="5131" max="5376" width="8.85546875" style="4"/>
    <col min="5377" max="5377" width="1.7109375" style="4" customWidth="1"/>
    <col min="5378" max="5378" width="40.7109375" style="4" customWidth="1"/>
    <col min="5379" max="5386" width="10.7109375" style="4" customWidth="1"/>
    <col min="5387" max="5632" width="8.85546875" style="4"/>
    <col min="5633" max="5633" width="1.7109375" style="4" customWidth="1"/>
    <col min="5634" max="5634" width="40.7109375" style="4" customWidth="1"/>
    <col min="5635" max="5642" width="10.7109375" style="4" customWidth="1"/>
    <col min="5643" max="5888" width="8.85546875" style="4"/>
    <col min="5889" max="5889" width="1.7109375" style="4" customWidth="1"/>
    <col min="5890" max="5890" width="40.7109375" style="4" customWidth="1"/>
    <col min="5891" max="5898" width="10.7109375" style="4" customWidth="1"/>
    <col min="5899" max="6144" width="8.85546875" style="4"/>
    <col min="6145" max="6145" width="1.7109375" style="4" customWidth="1"/>
    <col min="6146" max="6146" width="40.7109375" style="4" customWidth="1"/>
    <col min="6147" max="6154" width="10.7109375" style="4" customWidth="1"/>
    <col min="6155" max="6400" width="8.85546875" style="4"/>
    <col min="6401" max="6401" width="1.7109375" style="4" customWidth="1"/>
    <col min="6402" max="6402" width="40.7109375" style="4" customWidth="1"/>
    <col min="6403" max="6410" width="10.7109375" style="4" customWidth="1"/>
    <col min="6411" max="6656" width="8.85546875" style="4"/>
    <col min="6657" max="6657" width="1.7109375" style="4" customWidth="1"/>
    <col min="6658" max="6658" width="40.7109375" style="4" customWidth="1"/>
    <col min="6659" max="6666" width="10.7109375" style="4" customWidth="1"/>
    <col min="6667" max="6912" width="8.85546875" style="4"/>
    <col min="6913" max="6913" width="1.7109375" style="4" customWidth="1"/>
    <col min="6914" max="6914" width="40.7109375" style="4" customWidth="1"/>
    <col min="6915" max="6922" width="10.7109375" style="4" customWidth="1"/>
    <col min="6923" max="7168" width="8.85546875" style="4"/>
    <col min="7169" max="7169" width="1.7109375" style="4" customWidth="1"/>
    <col min="7170" max="7170" width="40.7109375" style="4" customWidth="1"/>
    <col min="7171" max="7178" width="10.7109375" style="4" customWidth="1"/>
    <col min="7179" max="7424" width="8.85546875" style="4"/>
    <col min="7425" max="7425" width="1.7109375" style="4" customWidth="1"/>
    <col min="7426" max="7426" width="40.7109375" style="4" customWidth="1"/>
    <col min="7427" max="7434" width="10.7109375" style="4" customWidth="1"/>
    <col min="7435" max="7680" width="8.85546875" style="4"/>
    <col min="7681" max="7681" width="1.7109375" style="4" customWidth="1"/>
    <col min="7682" max="7682" width="40.7109375" style="4" customWidth="1"/>
    <col min="7683" max="7690" width="10.7109375" style="4" customWidth="1"/>
    <col min="7691" max="7936" width="8.85546875" style="4"/>
    <col min="7937" max="7937" width="1.7109375" style="4" customWidth="1"/>
    <col min="7938" max="7938" width="40.7109375" style="4" customWidth="1"/>
    <col min="7939" max="7946" width="10.7109375" style="4" customWidth="1"/>
    <col min="7947" max="8192" width="8.85546875" style="4"/>
    <col min="8193" max="8193" width="1.7109375" style="4" customWidth="1"/>
    <col min="8194" max="8194" width="40.7109375" style="4" customWidth="1"/>
    <col min="8195" max="8202" width="10.7109375" style="4" customWidth="1"/>
    <col min="8203" max="8448" width="8.85546875" style="4"/>
    <col min="8449" max="8449" width="1.7109375" style="4" customWidth="1"/>
    <col min="8450" max="8450" width="40.7109375" style="4" customWidth="1"/>
    <col min="8451" max="8458" width="10.7109375" style="4" customWidth="1"/>
    <col min="8459" max="8704" width="8.85546875" style="4"/>
    <col min="8705" max="8705" width="1.7109375" style="4" customWidth="1"/>
    <col min="8706" max="8706" width="40.7109375" style="4" customWidth="1"/>
    <col min="8707" max="8714" width="10.7109375" style="4" customWidth="1"/>
    <col min="8715" max="8960" width="8.85546875" style="4"/>
    <col min="8961" max="8961" width="1.7109375" style="4" customWidth="1"/>
    <col min="8962" max="8962" width="40.7109375" style="4" customWidth="1"/>
    <col min="8963" max="8970" width="10.7109375" style="4" customWidth="1"/>
    <col min="8971" max="9216" width="8.85546875" style="4"/>
    <col min="9217" max="9217" width="1.7109375" style="4" customWidth="1"/>
    <col min="9218" max="9218" width="40.7109375" style="4" customWidth="1"/>
    <col min="9219" max="9226" width="10.7109375" style="4" customWidth="1"/>
    <col min="9227" max="9472" width="8.85546875" style="4"/>
    <col min="9473" max="9473" width="1.7109375" style="4" customWidth="1"/>
    <col min="9474" max="9474" width="40.7109375" style="4" customWidth="1"/>
    <col min="9475" max="9482" width="10.7109375" style="4" customWidth="1"/>
    <col min="9483" max="9728" width="8.85546875" style="4"/>
    <col min="9729" max="9729" width="1.7109375" style="4" customWidth="1"/>
    <col min="9730" max="9730" width="40.7109375" style="4" customWidth="1"/>
    <col min="9731" max="9738" width="10.7109375" style="4" customWidth="1"/>
    <col min="9739" max="9984" width="8.85546875" style="4"/>
    <col min="9985" max="9985" width="1.7109375" style="4" customWidth="1"/>
    <col min="9986" max="9986" width="40.7109375" style="4" customWidth="1"/>
    <col min="9987" max="9994" width="10.7109375" style="4" customWidth="1"/>
    <col min="9995" max="10240" width="8.85546875" style="4"/>
    <col min="10241" max="10241" width="1.7109375" style="4" customWidth="1"/>
    <col min="10242" max="10242" width="40.7109375" style="4" customWidth="1"/>
    <col min="10243" max="10250" width="10.7109375" style="4" customWidth="1"/>
    <col min="10251" max="10496" width="8.85546875" style="4"/>
    <col min="10497" max="10497" width="1.7109375" style="4" customWidth="1"/>
    <col min="10498" max="10498" width="40.7109375" style="4" customWidth="1"/>
    <col min="10499" max="10506" width="10.7109375" style="4" customWidth="1"/>
    <col min="10507" max="10752" width="8.85546875" style="4"/>
    <col min="10753" max="10753" width="1.7109375" style="4" customWidth="1"/>
    <col min="10754" max="10754" width="40.7109375" style="4" customWidth="1"/>
    <col min="10755" max="10762" width="10.7109375" style="4" customWidth="1"/>
    <col min="10763" max="11008" width="8.85546875" style="4"/>
    <col min="11009" max="11009" width="1.7109375" style="4" customWidth="1"/>
    <col min="11010" max="11010" width="40.7109375" style="4" customWidth="1"/>
    <col min="11011" max="11018" width="10.7109375" style="4" customWidth="1"/>
    <col min="11019" max="11264" width="8.85546875" style="4"/>
    <col min="11265" max="11265" width="1.7109375" style="4" customWidth="1"/>
    <col min="11266" max="11266" width="40.7109375" style="4" customWidth="1"/>
    <col min="11267" max="11274" width="10.7109375" style="4" customWidth="1"/>
    <col min="11275" max="11520" width="8.85546875" style="4"/>
    <col min="11521" max="11521" width="1.7109375" style="4" customWidth="1"/>
    <col min="11522" max="11522" width="40.7109375" style="4" customWidth="1"/>
    <col min="11523" max="11530" width="10.7109375" style="4" customWidth="1"/>
    <col min="11531" max="11776" width="8.85546875" style="4"/>
    <col min="11777" max="11777" width="1.7109375" style="4" customWidth="1"/>
    <col min="11778" max="11778" width="40.7109375" style="4" customWidth="1"/>
    <col min="11779" max="11786" width="10.7109375" style="4" customWidth="1"/>
    <col min="11787" max="12032" width="8.85546875" style="4"/>
    <col min="12033" max="12033" width="1.7109375" style="4" customWidth="1"/>
    <col min="12034" max="12034" width="40.7109375" style="4" customWidth="1"/>
    <col min="12035" max="12042" width="10.7109375" style="4" customWidth="1"/>
    <col min="12043" max="12288" width="8.85546875" style="4"/>
    <col min="12289" max="12289" width="1.7109375" style="4" customWidth="1"/>
    <col min="12290" max="12290" width="40.7109375" style="4" customWidth="1"/>
    <col min="12291" max="12298" width="10.7109375" style="4" customWidth="1"/>
    <col min="12299" max="12544" width="8.85546875" style="4"/>
    <col min="12545" max="12545" width="1.7109375" style="4" customWidth="1"/>
    <col min="12546" max="12546" width="40.7109375" style="4" customWidth="1"/>
    <col min="12547" max="12554" width="10.7109375" style="4" customWidth="1"/>
    <col min="12555" max="12800" width="8.85546875" style="4"/>
    <col min="12801" max="12801" width="1.7109375" style="4" customWidth="1"/>
    <col min="12802" max="12802" width="40.7109375" style="4" customWidth="1"/>
    <col min="12803" max="12810" width="10.7109375" style="4" customWidth="1"/>
    <col min="12811" max="13056" width="8.85546875" style="4"/>
    <col min="13057" max="13057" width="1.7109375" style="4" customWidth="1"/>
    <col min="13058" max="13058" width="40.7109375" style="4" customWidth="1"/>
    <col min="13059" max="13066" width="10.7109375" style="4" customWidth="1"/>
    <col min="13067" max="13312" width="8.85546875" style="4"/>
    <col min="13313" max="13313" width="1.7109375" style="4" customWidth="1"/>
    <col min="13314" max="13314" width="40.7109375" style="4" customWidth="1"/>
    <col min="13315" max="13322" width="10.7109375" style="4" customWidth="1"/>
    <col min="13323" max="13568" width="8.85546875" style="4"/>
    <col min="13569" max="13569" width="1.7109375" style="4" customWidth="1"/>
    <col min="13570" max="13570" width="40.7109375" style="4" customWidth="1"/>
    <col min="13571" max="13578" width="10.7109375" style="4" customWidth="1"/>
    <col min="13579" max="13824" width="8.85546875" style="4"/>
    <col min="13825" max="13825" width="1.7109375" style="4" customWidth="1"/>
    <col min="13826" max="13826" width="40.7109375" style="4" customWidth="1"/>
    <col min="13827" max="13834" width="10.7109375" style="4" customWidth="1"/>
    <col min="13835" max="14080" width="8.85546875" style="4"/>
    <col min="14081" max="14081" width="1.7109375" style="4" customWidth="1"/>
    <col min="14082" max="14082" width="40.7109375" style="4" customWidth="1"/>
    <col min="14083" max="14090" width="10.7109375" style="4" customWidth="1"/>
    <col min="14091" max="14336" width="8.85546875" style="4"/>
    <col min="14337" max="14337" width="1.7109375" style="4" customWidth="1"/>
    <col min="14338" max="14338" width="40.7109375" style="4" customWidth="1"/>
    <col min="14339" max="14346" width="10.7109375" style="4" customWidth="1"/>
    <col min="14347" max="14592" width="8.85546875" style="4"/>
    <col min="14593" max="14593" width="1.7109375" style="4" customWidth="1"/>
    <col min="14594" max="14594" width="40.7109375" style="4" customWidth="1"/>
    <col min="14595" max="14602" width="10.7109375" style="4" customWidth="1"/>
    <col min="14603" max="14848" width="8.85546875" style="4"/>
    <col min="14849" max="14849" width="1.7109375" style="4" customWidth="1"/>
    <col min="14850" max="14850" width="40.7109375" style="4" customWidth="1"/>
    <col min="14851" max="14858" width="10.7109375" style="4" customWidth="1"/>
    <col min="14859" max="15104" width="8.85546875" style="4"/>
    <col min="15105" max="15105" width="1.7109375" style="4" customWidth="1"/>
    <col min="15106" max="15106" width="40.7109375" style="4" customWidth="1"/>
    <col min="15107" max="15114" width="10.7109375" style="4" customWidth="1"/>
    <col min="15115" max="15360" width="8.85546875" style="4"/>
    <col min="15361" max="15361" width="1.7109375" style="4" customWidth="1"/>
    <col min="15362" max="15362" width="40.7109375" style="4" customWidth="1"/>
    <col min="15363" max="15370" width="10.7109375" style="4" customWidth="1"/>
    <col min="15371" max="15616" width="8.85546875" style="4"/>
    <col min="15617" max="15617" width="1.7109375" style="4" customWidth="1"/>
    <col min="15618" max="15618" width="40.7109375" style="4" customWidth="1"/>
    <col min="15619" max="15626" width="10.7109375" style="4" customWidth="1"/>
    <col min="15627" max="15872" width="8.85546875" style="4"/>
    <col min="15873" max="15873" width="1.7109375" style="4" customWidth="1"/>
    <col min="15874" max="15874" width="40.7109375" style="4" customWidth="1"/>
    <col min="15875" max="15882" width="10.7109375" style="4" customWidth="1"/>
    <col min="15883" max="16128" width="8.85546875" style="4"/>
    <col min="16129" max="16129" width="1.7109375" style="4" customWidth="1"/>
    <col min="16130" max="16130" width="40.7109375" style="4" customWidth="1"/>
    <col min="16131" max="16138" width="10.7109375" style="4" customWidth="1"/>
    <col min="16139" max="16384" width="8.85546875" style="4"/>
  </cols>
  <sheetData>
    <row r="1" spans="1:16" s="2" customFormat="1" ht="19.5" x14ac:dyDescent="0.3">
      <c r="A1" s="318" t="str">
        <f>CoName</f>
        <v>Microsoft Corp.</v>
      </c>
      <c r="B1" s="3"/>
      <c r="C1" s="43" t="s">
        <v>0</v>
      </c>
      <c r="D1" s="43" t="s">
        <v>0</v>
      </c>
      <c r="E1" s="43" t="s">
        <v>0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 t="s">
        <v>1</v>
      </c>
      <c r="L1" s="43" t="s">
        <v>1</v>
      </c>
      <c r="M1" s="43" t="s">
        <v>1</v>
      </c>
      <c r="N1" s="43"/>
      <c r="O1" s="43"/>
    </row>
    <row r="2" spans="1:16" x14ac:dyDescent="0.25">
      <c r="A2" s="22" t="s">
        <v>11</v>
      </c>
      <c r="B2" s="21"/>
      <c r="C2" s="207">
        <v>2023</v>
      </c>
      <c r="D2" s="316">
        <f>C2+1</f>
        <v>2024</v>
      </c>
      <c r="E2" s="316">
        <f t="shared" ref="E2:M2" si="0">D2+1</f>
        <v>2025</v>
      </c>
      <c r="F2" s="316">
        <f t="shared" si="0"/>
        <v>2026</v>
      </c>
      <c r="G2" s="316">
        <f t="shared" si="0"/>
        <v>2027</v>
      </c>
      <c r="H2" s="316">
        <f t="shared" si="0"/>
        <v>2028</v>
      </c>
      <c r="I2" s="316">
        <f t="shared" si="0"/>
        <v>2029</v>
      </c>
      <c r="J2" s="316">
        <f t="shared" si="0"/>
        <v>2030</v>
      </c>
      <c r="K2" s="316">
        <f t="shared" si="0"/>
        <v>2031</v>
      </c>
      <c r="L2" s="316">
        <f t="shared" si="0"/>
        <v>2032</v>
      </c>
      <c r="M2" s="316">
        <f t="shared" si="0"/>
        <v>2033</v>
      </c>
      <c r="N2" s="208"/>
      <c r="O2" s="208"/>
      <c r="P2" s="208"/>
    </row>
    <row r="3" spans="1:16" x14ac:dyDescent="0.25">
      <c r="B3" s="4" t="s">
        <v>12</v>
      </c>
      <c r="C3" s="31"/>
      <c r="D3" s="31"/>
      <c r="E3" s="42"/>
      <c r="F3" s="217">
        <f>Assumptions!F33</f>
        <v>0.24</v>
      </c>
      <c r="G3" s="217">
        <f>Assumptions!G33</f>
        <v>0.22499999999999998</v>
      </c>
      <c r="H3" s="217">
        <f>Assumptions!H33</f>
        <v>0.20999999999999996</v>
      </c>
      <c r="I3" s="217">
        <f>Assumptions!I33</f>
        <v>0.19499999999999995</v>
      </c>
      <c r="J3" s="217">
        <f>Assumptions!J33</f>
        <v>0.17999999999999994</v>
      </c>
      <c r="K3" s="217">
        <f>Assumptions!K33</f>
        <v>0.16499999999999992</v>
      </c>
      <c r="L3" s="217">
        <f>Assumptions!L33</f>
        <v>0.14999999999999991</v>
      </c>
      <c r="M3" s="317">
        <f>Assumptions!M33</f>
        <v>0.1349999999999999</v>
      </c>
      <c r="N3" s="215"/>
      <c r="O3" s="215"/>
    </row>
    <row r="4" spans="1:16" x14ac:dyDescent="0.25">
      <c r="B4" s="4" t="s">
        <v>136</v>
      </c>
      <c r="C4" s="31"/>
      <c r="D4" s="31"/>
      <c r="E4" s="42"/>
      <c r="F4" s="217">
        <f>Assumptions!F34</f>
        <v>0.22098064081991822</v>
      </c>
      <c r="G4" s="217">
        <f>F4</f>
        <v>0.22098064081991822</v>
      </c>
      <c r="H4" s="217">
        <f t="shared" ref="H4:J4" si="1">G4</f>
        <v>0.22098064081991822</v>
      </c>
      <c r="I4" s="217">
        <f t="shared" si="1"/>
        <v>0.22098064081991822</v>
      </c>
      <c r="J4" s="217">
        <f t="shared" si="1"/>
        <v>0.22098064081991822</v>
      </c>
      <c r="K4" s="217">
        <f t="shared" ref="K4" si="2">J4</f>
        <v>0.22098064081991822</v>
      </c>
      <c r="L4" s="217">
        <f t="shared" ref="L4" si="3">K4</f>
        <v>0.22098064081991822</v>
      </c>
      <c r="M4" s="217">
        <f t="shared" ref="M4" si="4">L4</f>
        <v>0.22098064081991822</v>
      </c>
      <c r="N4" s="215"/>
      <c r="O4" s="215"/>
    </row>
    <row r="5" spans="1:16" x14ac:dyDescent="0.25">
      <c r="E5" s="29"/>
      <c r="F5" s="79"/>
      <c r="G5" s="67"/>
      <c r="H5" s="85"/>
      <c r="I5" s="67"/>
      <c r="J5" s="67"/>
      <c r="K5" s="67"/>
      <c r="L5" s="67"/>
      <c r="M5" s="67"/>
    </row>
    <row r="6" spans="1:16" x14ac:dyDescent="0.25">
      <c r="B6" s="4" t="s">
        <v>13</v>
      </c>
      <c r="E6" s="29"/>
      <c r="F6" s="4">
        <f>E9</f>
        <v>229789</v>
      </c>
      <c r="G6" s="4">
        <f t="shared" ref="G6:M6" si="5">F9</f>
        <v>257130.79815353703</v>
      </c>
      <c r="H6" s="4">
        <f t="shared" si="5"/>
        <v>285940.78208833403</v>
      </c>
      <c r="I6" s="4">
        <f t="shared" si="5"/>
        <v>315938.8183522906</v>
      </c>
      <c r="J6" s="4">
        <f t="shared" si="5"/>
        <v>346527.88652849547</v>
      </c>
      <c r="K6" s="4">
        <f t="shared" si="5"/>
        <v>376795.68962510367</v>
      </c>
      <c r="L6" s="4">
        <f t="shared" si="5"/>
        <v>405544.24379745353</v>
      </c>
      <c r="M6" s="4">
        <f t="shared" si="5"/>
        <v>431351.39938740444</v>
      </c>
    </row>
    <row r="7" spans="1:16" x14ac:dyDescent="0.25">
      <c r="B7" s="4" t="s">
        <v>14</v>
      </c>
      <c r="C7" s="13"/>
      <c r="D7" s="13"/>
      <c r="E7" s="128"/>
      <c r="F7" s="4">
        <f>F3*IncState!F17</f>
        <v>78120.718626905247</v>
      </c>
      <c r="G7" s="4">
        <f>G3*IncState!G17</f>
        <v>85630.912485302659</v>
      </c>
      <c r="H7" s="4">
        <f>H3*IncState!H17</f>
        <v>93185.413526385208</v>
      </c>
      <c r="I7" s="4">
        <f>I3*IncState!I17</f>
        <v>100405.43071558178</v>
      </c>
      <c r="J7" s="4">
        <f>J3*IncState!J17</f>
        <v>106843.75752364706</v>
      </c>
      <c r="K7" s="4">
        <f>K3*IncState!K17</f>
        <v>112013.10712388827</v>
      </c>
      <c r="L7" s="4">
        <f>L3*IncState!L17</f>
        <v>115424.58246514139</v>
      </c>
      <c r="M7" s="4">
        <f>M3*IncState!M17</f>
        <v>116631.57501960556</v>
      </c>
    </row>
    <row r="8" spans="1:16" x14ac:dyDescent="0.25">
      <c r="B8" s="4" t="s">
        <v>15</v>
      </c>
      <c r="E8" s="29"/>
      <c r="F8" s="4">
        <f>F4*F6</f>
        <v>50778.920473368191</v>
      </c>
      <c r="G8" s="4">
        <f t="shared" ref="G8:M8" si="6">G4*G6</f>
        <v>56820.928550505661</v>
      </c>
      <c r="H8" s="4">
        <f t="shared" si="6"/>
        <v>63187.37726242865</v>
      </c>
      <c r="I8" s="4">
        <f t="shared" si="6"/>
        <v>69816.362539376918</v>
      </c>
      <c r="J8" s="4">
        <f t="shared" si="6"/>
        <v>76575.954427038829</v>
      </c>
      <c r="K8" s="4">
        <f t="shared" si="6"/>
        <v>83264.552951538426</v>
      </c>
      <c r="L8" s="4">
        <f t="shared" si="6"/>
        <v>89617.426875190431</v>
      </c>
      <c r="M8" s="4">
        <f t="shared" si="6"/>
        <v>95320.308655197106</v>
      </c>
    </row>
    <row r="9" spans="1:16" x14ac:dyDescent="0.25">
      <c r="B9" s="4" t="s">
        <v>16</v>
      </c>
      <c r="E9" s="29">
        <f>BalSheet!E24</f>
        <v>229789</v>
      </c>
      <c r="F9" s="4">
        <f>F6+F7-F8</f>
        <v>257130.79815353703</v>
      </c>
      <c r="G9" s="4">
        <f t="shared" ref="G9:M9" si="7">G6+G7-G8</f>
        <v>285940.78208833403</v>
      </c>
      <c r="H9" s="4">
        <f t="shared" si="7"/>
        <v>315938.8183522906</v>
      </c>
      <c r="I9" s="4">
        <f t="shared" si="7"/>
        <v>346527.88652849547</v>
      </c>
      <c r="J9" s="4">
        <f t="shared" si="7"/>
        <v>376795.68962510367</v>
      </c>
      <c r="K9" s="4">
        <f t="shared" si="7"/>
        <v>405544.24379745353</v>
      </c>
      <c r="L9" s="4">
        <f t="shared" si="7"/>
        <v>431351.39938740444</v>
      </c>
      <c r="M9" s="4">
        <f t="shared" si="7"/>
        <v>452662.66575181292</v>
      </c>
    </row>
    <row r="10" spans="1:16" x14ac:dyDescent="0.25">
      <c r="A10" s="22" t="s">
        <v>17</v>
      </c>
      <c r="B10" s="44"/>
      <c r="C10" s="290">
        <f t="shared" ref="C10:M10" si="8">C2</f>
        <v>2023</v>
      </c>
      <c r="D10" s="290">
        <f t="shared" si="8"/>
        <v>2024</v>
      </c>
      <c r="E10" s="290">
        <f t="shared" si="8"/>
        <v>2025</v>
      </c>
      <c r="F10" s="290">
        <f t="shared" si="8"/>
        <v>2026</v>
      </c>
      <c r="G10" s="290">
        <f t="shared" si="8"/>
        <v>2027</v>
      </c>
      <c r="H10" s="290">
        <f t="shared" si="8"/>
        <v>2028</v>
      </c>
      <c r="I10" s="290">
        <f t="shared" si="8"/>
        <v>2029</v>
      </c>
      <c r="J10" s="290">
        <f t="shared" si="8"/>
        <v>2030</v>
      </c>
      <c r="K10" s="290">
        <f t="shared" si="8"/>
        <v>2031</v>
      </c>
      <c r="L10" s="290">
        <f t="shared" si="8"/>
        <v>2032</v>
      </c>
      <c r="M10" s="290">
        <f t="shared" si="8"/>
        <v>2033</v>
      </c>
      <c r="N10" s="210"/>
      <c r="O10" s="210"/>
    </row>
    <row r="11" spans="1:16" x14ac:dyDescent="0.25">
      <c r="B11" s="4" t="s">
        <v>18</v>
      </c>
      <c r="E11" s="29"/>
      <c r="F11" s="319">
        <f>Assumptions!F35</f>
        <v>-16000</v>
      </c>
      <c r="G11" s="319">
        <f>Assumptions!G35</f>
        <v>-16000</v>
      </c>
      <c r="H11" s="319">
        <f>Assumptions!H35</f>
        <v>-16000</v>
      </c>
      <c r="I11" s="319">
        <f>Assumptions!I35</f>
        <v>-12000</v>
      </c>
      <c r="J11" s="319">
        <f>Assumptions!J35</f>
        <v>0</v>
      </c>
      <c r="K11" s="319">
        <f>Assumptions!K35</f>
        <v>0</v>
      </c>
      <c r="L11" s="319">
        <f>Assumptions!L35</f>
        <v>0</v>
      </c>
      <c r="M11" s="319">
        <f>Assumptions!M35</f>
        <v>0</v>
      </c>
      <c r="N11" s="216"/>
      <c r="O11" s="216"/>
    </row>
    <row r="12" spans="1:16" x14ac:dyDescent="0.25">
      <c r="E12" s="29"/>
      <c r="F12" s="79"/>
      <c r="G12" s="67"/>
      <c r="H12" s="85"/>
      <c r="I12" s="67"/>
      <c r="J12" s="67"/>
      <c r="K12" s="67"/>
      <c r="L12" s="67"/>
      <c r="M12" s="67"/>
    </row>
    <row r="13" spans="1:16" x14ac:dyDescent="0.25">
      <c r="B13" s="4" t="s">
        <v>19</v>
      </c>
      <c r="E13" s="29"/>
      <c r="F13" s="4">
        <f>E17</f>
        <v>343479</v>
      </c>
      <c r="G13" s="4">
        <f t="shared" ref="G13:M13" si="9">F17</f>
        <v>425122.10529506643</v>
      </c>
      <c r="H13" s="4">
        <f t="shared" si="9"/>
        <v>527463.26973939408</v>
      </c>
      <c r="I13" s="4">
        <f t="shared" si="9"/>
        <v>653538.64550620597</v>
      </c>
      <c r="J13" s="4">
        <f t="shared" si="9"/>
        <v>810355.05700983107</v>
      </c>
      <c r="K13" s="4">
        <f t="shared" si="9"/>
        <v>1008737.392560018</v>
      </c>
      <c r="L13" s="4">
        <f t="shared" si="9"/>
        <v>1239171.1623720382</v>
      </c>
      <c r="M13" s="4">
        <f t="shared" si="9"/>
        <v>1503662.713290662</v>
      </c>
    </row>
    <row r="14" spans="1:16" x14ac:dyDescent="0.25">
      <c r="B14" s="4" t="s">
        <v>20</v>
      </c>
      <c r="E14" s="29"/>
      <c r="F14" s="4">
        <f>IncState!F36</f>
        <v>122320.6652950664</v>
      </c>
      <c r="G14" s="4">
        <f>IncState!G36</f>
        <v>143018.7244443277</v>
      </c>
      <c r="H14" s="4">
        <f>IncState!H36</f>
        <v>166752.93576681183</v>
      </c>
      <c r="I14" s="4">
        <f>IncState!I36</f>
        <v>193493.97150362513</v>
      </c>
      <c r="J14" s="4">
        <f>IncState!J36</f>
        <v>223059.89555018695</v>
      </c>
      <c r="K14" s="4">
        <f>IncState!K36</f>
        <v>255111.32981202024</v>
      </c>
      <c r="L14" s="4">
        <f>IncState!L36</f>
        <v>289169.11091862386</v>
      </c>
      <c r="M14" s="4">
        <f>IncState!M36</f>
        <v>324658.82948714902</v>
      </c>
    </row>
    <row r="15" spans="1:16" x14ac:dyDescent="0.25">
      <c r="B15" s="4" t="s">
        <v>21</v>
      </c>
      <c r="E15" s="29"/>
      <c r="F15" s="4">
        <f>IncState!F39</f>
        <v>24677.559999999998</v>
      </c>
      <c r="G15" s="4">
        <f>IncState!G39</f>
        <v>24677.559999999998</v>
      </c>
      <c r="H15" s="4">
        <f>IncState!H39</f>
        <v>24677.559999999998</v>
      </c>
      <c r="I15" s="4">
        <f>IncState!I39</f>
        <v>24677.559999999998</v>
      </c>
      <c r="J15" s="4">
        <f>IncState!J39</f>
        <v>24677.559999999998</v>
      </c>
      <c r="K15" s="4">
        <f>IncState!K39</f>
        <v>24677.559999999998</v>
      </c>
      <c r="L15" s="4">
        <f>IncState!L39</f>
        <v>24677.559999999998</v>
      </c>
      <c r="M15" s="4">
        <f>IncState!M39</f>
        <v>24677.559999999998</v>
      </c>
    </row>
    <row r="16" spans="1:16" x14ac:dyDescent="0.25">
      <c r="B16" s="4" t="s">
        <v>22</v>
      </c>
      <c r="E16" s="29"/>
      <c r="F16" s="4">
        <f>F11</f>
        <v>-16000</v>
      </c>
      <c r="G16" s="4">
        <f t="shared" ref="G16:M16" si="10">G11</f>
        <v>-16000</v>
      </c>
      <c r="H16" s="4">
        <f t="shared" si="10"/>
        <v>-16000</v>
      </c>
      <c r="I16" s="4">
        <f t="shared" si="10"/>
        <v>-12000</v>
      </c>
      <c r="J16" s="4">
        <f t="shared" si="10"/>
        <v>0</v>
      </c>
      <c r="K16" s="4">
        <f t="shared" si="10"/>
        <v>0</v>
      </c>
      <c r="L16" s="4">
        <f t="shared" si="10"/>
        <v>0</v>
      </c>
      <c r="M16" s="4">
        <f t="shared" si="10"/>
        <v>0</v>
      </c>
    </row>
    <row r="17" spans="1:15" x14ac:dyDescent="0.25">
      <c r="B17" s="4" t="s">
        <v>23</v>
      </c>
      <c r="E17" s="29">
        <f>BalSheet!E41</f>
        <v>343479</v>
      </c>
      <c r="F17" s="4">
        <f>F13+F14-F15+F16</f>
        <v>425122.10529506643</v>
      </c>
      <c r="G17" s="4">
        <f t="shared" ref="G17:M17" si="11">G13+G14-G15+G16</f>
        <v>527463.26973939408</v>
      </c>
      <c r="H17" s="4">
        <f t="shared" si="11"/>
        <v>653538.64550620597</v>
      </c>
      <c r="I17" s="4">
        <f t="shared" si="11"/>
        <v>810355.05700983107</v>
      </c>
      <c r="J17" s="4">
        <f t="shared" si="11"/>
        <v>1008737.392560018</v>
      </c>
      <c r="K17" s="4">
        <f t="shared" si="11"/>
        <v>1239171.1623720382</v>
      </c>
      <c r="L17" s="4">
        <f t="shared" si="11"/>
        <v>1503662.713290662</v>
      </c>
      <c r="M17" s="4">
        <f t="shared" si="11"/>
        <v>1803643.9827778111</v>
      </c>
    </row>
    <row r="18" spans="1:15" x14ac:dyDescent="0.25">
      <c r="A18" s="22" t="s">
        <v>24</v>
      </c>
      <c r="B18" s="44"/>
      <c r="C18" s="290">
        <f>C10</f>
        <v>2023</v>
      </c>
      <c r="D18" s="290">
        <f t="shared" ref="D18:M18" si="12">D10</f>
        <v>2024</v>
      </c>
      <c r="E18" s="290">
        <f t="shared" si="12"/>
        <v>2025</v>
      </c>
      <c r="F18" s="290">
        <f t="shared" si="12"/>
        <v>2026</v>
      </c>
      <c r="G18" s="290">
        <f t="shared" si="12"/>
        <v>2027</v>
      </c>
      <c r="H18" s="290">
        <f t="shared" si="12"/>
        <v>2028</v>
      </c>
      <c r="I18" s="290">
        <f t="shared" si="12"/>
        <v>2029</v>
      </c>
      <c r="J18" s="290">
        <f t="shared" si="12"/>
        <v>2030</v>
      </c>
      <c r="K18" s="290">
        <f t="shared" si="12"/>
        <v>2031</v>
      </c>
      <c r="L18" s="290">
        <f t="shared" si="12"/>
        <v>2032</v>
      </c>
      <c r="M18" s="290">
        <f t="shared" si="12"/>
        <v>2033</v>
      </c>
      <c r="N18" s="210"/>
      <c r="O18" s="210"/>
    </row>
    <row r="19" spans="1:15" x14ac:dyDescent="0.25">
      <c r="A19" s="88"/>
      <c r="B19" s="185" t="s">
        <v>159</v>
      </c>
      <c r="C19" s="210"/>
      <c r="D19" s="210"/>
      <c r="E19" s="233">
        <f>BalSheet!E17</f>
        <v>70431</v>
      </c>
      <c r="F19" s="364">
        <f>BalSheet!F17</f>
        <v>81375.748569692965</v>
      </c>
      <c r="G19" s="364">
        <f>BalSheet!G17</f>
        <v>95145.458317002965</v>
      </c>
      <c r="H19" s="364">
        <f>BalSheet!H17</f>
        <v>110935.01610283955</v>
      </c>
      <c r="I19" s="364">
        <f>BalSheet!I17</f>
        <v>128724.91117382282</v>
      </c>
      <c r="J19" s="364">
        <f>BalSheet!J17</f>
        <v>148394.10767173208</v>
      </c>
      <c r="K19" s="364">
        <f>BalSheet!K17</f>
        <v>169716.82897558837</v>
      </c>
      <c r="L19" s="364">
        <f>BalSheet!L17</f>
        <v>192374.30410856908</v>
      </c>
      <c r="M19" s="364">
        <f>BalSheet!M17</f>
        <v>215984.39818445491</v>
      </c>
      <c r="N19" s="210"/>
      <c r="O19" s="210"/>
    </row>
    <row r="20" spans="1:15" x14ac:dyDescent="0.25">
      <c r="B20" s="4" t="str">
        <f>BalSheet!B20</f>
        <v>Inventories</v>
      </c>
      <c r="D20" s="99"/>
      <c r="E20" s="100">
        <f>BalSheet!E20</f>
        <v>938</v>
      </c>
      <c r="F20" s="365">
        <f>BalSheet!F20</f>
        <v>1083.7621524381593</v>
      </c>
      <c r="G20" s="365">
        <f>BalSheet!G20</f>
        <v>1267.147135513464</v>
      </c>
      <c r="H20" s="365">
        <f>BalSheet!H20</f>
        <v>1477.432453102519</v>
      </c>
      <c r="I20" s="365">
        <f>BalSheet!I20</f>
        <v>1714.3582610078774</v>
      </c>
      <c r="J20" s="365">
        <f>BalSheet!J20</f>
        <v>1976.3126037694296</v>
      </c>
      <c r="K20" s="365">
        <f>BalSheet!K20</f>
        <v>2260.2885885349051</v>
      </c>
      <c r="L20" s="365">
        <f>BalSheet!L20</f>
        <v>2562.0408236974886</v>
      </c>
      <c r="M20" s="365">
        <f>BalSheet!M20</f>
        <v>2876.4800371571996</v>
      </c>
      <c r="N20" s="99"/>
      <c r="O20" s="99"/>
    </row>
    <row r="21" spans="1:15" x14ac:dyDescent="0.25">
      <c r="B21" s="4" t="str">
        <f>BalSheet!B19</f>
        <v>Accounts receivable</v>
      </c>
      <c r="C21" s="99"/>
      <c r="D21" s="99"/>
      <c r="E21" s="100">
        <f>BalSheet!E19</f>
        <v>69905</v>
      </c>
      <c r="F21" s="365">
        <f>BalSheet!F19</f>
        <v>80768.009878666868</v>
      </c>
      <c r="G21" s="365">
        <f>BalSheet!G19</f>
        <v>94434.883270862148</v>
      </c>
      <c r="H21" s="365">
        <f>BalSheet!H19</f>
        <v>110106.51986581192</v>
      </c>
      <c r="I21" s="365">
        <f>BalSheet!I19</f>
        <v>127763.55462234079</v>
      </c>
      <c r="J21" s="365">
        <f>BalSheet!J19</f>
        <v>147285.85561460766</v>
      </c>
      <c r="K21" s="365">
        <f>BalSheet!K19</f>
        <v>168449.33238969353</v>
      </c>
      <c r="L21" s="365">
        <f>BalSheet!L19</f>
        <v>190937.5946487984</v>
      </c>
      <c r="M21" s="365">
        <f>BalSheet!M19</f>
        <v>214371.36140455652</v>
      </c>
      <c r="N21" s="99"/>
      <c r="O21" s="99"/>
    </row>
    <row r="22" spans="1:15" x14ac:dyDescent="0.25">
      <c r="B22" s="4" t="s">
        <v>72</v>
      </c>
      <c r="C22" s="99"/>
      <c r="D22" s="99"/>
      <c r="E22" s="100">
        <f>BalSheet!E21</f>
        <v>25723</v>
      </c>
      <c r="F22" s="365">
        <f>BalSheet!F21</f>
        <v>29720.270625977369</v>
      </c>
      <c r="G22" s="365">
        <f>BalSheet!G21</f>
        <v>34749.281201293001</v>
      </c>
      <c r="H22" s="365">
        <f>BalSheet!H21</f>
        <v>40515.986131296471</v>
      </c>
      <c r="I22" s="365">
        <f>BalSheet!I21</f>
        <v>47013.259645954822</v>
      </c>
      <c r="J22" s="365">
        <f>BalSheet!J21</f>
        <v>54196.896702303871</v>
      </c>
      <c r="K22" s="365">
        <f>BalSheet!K21</f>
        <v>61984.438553180553</v>
      </c>
      <c r="L22" s="365">
        <f>BalSheet!L21</f>
        <v>70259.462801674294</v>
      </c>
      <c r="M22" s="365">
        <f>BalSheet!M21</f>
        <v>78882.405112787455</v>
      </c>
      <c r="N22" s="99"/>
      <c r="O22" s="99"/>
    </row>
    <row r="23" spans="1:15" x14ac:dyDescent="0.25">
      <c r="B23" s="4" t="s">
        <v>165</v>
      </c>
      <c r="C23" s="99"/>
      <c r="D23" s="99"/>
      <c r="E23" s="100">
        <f>BalSheet!E33</f>
        <v>27724</v>
      </c>
      <c r="F23" s="365">
        <f>BalSheet!F33</f>
        <v>32032.219524728709</v>
      </c>
      <c r="G23" s="365">
        <f>BalSheet!G33</f>
        <v>37452.438363513087</v>
      </c>
      <c r="H23" s="365">
        <f>BalSheet!H33</f>
        <v>43667.737025388313</v>
      </c>
      <c r="I23" s="365">
        <f>BalSheet!I33</f>
        <v>50670.435424501491</v>
      </c>
      <c r="J23" s="365">
        <f>BalSheet!J33</f>
        <v>58412.88979414037</v>
      </c>
      <c r="K23" s="365">
        <f>BalSheet!K33</f>
        <v>66806.226896099892</v>
      </c>
      <c r="L23" s="365">
        <f>BalSheet!L33</f>
        <v>75724.96779977523</v>
      </c>
      <c r="M23" s="365">
        <f>BalSheet!M33</f>
        <v>85018.691418066315</v>
      </c>
      <c r="N23" s="99"/>
      <c r="O23" s="99"/>
    </row>
    <row r="24" spans="1:15" x14ac:dyDescent="0.25">
      <c r="B24" s="4" t="s">
        <v>78</v>
      </c>
      <c r="C24" s="99"/>
      <c r="D24" s="99"/>
      <c r="E24" s="100">
        <f>BalSheet!E34</f>
        <v>113494</v>
      </c>
      <c r="F24" s="365">
        <f>BalSheet!F34</f>
        <v>131130.59885801328</v>
      </c>
      <c r="G24" s="365">
        <f>BalSheet!G34</f>
        <v>153319.39978461096</v>
      </c>
      <c r="H24" s="365">
        <f>BalSheet!H34</f>
        <v>178763.02647379239</v>
      </c>
      <c r="I24" s="365">
        <f>BalSheet!I34</f>
        <v>207430.03888574417</v>
      </c>
      <c r="J24" s="365">
        <f>BalSheet!J34</f>
        <v>239125.39728380344</v>
      </c>
      <c r="K24" s="365">
        <f>BalSheet!K34</f>
        <v>273485.2804554163</v>
      </c>
      <c r="L24" s="365">
        <f>BalSheet!L34</f>
        <v>309996.01412017347</v>
      </c>
      <c r="M24" s="365">
        <f>BalSheet!M34</f>
        <v>348041.81805663026</v>
      </c>
      <c r="N24" s="99"/>
      <c r="O24" s="99"/>
    </row>
    <row r="25" spans="1:15" x14ac:dyDescent="0.25">
      <c r="A25" s="11" t="s">
        <v>126</v>
      </c>
      <c r="B25" s="18" t="s">
        <v>24</v>
      </c>
      <c r="C25" s="19"/>
      <c r="D25" s="19"/>
      <c r="E25" s="19">
        <f>SUM(E19:E22)-SUM(E23:E24)</f>
        <v>25779</v>
      </c>
      <c r="F25" s="19">
        <f>SUM(F19:F22)-SUM(F23:F24)</f>
        <v>29784.972844033357</v>
      </c>
      <c r="G25" s="19">
        <f t="shared" ref="G25:M25" si="13">SUM(G19:G22)-SUM(G23:G24)</f>
        <v>34824.931776547513</v>
      </c>
      <c r="H25" s="19">
        <f t="shared" si="13"/>
        <v>40604.191053869756</v>
      </c>
      <c r="I25" s="19">
        <f t="shared" si="13"/>
        <v>47115.609392880637</v>
      </c>
      <c r="J25" s="19">
        <f t="shared" si="13"/>
        <v>54314.885514469235</v>
      </c>
      <c r="K25" s="19">
        <f t="shared" si="13"/>
        <v>62119.381155481213</v>
      </c>
      <c r="L25" s="19">
        <f t="shared" si="13"/>
        <v>70412.420462790527</v>
      </c>
      <c r="M25" s="19">
        <f t="shared" si="13"/>
        <v>79054.135264259472</v>
      </c>
      <c r="N25" s="11"/>
      <c r="O25" s="11"/>
    </row>
    <row r="26" spans="1:15" s="11" customFormat="1" x14ac:dyDescent="0.25">
      <c r="A26" s="26"/>
      <c r="B26" s="11" t="s">
        <v>151</v>
      </c>
      <c r="F26" s="11">
        <f>E25-F25</f>
        <v>-4005.9728440333565</v>
      </c>
      <c r="G26" s="11">
        <f t="shared" ref="G26:M26" si="14">F25-G25</f>
        <v>-5039.9589325141569</v>
      </c>
      <c r="H26" s="11">
        <f t="shared" si="14"/>
        <v>-5779.2592773222423</v>
      </c>
      <c r="I26" s="11">
        <f t="shared" si="14"/>
        <v>-6511.418339010881</v>
      </c>
      <c r="J26" s="11">
        <f t="shared" si="14"/>
        <v>-7199.2761215885985</v>
      </c>
      <c r="K26" s="11">
        <f t="shared" si="14"/>
        <v>-7804.4956410119776</v>
      </c>
      <c r="L26" s="11">
        <f t="shared" si="14"/>
        <v>-8293.0393073093146</v>
      </c>
      <c r="M26" s="11">
        <f t="shared" si="14"/>
        <v>-8641.7148014689446</v>
      </c>
    </row>
    <row r="27" spans="1:15" x14ac:dyDescent="0.25">
      <c r="B27" s="67"/>
      <c r="C27" s="67"/>
      <c r="D27" s="67"/>
      <c r="E27" s="67"/>
      <c r="F27" s="67"/>
      <c r="G27" s="67"/>
      <c r="H27" s="85"/>
      <c r="I27" s="67"/>
      <c r="J27" s="67"/>
      <c r="K27" s="67"/>
      <c r="L27" s="67"/>
      <c r="M27" s="67"/>
    </row>
    <row r="28" spans="1:15" x14ac:dyDescent="0.25">
      <c r="H28" s="6"/>
      <c r="I28" s="4"/>
      <c r="J28" s="4"/>
    </row>
    <row r="29" spans="1:15" x14ac:dyDescent="0.25">
      <c r="H29" s="6"/>
      <c r="I29" s="4"/>
      <c r="J29" s="4"/>
    </row>
    <row r="30" spans="1:15" x14ac:dyDescent="0.25">
      <c r="H30" s="6"/>
      <c r="I30" s="4"/>
      <c r="J30" s="4"/>
    </row>
    <row r="31" spans="1:15" x14ac:dyDescent="0.25">
      <c r="H31" s="6"/>
      <c r="I31" s="4"/>
      <c r="J31" s="4"/>
    </row>
    <row r="32" spans="1:15" x14ac:dyDescent="0.25">
      <c r="H32" s="6"/>
      <c r="I32" s="4"/>
      <c r="J32" s="4"/>
    </row>
    <row r="33" spans="8:10" x14ac:dyDescent="0.25">
      <c r="H33" s="6"/>
      <c r="I33" s="4"/>
      <c r="J33" s="4"/>
    </row>
    <row r="34" spans="8:10" x14ac:dyDescent="0.25">
      <c r="H34" s="6"/>
      <c r="I34" s="4"/>
      <c r="J34" s="4"/>
    </row>
    <row r="35" spans="8:10" x14ac:dyDescent="0.25">
      <c r="H35" s="6"/>
      <c r="I35" s="4"/>
      <c r="J35" s="4"/>
    </row>
    <row r="36" spans="8:10" x14ac:dyDescent="0.25">
      <c r="H36" s="6"/>
      <c r="I36" s="4"/>
      <c r="J36" s="4"/>
    </row>
    <row r="37" spans="8:10" x14ac:dyDescent="0.25">
      <c r="H37" s="6"/>
      <c r="I37" s="4"/>
      <c r="J37" s="4"/>
    </row>
    <row r="38" spans="8:10" x14ac:dyDescent="0.25">
      <c r="H38" s="6"/>
      <c r="I38" s="4"/>
      <c r="J38" s="4"/>
    </row>
    <row r="39" spans="8:10" x14ac:dyDescent="0.25">
      <c r="H39" s="6"/>
      <c r="I39" s="4"/>
      <c r="J39" s="4"/>
    </row>
    <row r="40" spans="8:10" x14ac:dyDescent="0.25">
      <c r="H40" s="6"/>
      <c r="I40" s="4"/>
      <c r="J40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P34"/>
  <sheetViews>
    <sheetView showGridLines="0" topLeftCell="C1" zoomScaleNormal="100" workbookViewId="0">
      <selection activeCell="F31" sqref="F31:M33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3" width="11.7109375" style="4" customWidth="1"/>
    <col min="14" max="15" width="11.42578125" style="4" customWidth="1"/>
    <col min="16" max="256" width="8.85546875" style="4"/>
    <col min="257" max="257" width="1.7109375" style="4" customWidth="1"/>
    <col min="258" max="258" width="40.7109375" style="4" customWidth="1"/>
    <col min="259" max="264" width="10.7109375" style="4" customWidth="1"/>
    <col min="265" max="266" width="9.42578125" style="4" bestFit="1" customWidth="1"/>
    <col min="267" max="512" width="8.85546875" style="4"/>
    <col min="513" max="513" width="1.7109375" style="4" customWidth="1"/>
    <col min="514" max="514" width="40.7109375" style="4" customWidth="1"/>
    <col min="515" max="520" width="10.7109375" style="4" customWidth="1"/>
    <col min="521" max="522" width="9.42578125" style="4" bestFit="1" customWidth="1"/>
    <col min="523" max="768" width="8.85546875" style="4"/>
    <col min="769" max="769" width="1.7109375" style="4" customWidth="1"/>
    <col min="770" max="770" width="40.7109375" style="4" customWidth="1"/>
    <col min="771" max="776" width="10.7109375" style="4" customWidth="1"/>
    <col min="777" max="778" width="9.42578125" style="4" bestFit="1" customWidth="1"/>
    <col min="779" max="1024" width="8.85546875" style="4"/>
    <col min="1025" max="1025" width="1.7109375" style="4" customWidth="1"/>
    <col min="1026" max="1026" width="40.7109375" style="4" customWidth="1"/>
    <col min="1027" max="1032" width="10.7109375" style="4" customWidth="1"/>
    <col min="1033" max="1034" width="9.42578125" style="4" bestFit="1" customWidth="1"/>
    <col min="1035" max="1280" width="8.85546875" style="4"/>
    <col min="1281" max="1281" width="1.7109375" style="4" customWidth="1"/>
    <col min="1282" max="1282" width="40.7109375" style="4" customWidth="1"/>
    <col min="1283" max="1288" width="10.7109375" style="4" customWidth="1"/>
    <col min="1289" max="1290" width="9.42578125" style="4" bestFit="1" customWidth="1"/>
    <col min="1291" max="1536" width="8.85546875" style="4"/>
    <col min="1537" max="1537" width="1.7109375" style="4" customWidth="1"/>
    <col min="1538" max="1538" width="40.7109375" style="4" customWidth="1"/>
    <col min="1539" max="1544" width="10.7109375" style="4" customWidth="1"/>
    <col min="1545" max="1546" width="9.42578125" style="4" bestFit="1" customWidth="1"/>
    <col min="1547" max="1792" width="8.85546875" style="4"/>
    <col min="1793" max="1793" width="1.7109375" style="4" customWidth="1"/>
    <col min="1794" max="1794" width="40.7109375" style="4" customWidth="1"/>
    <col min="1795" max="1800" width="10.7109375" style="4" customWidth="1"/>
    <col min="1801" max="1802" width="9.42578125" style="4" bestFit="1" customWidth="1"/>
    <col min="1803" max="2048" width="8.85546875" style="4"/>
    <col min="2049" max="2049" width="1.7109375" style="4" customWidth="1"/>
    <col min="2050" max="2050" width="40.7109375" style="4" customWidth="1"/>
    <col min="2051" max="2056" width="10.7109375" style="4" customWidth="1"/>
    <col min="2057" max="2058" width="9.42578125" style="4" bestFit="1" customWidth="1"/>
    <col min="2059" max="2304" width="8.85546875" style="4"/>
    <col min="2305" max="2305" width="1.7109375" style="4" customWidth="1"/>
    <col min="2306" max="2306" width="40.7109375" style="4" customWidth="1"/>
    <col min="2307" max="2312" width="10.7109375" style="4" customWidth="1"/>
    <col min="2313" max="2314" width="9.42578125" style="4" bestFit="1" customWidth="1"/>
    <col min="2315" max="2560" width="8.85546875" style="4"/>
    <col min="2561" max="2561" width="1.7109375" style="4" customWidth="1"/>
    <col min="2562" max="2562" width="40.7109375" style="4" customWidth="1"/>
    <col min="2563" max="2568" width="10.7109375" style="4" customWidth="1"/>
    <col min="2569" max="2570" width="9.42578125" style="4" bestFit="1" customWidth="1"/>
    <col min="2571" max="2816" width="8.85546875" style="4"/>
    <col min="2817" max="2817" width="1.7109375" style="4" customWidth="1"/>
    <col min="2818" max="2818" width="40.7109375" style="4" customWidth="1"/>
    <col min="2819" max="2824" width="10.7109375" style="4" customWidth="1"/>
    <col min="2825" max="2826" width="9.42578125" style="4" bestFit="1" customWidth="1"/>
    <col min="2827" max="3072" width="8.85546875" style="4"/>
    <col min="3073" max="3073" width="1.7109375" style="4" customWidth="1"/>
    <col min="3074" max="3074" width="40.7109375" style="4" customWidth="1"/>
    <col min="3075" max="3080" width="10.7109375" style="4" customWidth="1"/>
    <col min="3081" max="3082" width="9.42578125" style="4" bestFit="1" customWidth="1"/>
    <col min="3083" max="3328" width="8.85546875" style="4"/>
    <col min="3329" max="3329" width="1.7109375" style="4" customWidth="1"/>
    <col min="3330" max="3330" width="40.7109375" style="4" customWidth="1"/>
    <col min="3331" max="3336" width="10.7109375" style="4" customWidth="1"/>
    <col min="3337" max="3338" width="9.42578125" style="4" bestFit="1" customWidth="1"/>
    <col min="3339" max="3584" width="8.85546875" style="4"/>
    <col min="3585" max="3585" width="1.7109375" style="4" customWidth="1"/>
    <col min="3586" max="3586" width="40.7109375" style="4" customWidth="1"/>
    <col min="3587" max="3592" width="10.7109375" style="4" customWidth="1"/>
    <col min="3593" max="3594" width="9.42578125" style="4" bestFit="1" customWidth="1"/>
    <col min="3595" max="3840" width="8.85546875" style="4"/>
    <col min="3841" max="3841" width="1.7109375" style="4" customWidth="1"/>
    <col min="3842" max="3842" width="40.7109375" style="4" customWidth="1"/>
    <col min="3843" max="3848" width="10.7109375" style="4" customWidth="1"/>
    <col min="3849" max="3850" width="9.42578125" style="4" bestFit="1" customWidth="1"/>
    <col min="3851" max="4096" width="8.85546875" style="4"/>
    <col min="4097" max="4097" width="1.7109375" style="4" customWidth="1"/>
    <col min="4098" max="4098" width="40.7109375" style="4" customWidth="1"/>
    <col min="4099" max="4104" width="10.7109375" style="4" customWidth="1"/>
    <col min="4105" max="4106" width="9.42578125" style="4" bestFit="1" customWidth="1"/>
    <col min="4107" max="4352" width="8.85546875" style="4"/>
    <col min="4353" max="4353" width="1.7109375" style="4" customWidth="1"/>
    <col min="4354" max="4354" width="40.7109375" style="4" customWidth="1"/>
    <col min="4355" max="4360" width="10.7109375" style="4" customWidth="1"/>
    <col min="4361" max="4362" width="9.42578125" style="4" bestFit="1" customWidth="1"/>
    <col min="4363" max="4608" width="8.85546875" style="4"/>
    <col min="4609" max="4609" width="1.7109375" style="4" customWidth="1"/>
    <col min="4610" max="4610" width="40.7109375" style="4" customWidth="1"/>
    <col min="4611" max="4616" width="10.7109375" style="4" customWidth="1"/>
    <col min="4617" max="4618" width="9.42578125" style="4" bestFit="1" customWidth="1"/>
    <col min="4619" max="4864" width="8.85546875" style="4"/>
    <col min="4865" max="4865" width="1.7109375" style="4" customWidth="1"/>
    <col min="4866" max="4866" width="40.7109375" style="4" customWidth="1"/>
    <col min="4867" max="4872" width="10.7109375" style="4" customWidth="1"/>
    <col min="4873" max="4874" width="9.42578125" style="4" bestFit="1" customWidth="1"/>
    <col min="4875" max="5120" width="8.85546875" style="4"/>
    <col min="5121" max="5121" width="1.7109375" style="4" customWidth="1"/>
    <col min="5122" max="5122" width="40.7109375" style="4" customWidth="1"/>
    <col min="5123" max="5128" width="10.7109375" style="4" customWidth="1"/>
    <col min="5129" max="5130" width="9.42578125" style="4" bestFit="1" customWidth="1"/>
    <col min="5131" max="5376" width="8.85546875" style="4"/>
    <col min="5377" max="5377" width="1.7109375" style="4" customWidth="1"/>
    <col min="5378" max="5378" width="40.7109375" style="4" customWidth="1"/>
    <col min="5379" max="5384" width="10.7109375" style="4" customWidth="1"/>
    <col min="5385" max="5386" width="9.42578125" style="4" bestFit="1" customWidth="1"/>
    <col min="5387" max="5632" width="8.85546875" style="4"/>
    <col min="5633" max="5633" width="1.7109375" style="4" customWidth="1"/>
    <col min="5634" max="5634" width="40.7109375" style="4" customWidth="1"/>
    <col min="5635" max="5640" width="10.7109375" style="4" customWidth="1"/>
    <col min="5641" max="5642" width="9.42578125" style="4" bestFit="1" customWidth="1"/>
    <col min="5643" max="5888" width="8.85546875" style="4"/>
    <col min="5889" max="5889" width="1.7109375" style="4" customWidth="1"/>
    <col min="5890" max="5890" width="40.7109375" style="4" customWidth="1"/>
    <col min="5891" max="5896" width="10.7109375" style="4" customWidth="1"/>
    <col min="5897" max="5898" width="9.42578125" style="4" bestFit="1" customWidth="1"/>
    <col min="5899" max="6144" width="8.85546875" style="4"/>
    <col min="6145" max="6145" width="1.7109375" style="4" customWidth="1"/>
    <col min="6146" max="6146" width="40.7109375" style="4" customWidth="1"/>
    <col min="6147" max="6152" width="10.7109375" style="4" customWidth="1"/>
    <col min="6153" max="6154" width="9.42578125" style="4" bestFit="1" customWidth="1"/>
    <col min="6155" max="6400" width="8.85546875" style="4"/>
    <col min="6401" max="6401" width="1.7109375" style="4" customWidth="1"/>
    <col min="6402" max="6402" width="40.7109375" style="4" customWidth="1"/>
    <col min="6403" max="6408" width="10.7109375" style="4" customWidth="1"/>
    <col min="6409" max="6410" width="9.42578125" style="4" bestFit="1" customWidth="1"/>
    <col min="6411" max="6656" width="8.85546875" style="4"/>
    <col min="6657" max="6657" width="1.7109375" style="4" customWidth="1"/>
    <col min="6658" max="6658" width="40.7109375" style="4" customWidth="1"/>
    <col min="6659" max="6664" width="10.7109375" style="4" customWidth="1"/>
    <col min="6665" max="6666" width="9.42578125" style="4" bestFit="1" customWidth="1"/>
    <col min="6667" max="6912" width="8.85546875" style="4"/>
    <col min="6913" max="6913" width="1.7109375" style="4" customWidth="1"/>
    <col min="6914" max="6914" width="40.7109375" style="4" customWidth="1"/>
    <col min="6915" max="6920" width="10.7109375" style="4" customWidth="1"/>
    <col min="6921" max="6922" width="9.42578125" style="4" bestFit="1" customWidth="1"/>
    <col min="6923" max="7168" width="8.85546875" style="4"/>
    <col min="7169" max="7169" width="1.7109375" style="4" customWidth="1"/>
    <col min="7170" max="7170" width="40.7109375" style="4" customWidth="1"/>
    <col min="7171" max="7176" width="10.7109375" style="4" customWidth="1"/>
    <col min="7177" max="7178" width="9.42578125" style="4" bestFit="1" customWidth="1"/>
    <col min="7179" max="7424" width="8.85546875" style="4"/>
    <col min="7425" max="7425" width="1.7109375" style="4" customWidth="1"/>
    <col min="7426" max="7426" width="40.7109375" style="4" customWidth="1"/>
    <col min="7427" max="7432" width="10.7109375" style="4" customWidth="1"/>
    <col min="7433" max="7434" width="9.42578125" style="4" bestFit="1" customWidth="1"/>
    <col min="7435" max="7680" width="8.85546875" style="4"/>
    <col min="7681" max="7681" width="1.7109375" style="4" customWidth="1"/>
    <col min="7682" max="7682" width="40.7109375" style="4" customWidth="1"/>
    <col min="7683" max="7688" width="10.7109375" style="4" customWidth="1"/>
    <col min="7689" max="7690" width="9.42578125" style="4" bestFit="1" customWidth="1"/>
    <col min="7691" max="7936" width="8.85546875" style="4"/>
    <col min="7937" max="7937" width="1.7109375" style="4" customWidth="1"/>
    <col min="7938" max="7938" width="40.7109375" style="4" customWidth="1"/>
    <col min="7939" max="7944" width="10.7109375" style="4" customWidth="1"/>
    <col min="7945" max="7946" width="9.42578125" style="4" bestFit="1" customWidth="1"/>
    <col min="7947" max="8192" width="8.85546875" style="4"/>
    <col min="8193" max="8193" width="1.7109375" style="4" customWidth="1"/>
    <col min="8194" max="8194" width="40.7109375" style="4" customWidth="1"/>
    <col min="8195" max="8200" width="10.7109375" style="4" customWidth="1"/>
    <col min="8201" max="8202" width="9.42578125" style="4" bestFit="1" customWidth="1"/>
    <col min="8203" max="8448" width="8.85546875" style="4"/>
    <col min="8449" max="8449" width="1.7109375" style="4" customWidth="1"/>
    <col min="8450" max="8450" width="40.7109375" style="4" customWidth="1"/>
    <col min="8451" max="8456" width="10.7109375" style="4" customWidth="1"/>
    <col min="8457" max="8458" width="9.42578125" style="4" bestFit="1" customWidth="1"/>
    <col min="8459" max="8704" width="8.85546875" style="4"/>
    <col min="8705" max="8705" width="1.7109375" style="4" customWidth="1"/>
    <col min="8706" max="8706" width="40.7109375" style="4" customWidth="1"/>
    <col min="8707" max="8712" width="10.7109375" style="4" customWidth="1"/>
    <col min="8713" max="8714" width="9.42578125" style="4" bestFit="1" customWidth="1"/>
    <col min="8715" max="8960" width="8.85546875" style="4"/>
    <col min="8961" max="8961" width="1.7109375" style="4" customWidth="1"/>
    <col min="8962" max="8962" width="40.7109375" style="4" customWidth="1"/>
    <col min="8963" max="8968" width="10.7109375" style="4" customWidth="1"/>
    <col min="8969" max="8970" width="9.42578125" style="4" bestFit="1" customWidth="1"/>
    <col min="8971" max="9216" width="8.85546875" style="4"/>
    <col min="9217" max="9217" width="1.7109375" style="4" customWidth="1"/>
    <col min="9218" max="9218" width="40.7109375" style="4" customWidth="1"/>
    <col min="9219" max="9224" width="10.7109375" style="4" customWidth="1"/>
    <col min="9225" max="9226" width="9.42578125" style="4" bestFit="1" customWidth="1"/>
    <col min="9227" max="9472" width="8.85546875" style="4"/>
    <col min="9473" max="9473" width="1.7109375" style="4" customWidth="1"/>
    <col min="9474" max="9474" width="40.7109375" style="4" customWidth="1"/>
    <col min="9475" max="9480" width="10.7109375" style="4" customWidth="1"/>
    <col min="9481" max="9482" width="9.42578125" style="4" bestFit="1" customWidth="1"/>
    <col min="9483" max="9728" width="8.85546875" style="4"/>
    <col min="9729" max="9729" width="1.7109375" style="4" customWidth="1"/>
    <col min="9730" max="9730" width="40.7109375" style="4" customWidth="1"/>
    <col min="9731" max="9736" width="10.7109375" style="4" customWidth="1"/>
    <col min="9737" max="9738" width="9.42578125" style="4" bestFit="1" customWidth="1"/>
    <col min="9739" max="9984" width="8.85546875" style="4"/>
    <col min="9985" max="9985" width="1.7109375" style="4" customWidth="1"/>
    <col min="9986" max="9986" width="40.7109375" style="4" customWidth="1"/>
    <col min="9987" max="9992" width="10.7109375" style="4" customWidth="1"/>
    <col min="9993" max="9994" width="9.42578125" style="4" bestFit="1" customWidth="1"/>
    <col min="9995" max="10240" width="8.85546875" style="4"/>
    <col min="10241" max="10241" width="1.7109375" style="4" customWidth="1"/>
    <col min="10242" max="10242" width="40.7109375" style="4" customWidth="1"/>
    <col min="10243" max="10248" width="10.7109375" style="4" customWidth="1"/>
    <col min="10249" max="10250" width="9.42578125" style="4" bestFit="1" customWidth="1"/>
    <col min="10251" max="10496" width="8.85546875" style="4"/>
    <col min="10497" max="10497" width="1.7109375" style="4" customWidth="1"/>
    <col min="10498" max="10498" width="40.7109375" style="4" customWidth="1"/>
    <col min="10499" max="10504" width="10.7109375" style="4" customWidth="1"/>
    <col min="10505" max="10506" width="9.42578125" style="4" bestFit="1" customWidth="1"/>
    <col min="10507" max="10752" width="8.85546875" style="4"/>
    <col min="10753" max="10753" width="1.7109375" style="4" customWidth="1"/>
    <col min="10754" max="10754" width="40.7109375" style="4" customWidth="1"/>
    <col min="10755" max="10760" width="10.7109375" style="4" customWidth="1"/>
    <col min="10761" max="10762" width="9.42578125" style="4" bestFit="1" customWidth="1"/>
    <col min="10763" max="11008" width="8.85546875" style="4"/>
    <col min="11009" max="11009" width="1.7109375" style="4" customWidth="1"/>
    <col min="11010" max="11010" width="40.7109375" style="4" customWidth="1"/>
    <col min="11011" max="11016" width="10.7109375" style="4" customWidth="1"/>
    <col min="11017" max="11018" width="9.42578125" style="4" bestFit="1" customWidth="1"/>
    <col min="11019" max="11264" width="8.85546875" style="4"/>
    <col min="11265" max="11265" width="1.7109375" style="4" customWidth="1"/>
    <col min="11266" max="11266" width="40.7109375" style="4" customWidth="1"/>
    <col min="11267" max="11272" width="10.7109375" style="4" customWidth="1"/>
    <col min="11273" max="11274" width="9.42578125" style="4" bestFit="1" customWidth="1"/>
    <col min="11275" max="11520" width="8.85546875" style="4"/>
    <col min="11521" max="11521" width="1.7109375" style="4" customWidth="1"/>
    <col min="11522" max="11522" width="40.7109375" style="4" customWidth="1"/>
    <col min="11523" max="11528" width="10.7109375" style="4" customWidth="1"/>
    <col min="11529" max="11530" width="9.42578125" style="4" bestFit="1" customWidth="1"/>
    <col min="11531" max="11776" width="8.85546875" style="4"/>
    <col min="11777" max="11777" width="1.7109375" style="4" customWidth="1"/>
    <col min="11778" max="11778" width="40.7109375" style="4" customWidth="1"/>
    <col min="11779" max="11784" width="10.7109375" style="4" customWidth="1"/>
    <col min="11785" max="11786" width="9.42578125" style="4" bestFit="1" customWidth="1"/>
    <col min="11787" max="12032" width="8.85546875" style="4"/>
    <col min="12033" max="12033" width="1.7109375" style="4" customWidth="1"/>
    <col min="12034" max="12034" width="40.7109375" style="4" customWidth="1"/>
    <col min="12035" max="12040" width="10.7109375" style="4" customWidth="1"/>
    <col min="12041" max="12042" width="9.42578125" style="4" bestFit="1" customWidth="1"/>
    <col min="12043" max="12288" width="8.85546875" style="4"/>
    <col min="12289" max="12289" width="1.7109375" style="4" customWidth="1"/>
    <col min="12290" max="12290" width="40.7109375" style="4" customWidth="1"/>
    <col min="12291" max="12296" width="10.7109375" style="4" customWidth="1"/>
    <col min="12297" max="12298" width="9.42578125" style="4" bestFit="1" customWidth="1"/>
    <col min="12299" max="12544" width="8.85546875" style="4"/>
    <col min="12545" max="12545" width="1.7109375" style="4" customWidth="1"/>
    <col min="12546" max="12546" width="40.7109375" style="4" customWidth="1"/>
    <col min="12547" max="12552" width="10.7109375" style="4" customWidth="1"/>
    <col min="12553" max="12554" width="9.42578125" style="4" bestFit="1" customWidth="1"/>
    <col min="12555" max="12800" width="8.85546875" style="4"/>
    <col min="12801" max="12801" width="1.7109375" style="4" customWidth="1"/>
    <col min="12802" max="12802" width="40.7109375" style="4" customWidth="1"/>
    <col min="12803" max="12808" width="10.7109375" style="4" customWidth="1"/>
    <col min="12809" max="12810" width="9.42578125" style="4" bestFit="1" customWidth="1"/>
    <col min="12811" max="13056" width="8.85546875" style="4"/>
    <col min="13057" max="13057" width="1.7109375" style="4" customWidth="1"/>
    <col min="13058" max="13058" width="40.7109375" style="4" customWidth="1"/>
    <col min="13059" max="13064" width="10.7109375" style="4" customWidth="1"/>
    <col min="13065" max="13066" width="9.42578125" style="4" bestFit="1" customWidth="1"/>
    <col min="13067" max="13312" width="8.85546875" style="4"/>
    <col min="13313" max="13313" width="1.7109375" style="4" customWidth="1"/>
    <col min="13314" max="13314" width="40.7109375" style="4" customWidth="1"/>
    <col min="13315" max="13320" width="10.7109375" style="4" customWidth="1"/>
    <col min="13321" max="13322" width="9.42578125" style="4" bestFit="1" customWidth="1"/>
    <col min="13323" max="13568" width="8.85546875" style="4"/>
    <col min="13569" max="13569" width="1.7109375" style="4" customWidth="1"/>
    <col min="13570" max="13570" width="40.7109375" style="4" customWidth="1"/>
    <col min="13571" max="13576" width="10.7109375" style="4" customWidth="1"/>
    <col min="13577" max="13578" width="9.42578125" style="4" bestFit="1" customWidth="1"/>
    <col min="13579" max="13824" width="8.85546875" style="4"/>
    <col min="13825" max="13825" width="1.7109375" style="4" customWidth="1"/>
    <col min="13826" max="13826" width="40.7109375" style="4" customWidth="1"/>
    <col min="13827" max="13832" width="10.7109375" style="4" customWidth="1"/>
    <col min="13833" max="13834" width="9.42578125" style="4" bestFit="1" customWidth="1"/>
    <col min="13835" max="14080" width="8.85546875" style="4"/>
    <col min="14081" max="14081" width="1.7109375" style="4" customWidth="1"/>
    <col min="14082" max="14082" width="40.7109375" style="4" customWidth="1"/>
    <col min="14083" max="14088" width="10.7109375" style="4" customWidth="1"/>
    <col min="14089" max="14090" width="9.42578125" style="4" bestFit="1" customWidth="1"/>
    <col min="14091" max="14336" width="8.85546875" style="4"/>
    <col min="14337" max="14337" width="1.7109375" style="4" customWidth="1"/>
    <col min="14338" max="14338" width="40.7109375" style="4" customWidth="1"/>
    <col min="14339" max="14344" width="10.7109375" style="4" customWidth="1"/>
    <col min="14345" max="14346" width="9.42578125" style="4" bestFit="1" customWidth="1"/>
    <col min="14347" max="14592" width="8.85546875" style="4"/>
    <col min="14593" max="14593" width="1.7109375" style="4" customWidth="1"/>
    <col min="14594" max="14594" width="40.7109375" style="4" customWidth="1"/>
    <col min="14595" max="14600" width="10.7109375" style="4" customWidth="1"/>
    <col min="14601" max="14602" width="9.42578125" style="4" bestFit="1" customWidth="1"/>
    <col min="14603" max="14848" width="8.85546875" style="4"/>
    <col min="14849" max="14849" width="1.7109375" style="4" customWidth="1"/>
    <col min="14850" max="14850" width="40.7109375" style="4" customWidth="1"/>
    <col min="14851" max="14856" width="10.7109375" style="4" customWidth="1"/>
    <col min="14857" max="14858" width="9.42578125" style="4" bestFit="1" customWidth="1"/>
    <col min="14859" max="15104" width="8.85546875" style="4"/>
    <col min="15105" max="15105" width="1.7109375" style="4" customWidth="1"/>
    <col min="15106" max="15106" width="40.7109375" style="4" customWidth="1"/>
    <col min="15107" max="15112" width="10.7109375" style="4" customWidth="1"/>
    <col min="15113" max="15114" width="9.42578125" style="4" bestFit="1" customWidth="1"/>
    <col min="15115" max="15360" width="8.85546875" style="4"/>
    <col min="15361" max="15361" width="1.7109375" style="4" customWidth="1"/>
    <col min="15362" max="15362" width="40.7109375" style="4" customWidth="1"/>
    <col min="15363" max="15368" width="10.7109375" style="4" customWidth="1"/>
    <col min="15369" max="15370" width="9.42578125" style="4" bestFit="1" customWidth="1"/>
    <col min="15371" max="15616" width="8.85546875" style="4"/>
    <col min="15617" max="15617" width="1.7109375" style="4" customWidth="1"/>
    <col min="15618" max="15618" width="40.7109375" style="4" customWidth="1"/>
    <col min="15619" max="15624" width="10.7109375" style="4" customWidth="1"/>
    <col min="15625" max="15626" width="9.42578125" style="4" bestFit="1" customWidth="1"/>
    <col min="15627" max="15872" width="8.85546875" style="4"/>
    <col min="15873" max="15873" width="1.7109375" style="4" customWidth="1"/>
    <col min="15874" max="15874" width="40.7109375" style="4" customWidth="1"/>
    <col min="15875" max="15880" width="10.7109375" style="4" customWidth="1"/>
    <col min="15881" max="15882" width="9.42578125" style="4" bestFit="1" customWidth="1"/>
    <col min="15883" max="16128" width="8.85546875" style="4"/>
    <col min="16129" max="16129" width="1.7109375" style="4" customWidth="1"/>
    <col min="16130" max="16130" width="40.7109375" style="4" customWidth="1"/>
    <col min="16131" max="16136" width="10.7109375" style="4" customWidth="1"/>
    <col min="16137" max="16138" width="9.42578125" style="4" bestFit="1" customWidth="1"/>
    <col min="16139" max="16384" width="8.85546875" style="4"/>
  </cols>
  <sheetData>
    <row r="1" spans="1:16" s="2" customFormat="1" ht="19.5" x14ac:dyDescent="0.3">
      <c r="A1" s="318" t="str">
        <f>CoName</f>
        <v>Microsoft Corp.</v>
      </c>
      <c r="B1" s="3"/>
      <c r="C1" s="43" t="s">
        <v>0</v>
      </c>
      <c r="D1" s="43" t="s">
        <v>0</v>
      </c>
      <c r="E1" s="43" t="s">
        <v>0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 t="s">
        <v>1</v>
      </c>
      <c r="L1" s="43" t="s">
        <v>1</v>
      </c>
      <c r="M1" s="43" t="s">
        <v>1</v>
      </c>
      <c r="N1" s="43"/>
      <c r="O1" s="43"/>
    </row>
    <row r="2" spans="1:16" s="2" customFormat="1" x14ac:dyDescent="0.25">
      <c r="A2" s="17" t="s">
        <v>10</v>
      </c>
      <c r="B2" s="209"/>
      <c r="C2" s="330">
        <v>2023</v>
      </c>
      <c r="D2" s="330">
        <f>C2+1</f>
        <v>2024</v>
      </c>
      <c r="E2" s="330">
        <f t="shared" ref="E2:M2" si="0">D2+1</f>
        <v>2025</v>
      </c>
      <c r="F2" s="330">
        <f t="shared" si="0"/>
        <v>2026</v>
      </c>
      <c r="G2" s="330">
        <f t="shared" si="0"/>
        <v>2027</v>
      </c>
      <c r="H2" s="330">
        <f t="shared" si="0"/>
        <v>2028</v>
      </c>
      <c r="I2" s="330">
        <f t="shared" si="0"/>
        <v>2029</v>
      </c>
      <c r="J2" s="330">
        <f t="shared" si="0"/>
        <v>2030</v>
      </c>
      <c r="K2" s="330">
        <f t="shared" si="0"/>
        <v>2031</v>
      </c>
      <c r="L2" s="330">
        <f t="shared" si="0"/>
        <v>2032</v>
      </c>
      <c r="M2" s="330">
        <f t="shared" si="0"/>
        <v>2033</v>
      </c>
      <c r="N2" s="218"/>
      <c r="O2" s="218"/>
    </row>
    <row r="3" spans="1:16" s="2" customFormat="1" x14ac:dyDescent="0.25">
      <c r="A3" s="88"/>
      <c r="B3" s="11"/>
      <c r="C3" s="210"/>
      <c r="D3" s="210"/>
      <c r="E3" s="210"/>
      <c r="F3" s="210"/>
      <c r="G3" s="210"/>
      <c r="H3" s="210"/>
      <c r="I3" s="210"/>
      <c r="J3" s="210"/>
      <c r="K3" s="218"/>
      <c r="L3" s="218"/>
      <c r="M3" s="218"/>
      <c r="N3" s="218"/>
      <c r="O3" s="218"/>
    </row>
    <row r="4" spans="1:16" s="2" customFormat="1" x14ac:dyDescent="0.25">
      <c r="A4" s="11"/>
      <c r="B4" s="4" t="s">
        <v>25</v>
      </c>
      <c r="C4" s="32"/>
      <c r="D4" s="57"/>
      <c r="E4" s="61"/>
      <c r="F4" s="112">
        <f>Assumptions!F24</f>
        <v>3.4599999999999999E-2</v>
      </c>
      <c r="G4" s="112">
        <f>Assumptions!G24</f>
        <v>3.4599999999999999E-2</v>
      </c>
      <c r="H4" s="112">
        <f>Assumptions!H24</f>
        <v>3.4599999999999999E-2</v>
      </c>
      <c r="I4" s="112">
        <f>Assumptions!I24</f>
        <v>3.4599999999999999E-2</v>
      </c>
      <c r="J4" s="112">
        <f>Assumptions!J24</f>
        <v>3.4599999999999999E-2</v>
      </c>
      <c r="K4" s="112">
        <f>Assumptions!K24</f>
        <v>3.4599999999999999E-2</v>
      </c>
      <c r="L4" s="112">
        <f>Assumptions!L24</f>
        <v>3.4599999999999999E-2</v>
      </c>
      <c r="M4" s="112">
        <f>Assumptions!M24</f>
        <v>3.4599999999999999E-2</v>
      </c>
      <c r="N4" s="31"/>
      <c r="O4" s="31"/>
    </row>
    <row r="5" spans="1:16" s="2" customFormat="1" x14ac:dyDescent="0.25">
      <c r="A5" s="11"/>
      <c r="B5" s="4" t="s">
        <v>26</v>
      </c>
      <c r="C5" s="32"/>
      <c r="D5" s="58"/>
      <c r="E5" s="62"/>
      <c r="F5" s="112">
        <f>Assumptions!F25</f>
        <v>3.4599999999999999E-2</v>
      </c>
      <c r="G5" s="112">
        <f>Assumptions!G25</f>
        <v>3.4599999999999999E-2</v>
      </c>
      <c r="H5" s="112">
        <f>Assumptions!H25</f>
        <v>3.4599999999999999E-2</v>
      </c>
      <c r="I5" s="112">
        <f>Assumptions!I25</f>
        <v>3.4599999999999999E-2</v>
      </c>
      <c r="J5" s="112">
        <f>Assumptions!J25</f>
        <v>3.4599999999999999E-2</v>
      </c>
      <c r="K5" s="112">
        <f>Assumptions!K25</f>
        <v>3.4599999999999999E-2</v>
      </c>
      <c r="L5" s="112">
        <f>Assumptions!L25</f>
        <v>3.4599999999999999E-2</v>
      </c>
      <c r="M5" s="112">
        <f>Assumptions!M25</f>
        <v>3.4599999999999999E-2</v>
      </c>
      <c r="N5" s="31"/>
      <c r="O5" s="31"/>
    </row>
    <row r="6" spans="1:16" s="2" customFormat="1" x14ac:dyDescent="0.25">
      <c r="A6" s="11"/>
      <c r="B6" s="4" t="s">
        <v>27</v>
      </c>
      <c r="C6" s="32"/>
      <c r="D6" s="57"/>
      <c r="E6" s="61"/>
      <c r="F6" s="112">
        <f>Assumptions!F26</f>
        <v>0.04</v>
      </c>
      <c r="G6" s="112">
        <f>Assumptions!G26</f>
        <v>0.04</v>
      </c>
      <c r="H6" s="112">
        <f>Assumptions!H26</f>
        <v>0.04</v>
      </c>
      <c r="I6" s="112">
        <f>Assumptions!I26</f>
        <v>0.04</v>
      </c>
      <c r="J6" s="112">
        <f>Assumptions!J26</f>
        <v>0.04</v>
      </c>
      <c r="K6" s="112">
        <f>Assumptions!K26</f>
        <v>0.04</v>
      </c>
      <c r="L6" s="112">
        <f>Assumptions!L26</f>
        <v>0.04</v>
      </c>
      <c r="M6" s="112">
        <f>Assumptions!M26</f>
        <v>0.04</v>
      </c>
      <c r="N6" s="31"/>
      <c r="O6" s="31"/>
    </row>
    <row r="7" spans="1:16" s="2" customFormat="1" x14ac:dyDescent="0.25">
      <c r="A7" s="11"/>
      <c r="B7" s="4"/>
      <c r="C7" s="32"/>
      <c r="D7" s="32"/>
      <c r="E7" s="32"/>
      <c r="F7" s="110"/>
      <c r="G7" s="110"/>
      <c r="H7" s="110"/>
      <c r="I7" s="111"/>
      <c r="J7" s="111"/>
      <c r="K7" s="111"/>
      <c r="L7" s="111"/>
      <c r="M7" s="111"/>
      <c r="N7" s="219"/>
      <c r="O7" s="219"/>
    </row>
    <row r="8" spans="1:16" s="2" customFormat="1" x14ac:dyDescent="0.25">
      <c r="A8" s="11"/>
      <c r="B8" s="4" t="s">
        <v>28</v>
      </c>
      <c r="C8" s="32"/>
      <c r="D8" s="59"/>
      <c r="E8" s="63"/>
      <c r="F8" s="113">
        <f>Assumptions!F28</f>
        <v>0</v>
      </c>
      <c r="G8" s="113">
        <f>Assumptions!G28</f>
        <v>0</v>
      </c>
      <c r="H8" s="113">
        <f>Assumptions!H28</f>
        <v>0</v>
      </c>
      <c r="I8" s="113">
        <f>Assumptions!I28</f>
        <v>0</v>
      </c>
      <c r="J8" s="113">
        <f>Assumptions!J28</f>
        <v>0</v>
      </c>
      <c r="K8" s="113">
        <f>Assumptions!K28</f>
        <v>0</v>
      </c>
      <c r="L8" s="113">
        <f>Assumptions!L28</f>
        <v>0</v>
      </c>
      <c r="M8" s="113">
        <f>Assumptions!M28</f>
        <v>0</v>
      </c>
      <c r="N8" s="220"/>
      <c r="O8" s="220"/>
    </row>
    <row r="9" spans="1:16" s="2" customFormat="1" x14ac:dyDescent="0.25">
      <c r="A9" s="11"/>
      <c r="B9" s="4" t="s">
        <v>29</v>
      </c>
      <c r="C9" s="32"/>
      <c r="D9" s="59"/>
      <c r="E9" s="63"/>
      <c r="F9" s="113">
        <f>Assumptions!F29</f>
        <v>0</v>
      </c>
      <c r="G9" s="113">
        <f>Assumptions!G29</f>
        <v>0</v>
      </c>
      <c r="H9" s="113">
        <f>Assumptions!H29</f>
        <v>0</v>
      </c>
      <c r="I9" s="113">
        <f>Assumptions!I29</f>
        <v>0</v>
      </c>
      <c r="J9" s="113">
        <f>Assumptions!J29</f>
        <v>0</v>
      </c>
      <c r="K9" s="113">
        <f>Assumptions!K29</f>
        <v>0</v>
      </c>
      <c r="L9" s="113">
        <f>Assumptions!L29</f>
        <v>0</v>
      </c>
      <c r="M9" s="222">
        <f>Assumptions!M29</f>
        <v>0</v>
      </c>
      <c r="N9" s="220"/>
      <c r="O9" s="220"/>
    </row>
    <row r="10" spans="1:16" s="2" customFormat="1" ht="18.75" x14ac:dyDescent="0.3">
      <c r="A10" s="35"/>
      <c r="B10" s="3"/>
      <c r="C10" s="55"/>
      <c r="D10" s="55"/>
      <c r="E10" s="55"/>
      <c r="F10" s="109"/>
      <c r="G10" s="109"/>
      <c r="H10" s="109"/>
      <c r="I10" s="109"/>
      <c r="J10" s="109"/>
      <c r="K10" s="109"/>
      <c r="L10" s="109"/>
      <c r="M10" s="109"/>
      <c r="N10" s="55"/>
      <c r="O10" s="55"/>
    </row>
    <row r="11" spans="1:16" x14ac:dyDescent="0.25">
      <c r="A11" s="22" t="s">
        <v>30</v>
      </c>
      <c r="B11" s="56"/>
      <c r="C11" s="316">
        <f>C2</f>
        <v>2023</v>
      </c>
      <c r="D11" s="316">
        <f t="shared" ref="D11:J11" si="1">D2</f>
        <v>2024</v>
      </c>
      <c r="E11" s="316">
        <f t="shared" si="1"/>
        <v>2025</v>
      </c>
      <c r="F11" s="316">
        <f t="shared" si="1"/>
        <v>2026</v>
      </c>
      <c r="G11" s="316">
        <f t="shared" si="1"/>
        <v>2027</v>
      </c>
      <c r="H11" s="316">
        <f t="shared" si="1"/>
        <v>2028</v>
      </c>
      <c r="I11" s="316">
        <f t="shared" si="1"/>
        <v>2029</v>
      </c>
      <c r="J11" s="316">
        <f t="shared" si="1"/>
        <v>2030</v>
      </c>
      <c r="K11" s="316">
        <f t="shared" ref="K11:M11" si="2">K2</f>
        <v>2031</v>
      </c>
      <c r="L11" s="316">
        <f t="shared" si="2"/>
        <v>2032</v>
      </c>
      <c r="M11" s="316">
        <f t="shared" si="2"/>
        <v>2033</v>
      </c>
      <c r="N11" s="221"/>
      <c r="O11" s="221"/>
      <c r="P11" s="49"/>
    </row>
    <row r="12" spans="1:16" x14ac:dyDescent="0.25">
      <c r="B12" s="4" t="s">
        <v>31</v>
      </c>
      <c r="E12" s="29"/>
      <c r="F12" s="4" t="s">
        <v>238</v>
      </c>
      <c r="I12" s="4"/>
      <c r="J12" s="4"/>
      <c r="P12" s="49"/>
    </row>
    <row r="13" spans="1:16" x14ac:dyDescent="0.25">
      <c r="B13" s="4" t="s">
        <v>32</v>
      </c>
      <c r="E13" s="30"/>
      <c r="I13" s="4"/>
      <c r="J13" s="4"/>
      <c r="P13" s="49"/>
    </row>
    <row r="14" spans="1:16" x14ac:dyDescent="0.25">
      <c r="B14" s="4" t="s">
        <v>33</v>
      </c>
      <c r="E14" s="29"/>
      <c r="I14" s="4"/>
      <c r="J14" s="4"/>
      <c r="P14" s="49"/>
    </row>
    <row r="15" spans="1:16" x14ac:dyDescent="0.25">
      <c r="E15" s="29"/>
      <c r="I15" s="4"/>
      <c r="J15" s="4"/>
      <c r="P15" s="49"/>
    </row>
    <row r="16" spans="1:16" x14ac:dyDescent="0.25">
      <c r="A16" s="325" t="s">
        <v>34</v>
      </c>
      <c r="B16" s="21"/>
      <c r="C16" s="290">
        <v>2023</v>
      </c>
      <c r="D16" s="290">
        <v>2024</v>
      </c>
      <c r="E16" s="290">
        <v>2025</v>
      </c>
      <c r="F16" s="290">
        <v>2026</v>
      </c>
      <c r="G16" s="290">
        <v>2027</v>
      </c>
      <c r="H16" s="290">
        <v>2028</v>
      </c>
      <c r="I16" s="290">
        <v>2029</v>
      </c>
      <c r="J16" s="290">
        <v>2030</v>
      </c>
      <c r="K16" s="290">
        <v>2031</v>
      </c>
      <c r="L16" s="290">
        <v>2032</v>
      </c>
      <c r="M16" s="290">
        <v>2033</v>
      </c>
      <c r="N16" s="218"/>
      <c r="O16" s="218"/>
      <c r="P16" s="49"/>
    </row>
    <row r="17" spans="1:16" x14ac:dyDescent="0.25">
      <c r="B17" s="4" t="s">
        <v>19</v>
      </c>
      <c r="E17" s="29"/>
      <c r="F17" s="4">
        <f>E20</f>
        <v>40152</v>
      </c>
      <c r="G17" s="4">
        <f t="shared" ref="G17:M17" si="3">F20</f>
        <v>40152</v>
      </c>
      <c r="H17" s="4">
        <f t="shared" si="3"/>
        <v>40152</v>
      </c>
      <c r="I17" s="4">
        <f t="shared" si="3"/>
        <v>40152</v>
      </c>
      <c r="J17" s="4">
        <f t="shared" si="3"/>
        <v>40152</v>
      </c>
      <c r="K17" s="4">
        <f t="shared" si="3"/>
        <v>40152</v>
      </c>
      <c r="L17" s="4">
        <f t="shared" si="3"/>
        <v>40152</v>
      </c>
      <c r="M17" s="4">
        <f t="shared" si="3"/>
        <v>40152</v>
      </c>
      <c r="P17" s="49"/>
    </row>
    <row r="18" spans="1:16" x14ac:dyDescent="0.25">
      <c r="B18" s="4" t="s">
        <v>35</v>
      </c>
      <c r="E18" s="29"/>
      <c r="F18" s="4">
        <f>F8</f>
        <v>0</v>
      </c>
      <c r="G18" s="4">
        <f t="shared" ref="G18:M18" si="4">G8</f>
        <v>0</v>
      </c>
      <c r="H18" s="4">
        <f t="shared" si="4"/>
        <v>0</v>
      </c>
      <c r="I18" s="4">
        <f t="shared" si="4"/>
        <v>0</v>
      </c>
      <c r="J18" s="4">
        <f t="shared" si="4"/>
        <v>0</v>
      </c>
      <c r="K18" s="4">
        <f t="shared" si="4"/>
        <v>0</v>
      </c>
      <c r="L18" s="4">
        <f t="shared" si="4"/>
        <v>0</v>
      </c>
      <c r="M18" s="4">
        <f t="shared" si="4"/>
        <v>0</v>
      </c>
      <c r="P18" s="49"/>
    </row>
    <row r="19" spans="1:16" x14ac:dyDescent="0.25">
      <c r="B19" s="4" t="s">
        <v>36</v>
      </c>
      <c r="E19" s="29"/>
      <c r="F19" s="4">
        <f>F9</f>
        <v>0</v>
      </c>
      <c r="G19" s="4">
        <f t="shared" ref="G19:M19" si="5">G9</f>
        <v>0</v>
      </c>
      <c r="H19" s="4">
        <f t="shared" si="5"/>
        <v>0</v>
      </c>
      <c r="I19" s="4">
        <f t="shared" si="5"/>
        <v>0</v>
      </c>
      <c r="J19" s="4">
        <f t="shared" si="5"/>
        <v>0</v>
      </c>
      <c r="K19" s="4">
        <f t="shared" si="5"/>
        <v>0</v>
      </c>
      <c r="L19" s="4">
        <f t="shared" si="5"/>
        <v>0</v>
      </c>
      <c r="M19" s="4">
        <f t="shared" si="5"/>
        <v>0</v>
      </c>
    </row>
    <row r="20" spans="1:16" x14ac:dyDescent="0.25">
      <c r="B20" s="4" t="s">
        <v>23</v>
      </c>
      <c r="C20" s="10"/>
      <c r="E20" s="29">
        <f>BalSheet!E37</f>
        <v>40152</v>
      </c>
      <c r="F20" s="4">
        <f>F17+F18-F19</f>
        <v>40152</v>
      </c>
      <c r="G20" s="4">
        <f t="shared" ref="G20:M20" si="6">G17+G18-G19</f>
        <v>40152</v>
      </c>
      <c r="H20" s="4">
        <f t="shared" si="6"/>
        <v>40152</v>
      </c>
      <c r="I20" s="4">
        <f t="shared" si="6"/>
        <v>40152</v>
      </c>
      <c r="J20" s="4">
        <f t="shared" si="6"/>
        <v>40152</v>
      </c>
      <c r="K20" s="4">
        <f t="shared" si="6"/>
        <v>40152</v>
      </c>
      <c r="L20" s="4">
        <f t="shared" si="6"/>
        <v>40152</v>
      </c>
      <c r="M20" s="4">
        <f t="shared" si="6"/>
        <v>40152</v>
      </c>
    </row>
    <row r="21" spans="1:16" x14ac:dyDescent="0.25">
      <c r="B21" s="4" t="s">
        <v>32</v>
      </c>
      <c r="D21" s="50"/>
      <c r="E21" s="29"/>
      <c r="F21" s="8">
        <f>F5</f>
        <v>3.4599999999999999E-2</v>
      </c>
      <c r="G21" s="8">
        <f t="shared" ref="G21:M21" si="7">G5</f>
        <v>3.4599999999999999E-2</v>
      </c>
      <c r="H21" s="8">
        <f t="shared" si="7"/>
        <v>3.4599999999999999E-2</v>
      </c>
      <c r="I21" s="8">
        <f t="shared" si="7"/>
        <v>3.4599999999999999E-2</v>
      </c>
      <c r="J21" s="8">
        <f t="shared" si="7"/>
        <v>3.4599999999999999E-2</v>
      </c>
      <c r="K21" s="8">
        <f t="shared" si="7"/>
        <v>3.4599999999999999E-2</v>
      </c>
      <c r="L21" s="8">
        <f t="shared" si="7"/>
        <v>3.4599999999999999E-2</v>
      </c>
      <c r="M21" s="8">
        <f t="shared" si="7"/>
        <v>3.4599999999999999E-2</v>
      </c>
    </row>
    <row r="22" spans="1:16" x14ac:dyDescent="0.25">
      <c r="B22" s="4" t="s">
        <v>33</v>
      </c>
      <c r="E22" s="29"/>
      <c r="F22" s="4">
        <f>F20*F21</f>
        <v>1389.2592</v>
      </c>
      <c r="G22" s="4">
        <f t="shared" ref="G22:M22" si="8">G20*G21</f>
        <v>1389.2592</v>
      </c>
      <c r="H22" s="4">
        <f t="shared" si="8"/>
        <v>1389.2592</v>
      </c>
      <c r="I22" s="4">
        <f t="shared" si="8"/>
        <v>1389.2592</v>
      </c>
      <c r="J22" s="4">
        <f t="shared" si="8"/>
        <v>1389.2592</v>
      </c>
      <c r="K22" s="4">
        <f t="shared" si="8"/>
        <v>1389.2592</v>
      </c>
      <c r="L22" s="4">
        <f t="shared" si="8"/>
        <v>1389.2592</v>
      </c>
      <c r="M22" s="4">
        <f t="shared" si="8"/>
        <v>1389.2592</v>
      </c>
    </row>
    <row r="23" spans="1:16" x14ac:dyDescent="0.25">
      <c r="E23" s="29"/>
      <c r="I23" s="4"/>
      <c r="J23" s="4"/>
    </row>
    <row r="24" spans="1:16" x14ac:dyDescent="0.25">
      <c r="A24" s="22" t="s">
        <v>37</v>
      </c>
      <c r="B24" s="44"/>
      <c r="C24" s="290">
        <v>2023</v>
      </c>
      <c r="D24" s="290">
        <v>2024</v>
      </c>
      <c r="E24" s="290">
        <v>2025</v>
      </c>
      <c r="F24" s="290">
        <v>2026</v>
      </c>
      <c r="G24" s="290">
        <v>2027</v>
      </c>
      <c r="H24" s="290">
        <v>2028</v>
      </c>
      <c r="I24" s="290">
        <v>2029</v>
      </c>
      <c r="J24" s="290">
        <v>2030</v>
      </c>
      <c r="K24" s="290">
        <v>2031</v>
      </c>
      <c r="L24" s="290">
        <v>2032</v>
      </c>
      <c r="M24" s="290">
        <v>2033</v>
      </c>
      <c r="N24" s="218"/>
      <c r="O24" s="218"/>
    </row>
    <row r="25" spans="1:16" x14ac:dyDescent="0.25">
      <c r="A25" s="7"/>
      <c r="B25" s="4" t="s">
        <v>30</v>
      </c>
      <c r="E25" s="29"/>
      <c r="F25" s="4" t="s">
        <v>238</v>
      </c>
      <c r="G25" s="4" t="s">
        <v>238</v>
      </c>
      <c r="H25" s="4" t="s">
        <v>238</v>
      </c>
      <c r="I25" s="4" t="s">
        <v>238</v>
      </c>
      <c r="J25" s="4" t="s">
        <v>238</v>
      </c>
      <c r="K25" s="4" t="s">
        <v>238</v>
      </c>
      <c r="L25" s="4" t="s">
        <v>238</v>
      </c>
      <c r="M25" s="4" t="s">
        <v>238</v>
      </c>
    </row>
    <row r="26" spans="1:16" x14ac:dyDescent="0.25">
      <c r="A26" s="7"/>
      <c r="B26" s="4" t="s">
        <v>38</v>
      </c>
      <c r="E26" s="29"/>
      <c r="F26" s="4">
        <f>F20</f>
        <v>40152</v>
      </c>
      <c r="G26" s="4">
        <f t="shared" ref="G26:M26" si="9">G20</f>
        <v>40152</v>
      </c>
      <c r="H26" s="4">
        <f t="shared" si="9"/>
        <v>40152</v>
      </c>
      <c r="I26" s="4">
        <f t="shared" si="9"/>
        <v>40152</v>
      </c>
      <c r="J26" s="4">
        <f t="shared" si="9"/>
        <v>40152</v>
      </c>
      <c r="K26" s="4">
        <f t="shared" si="9"/>
        <v>40152</v>
      </c>
      <c r="L26" s="4">
        <f t="shared" si="9"/>
        <v>40152</v>
      </c>
      <c r="M26" s="4">
        <f t="shared" si="9"/>
        <v>40152</v>
      </c>
    </row>
    <row r="27" spans="1:16" x14ac:dyDescent="0.25">
      <c r="A27" s="7"/>
      <c r="B27" s="11" t="s">
        <v>39</v>
      </c>
      <c r="D27" s="11"/>
      <c r="E27" s="26"/>
      <c r="F27" s="11">
        <f>SUM(F26)</f>
        <v>40152</v>
      </c>
      <c r="G27" s="11">
        <f t="shared" ref="G27:M27" si="10">SUM(G26)</f>
        <v>40152</v>
      </c>
      <c r="H27" s="11">
        <f t="shared" si="10"/>
        <v>40152</v>
      </c>
      <c r="I27" s="11">
        <f t="shared" si="10"/>
        <v>40152</v>
      </c>
      <c r="J27" s="11">
        <f t="shared" si="10"/>
        <v>40152</v>
      </c>
      <c r="K27" s="11">
        <f t="shared" si="10"/>
        <v>40152</v>
      </c>
      <c r="L27" s="11">
        <f t="shared" si="10"/>
        <v>40152</v>
      </c>
      <c r="M27" s="11">
        <f t="shared" si="10"/>
        <v>40152</v>
      </c>
      <c r="N27" s="11"/>
      <c r="O27" s="11"/>
    </row>
    <row r="28" spans="1:16" x14ac:dyDescent="0.25">
      <c r="A28" s="7"/>
      <c r="B28" s="4" t="s">
        <v>40</v>
      </c>
      <c r="E28" s="29"/>
      <c r="F28" s="4">
        <f>F22</f>
        <v>1389.2592</v>
      </c>
      <c r="G28" s="4">
        <f t="shared" ref="G28:M28" si="11">G22</f>
        <v>1389.2592</v>
      </c>
      <c r="H28" s="4">
        <f t="shared" si="11"/>
        <v>1389.2592</v>
      </c>
      <c r="I28" s="4">
        <f t="shared" si="11"/>
        <v>1389.2592</v>
      </c>
      <c r="J28" s="4">
        <f t="shared" si="11"/>
        <v>1389.2592</v>
      </c>
      <c r="K28" s="4">
        <f t="shared" si="11"/>
        <v>1389.2592</v>
      </c>
      <c r="L28" s="4">
        <f t="shared" si="11"/>
        <v>1389.2592</v>
      </c>
      <c r="M28" s="4">
        <f t="shared" si="11"/>
        <v>1389.2592</v>
      </c>
    </row>
    <row r="29" spans="1:16" x14ac:dyDescent="0.25">
      <c r="A29" s="7"/>
      <c r="E29" s="29"/>
      <c r="I29" s="4"/>
      <c r="J29" s="4"/>
    </row>
    <row r="30" spans="1:16" x14ac:dyDescent="0.25">
      <c r="A30" s="22" t="s">
        <v>41</v>
      </c>
      <c r="B30" s="44"/>
      <c r="C30" s="290">
        <v>2023</v>
      </c>
      <c r="D30" s="290">
        <v>2024</v>
      </c>
      <c r="E30" s="290">
        <v>2025</v>
      </c>
      <c r="F30" s="290">
        <v>2026</v>
      </c>
      <c r="G30" s="290">
        <v>2027</v>
      </c>
      <c r="H30" s="290">
        <v>2028</v>
      </c>
      <c r="I30" s="290">
        <v>2029</v>
      </c>
      <c r="J30" s="290">
        <v>2030</v>
      </c>
      <c r="K30" s="290">
        <v>2031</v>
      </c>
      <c r="L30" s="290">
        <v>2032</v>
      </c>
      <c r="M30" s="290">
        <v>2033</v>
      </c>
      <c r="N30" s="218"/>
      <c r="O30" s="218"/>
    </row>
    <row r="31" spans="1:16" x14ac:dyDescent="0.25">
      <c r="A31" s="7"/>
      <c r="B31" s="4" t="s">
        <v>171</v>
      </c>
      <c r="E31" s="29"/>
      <c r="F31" s="4">
        <f>BalSheet!F18</f>
        <v>82756.890786844117</v>
      </c>
      <c r="G31" s="4">
        <f>BalSheet!G18</f>
        <v>161725.10368371411</v>
      </c>
      <c r="H31" s="4">
        <f>BalSheet!H18</f>
        <v>264037.02173896984</v>
      </c>
      <c r="I31" s="4">
        <f>BalSheet!I18</f>
        <v>397288.78587433044</v>
      </c>
      <c r="J31" s="4">
        <f>BalSheet!J18</f>
        <v>573169.7898334515</v>
      </c>
      <c r="K31" s="4">
        <f>BalSheet!K18</f>
        <v>783274.37875278911</v>
      </c>
      <c r="L31" s="4">
        <f>BalSheet!L18</f>
        <v>1030905.1809683187</v>
      </c>
      <c r="M31" s="4">
        <f>BalSheet!M18</f>
        <v>1318897.7368909682</v>
      </c>
    </row>
    <row r="32" spans="1:16" x14ac:dyDescent="0.25">
      <c r="B32" s="4" t="s">
        <v>32</v>
      </c>
      <c r="D32" s="50"/>
      <c r="E32" s="25"/>
      <c r="F32" s="5">
        <f>F6</f>
        <v>0.04</v>
      </c>
      <c r="G32" s="5">
        <f t="shared" ref="G32:M32" si="12">G6</f>
        <v>0.04</v>
      </c>
      <c r="H32" s="5">
        <f t="shared" si="12"/>
        <v>0.04</v>
      </c>
      <c r="I32" s="5">
        <f t="shared" si="12"/>
        <v>0.04</v>
      </c>
      <c r="J32" s="5">
        <f t="shared" si="12"/>
        <v>0.04</v>
      </c>
      <c r="K32" s="5">
        <f t="shared" si="12"/>
        <v>0.04</v>
      </c>
      <c r="L32" s="5">
        <f t="shared" si="12"/>
        <v>0.04</v>
      </c>
      <c r="M32" s="5">
        <f t="shared" si="12"/>
        <v>0.04</v>
      </c>
      <c r="N32" s="184"/>
      <c r="O32" s="184"/>
    </row>
    <row r="33" spans="2:13" x14ac:dyDescent="0.25">
      <c r="B33" s="4" t="s">
        <v>41</v>
      </c>
      <c r="E33" s="29"/>
      <c r="F33" s="4">
        <f>F31*F32</f>
        <v>3310.2756314737649</v>
      </c>
      <c r="G33" s="4">
        <f t="shared" ref="G33:M33" si="13">G31*G32</f>
        <v>6469.0041473485644</v>
      </c>
      <c r="H33" s="4">
        <f t="shared" si="13"/>
        <v>10561.480869558794</v>
      </c>
      <c r="I33" s="4">
        <f t="shared" si="13"/>
        <v>15891.551434973218</v>
      </c>
      <c r="J33" s="4">
        <f t="shared" si="13"/>
        <v>22926.791593338061</v>
      </c>
      <c r="K33" s="4">
        <f t="shared" si="13"/>
        <v>31330.975150111564</v>
      </c>
      <c r="L33" s="4">
        <f t="shared" si="13"/>
        <v>41236.20723873275</v>
      </c>
      <c r="M33" s="4">
        <f t="shared" si="13"/>
        <v>52755.909475638728</v>
      </c>
    </row>
    <row r="34" spans="2:13" x14ac:dyDescent="0.25">
      <c r="E34" s="29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O46"/>
  <sheetViews>
    <sheetView showGridLines="0" zoomScaleNormal="100" workbookViewId="0">
      <selection activeCell="H21" sqref="H21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13" width="11.7109375" style="4" customWidth="1"/>
    <col min="14" max="15" width="12" style="4" customWidth="1"/>
    <col min="16" max="256" width="8.85546875" style="4"/>
    <col min="257" max="257" width="1.7109375" style="4" customWidth="1"/>
    <col min="258" max="258" width="40.7109375" style="4" customWidth="1"/>
    <col min="259" max="263" width="10.7109375" style="4" customWidth="1"/>
    <col min="264" max="264" width="11.42578125" style="4" customWidth="1"/>
    <col min="265" max="266" width="12" style="4" customWidth="1"/>
    <col min="267" max="268" width="8.85546875" style="4"/>
    <col min="269" max="269" width="10.7109375" style="4" bestFit="1" customWidth="1"/>
    <col min="270" max="512" width="8.85546875" style="4"/>
    <col min="513" max="513" width="1.7109375" style="4" customWidth="1"/>
    <col min="514" max="514" width="40.7109375" style="4" customWidth="1"/>
    <col min="515" max="519" width="10.7109375" style="4" customWidth="1"/>
    <col min="520" max="520" width="11.42578125" style="4" customWidth="1"/>
    <col min="521" max="522" width="12" style="4" customWidth="1"/>
    <col min="523" max="524" width="8.85546875" style="4"/>
    <col min="525" max="525" width="10.7109375" style="4" bestFit="1" customWidth="1"/>
    <col min="526" max="768" width="8.85546875" style="4"/>
    <col min="769" max="769" width="1.7109375" style="4" customWidth="1"/>
    <col min="770" max="770" width="40.7109375" style="4" customWidth="1"/>
    <col min="771" max="775" width="10.7109375" style="4" customWidth="1"/>
    <col min="776" max="776" width="11.42578125" style="4" customWidth="1"/>
    <col min="777" max="778" width="12" style="4" customWidth="1"/>
    <col min="779" max="780" width="8.85546875" style="4"/>
    <col min="781" max="781" width="10.7109375" style="4" bestFit="1" customWidth="1"/>
    <col min="782" max="1024" width="8.85546875" style="4"/>
    <col min="1025" max="1025" width="1.7109375" style="4" customWidth="1"/>
    <col min="1026" max="1026" width="40.7109375" style="4" customWidth="1"/>
    <col min="1027" max="1031" width="10.7109375" style="4" customWidth="1"/>
    <col min="1032" max="1032" width="11.42578125" style="4" customWidth="1"/>
    <col min="1033" max="1034" width="12" style="4" customWidth="1"/>
    <col min="1035" max="1036" width="8.85546875" style="4"/>
    <col min="1037" max="1037" width="10.7109375" style="4" bestFit="1" customWidth="1"/>
    <col min="1038" max="1280" width="8.85546875" style="4"/>
    <col min="1281" max="1281" width="1.7109375" style="4" customWidth="1"/>
    <col min="1282" max="1282" width="40.7109375" style="4" customWidth="1"/>
    <col min="1283" max="1287" width="10.7109375" style="4" customWidth="1"/>
    <col min="1288" max="1288" width="11.42578125" style="4" customWidth="1"/>
    <col min="1289" max="1290" width="12" style="4" customWidth="1"/>
    <col min="1291" max="1292" width="8.85546875" style="4"/>
    <col min="1293" max="1293" width="10.7109375" style="4" bestFit="1" customWidth="1"/>
    <col min="1294" max="1536" width="8.85546875" style="4"/>
    <col min="1537" max="1537" width="1.7109375" style="4" customWidth="1"/>
    <col min="1538" max="1538" width="40.7109375" style="4" customWidth="1"/>
    <col min="1539" max="1543" width="10.7109375" style="4" customWidth="1"/>
    <col min="1544" max="1544" width="11.42578125" style="4" customWidth="1"/>
    <col min="1545" max="1546" width="12" style="4" customWidth="1"/>
    <col min="1547" max="1548" width="8.85546875" style="4"/>
    <col min="1549" max="1549" width="10.7109375" style="4" bestFit="1" customWidth="1"/>
    <col min="1550" max="1792" width="8.85546875" style="4"/>
    <col min="1793" max="1793" width="1.7109375" style="4" customWidth="1"/>
    <col min="1794" max="1794" width="40.7109375" style="4" customWidth="1"/>
    <col min="1795" max="1799" width="10.7109375" style="4" customWidth="1"/>
    <col min="1800" max="1800" width="11.42578125" style="4" customWidth="1"/>
    <col min="1801" max="1802" width="12" style="4" customWidth="1"/>
    <col min="1803" max="1804" width="8.85546875" style="4"/>
    <col min="1805" max="1805" width="10.7109375" style="4" bestFit="1" customWidth="1"/>
    <col min="1806" max="2048" width="8.85546875" style="4"/>
    <col min="2049" max="2049" width="1.7109375" style="4" customWidth="1"/>
    <col min="2050" max="2050" width="40.7109375" style="4" customWidth="1"/>
    <col min="2051" max="2055" width="10.7109375" style="4" customWidth="1"/>
    <col min="2056" max="2056" width="11.42578125" style="4" customWidth="1"/>
    <col min="2057" max="2058" width="12" style="4" customWidth="1"/>
    <col min="2059" max="2060" width="8.85546875" style="4"/>
    <col min="2061" max="2061" width="10.7109375" style="4" bestFit="1" customWidth="1"/>
    <col min="2062" max="2304" width="8.85546875" style="4"/>
    <col min="2305" max="2305" width="1.7109375" style="4" customWidth="1"/>
    <col min="2306" max="2306" width="40.7109375" style="4" customWidth="1"/>
    <col min="2307" max="2311" width="10.7109375" style="4" customWidth="1"/>
    <col min="2312" max="2312" width="11.42578125" style="4" customWidth="1"/>
    <col min="2313" max="2314" width="12" style="4" customWidth="1"/>
    <col min="2315" max="2316" width="8.85546875" style="4"/>
    <col min="2317" max="2317" width="10.7109375" style="4" bestFit="1" customWidth="1"/>
    <col min="2318" max="2560" width="8.85546875" style="4"/>
    <col min="2561" max="2561" width="1.7109375" style="4" customWidth="1"/>
    <col min="2562" max="2562" width="40.7109375" style="4" customWidth="1"/>
    <col min="2563" max="2567" width="10.7109375" style="4" customWidth="1"/>
    <col min="2568" max="2568" width="11.42578125" style="4" customWidth="1"/>
    <col min="2569" max="2570" width="12" style="4" customWidth="1"/>
    <col min="2571" max="2572" width="8.85546875" style="4"/>
    <col min="2573" max="2573" width="10.7109375" style="4" bestFit="1" customWidth="1"/>
    <col min="2574" max="2816" width="8.85546875" style="4"/>
    <col min="2817" max="2817" width="1.7109375" style="4" customWidth="1"/>
    <col min="2818" max="2818" width="40.7109375" style="4" customWidth="1"/>
    <col min="2819" max="2823" width="10.7109375" style="4" customWidth="1"/>
    <col min="2824" max="2824" width="11.42578125" style="4" customWidth="1"/>
    <col min="2825" max="2826" width="12" style="4" customWidth="1"/>
    <col min="2827" max="2828" width="8.85546875" style="4"/>
    <col min="2829" max="2829" width="10.7109375" style="4" bestFit="1" customWidth="1"/>
    <col min="2830" max="3072" width="8.85546875" style="4"/>
    <col min="3073" max="3073" width="1.7109375" style="4" customWidth="1"/>
    <col min="3074" max="3074" width="40.7109375" style="4" customWidth="1"/>
    <col min="3075" max="3079" width="10.7109375" style="4" customWidth="1"/>
    <col min="3080" max="3080" width="11.42578125" style="4" customWidth="1"/>
    <col min="3081" max="3082" width="12" style="4" customWidth="1"/>
    <col min="3083" max="3084" width="8.85546875" style="4"/>
    <col min="3085" max="3085" width="10.7109375" style="4" bestFit="1" customWidth="1"/>
    <col min="3086" max="3328" width="8.85546875" style="4"/>
    <col min="3329" max="3329" width="1.7109375" style="4" customWidth="1"/>
    <col min="3330" max="3330" width="40.7109375" style="4" customWidth="1"/>
    <col min="3331" max="3335" width="10.7109375" style="4" customWidth="1"/>
    <col min="3336" max="3336" width="11.42578125" style="4" customWidth="1"/>
    <col min="3337" max="3338" width="12" style="4" customWidth="1"/>
    <col min="3339" max="3340" width="8.85546875" style="4"/>
    <col min="3341" max="3341" width="10.7109375" style="4" bestFit="1" customWidth="1"/>
    <col min="3342" max="3584" width="8.85546875" style="4"/>
    <col min="3585" max="3585" width="1.7109375" style="4" customWidth="1"/>
    <col min="3586" max="3586" width="40.7109375" style="4" customWidth="1"/>
    <col min="3587" max="3591" width="10.7109375" style="4" customWidth="1"/>
    <col min="3592" max="3592" width="11.42578125" style="4" customWidth="1"/>
    <col min="3593" max="3594" width="12" style="4" customWidth="1"/>
    <col min="3595" max="3596" width="8.85546875" style="4"/>
    <col min="3597" max="3597" width="10.7109375" style="4" bestFit="1" customWidth="1"/>
    <col min="3598" max="3840" width="8.85546875" style="4"/>
    <col min="3841" max="3841" width="1.7109375" style="4" customWidth="1"/>
    <col min="3842" max="3842" width="40.7109375" style="4" customWidth="1"/>
    <col min="3843" max="3847" width="10.7109375" style="4" customWidth="1"/>
    <col min="3848" max="3848" width="11.42578125" style="4" customWidth="1"/>
    <col min="3849" max="3850" width="12" style="4" customWidth="1"/>
    <col min="3851" max="3852" width="8.85546875" style="4"/>
    <col min="3853" max="3853" width="10.7109375" style="4" bestFit="1" customWidth="1"/>
    <col min="3854" max="4096" width="8.85546875" style="4"/>
    <col min="4097" max="4097" width="1.7109375" style="4" customWidth="1"/>
    <col min="4098" max="4098" width="40.7109375" style="4" customWidth="1"/>
    <col min="4099" max="4103" width="10.7109375" style="4" customWidth="1"/>
    <col min="4104" max="4104" width="11.42578125" style="4" customWidth="1"/>
    <col min="4105" max="4106" width="12" style="4" customWidth="1"/>
    <col min="4107" max="4108" width="8.85546875" style="4"/>
    <col min="4109" max="4109" width="10.7109375" style="4" bestFit="1" customWidth="1"/>
    <col min="4110" max="4352" width="8.85546875" style="4"/>
    <col min="4353" max="4353" width="1.7109375" style="4" customWidth="1"/>
    <col min="4354" max="4354" width="40.7109375" style="4" customWidth="1"/>
    <col min="4355" max="4359" width="10.7109375" style="4" customWidth="1"/>
    <col min="4360" max="4360" width="11.42578125" style="4" customWidth="1"/>
    <col min="4361" max="4362" width="12" style="4" customWidth="1"/>
    <col min="4363" max="4364" width="8.85546875" style="4"/>
    <col min="4365" max="4365" width="10.7109375" style="4" bestFit="1" customWidth="1"/>
    <col min="4366" max="4608" width="8.85546875" style="4"/>
    <col min="4609" max="4609" width="1.7109375" style="4" customWidth="1"/>
    <col min="4610" max="4610" width="40.7109375" style="4" customWidth="1"/>
    <col min="4611" max="4615" width="10.7109375" style="4" customWidth="1"/>
    <col min="4616" max="4616" width="11.42578125" style="4" customWidth="1"/>
    <col min="4617" max="4618" width="12" style="4" customWidth="1"/>
    <col min="4619" max="4620" width="8.85546875" style="4"/>
    <col min="4621" max="4621" width="10.7109375" style="4" bestFit="1" customWidth="1"/>
    <col min="4622" max="4864" width="8.85546875" style="4"/>
    <col min="4865" max="4865" width="1.7109375" style="4" customWidth="1"/>
    <col min="4866" max="4866" width="40.7109375" style="4" customWidth="1"/>
    <col min="4867" max="4871" width="10.7109375" style="4" customWidth="1"/>
    <col min="4872" max="4872" width="11.42578125" style="4" customWidth="1"/>
    <col min="4873" max="4874" width="12" style="4" customWidth="1"/>
    <col min="4875" max="4876" width="8.85546875" style="4"/>
    <col min="4877" max="4877" width="10.7109375" style="4" bestFit="1" customWidth="1"/>
    <col min="4878" max="5120" width="8.85546875" style="4"/>
    <col min="5121" max="5121" width="1.7109375" style="4" customWidth="1"/>
    <col min="5122" max="5122" width="40.7109375" style="4" customWidth="1"/>
    <col min="5123" max="5127" width="10.7109375" style="4" customWidth="1"/>
    <col min="5128" max="5128" width="11.42578125" style="4" customWidth="1"/>
    <col min="5129" max="5130" width="12" style="4" customWidth="1"/>
    <col min="5131" max="5132" width="8.85546875" style="4"/>
    <col min="5133" max="5133" width="10.7109375" style="4" bestFit="1" customWidth="1"/>
    <col min="5134" max="5376" width="8.85546875" style="4"/>
    <col min="5377" max="5377" width="1.7109375" style="4" customWidth="1"/>
    <col min="5378" max="5378" width="40.7109375" style="4" customWidth="1"/>
    <col min="5379" max="5383" width="10.7109375" style="4" customWidth="1"/>
    <col min="5384" max="5384" width="11.42578125" style="4" customWidth="1"/>
    <col min="5385" max="5386" width="12" style="4" customWidth="1"/>
    <col min="5387" max="5388" width="8.85546875" style="4"/>
    <col min="5389" max="5389" width="10.7109375" style="4" bestFit="1" customWidth="1"/>
    <col min="5390" max="5632" width="8.85546875" style="4"/>
    <col min="5633" max="5633" width="1.7109375" style="4" customWidth="1"/>
    <col min="5634" max="5634" width="40.7109375" style="4" customWidth="1"/>
    <col min="5635" max="5639" width="10.7109375" style="4" customWidth="1"/>
    <col min="5640" max="5640" width="11.42578125" style="4" customWidth="1"/>
    <col min="5641" max="5642" width="12" style="4" customWidth="1"/>
    <col min="5643" max="5644" width="8.85546875" style="4"/>
    <col min="5645" max="5645" width="10.7109375" style="4" bestFit="1" customWidth="1"/>
    <col min="5646" max="5888" width="8.85546875" style="4"/>
    <col min="5889" max="5889" width="1.7109375" style="4" customWidth="1"/>
    <col min="5890" max="5890" width="40.7109375" style="4" customWidth="1"/>
    <col min="5891" max="5895" width="10.7109375" style="4" customWidth="1"/>
    <col min="5896" max="5896" width="11.42578125" style="4" customWidth="1"/>
    <col min="5897" max="5898" width="12" style="4" customWidth="1"/>
    <col min="5899" max="5900" width="8.85546875" style="4"/>
    <col min="5901" max="5901" width="10.7109375" style="4" bestFit="1" customWidth="1"/>
    <col min="5902" max="6144" width="8.85546875" style="4"/>
    <col min="6145" max="6145" width="1.7109375" style="4" customWidth="1"/>
    <col min="6146" max="6146" width="40.7109375" style="4" customWidth="1"/>
    <col min="6147" max="6151" width="10.7109375" style="4" customWidth="1"/>
    <col min="6152" max="6152" width="11.42578125" style="4" customWidth="1"/>
    <col min="6153" max="6154" width="12" style="4" customWidth="1"/>
    <col min="6155" max="6156" width="8.85546875" style="4"/>
    <col min="6157" max="6157" width="10.7109375" style="4" bestFit="1" customWidth="1"/>
    <col min="6158" max="6400" width="8.85546875" style="4"/>
    <col min="6401" max="6401" width="1.7109375" style="4" customWidth="1"/>
    <col min="6402" max="6402" width="40.7109375" style="4" customWidth="1"/>
    <col min="6403" max="6407" width="10.7109375" style="4" customWidth="1"/>
    <col min="6408" max="6408" width="11.42578125" style="4" customWidth="1"/>
    <col min="6409" max="6410" width="12" style="4" customWidth="1"/>
    <col min="6411" max="6412" width="8.85546875" style="4"/>
    <col min="6413" max="6413" width="10.7109375" style="4" bestFit="1" customWidth="1"/>
    <col min="6414" max="6656" width="8.85546875" style="4"/>
    <col min="6657" max="6657" width="1.7109375" style="4" customWidth="1"/>
    <col min="6658" max="6658" width="40.7109375" style="4" customWidth="1"/>
    <col min="6659" max="6663" width="10.7109375" style="4" customWidth="1"/>
    <col min="6664" max="6664" width="11.42578125" style="4" customWidth="1"/>
    <col min="6665" max="6666" width="12" style="4" customWidth="1"/>
    <col min="6667" max="6668" width="8.85546875" style="4"/>
    <col min="6669" max="6669" width="10.7109375" style="4" bestFit="1" customWidth="1"/>
    <col min="6670" max="6912" width="8.85546875" style="4"/>
    <col min="6913" max="6913" width="1.7109375" style="4" customWidth="1"/>
    <col min="6914" max="6914" width="40.7109375" style="4" customWidth="1"/>
    <col min="6915" max="6919" width="10.7109375" style="4" customWidth="1"/>
    <col min="6920" max="6920" width="11.42578125" style="4" customWidth="1"/>
    <col min="6921" max="6922" width="12" style="4" customWidth="1"/>
    <col min="6923" max="6924" width="8.85546875" style="4"/>
    <col min="6925" max="6925" width="10.7109375" style="4" bestFit="1" customWidth="1"/>
    <col min="6926" max="7168" width="8.85546875" style="4"/>
    <col min="7169" max="7169" width="1.7109375" style="4" customWidth="1"/>
    <col min="7170" max="7170" width="40.7109375" style="4" customWidth="1"/>
    <col min="7171" max="7175" width="10.7109375" style="4" customWidth="1"/>
    <col min="7176" max="7176" width="11.42578125" style="4" customWidth="1"/>
    <col min="7177" max="7178" width="12" style="4" customWidth="1"/>
    <col min="7179" max="7180" width="8.85546875" style="4"/>
    <col min="7181" max="7181" width="10.7109375" style="4" bestFit="1" customWidth="1"/>
    <col min="7182" max="7424" width="8.85546875" style="4"/>
    <col min="7425" max="7425" width="1.7109375" style="4" customWidth="1"/>
    <col min="7426" max="7426" width="40.7109375" style="4" customWidth="1"/>
    <col min="7427" max="7431" width="10.7109375" style="4" customWidth="1"/>
    <col min="7432" max="7432" width="11.42578125" style="4" customWidth="1"/>
    <col min="7433" max="7434" width="12" style="4" customWidth="1"/>
    <col min="7435" max="7436" width="8.85546875" style="4"/>
    <col min="7437" max="7437" width="10.7109375" style="4" bestFit="1" customWidth="1"/>
    <col min="7438" max="7680" width="8.85546875" style="4"/>
    <col min="7681" max="7681" width="1.7109375" style="4" customWidth="1"/>
    <col min="7682" max="7682" width="40.7109375" style="4" customWidth="1"/>
    <col min="7683" max="7687" width="10.7109375" style="4" customWidth="1"/>
    <col min="7688" max="7688" width="11.42578125" style="4" customWidth="1"/>
    <col min="7689" max="7690" width="12" style="4" customWidth="1"/>
    <col min="7691" max="7692" width="8.85546875" style="4"/>
    <col min="7693" max="7693" width="10.7109375" style="4" bestFit="1" customWidth="1"/>
    <col min="7694" max="7936" width="8.85546875" style="4"/>
    <col min="7937" max="7937" width="1.7109375" style="4" customWidth="1"/>
    <col min="7938" max="7938" width="40.7109375" style="4" customWidth="1"/>
    <col min="7939" max="7943" width="10.7109375" style="4" customWidth="1"/>
    <col min="7944" max="7944" width="11.42578125" style="4" customWidth="1"/>
    <col min="7945" max="7946" width="12" style="4" customWidth="1"/>
    <col min="7947" max="7948" width="8.85546875" style="4"/>
    <col min="7949" max="7949" width="10.7109375" style="4" bestFit="1" customWidth="1"/>
    <col min="7950" max="8192" width="8.85546875" style="4"/>
    <col min="8193" max="8193" width="1.7109375" style="4" customWidth="1"/>
    <col min="8194" max="8194" width="40.7109375" style="4" customWidth="1"/>
    <col min="8195" max="8199" width="10.7109375" style="4" customWidth="1"/>
    <col min="8200" max="8200" width="11.42578125" style="4" customWidth="1"/>
    <col min="8201" max="8202" width="12" style="4" customWidth="1"/>
    <col min="8203" max="8204" width="8.85546875" style="4"/>
    <col min="8205" max="8205" width="10.7109375" style="4" bestFit="1" customWidth="1"/>
    <col min="8206" max="8448" width="8.85546875" style="4"/>
    <col min="8449" max="8449" width="1.7109375" style="4" customWidth="1"/>
    <col min="8450" max="8450" width="40.7109375" style="4" customWidth="1"/>
    <col min="8451" max="8455" width="10.7109375" style="4" customWidth="1"/>
    <col min="8456" max="8456" width="11.42578125" style="4" customWidth="1"/>
    <col min="8457" max="8458" width="12" style="4" customWidth="1"/>
    <col min="8459" max="8460" width="8.85546875" style="4"/>
    <col min="8461" max="8461" width="10.7109375" style="4" bestFit="1" customWidth="1"/>
    <col min="8462" max="8704" width="8.85546875" style="4"/>
    <col min="8705" max="8705" width="1.7109375" style="4" customWidth="1"/>
    <col min="8706" max="8706" width="40.7109375" style="4" customWidth="1"/>
    <col min="8707" max="8711" width="10.7109375" style="4" customWidth="1"/>
    <col min="8712" max="8712" width="11.42578125" style="4" customWidth="1"/>
    <col min="8713" max="8714" width="12" style="4" customWidth="1"/>
    <col min="8715" max="8716" width="8.85546875" style="4"/>
    <col min="8717" max="8717" width="10.7109375" style="4" bestFit="1" customWidth="1"/>
    <col min="8718" max="8960" width="8.85546875" style="4"/>
    <col min="8961" max="8961" width="1.7109375" style="4" customWidth="1"/>
    <col min="8962" max="8962" width="40.7109375" style="4" customWidth="1"/>
    <col min="8963" max="8967" width="10.7109375" style="4" customWidth="1"/>
    <col min="8968" max="8968" width="11.42578125" style="4" customWidth="1"/>
    <col min="8969" max="8970" width="12" style="4" customWidth="1"/>
    <col min="8971" max="8972" width="8.85546875" style="4"/>
    <col min="8973" max="8973" width="10.7109375" style="4" bestFit="1" customWidth="1"/>
    <col min="8974" max="9216" width="8.85546875" style="4"/>
    <col min="9217" max="9217" width="1.7109375" style="4" customWidth="1"/>
    <col min="9218" max="9218" width="40.7109375" style="4" customWidth="1"/>
    <col min="9219" max="9223" width="10.7109375" style="4" customWidth="1"/>
    <col min="9224" max="9224" width="11.42578125" style="4" customWidth="1"/>
    <col min="9225" max="9226" width="12" style="4" customWidth="1"/>
    <col min="9227" max="9228" width="8.85546875" style="4"/>
    <col min="9229" max="9229" width="10.7109375" style="4" bestFit="1" customWidth="1"/>
    <col min="9230" max="9472" width="8.85546875" style="4"/>
    <col min="9473" max="9473" width="1.7109375" style="4" customWidth="1"/>
    <col min="9474" max="9474" width="40.7109375" style="4" customWidth="1"/>
    <col min="9475" max="9479" width="10.7109375" style="4" customWidth="1"/>
    <col min="9480" max="9480" width="11.42578125" style="4" customWidth="1"/>
    <col min="9481" max="9482" width="12" style="4" customWidth="1"/>
    <col min="9483" max="9484" width="8.85546875" style="4"/>
    <col min="9485" max="9485" width="10.7109375" style="4" bestFit="1" customWidth="1"/>
    <col min="9486" max="9728" width="8.85546875" style="4"/>
    <col min="9729" max="9729" width="1.7109375" style="4" customWidth="1"/>
    <col min="9730" max="9730" width="40.7109375" style="4" customWidth="1"/>
    <col min="9731" max="9735" width="10.7109375" style="4" customWidth="1"/>
    <col min="9736" max="9736" width="11.42578125" style="4" customWidth="1"/>
    <col min="9737" max="9738" width="12" style="4" customWidth="1"/>
    <col min="9739" max="9740" width="8.85546875" style="4"/>
    <col min="9741" max="9741" width="10.7109375" style="4" bestFit="1" customWidth="1"/>
    <col min="9742" max="9984" width="8.85546875" style="4"/>
    <col min="9985" max="9985" width="1.7109375" style="4" customWidth="1"/>
    <col min="9986" max="9986" width="40.7109375" style="4" customWidth="1"/>
    <col min="9987" max="9991" width="10.7109375" style="4" customWidth="1"/>
    <col min="9992" max="9992" width="11.42578125" style="4" customWidth="1"/>
    <col min="9993" max="9994" width="12" style="4" customWidth="1"/>
    <col min="9995" max="9996" width="8.85546875" style="4"/>
    <col min="9997" max="9997" width="10.7109375" style="4" bestFit="1" customWidth="1"/>
    <col min="9998" max="10240" width="8.85546875" style="4"/>
    <col min="10241" max="10241" width="1.7109375" style="4" customWidth="1"/>
    <col min="10242" max="10242" width="40.7109375" style="4" customWidth="1"/>
    <col min="10243" max="10247" width="10.7109375" style="4" customWidth="1"/>
    <col min="10248" max="10248" width="11.42578125" style="4" customWidth="1"/>
    <col min="10249" max="10250" width="12" style="4" customWidth="1"/>
    <col min="10251" max="10252" width="8.85546875" style="4"/>
    <col min="10253" max="10253" width="10.7109375" style="4" bestFit="1" customWidth="1"/>
    <col min="10254" max="10496" width="8.85546875" style="4"/>
    <col min="10497" max="10497" width="1.7109375" style="4" customWidth="1"/>
    <col min="10498" max="10498" width="40.7109375" style="4" customWidth="1"/>
    <col min="10499" max="10503" width="10.7109375" style="4" customWidth="1"/>
    <col min="10504" max="10504" width="11.42578125" style="4" customWidth="1"/>
    <col min="10505" max="10506" width="12" style="4" customWidth="1"/>
    <col min="10507" max="10508" width="8.85546875" style="4"/>
    <col min="10509" max="10509" width="10.7109375" style="4" bestFit="1" customWidth="1"/>
    <col min="10510" max="10752" width="8.85546875" style="4"/>
    <col min="10753" max="10753" width="1.7109375" style="4" customWidth="1"/>
    <col min="10754" max="10754" width="40.7109375" style="4" customWidth="1"/>
    <col min="10755" max="10759" width="10.7109375" style="4" customWidth="1"/>
    <col min="10760" max="10760" width="11.42578125" style="4" customWidth="1"/>
    <col min="10761" max="10762" width="12" style="4" customWidth="1"/>
    <col min="10763" max="10764" width="8.85546875" style="4"/>
    <col min="10765" max="10765" width="10.7109375" style="4" bestFit="1" customWidth="1"/>
    <col min="10766" max="11008" width="8.85546875" style="4"/>
    <col min="11009" max="11009" width="1.7109375" style="4" customWidth="1"/>
    <col min="11010" max="11010" width="40.7109375" style="4" customWidth="1"/>
    <col min="11011" max="11015" width="10.7109375" style="4" customWidth="1"/>
    <col min="11016" max="11016" width="11.42578125" style="4" customWidth="1"/>
    <col min="11017" max="11018" width="12" style="4" customWidth="1"/>
    <col min="11019" max="11020" width="8.85546875" style="4"/>
    <col min="11021" max="11021" width="10.7109375" style="4" bestFit="1" customWidth="1"/>
    <col min="11022" max="11264" width="8.85546875" style="4"/>
    <col min="11265" max="11265" width="1.7109375" style="4" customWidth="1"/>
    <col min="11266" max="11266" width="40.7109375" style="4" customWidth="1"/>
    <col min="11267" max="11271" width="10.7109375" style="4" customWidth="1"/>
    <col min="11272" max="11272" width="11.42578125" style="4" customWidth="1"/>
    <col min="11273" max="11274" width="12" style="4" customWidth="1"/>
    <col min="11275" max="11276" width="8.85546875" style="4"/>
    <col min="11277" max="11277" width="10.7109375" style="4" bestFit="1" customWidth="1"/>
    <col min="11278" max="11520" width="8.85546875" style="4"/>
    <col min="11521" max="11521" width="1.7109375" style="4" customWidth="1"/>
    <col min="11522" max="11522" width="40.7109375" style="4" customWidth="1"/>
    <col min="11523" max="11527" width="10.7109375" style="4" customWidth="1"/>
    <col min="11528" max="11528" width="11.42578125" style="4" customWidth="1"/>
    <col min="11529" max="11530" width="12" style="4" customWidth="1"/>
    <col min="11531" max="11532" width="8.85546875" style="4"/>
    <col min="11533" max="11533" width="10.7109375" style="4" bestFit="1" customWidth="1"/>
    <col min="11534" max="11776" width="8.85546875" style="4"/>
    <col min="11777" max="11777" width="1.7109375" style="4" customWidth="1"/>
    <col min="11778" max="11778" width="40.7109375" style="4" customWidth="1"/>
    <col min="11779" max="11783" width="10.7109375" style="4" customWidth="1"/>
    <col min="11784" max="11784" width="11.42578125" style="4" customWidth="1"/>
    <col min="11785" max="11786" width="12" style="4" customWidth="1"/>
    <col min="11787" max="11788" width="8.85546875" style="4"/>
    <col min="11789" max="11789" width="10.7109375" style="4" bestFit="1" customWidth="1"/>
    <col min="11790" max="12032" width="8.85546875" style="4"/>
    <col min="12033" max="12033" width="1.7109375" style="4" customWidth="1"/>
    <col min="12034" max="12034" width="40.7109375" style="4" customWidth="1"/>
    <col min="12035" max="12039" width="10.7109375" style="4" customWidth="1"/>
    <col min="12040" max="12040" width="11.42578125" style="4" customWidth="1"/>
    <col min="12041" max="12042" width="12" style="4" customWidth="1"/>
    <col min="12043" max="12044" width="8.85546875" style="4"/>
    <col min="12045" max="12045" width="10.7109375" style="4" bestFit="1" customWidth="1"/>
    <col min="12046" max="12288" width="8.85546875" style="4"/>
    <col min="12289" max="12289" width="1.7109375" style="4" customWidth="1"/>
    <col min="12290" max="12290" width="40.7109375" style="4" customWidth="1"/>
    <col min="12291" max="12295" width="10.7109375" style="4" customWidth="1"/>
    <col min="12296" max="12296" width="11.42578125" style="4" customWidth="1"/>
    <col min="12297" max="12298" width="12" style="4" customWidth="1"/>
    <col min="12299" max="12300" width="8.85546875" style="4"/>
    <col min="12301" max="12301" width="10.7109375" style="4" bestFit="1" customWidth="1"/>
    <col min="12302" max="12544" width="8.85546875" style="4"/>
    <col min="12545" max="12545" width="1.7109375" style="4" customWidth="1"/>
    <col min="12546" max="12546" width="40.7109375" style="4" customWidth="1"/>
    <col min="12547" max="12551" width="10.7109375" style="4" customWidth="1"/>
    <col min="12552" max="12552" width="11.42578125" style="4" customWidth="1"/>
    <col min="12553" max="12554" width="12" style="4" customWidth="1"/>
    <col min="12555" max="12556" width="8.85546875" style="4"/>
    <col min="12557" max="12557" width="10.7109375" style="4" bestFit="1" customWidth="1"/>
    <col min="12558" max="12800" width="8.85546875" style="4"/>
    <col min="12801" max="12801" width="1.7109375" style="4" customWidth="1"/>
    <col min="12802" max="12802" width="40.7109375" style="4" customWidth="1"/>
    <col min="12803" max="12807" width="10.7109375" style="4" customWidth="1"/>
    <col min="12808" max="12808" width="11.42578125" style="4" customWidth="1"/>
    <col min="12809" max="12810" width="12" style="4" customWidth="1"/>
    <col min="12811" max="12812" width="8.85546875" style="4"/>
    <col min="12813" max="12813" width="10.7109375" style="4" bestFit="1" customWidth="1"/>
    <col min="12814" max="13056" width="8.85546875" style="4"/>
    <col min="13057" max="13057" width="1.7109375" style="4" customWidth="1"/>
    <col min="13058" max="13058" width="40.7109375" style="4" customWidth="1"/>
    <col min="13059" max="13063" width="10.7109375" style="4" customWidth="1"/>
    <col min="13064" max="13064" width="11.42578125" style="4" customWidth="1"/>
    <col min="13065" max="13066" width="12" style="4" customWidth="1"/>
    <col min="13067" max="13068" width="8.85546875" style="4"/>
    <col min="13069" max="13069" width="10.7109375" style="4" bestFit="1" customWidth="1"/>
    <col min="13070" max="13312" width="8.85546875" style="4"/>
    <col min="13313" max="13313" width="1.7109375" style="4" customWidth="1"/>
    <col min="13314" max="13314" width="40.7109375" style="4" customWidth="1"/>
    <col min="13315" max="13319" width="10.7109375" style="4" customWidth="1"/>
    <col min="13320" max="13320" width="11.42578125" style="4" customWidth="1"/>
    <col min="13321" max="13322" width="12" style="4" customWidth="1"/>
    <col min="13323" max="13324" width="8.85546875" style="4"/>
    <col min="13325" max="13325" width="10.7109375" style="4" bestFit="1" customWidth="1"/>
    <col min="13326" max="13568" width="8.85546875" style="4"/>
    <col min="13569" max="13569" width="1.7109375" style="4" customWidth="1"/>
    <col min="13570" max="13570" width="40.7109375" style="4" customWidth="1"/>
    <col min="13571" max="13575" width="10.7109375" style="4" customWidth="1"/>
    <col min="13576" max="13576" width="11.42578125" style="4" customWidth="1"/>
    <col min="13577" max="13578" width="12" style="4" customWidth="1"/>
    <col min="13579" max="13580" width="8.85546875" style="4"/>
    <col min="13581" max="13581" width="10.7109375" style="4" bestFit="1" customWidth="1"/>
    <col min="13582" max="13824" width="8.85546875" style="4"/>
    <col min="13825" max="13825" width="1.7109375" style="4" customWidth="1"/>
    <col min="13826" max="13826" width="40.7109375" style="4" customWidth="1"/>
    <col min="13827" max="13831" width="10.7109375" style="4" customWidth="1"/>
    <col min="13832" max="13832" width="11.42578125" style="4" customWidth="1"/>
    <col min="13833" max="13834" width="12" style="4" customWidth="1"/>
    <col min="13835" max="13836" width="8.85546875" style="4"/>
    <col min="13837" max="13837" width="10.7109375" style="4" bestFit="1" customWidth="1"/>
    <col min="13838" max="14080" width="8.85546875" style="4"/>
    <col min="14081" max="14081" width="1.7109375" style="4" customWidth="1"/>
    <col min="14082" max="14082" width="40.7109375" style="4" customWidth="1"/>
    <col min="14083" max="14087" width="10.7109375" style="4" customWidth="1"/>
    <col min="14088" max="14088" width="11.42578125" style="4" customWidth="1"/>
    <col min="14089" max="14090" width="12" style="4" customWidth="1"/>
    <col min="14091" max="14092" width="8.85546875" style="4"/>
    <col min="14093" max="14093" width="10.7109375" style="4" bestFit="1" customWidth="1"/>
    <col min="14094" max="14336" width="8.85546875" style="4"/>
    <col min="14337" max="14337" width="1.7109375" style="4" customWidth="1"/>
    <col min="14338" max="14338" width="40.7109375" style="4" customWidth="1"/>
    <col min="14339" max="14343" width="10.7109375" style="4" customWidth="1"/>
    <col min="14344" max="14344" width="11.42578125" style="4" customWidth="1"/>
    <col min="14345" max="14346" width="12" style="4" customWidth="1"/>
    <col min="14347" max="14348" width="8.85546875" style="4"/>
    <col min="14349" max="14349" width="10.7109375" style="4" bestFit="1" customWidth="1"/>
    <col min="14350" max="14592" width="8.85546875" style="4"/>
    <col min="14593" max="14593" width="1.7109375" style="4" customWidth="1"/>
    <col min="14594" max="14594" width="40.7109375" style="4" customWidth="1"/>
    <col min="14595" max="14599" width="10.7109375" style="4" customWidth="1"/>
    <col min="14600" max="14600" width="11.42578125" style="4" customWidth="1"/>
    <col min="14601" max="14602" width="12" style="4" customWidth="1"/>
    <col min="14603" max="14604" width="8.85546875" style="4"/>
    <col min="14605" max="14605" width="10.7109375" style="4" bestFit="1" customWidth="1"/>
    <col min="14606" max="14848" width="8.85546875" style="4"/>
    <col min="14849" max="14849" width="1.7109375" style="4" customWidth="1"/>
    <col min="14850" max="14850" width="40.7109375" style="4" customWidth="1"/>
    <col min="14851" max="14855" width="10.7109375" style="4" customWidth="1"/>
    <col min="14856" max="14856" width="11.42578125" style="4" customWidth="1"/>
    <col min="14857" max="14858" width="12" style="4" customWidth="1"/>
    <col min="14859" max="14860" width="8.85546875" style="4"/>
    <col min="14861" max="14861" width="10.7109375" style="4" bestFit="1" customWidth="1"/>
    <col min="14862" max="15104" width="8.85546875" style="4"/>
    <col min="15105" max="15105" width="1.7109375" style="4" customWidth="1"/>
    <col min="15106" max="15106" width="40.7109375" style="4" customWidth="1"/>
    <col min="15107" max="15111" width="10.7109375" style="4" customWidth="1"/>
    <col min="15112" max="15112" width="11.42578125" style="4" customWidth="1"/>
    <col min="15113" max="15114" width="12" style="4" customWidth="1"/>
    <col min="15115" max="15116" width="8.85546875" style="4"/>
    <col min="15117" max="15117" width="10.7109375" style="4" bestFit="1" customWidth="1"/>
    <col min="15118" max="15360" width="8.85546875" style="4"/>
    <col min="15361" max="15361" width="1.7109375" style="4" customWidth="1"/>
    <col min="15362" max="15362" width="40.7109375" style="4" customWidth="1"/>
    <col min="15363" max="15367" width="10.7109375" style="4" customWidth="1"/>
    <col min="15368" max="15368" width="11.42578125" style="4" customWidth="1"/>
    <col min="15369" max="15370" width="12" style="4" customWidth="1"/>
    <col min="15371" max="15372" width="8.85546875" style="4"/>
    <col min="15373" max="15373" width="10.7109375" style="4" bestFit="1" customWidth="1"/>
    <col min="15374" max="15616" width="8.85546875" style="4"/>
    <col min="15617" max="15617" width="1.7109375" style="4" customWidth="1"/>
    <col min="15618" max="15618" width="40.7109375" style="4" customWidth="1"/>
    <col min="15619" max="15623" width="10.7109375" style="4" customWidth="1"/>
    <col min="15624" max="15624" width="11.42578125" style="4" customWidth="1"/>
    <col min="15625" max="15626" width="12" style="4" customWidth="1"/>
    <col min="15627" max="15628" width="8.85546875" style="4"/>
    <col min="15629" max="15629" width="10.7109375" style="4" bestFit="1" customWidth="1"/>
    <col min="15630" max="15872" width="8.85546875" style="4"/>
    <col min="15873" max="15873" width="1.7109375" style="4" customWidth="1"/>
    <col min="15874" max="15874" width="40.7109375" style="4" customWidth="1"/>
    <col min="15875" max="15879" width="10.7109375" style="4" customWidth="1"/>
    <col min="15880" max="15880" width="11.42578125" style="4" customWidth="1"/>
    <col min="15881" max="15882" width="12" style="4" customWidth="1"/>
    <col min="15883" max="15884" width="8.85546875" style="4"/>
    <col min="15885" max="15885" width="10.7109375" style="4" bestFit="1" customWidth="1"/>
    <col min="15886" max="16128" width="8.85546875" style="4"/>
    <col min="16129" max="16129" width="1.7109375" style="4" customWidth="1"/>
    <col min="16130" max="16130" width="40.7109375" style="4" customWidth="1"/>
    <col min="16131" max="16135" width="10.7109375" style="4" customWidth="1"/>
    <col min="16136" max="16136" width="11.42578125" style="4" customWidth="1"/>
    <col min="16137" max="16138" width="12" style="4" customWidth="1"/>
    <col min="16139" max="16140" width="8.85546875" style="4"/>
    <col min="16141" max="16141" width="10.7109375" style="4" bestFit="1" customWidth="1"/>
    <col min="16142" max="16384" width="8.85546875" style="4"/>
  </cols>
  <sheetData>
    <row r="1" spans="1:15" s="2" customFormat="1" ht="19.5" x14ac:dyDescent="0.3">
      <c r="A1" s="318" t="str">
        <f>CoName</f>
        <v>Microsoft Corp.</v>
      </c>
      <c r="B1" s="3"/>
      <c r="C1" s="43" t="s">
        <v>0</v>
      </c>
      <c r="D1" s="43" t="s">
        <v>0</v>
      </c>
      <c r="E1" s="43" t="s">
        <v>0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 t="s">
        <v>1</v>
      </c>
      <c r="L1" s="43" t="s">
        <v>1</v>
      </c>
      <c r="M1" s="43" t="s">
        <v>1</v>
      </c>
      <c r="N1" s="43"/>
      <c r="O1" s="43"/>
    </row>
    <row r="2" spans="1:15" x14ac:dyDescent="0.25">
      <c r="A2" s="17" t="s">
        <v>10</v>
      </c>
      <c r="B2" s="16"/>
      <c r="C2" s="329">
        <v>2023</v>
      </c>
      <c r="D2" s="329">
        <f>C2+1</f>
        <v>2024</v>
      </c>
      <c r="E2" s="329">
        <f t="shared" ref="E2:M2" si="0">D2+1</f>
        <v>2025</v>
      </c>
      <c r="F2" s="329">
        <f t="shared" si="0"/>
        <v>2026</v>
      </c>
      <c r="G2" s="329">
        <f t="shared" si="0"/>
        <v>2027</v>
      </c>
      <c r="H2" s="329">
        <f t="shared" si="0"/>
        <v>2028</v>
      </c>
      <c r="I2" s="329">
        <f t="shared" si="0"/>
        <v>2029</v>
      </c>
      <c r="J2" s="329">
        <f t="shared" si="0"/>
        <v>2030</v>
      </c>
      <c r="K2" s="329">
        <f t="shared" si="0"/>
        <v>2031</v>
      </c>
      <c r="L2" s="329">
        <f t="shared" si="0"/>
        <v>2032</v>
      </c>
      <c r="M2" s="329">
        <f t="shared" si="0"/>
        <v>2033</v>
      </c>
    </row>
    <row r="3" spans="1:15" x14ac:dyDescent="0.25">
      <c r="A3" s="88"/>
      <c r="C3" s="101"/>
      <c r="D3" s="101"/>
      <c r="E3" s="101"/>
    </row>
    <row r="4" spans="1:15" x14ac:dyDescent="0.25">
      <c r="B4" s="32" t="s">
        <v>43</v>
      </c>
      <c r="C4" s="33"/>
      <c r="D4" s="33"/>
      <c r="E4" s="34"/>
      <c r="F4" s="188">
        <f>Assumptions!F10</f>
        <v>0.15539675100016992</v>
      </c>
      <c r="G4" s="188">
        <f>Assumptions!G10</f>
        <v>0.16921146642991736</v>
      </c>
      <c r="H4" s="188">
        <f>Assumptions!H10</f>
        <v>0.16595177599785571</v>
      </c>
      <c r="I4" s="188">
        <f>Assumptions!I10</f>
        <v>0.16036320808293381</v>
      </c>
      <c r="J4" s="188">
        <f>Assumptions!J10</f>
        <v>0.15280023360318418</v>
      </c>
      <c r="K4" s="188">
        <f>Assumptions!K10</f>
        <v>0.14368981112797985</v>
      </c>
      <c r="L4" s="188">
        <f>Assumptions!L10</f>
        <v>0.13350164076091531</v>
      </c>
      <c r="M4" s="188">
        <f>Assumptions!M10</f>
        <v>0.12272997781741757</v>
      </c>
      <c r="N4" s="224"/>
      <c r="O4" s="224"/>
    </row>
    <row r="5" spans="1:15" x14ac:dyDescent="0.25">
      <c r="B5" s="32" t="s">
        <v>44</v>
      </c>
      <c r="C5" s="33"/>
      <c r="D5" s="33"/>
      <c r="E5" s="33"/>
      <c r="F5" s="188">
        <f>Assumptions!F11</f>
        <v>0.31176257613834818</v>
      </c>
      <c r="G5" s="188">
        <f>Assumptions!G11</f>
        <v>0.31176257613834818</v>
      </c>
      <c r="H5" s="188">
        <f>Assumptions!H11</f>
        <v>0.31176257613834818</v>
      </c>
      <c r="I5" s="188">
        <f>Assumptions!I11</f>
        <v>0.31176257613834818</v>
      </c>
      <c r="J5" s="188">
        <f>Assumptions!J11</f>
        <v>0.31176257613834818</v>
      </c>
      <c r="K5" s="188">
        <f>Assumptions!K11</f>
        <v>0.31176257613834818</v>
      </c>
      <c r="L5" s="188">
        <f>Assumptions!L11</f>
        <v>0.31176257613834818</v>
      </c>
      <c r="M5" s="188">
        <f>Assumptions!M11</f>
        <v>0.31176257613834818</v>
      </c>
      <c r="N5" s="224"/>
      <c r="O5" s="224"/>
    </row>
    <row r="6" spans="1:15" x14ac:dyDescent="0.25">
      <c r="B6" s="32" t="s">
        <v>181</v>
      </c>
      <c r="C6" s="204"/>
      <c r="D6" s="204"/>
      <c r="E6" s="34"/>
      <c r="F6" s="188">
        <f>Assumptions!F12</f>
        <v>0.11531853871164686</v>
      </c>
      <c r="G6" s="188">
        <f>Assumptions!G12</f>
        <v>0.11531853871164686</v>
      </c>
      <c r="H6" s="188">
        <f>Assumptions!H12</f>
        <v>0.11531853871164686</v>
      </c>
      <c r="I6" s="188">
        <f>Assumptions!I12</f>
        <v>0.11531853871164686</v>
      </c>
      <c r="J6" s="188">
        <f>Assumptions!J12</f>
        <v>0.11531853871164686</v>
      </c>
      <c r="K6" s="188">
        <f>Assumptions!K12</f>
        <v>0.11531853871164686</v>
      </c>
      <c r="L6" s="188">
        <f>Assumptions!L12</f>
        <v>0.11531853871164686</v>
      </c>
      <c r="M6" s="188">
        <f>Assumptions!M12</f>
        <v>0.11531853871164686</v>
      </c>
      <c r="N6" s="224"/>
      <c r="O6" s="224"/>
    </row>
    <row r="7" spans="1:15" x14ac:dyDescent="0.25">
      <c r="B7" s="32" t="s">
        <v>45</v>
      </c>
      <c r="C7" s="33"/>
      <c r="D7" s="33"/>
      <c r="E7" s="33"/>
      <c r="F7" s="188">
        <f>Assumptions!F13</f>
        <v>0.11669932274140649</v>
      </c>
      <c r="G7" s="188">
        <f>Assumptions!G13</f>
        <v>0.11669932274140649</v>
      </c>
      <c r="H7" s="188">
        <f>Assumptions!H13</f>
        <v>0.11669932274140649</v>
      </c>
      <c r="I7" s="188">
        <f>Assumptions!I13</f>
        <v>0.11669932274140649</v>
      </c>
      <c r="J7" s="188">
        <f>Assumptions!J13</f>
        <v>0.11669932274140649</v>
      </c>
      <c r="K7" s="188">
        <f>Assumptions!K13</f>
        <v>0.11669932274140649</v>
      </c>
      <c r="L7" s="188">
        <f>Assumptions!L13</f>
        <v>0.11669932274140649</v>
      </c>
      <c r="M7" s="188">
        <f>Assumptions!M13</f>
        <v>0.11669932274140649</v>
      </c>
      <c r="N7" s="224"/>
      <c r="O7" s="224"/>
    </row>
    <row r="8" spans="1:15" x14ac:dyDescent="0.25">
      <c r="A8" s="88"/>
      <c r="B8" s="4" t="s">
        <v>46</v>
      </c>
      <c r="C8" s="32"/>
      <c r="D8" s="32"/>
      <c r="E8" s="32"/>
      <c r="F8" s="189">
        <f>Assumptions!F14</f>
        <v>0</v>
      </c>
      <c r="G8" s="189">
        <f>Assumptions!G14</f>
        <v>0</v>
      </c>
      <c r="H8" s="189">
        <f>Assumptions!H14</f>
        <v>0</v>
      </c>
      <c r="I8" s="189">
        <f>Assumptions!I14</f>
        <v>0</v>
      </c>
      <c r="J8" s="189">
        <f>Assumptions!J14</f>
        <v>0</v>
      </c>
      <c r="K8" s="189">
        <f>Assumptions!K14</f>
        <v>0</v>
      </c>
      <c r="L8" s="189">
        <f>Assumptions!L14</f>
        <v>0</v>
      </c>
      <c r="M8" s="189">
        <f>Assumptions!M14</f>
        <v>0</v>
      </c>
      <c r="N8" s="225"/>
      <c r="O8" s="225"/>
    </row>
    <row r="9" spans="1:15" x14ac:dyDescent="0.25">
      <c r="A9" s="88"/>
      <c r="B9" s="4" t="s">
        <v>47</v>
      </c>
      <c r="C9" s="32"/>
      <c r="D9" s="32"/>
      <c r="E9" s="32"/>
      <c r="F9" s="190">
        <f>Assumptions!F15</f>
        <v>0</v>
      </c>
      <c r="G9" s="190">
        <f>Assumptions!G15</f>
        <v>0</v>
      </c>
      <c r="H9" s="190">
        <f>Assumptions!H15</f>
        <v>0</v>
      </c>
      <c r="I9" s="190">
        <f>Assumptions!I15</f>
        <v>0</v>
      </c>
      <c r="J9" s="190">
        <f>Assumptions!J15</f>
        <v>0</v>
      </c>
      <c r="K9" s="190">
        <f>Assumptions!K15</f>
        <v>0</v>
      </c>
      <c r="L9" s="190">
        <f>Assumptions!L15</f>
        <v>0</v>
      </c>
      <c r="M9" s="190">
        <f>Assumptions!M15</f>
        <v>0</v>
      </c>
      <c r="N9" s="226"/>
      <c r="O9" s="226"/>
    </row>
    <row r="10" spans="1:15" x14ac:dyDescent="0.25">
      <c r="B10" s="4" t="s">
        <v>146</v>
      </c>
      <c r="F10" s="190">
        <f>Assumptions!F16</f>
        <v>0</v>
      </c>
      <c r="G10" s="190">
        <f>Assumptions!G16</f>
        <v>0</v>
      </c>
      <c r="H10" s="190">
        <f>Assumptions!H16</f>
        <v>0</v>
      </c>
      <c r="I10" s="190">
        <f>Assumptions!I16</f>
        <v>0</v>
      </c>
      <c r="J10" s="190">
        <f>Assumptions!J16</f>
        <v>0</v>
      </c>
      <c r="K10" s="190">
        <f>Assumptions!K16</f>
        <v>0</v>
      </c>
      <c r="L10" s="190">
        <f>Assumptions!L16</f>
        <v>0</v>
      </c>
      <c r="M10" s="190">
        <f>Assumptions!M16</f>
        <v>0</v>
      </c>
      <c r="N10" s="226"/>
      <c r="O10" s="226"/>
    </row>
    <row r="11" spans="1:15" x14ac:dyDescent="0.25">
      <c r="B11" s="32" t="s">
        <v>48</v>
      </c>
      <c r="C11" s="45"/>
      <c r="D11" s="45"/>
      <c r="E11" s="45"/>
      <c r="F11" s="188">
        <f>Assumptions!F17</f>
        <v>0.17629644009803683</v>
      </c>
      <c r="G11" s="188">
        <f>Assumptions!G17</f>
        <v>0.17629644009803683</v>
      </c>
      <c r="H11" s="188">
        <f>Assumptions!H17</f>
        <v>0.17629644009803683</v>
      </c>
      <c r="I11" s="188">
        <f>Assumptions!I17</f>
        <v>0.17629644009803683</v>
      </c>
      <c r="J11" s="188">
        <f>Assumptions!J17</f>
        <v>0.17629644009803683</v>
      </c>
      <c r="K11" s="188">
        <f>Assumptions!K17</f>
        <v>0.17629644009803683</v>
      </c>
      <c r="L11" s="188">
        <f>Assumptions!L17</f>
        <v>0.17629644009803683</v>
      </c>
      <c r="M11" s="188">
        <f>Assumptions!M17</f>
        <v>0.17629644009803683</v>
      </c>
      <c r="N11" s="224"/>
      <c r="O11" s="224"/>
    </row>
    <row r="12" spans="1:15" x14ac:dyDescent="0.25">
      <c r="B12" s="4" t="s">
        <v>236</v>
      </c>
      <c r="C12" s="132"/>
      <c r="D12" s="132"/>
      <c r="E12" s="360"/>
      <c r="F12" s="361">
        <f>Assumptions!F18</f>
        <v>3.32</v>
      </c>
      <c r="G12" s="361">
        <f>Assumptions!G18</f>
        <v>3.32</v>
      </c>
      <c r="H12" s="361">
        <f>Assumptions!H18</f>
        <v>3.32</v>
      </c>
      <c r="I12" s="361">
        <f>Assumptions!I18</f>
        <v>3.32</v>
      </c>
      <c r="J12" s="361">
        <f>Assumptions!J18</f>
        <v>3.32</v>
      </c>
      <c r="K12" s="361">
        <f>Assumptions!K18</f>
        <v>3.32</v>
      </c>
      <c r="L12" s="361">
        <f>Assumptions!L18</f>
        <v>3.32</v>
      </c>
      <c r="M12" s="361">
        <f>Assumptions!M18</f>
        <v>3.32</v>
      </c>
      <c r="N12" s="227"/>
      <c r="O12" s="227"/>
    </row>
    <row r="13" spans="1:15" x14ac:dyDescent="0.25">
      <c r="B13" s="4" t="s">
        <v>49</v>
      </c>
      <c r="C13" s="32"/>
      <c r="D13" s="32"/>
      <c r="E13" s="41"/>
      <c r="F13" s="190">
        <f>Assumptions!F19</f>
        <v>7433</v>
      </c>
      <c r="G13" s="190">
        <f>Assumptions!G19</f>
        <v>7433</v>
      </c>
      <c r="H13" s="190">
        <f>Assumptions!H19</f>
        <v>7433</v>
      </c>
      <c r="I13" s="190">
        <f>Assumptions!I19</f>
        <v>7433</v>
      </c>
      <c r="J13" s="190">
        <f>Assumptions!J19</f>
        <v>7433</v>
      </c>
      <c r="K13" s="190">
        <f>Assumptions!K19</f>
        <v>7433</v>
      </c>
      <c r="L13" s="190">
        <f>Assumptions!L19</f>
        <v>7433</v>
      </c>
      <c r="M13" s="190">
        <f>Assumptions!M19</f>
        <v>7433</v>
      </c>
      <c r="N13" s="226"/>
      <c r="O13" s="226"/>
    </row>
    <row r="14" spans="1:15" x14ac:dyDescent="0.25">
      <c r="B14" s="4" t="s">
        <v>50</v>
      </c>
      <c r="C14" s="32"/>
      <c r="D14" s="32"/>
      <c r="E14" s="41"/>
      <c r="F14" s="190">
        <f>Assumptions!F20</f>
        <v>7465</v>
      </c>
      <c r="G14" s="190">
        <f>Assumptions!G20</f>
        <v>7465</v>
      </c>
      <c r="H14" s="190">
        <f>Assumptions!H20</f>
        <v>7465</v>
      </c>
      <c r="I14" s="190">
        <f>Assumptions!I20</f>
        <v>7465</v>
      </c>
      <c r="J14" s="190">
        <f>Assumptions!J20</f>
        <v>7465</v>
      </c>
      <c r="K14" s="190">
        <f>Assumptions!K20</f>
        <v>7465</v>
      </c>
      <c r="L14" s="190">
        <f>Assumptions!L20</f>
        <v>7465</v>
      </c>
      <c r="M14" s="190">
        <f>Assumptions!M20</f>
        <v>7465</v>
      </c>
      <c r="N14" s="226"/>
      <c r="O14" s="226"/>
    </row>
    <row r="15" spans="1:15" x14ac:dyDescent="0.2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4.85" customHeight="1" x14ac:dyDescent="0.25">
      <c r="A16" s="191" t="s">
        <v>42</v>
      </c>
      <c r="B16" s="192"/>
      <c r="C16" s="316">
        <f>C2</f>
        <v>2023</v>
      </c>
      <c r="D16" s="316">
        <f t="shared" ref="D16:M16" si="1">D2</f>
        <v>2024</v>
      </c>
      <c r="E16" s="316">
        <f t="shared" si="1"/>
        <v>2025</v>
      </c>
      <c r="F16" s="316">
        <f t="shared" si="1"/>
        <v>2026</v>
      </c>
      <c r="G16" s="316">
        <f t="shared" si="1"/>
        <v>2027</v>
      </c>
      <c r="H16" s="316">
        <f t="shared" si="1"/>
        <v>2028</v>
      </c>
      <c r="I16" s="316">
        <f t="shared" si="1"/>
        <v>2029</v>
      </c>
      <c r="J16" s="316">
        <f t="shared" si="1"/>
        <v>2030</v>
      </c>
      <c r="K16" s="316">
        <f t="shared" si="1"/>
        <v>2031</v>
      </c>
      <c r="L16" s="316">
        <f t="shared" si="1"/>
        <v>2032</v>
      </c>
      <c r="M16" s="316">
        <f t="shared" si="1"/>
        <v>2033</v>
      </c>
      <c r="N16" s="221"/>
      <c r="O16" s="221"/>
    </row>
    <row r="17" spans="1:15" x14ac:dyDescent="0.25">
      <c r="B17" s="4" t="s">
        <v>51</v>
      </c>
      <c r="C17" s="99">
        <v>211915</v>
      </c>
      <c r="D17" s="124">
        <v>245122</v>
      </c>
      <c r="E17" s="24">
        <v>281724</v>
      </c>
      <c r="F17" s="4">
        <f>E17*(1+F4)</f>
        <v>325502.99427877186</v>
      </c>
      <c r="G17" s="4">
        <f t="shared" ref="G17:M17" si="2">F17*(1+G4)</f>
        <v>380581.83326801186</v>
      </c>
      <c r="H17" s="4">
        <f t="shared" si="2"/>
        <v>443740.06441135821</v>
      </c>
      <c r="I17" s="4">
        <f t="shared" si="2"/>
        <v>514899.6446952913</v>
      </c>
      <c r="J17" s="4">
        <f t="shared" si="2"/>
        <v>593576.43068692833</v>
      </c>
      <c r="K17" s="4">
        <f t="shared" si="2"/>
        <v>678867.3159023535</v>
      </c>
      <c r="L17" s="4">
        <f t="shared" si="2"/>
        <v>769497.21643427631</v>
      </c>
      <c r="M17" s="4">
        <f t="shared" si="2"/>
        <v>863937.59273781965</v>
      </c>
    </row>
    <row r="18" spans="1:15" x14ac:dyDescent="0.25">
      <c r="B18" s="4" t="s">
        <v>158</v>
      </c>
      <c r="C18" s="124">
        <v>65863</v>
      </c>
      <c r="D18" s="124">
        <v>74114</v>
      </c>
      <c r="E18" s="24">
        <v>87831</v>
      </c>
      <c r="F18" s="186">
        <f>F17*F5</f>
        <v>101479.65203709592</v>
      </c>
      <c r="G18" s="186">
        <f t="shared" ref="G18:M18" si="3">G17*G5</f>
        <v>118651.17277109069</v>
      </c>
      <c r="H18" s="186">
        <f t="shared" si="3"/>
        <v>138341.5456166816</v>
      </c>
      <c r="I18" s="186">
        <f t="shared" si="3"/>
        <v>160526.43968292419</v>
      </c>
      <c r="J18" s="186">
        <f t="shared" si="3"/>
        <v>185054.91716596246</v>
      </c>
      <c r="K18" s="186">
        <f t="shared" si="3"/>
        <v>211645.42326184353</v>
      </c>
      <c r="L18" s="186">
        <f t="shared" si="3"/>
        <v>239900.43452683807</v>
      </c>
      <c r="M18" s="186">
        <f t="shared" si="3"/>
        <v>269343.40953470574</v>
      </c>
      <c r="N18" s="223"/>
      <c r="O18" s="223"/>
    </row>
    <row r="19" spans="1:15" x14ac:dyDescent="0.25">
      <c r="B19" s="4" t="s">
        <v>180</v>
      </c>
      <c r="C19" s="124">
        <v>27195</v>
      </c>
      <c r="D19" s="124">
        <v>29510</v>
      </c>
      <c r="E19" s="24">
        <v>32488</v>
      </c>
      <c r="F19" s="186">
        <f>F17*F6</f>
        <v>37536.529646493524</v>
      </c>
      <c r="G19" s="186">
        <f t="shared" ref="G19:M19" si="4">G17*G6</f>
        <v>43888.140872666758</v>
      </c>
      <c r="H19" s="186">
        <f t="shared" si="4"/>
        <v>51171.455795729882</v>
      </c>
      <c r="I19" s="186">
        <f t="shared" si="4"/>
        <v>59377.474609407167</v>
      </c>
      <c r="J19" s="186">
        <f t="shared" si="4"/>
        <v>68450.366600491718</v>
      </c>
      <c r="K19" s="186">
        <f t="shared" si="4"/>
        <v>78285.986848957356</v>
      </c>
      <c r="L19" s="186">
        <f t="shared" si="4"/>
        <v>88737.294541880605</v>
      </c>
      <c r="M19" s="186">
        <f t="shared" si="4"/>
        <v>99628.02073258326</v>
      </c>
      <c r="N19" s="223"/>
      <c r="O19" s="223"/>
    </row>
    <row r="20" spans="1:15" x14ac:dyDescent="0.25">
      <c r="B20" s="4" t="s">
        <v>52</v>
      </c>
      <c r="C20" s="124">
        <f>22759+7575</f>
        <v>30334</v>
      </c>
      <c r="D20" s="124">
        <f>24456+7609</f>
        <v>32065</v>
      </c>
      <c r="E20" s="24">
        <f>25654+7223</f>
        <v>32877</v>
      </c>
      <c r="F20" s="186">
        <f>F17*F7</f>
        <v>37985.978982632587</v>
      </c>
      <c r="G20" s="186">
        <f t="shared" ref="G20:M20" si="5">G17*G7</f>
        <v>44413.642190059865</v>
      </c>
      <c r="H20" s="186">
        <f t="shared" si="5"/>
        <v>51784.164990033591</v>
      </c>
      <c r="I20" s="186">
        <f t="shared" si="5"/>
        <v>60088.439815731326</v>
      </c>
      <c r="J20" s="186">
        <f t="shared" si="5"/>
        <v>69269.967456425948</v>
      </c>
      <c r="K20" s="186">
        <f t="shared" si="5"/>
        <v>79223.355997081104</v>
      </c>
      <c r="L20" s="186">
        <f t="shared" si="5"/>
        <v>89799.804009277534</v>
      </c>
      <c r="M20" s="186">
        <f t="shared" si="5"/>
        <v>100820.93196334461</v>
      </c>
      <c r="N20" s="223"/>
      <c r="O20" s="223"/>
    </row>
    <row r="21" spans="1:15" s="11" customFormat="1" x14ac:dyDescent="0.25">
      <c r="A21" s="11" t="s">
        <v>126</v>
      </c>
      <c r="B21" s="18" t="s">
        <v>55</v>
      </c>
      <c r="C21" s="19">
        <f>C17-SUM(C18:C20)</f>
        <v>88523</v>
      </c>
      <c r="D21" s="19">
        <f t="shared" ref="D21:F21" si="6">D17-SUM(D18:D20)</f>
        <v>109433</v>
      </c>
      <c r="E21" s="19">
        <f t="shared" si="6"/>
        <v>128528</v>
      </c>
      <c r="F21" s="19">
        <f t="shared" si="6"/>
        <v>148500.83361254982</v>
      </c>
      <c r="G21" s="19">
        <f t="shared" ref="G21:M21" si="7">G17-SUM(G18:G20)</f>
        <v>173628.87743419455</v>
      </c>
      <c r="H21" s="19">
        <f t="shared" si="7"/>
        <v>202442.89800891315</v>
      </c>
      <c r="I21" s="19">
        <f t="shared" si="7"/>
        <v>234907.29058722861</v>
      </c>
      <c r="J21" s="19">
        <f t="shared" si="7"/>
        <v>270801.17946404824</v>
      </c>
      <c r="K21" s="19">
        <f t="shared" si="7"/>
        <v>309712.54979447153</v>
      </c>
      <c r="L21" s="19">
        <f t="shared" si="7"/>
        <v>351059.68335628009</v>
      </c>
      <c r="M21" s="19">
        <f t="shared" si="7"/>
        <v>394145.23050718603</v>
      </c>
    </row>
    <row r="22" spans="1:15" s="11" customFormat="1" x14ac:dyDescent="0.25">
      <c r="E22" s="37"/>
    </row>
    <row r="23" spans="1:15" s="11" customFormat="1" x14ac:dyDescent="0.25">
      <c r="B23" s="4" t="s">
        <v>15</v>
      </c>
      <c r="C23" s="125">
        <v>13861</v>
      </c>
      <c r="D23" s="125">
        <v>22287</v>
      </c>
      <c r="E23" s="27">
        <v>34153</v>
      </c>
      <c r="F23" s="4">
        <f>Calcs!F8</f>
        <v>50778.920473368191</v>
      </c>
      <c r="G23" s="4">
        <f>Calcs!G8</f>
        <v>56820.928550505661</v>
      </c>
      <c r="H23" s="4">
        <f>Calcs!H8</f>
        <v>63187.37726242865</v>
      </c>
      <c r="I23" s="4">
        <f>Calcs!I8</f>
        <v>69816.362539376918</v>
      </c>
      <c r="J23" s="4">
        <f>Calcs!J8</f>
        <v>76575.954427038829</v>
      </c>
      <c r="K23" s="4">
        <f>Calcs!K8</f>
        <v>83264.552951538426</v>
      </c>
      <c r="L23" s="4">
        <f>Calcs!L8</f>
        <v>89617.426875190431</v>
      </c>
      <c r="M23" s="4">
        <f>Calcs!M8</f>
        <v>95320.308655197106</v>
      </c>
      <c r="N23" s="4"/>
      <c r="O23" s="4"/>
    </row>
    <row r="24" spans="1:15" s="11" customFormat="1" x14ac:dyDescent="0.25">
      <c r="B24" s="4" t="s">
        <v>54</v>
      </c>
      <c r="C24" s="99">
        <v>0</v>
      </c>
      <c r="D24" s="99">
        <v>0</v>
      </c>
      <c r="E24" s="126">
        <v>0</v>
      </c>
      <c r="F24" s="4">
        <f>F8</f>
        <v>0</v>
      </c>
      <c r="G24" s="4">
        <f t="shared" ref="G24:M24" si="8">G8</f>
        <v>0</v>
      </c>
      <c r="H24" s="4">
        <f t="shared" si="8"/>
        <v>0</v>
      </c>
      <c r="I24" s="4">
        <f t="shared" si="8"/>
        <v>0</v>
      </c>
      <c r="J24" s="4">
        <f t="shared" si="8"/>
        <v>0</v>
      </c>
      <c r="K24" s="4">
        <f t="shared" si="8"/>
        <v>0</v>
      </c>
      <c r="L24" s="4">
        <f t="shared" si="8"/>
        <v>0</v>
      </c>
      <c r="M24" s="4">
        <f t="shared" si="8"/>
        <v>0</v>
      </c>
      <c r="N24" s="4"/>
      <c r="O24" s="4"/>
    </row>
    <row r="25" spans="1:15" s="129" customFormat="1" x14ac:dyDescent="0.25">
      <c r="A25" s="129" t="s">
        <v>126</v>
      </c>
      <c r="B25" s="130" t="s">
        <v>53</v>
      </c>
      <c r="C25" s="131">
        <f>C21+C23</f>
        <v>102384</v>
      </c>
      <c r="D25" s="131">
        <f t="shared" ref="D25:F25" si="9">D21+D23</f>
        <v>131720</v>
      </c>
      <c r="E25" s="131">
        <f t="shared" si="9"/>
        <v>162681</v>
      </c>
      <c r="F25" s="131">
        <f t="shared" si="9"/>
        <v>199279.75408591802</v>
      </c>
      <c r="G25" s="131">
        <f t="shared" ref="G25:M25" si="10">G21+G23</f>
        <v>230449.80598470022</v>
      </c>
      <c r="H25" s="131">
        <f t="shared" si="10"/>
        <v>265630.27527134179</v>
      </c>
      <c r="I25" s="131">
        <f t="shared" si="10"/>
        <v>304723.65312660555</v>
      </c>
      <c r="J25" s="131">
        <f t="shared" si="10"/>
        <v>347377.13389108708</v>
      </c>
      <c r="K25" s="131">
        <f t="shared" si="10"/>
        <v>392977.10274600994</v>
      </c>
      <c r="L25" s="131">
        <f t="shared" si="10"/>
        <v>440677.11023147055</v>
      </c>
      <c r="M25" s="131">
        <f t="shared" si="10"/>
        <v>489465.53916238312</v>
      </c>
    </row>
    <row r="26" spans="1:15" s="11" customFormat="1" x14ac:dyDescent="0.25">
      <c r="C26" s="14"/>
      <c r="D26" s="4"/>
      <c r="E26" s="38"/>
      <c r="F26" s="4"/>
      <c r="G26" s="4"/>
      <c r="H26" s="4"/>
      <c r="I26" s="4"/>
      <c r="J26" s="4"/>
      <c r="K26" s="4"/>
      <c r="L26" s="4"/>
      <c r="M26" s="4"/>
      <c r="N26" s="14"/>
      <c r="O26" s="14"/>
    </row>
    <row r="27" spans="1:15" s="11" customFormat="1" x14ac:dyDescent="0.25">
      <c r="B27" s="4" t="s">
        <v>56</v>
      </c>
      <c r="C27" s="97">
        <v>0</v>
      </c>
      <c r="D27" s="97">
        <v>0</v>
      </c>
      <c r="E27" s="98">
        <v>0</v>
      </c>
      <c r="F27" s="4">
        <f>F9</f>
        <v>0</v>
      </c>
      <c r="G27" s="4">
        <f t="shared" ref="G27:M27" si="11">G9</f>
        <v>0</v>
      </c>
      <c r="H27" s="4">
        <f t="shared" si="11"/>
        <v>0</v>
      </c>
      <c r="I27" s="4">
        <f t="shared" si="11"/>
        <v>0</v>
      </c>
      <c r="J27" s="4">
        <f t="shared" si="11"/>
        <v>0</v>
      </c>
      <c r="K27" s="4">
        <f t="shared" si="11"/>
        <v>0</v>
      </c>
      <c r="L27" s="4">
        <f t="shared" si="11"/>
        <v>0</v>
      </c>
      <c r="M27" s="4">
        <f t="shared" si="11"/>
        <v>0</v>
      </c>
      <c r="N27" s="4"/>
      <c r="O27" s="4"/>
    </row>
    <row r="28" spans="1:15" s="11" customFormat="1" x14ac:dyDescent="0.25">
      <c r="B28" s="4" t="s">
        <v>57</v>
      </c>
      <c r="C28" s="97">
        <v>788</v>
      </c>
      <c r="D28" s="97">
        <v>-1646</v>
      </c>
      <c r="E28" s="98">
        <v>-4901</v>
      </c>
      <c r="F28" s="4">
        <f>F10</f>
        <v>0</v>
      </c>
      <c r="G28" s="4">
        <f t="shared" ref="G28:M28" si="12">G10</f>
        <v>0</v>
      </c>
      <c r="H28" s="4">
        <f t="shared" si="12"/>
        <v>0</v>
      </c>
      <c r="I28" s="4">
        <f t="shared" si="12"/>
        <v>0</v>
      </c>
      <c r="J28" s="4">
        <f t="shared" si="12"/>
        <v>0</v>
      </c>
      <c r="K28" s="4">
        <f t="shared" si="12"/>
        <v>0</v>
      </c>
      <c r="L28" s="4">
        <f t="shared" si="12"/>
        <v>0</v>
      </c>
      <c r="M28" s="4">
        <f t="shared" si="12"/>
        <v>0</v>
      </c>
      <c r="N28" s="4"/>
      <c r="O28" s="4"/>
    </row>
    <row r="29" spans="1:15" s="11" customFormat="1" x14ac:dyDescent="0.25">
      <c r="B29" s="4"/>
      <c r="C29" s="10"/>
      <c r="D29" s="10"/>
      <c r="E29" s="2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s="11" customFormat="1" x14ac:dyDescent="0.25">
      <c r="B30" s="4" t="s">
        <v>41</v>
      </c>
      <c r="C30" s="9">
        <v>0</v>
      </c>
      <c r="D30" s="9">
        <v>0</v>
      </c>
      <c r="E30" s="47">
        <v>0</v>
      </c>
      <c r="F30" s="362"/>
      <c r="G30" s="362"/>
      <c r="H30" s="362"/>
      <c r="I30" s="362"/>
      <c r="J30" s="362"/>
      <c r="K30" s="362"/>
      <c r="L30" s="362"/>
      <c r="M30" s="362"/>
      <c r="N30" s="195"/>
      <c r="O30" s="195"/>
    </row>
    <row r="31" spans="1:15" x14ac:dyDescent="0.25">
      <c r="B31" s="4" t="s">
        <v>33</v>
      </c>
      <c r="C31" s="9">
        <v>0</v>
      </c>
      <c r="D31" s="9">
        <v>0</v>
      </c>
      <c r="E31" s="47">
        <v>0</v>
      </c>
      <c r="F31" s="362"/>
      <c r="G31" s="362"/>
      <c r="H31" s="362"/>
      <c r="I31" s="362"/>
      <c r="J31" s="362"/>
      <c r="K31" s="362"/>
      <c r="L31" s="362"/>
      <c r="M31" s="362"/>
      <c r="N31" s="195"/>
      <c r="O31" s="195"/>
    </row>
    <row r="32" spans="1:15" x14ac:dyDescent="0.25">
      <c r="C32" s="10"/>
      <c r="D32" s="10"/>
      <c r="E32" s="24"/>
      <c r="H32" s="4"/>
    </row>
    <row r="33" spans="1:15" s="11" customFormat="1" x14ac:dyDescent="0.25">
      <c r="A33" s="11" t="s">
        <v>126</v>
      </c>
      <c r="B33" s="18" t="s">
        <v>86</v>
      </c>
      <c r="C33" s="19">
        <f t="shared" ref="C33:D33" si="13">C21+SUM(C28:C31)</f>
        <v>89311</v>
      </c>
      <c r="D33" s="19">
        <f t="shared" si="13"/>
        <v>107787</v>
      </c>
      <c r="E33" s="19">
        <f>E21+SUM(E27:E31)</f>
        <v>123627</v>
      </c>
      <c r="F33" s="19">
        <f>F21+SUM(F27:F31)</f>
        <v>148500.83361254982</v>
      </c>
      <c r="G33" s="19">
        <f t="shared" ref="G33:M33" si="14">G21+SUM(G27:G31)</f>
        <v>173628.87743419455</v>
      </c>
      <c r="H33" s="19">
        <f t="shared" si="14"/>
        <v>202442.89800891315</v>
      </c>
      <c r="I33" s="19">
        <f t="shared" si="14"/>
        <v>234907.29058722861</v>
      </c>
      <c r="J33" s="19">
        <f t="shared" si="14"/>
        <v>270801.17946404824</v>
      </c>
      <c r="K33" s="19">
        <f t="shared" si="14"/>
        <v>309712.54979447153</v>
      </c>
      <c r="L33" s="19">
        <f t="shared" si="14"/>
        <v>351059.68335628009</v>
      </c>
      <c r="M33" s="19">
        <f t="shared" si="14"/>
        <v>394145.23050718603</v>
      </c>
    </row>
    <row r="34" spans="1:15" x14ac:dyDescent="0.25">
      <c r="E34" s="39"/>
      <c r="H34" s="4"/>
    </row>
    <row r="35" spans="1:15" x14ac:dyDescent="0.25">
      <c r="B35" s="4" t="s">
        <v>58</v>
      </c>
      <c r="C35" s="133">
        <v>16950</v>
      </c>
      <c r="D35" s="4">
        <v>19561</v>
      </c>
      <c r="E35" s="60">
        <v>21795</v>
      </c>
      <c r="F35" s="4">
        <f>F33*F11</f>
        <v>26180.168317483422</v>
      </c>
      <c r="G35" s="4">
        <f t="shared" ref="G35:M35" si="15">G33*G11</f>
        <v>30610.15298986686</v>
      </c>
      <c r="H35" s="4">
        <f t="shared" si="15"/>
        <v>35689.962242101334</v>
      </c>
      <c r="I35" s="4">
        <f t="shared" si="15"/>
        <v>41413.319083603477</v>
      </c>
      <c r="J35" s="4">
        <f t="shared" si="15"/>
        <v>47741.283913861298</v>
      </c>
      <c r="K35" s="4">
        <f t="shared" si="15"/>
        <v>54601.219982451301</v>
      </c>
      <c r="L35" s="4">
        <f t="shared" si="15"/>
        <v>61890.572437656207</v>
      </c>
      <c r="M35" s="4">
        <f t="shared" si="15"/>
        <v>69486.401020037039</v>
      </c>
    </row>
    <row r="36" spans="1:15" s="11" customFormat="1" x14ac:dyDescent="0.25">
      <c r="A36" s="11" t="s">
        <v>126</v>
      </c>
      <c r="B36" s="18" t="s">
        <v>59</v>
      </c>
      <c r="C36" s="19">
        <f>C33-C35</f>
        <v>72361</v>
      </c>
      <c r="D36" s="19">
        <f t="shared" ref="D36:F36" si="16">D33-D35</f>
        <v>88226</v>
      </c>
      <c r="E36" s="19">
        <f t="shared" si="16"/>
        <v>101832</v>
      </c>
      <c r="F36" s="19">
        <f t="shared" si="16"/>
        <v>122320.6652950664</v>
      </c>
      <c r="G36" s="19">
        <f t="shared" ref="G36:M36" si="17">G33-G35</f>
        <v>143018.7244443277</v>
      </c>
      <c r="H36" s="19">
        <f t="shared" si="17"/>
        <v>166752.93576681183</v>
      </c>
      <c r="I36" s="19">
        <f t="shared" si="17"/>
        <v>193493.97150362513</v>
      </c>
      <c r="J36" s="19">
        <f t="shared" si="17"/>
        <v>223059.89555018695</v>
      </c>
      <c r="K36" s="19">
        <f t="shared" si="17"/>
        <v>255111.32981202024</v>
      </c>
      <c r="L36" s="19">
        <f t="shared" si="17"/>
        <v>289169.11091862386</v>
      </c>
      <c r="M36" s="19">
        <f t="shared" si="17"/>
        <v>324658.82948714902</v>
      </c>
    </row>
    <row r="37" spans="1:15" x14ac:dyDescent="0.25">
      <c r="B37" s="11"/>
      <c r="C37" s="11"/>
      <c r="D37" s="11"/>
      <c r="E37" s="37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pans="1:15" x14ac:dyDescent="0.25">
      <c r="B38" s="4" t="s">
        <v>236</v>
      </c>
      <c r="C38" s="124">
        <f t="shared" ref="C38:D38" si="18">C39/C41</f>
        <v>2.6591458501208702</v>
      </c>
      <c r="D38" s="124">
        <f t="shared" si="18"/>
        <v>2.9297537343560758</v>
      </c>
      <c r="E38" s="24">
        <f>E39/E41</f>
        <v>3.239876227633526</v>
      </c>
      <c r="F38" s="4">
        <f>F12</f>
        <v>3.32</v>
      </c>
      <c r="G38" s="4">
        <f t="shared" ref="G38:M38" si="19">G12</f>
        <v>3.32</v>
      </c>
      <c r="H38" s="4">
        <f t="shared" si="19"/>
        <v>3.32</v>
      </c>
      <c r="I38" s="4">
        <f t="shared" si="19"/>
        <v>3.32</v>
      </c>
      <c r="J38" s="4">
        <f t="shared" si="19"/>
        <v>3.32</v>
      </c>
      <c r="K38" s="4">
        <f t="shared" si="19"/>
        <v>3.32</v>
      </c>
      <c r="L38" s="4">
        <f t="shared" si="19"/>
        <v>3.32</v>
      </c>
      <c r="M38" s="4">
        <f t="shared" si="19"/>
        <v>3.32</v>
      </c>
    </row>
    <row r="39" spans="1:15" x14ac:dyDescent="0.25">
      <c r="B39" s="4" t="s">
        <v>60</v>
      </c>
      <c r="C39" s="335">
        <v>19800</v>
      </c>
      <c r="D39" s="335">
        <v>21771</v>
      </c>
      <c r="E39" s="336">
        <v>24082</v>
      </c>
      <c r="F39" s="132">
        <f>F38*F41</f>
        <v>24677.559999999998</v>
      </c>
      <c r="G39" s="132">
        <f t="shared" ref="G39:M39" si="20">G38*G41</f>
        <v>24677.559999999998</v>
      </c>
      <c r="H39" s="132">
        <f t="shared" si="20"/>
        <v>24677.559999999998</v>
      </c>
      <c r="I39" s="132">
        <f t="shared" si="20"/>
        <v>24677.559999999998</v>
      </c>
      <c r="J39" s="132">
        <f t="shared" si="20"/>
        <v>24677.559999999998</v>
      </c>
      <c r="K39" s="132">
        <f t="shared" si="20"/>
        <v>24677.559999999998</v>
      </c>
      <c r="L39" s="132">
        <f t="shared" si="20"/>
        <v>24677.559999999998</v>
      </c>
      <c r="M39" s="132">
        <f t="shared" si="20"/>
        <v>24677.559999999998</v>
      </c>
    </row>
    <row r="40" spans="1:15" x14ac:dyDescent="0.25">
      <c r="A40" s="22" t="s">
        <v>61</v>
      </c>
      <c r="B40" s="21"/>
      <c r="C40" s="290">
        <v>2023</v>
      </c>
      <c r="D40" s="290">
        <v>2024</v>
      </c>
      <c r="E40" s="290">
        <v>2025</v>
      </c>
      <c r="F40" s="290">
        <v>2026</v>
      </c>
      <c r="G40" s="290">
        <v>2026</v>
      </c>
      <c r="H40" s="290">
        <v>2026</v>
      </c>
      <c r="I40" s="290">
        <v>2026</v>
      </c>
      <c r="J40" s="290">
        <v>2026</v>
      </c>
      <c r="K40" s="290">
        <v>2026</v>
      </c>
      <c r="L40" s="290">
        <v>2026</v>
      </c>
      <c r="M40" s="290">
        <v>2026</v>
      </c>
      <c r="N40" s="218"/>
      <c r="O40" s="218"/>
    </row>
    <row r="41" spans="1:15" x14ac:dyDescent="0.25">
      <c r="B41" s="4" t="s">
        <v>49</v>
      </c>
      <c r="C41" s="10">
        <v>7446</v>
      </c>
      <c r="D41" s="10">
        <v>7431</v>
      </c>
      <c r="E41" s="24">
        <v>7433</v>
      </c>
      <c r="F41" s="187">
        <f>F13</f>
        <v>7433</v>
      </c>
      <c r="G41" s="187">
        <f t="shared" ref="G41:M41" si="21">G13</f>
        <v>7433</v>
      </c>
      <c r="H41" s="187">
        <f t="shared" si="21"/>
        <v>7433</v>
      </c>
      <c r="I41" s="187">
        <f t="shared" si="21"/>
        <v>7433</v>
      </c>
      <c r="J41" s="187">
        <f t="shared" si="21"/>
        <v>7433</v>
      </c>
      <c r="K41" s="187">
        <f t="shared" si="21"/>
        <v>7433</v>
      </c>
      <c r="L41" s="187">
        <f t="shared" si="21"/>
        <v>7433</v>
      </c>
      <c r="M41" s="187">
        <f t="shared" si="21"/>
        <v>7433</v>
      </c>
      <c r="N41" s="223"/>
      <c r="O41" s="223"/>
    </row>
    <row r="42" spans="1:15" x14ac:dyDescent="0.25">
      <c r="B42" s="4" t="s">
        <v>50</v>
      </c>
      <c r="C42" s="10">
        <v>7472</v>
      </c>
      <c r="D42" s="10">
        <v>7469</v>
      </c>
      <c r="E42" s="24">
        <v>7465</v>
      </c>
      <c r="F42" s="187">
        <f>F14</f>
        <v>7465</v>
      </c>
      <c r="G42" s="187">
        <f t="shared" ref="G42:M42" si="22">G14</f>
        <v>7465</v>
      </c>
      <c r="H42" s="187">
        <f t="shared" si="22"/>
        <v>7465</v>
      </c>
      <c r="I42" s="187">
        <f t="shared" si="22"/>
        <v>7465</v>
      </c>
      <c r="J42" s="187">
        <f t="shared" si="22"/>
        <v>7465</v>
      </c>
      <c r="K42" s="187">
        <f t="shared" si="22"/>
        <v>7465</v>
      </c>
      <c r="L42" s="187">
        <f t="shared" si="22"/>
        <v>7465</v>
      </c>
      <c r="M42" s="187">
        <f t="shared" si="22"/>
        <v>7465</v>
      </c>
      <c r="N42" s="223"/>
      <c r="O42" s="223"/>
    </row>
    <row r="43" spans="1:15" x14ac:dyDescent="0.25">
      <c r="B43" s="4" t="s">
        <v>62</v>
      </c>
      <c r="C43" s="194">
        <f>C36/C41</f>
        <v>9.7181036798280953</v>
      </c>
      <c r="D43" s="194">
        <f t="shared" ref="D43:E43" si="23">D36/D41</f>
        <v>11.872695464944153</v>
      </c>
      <c r="E43" s="334">
        <f t="shared" si="23"/>
        <v>13.699986546481904</v>
      </c>
      <c r="F43" s="363">
        <f t="shared" ref="F43:M43" si="24">F36/F41</f>
        <v>16.456432839373928</v>
      </c>
      <c r="G43" s="363">
        <f t="shared" si="24"/>
        <v>19.24104997232984</v>
      </c>
      <c r="H43" s="363">
        <f t="shared" si="24"/>
        <v>22.434136387301471</v>
      </c>
      <c r="I43" s="363">
        <f t="shared" si="24"/>
        <v>26.031746468939208</v>
      </c>
      <c r="J43" s="363">
        <f t="shared" si="24"/>
        <v>30.009403410491988</v>
      </c>
      <c r="K43" s="363">
        <f t="shared" si="24"/>
        <v>34.321448918608937</v>
      </c>
      <c r="L43" s="363">
        <f t="shared" si="24"/>
        <v>38.903418662535159</v>
      </c>
      <c r="M43" s="363">
        <f t="shared" si="24"/>
        <v>43.678034372009826</v>
      </c>
      <c r="N43" s="223"/>
      <c r="O43" s="223"/>
    </row>
    <row r="44" spans="1:15" s="11" customFormat="1" x14ac:dyDescent="0.25">
      <c r="A44" s="11" t="s">
        <v>126</v>
      </c>
      <c r="B44" s="18" t="s">
        <v>63</v>
      </c>
      <c r="C44" s="193">
        <f>C36/C42</f>
        <v>9.6842880085653107</v>
      </c>
      <c r="D44" s="193">
        <f t="shared" ref="D44:E44" si="25">D36/D42</f>
        <v>11.812290801981524</v>
      </c>
      <c r="E44" s="193">
        <f t="shared" si="25"/>
        <v>13.64125920964501</v>
      </c>
      <c r="F44" s="193">
        <f t="shared" ref="F44:M44" si="26">F36/F42</f>
        <v>16.385889523786524</v>
      </c>
      <c r="G44" s="193">
        <f t="shared" si="26"/>
        <v>19.158569918865062</v>
      </c>
      <c r="H44" s="193">
        <f t="shared" si="26"/>
        <v>22.337968622479817</v>
      </c>
      <c r="I44" s="193">
        <f t="shared" si="26"/>
        <v>25.920156932836587</v>
      </c>
      <c r="J44" s="193">
        <f t="shared" si="26"/>
        <v>29.880762967205218</v>
      </c>
      <c r="K44" s="193">
        <f t="shared" si="26"/>
        <v>34.174324154322875</v>
      </c>
      <c r="L44" s="193">
        <f t="shared" si="26"/>
        <v>38.736652500820341</v>
      </c>
      <c r="M44" s="193">
        <f t="shared" si="26"/>
        <v>43.490801002967046</v>
      </c>
      <c r="N44" s="228"/>
      <c r="O44" s="228"/>
    </row>
    <row r="45" spans="1:15" x14ac:dyDescent="0.25">
      <c r="C45" s="15"/>
      <c r="D45" s="15"/>
      <c r="E45" s="40"/>
      <c r="F45" s="15"/>
      <c r="G45" s="15"/>
      <c r="H45" s="15"/>
      <c r="I45" s="15"/>
      <c r="J45" s="15"/>
    </row>
    <row r="46" spans="1:15" x14ac:dyDescent="0.25">
      <c r="D46" s="15"/>
      <c r="E46" s="15"/>
      <c r="F46" s="15"/>
    </row>
  </sheetData>
  <conditionalFormatting sqref="F4:O14">
    <cfRule type="expression" dxfId="1" priority="29">
      <formula>$E$13&gt;1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O57"/>
  <sheetViews>
    <sheetView showGridLines="0" topLeftCell="B1" zoomScaleNormal="100" workbookViewId="0">
      <selection activeCell="G4" sqref="G4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8" width="11.7109375" style="4" customWidth="1"/>
    <col min="9" max="10" width="11.7109375" style="6" customWidth="1"/>
    <col min="11" max="13" width="11.7109375" style="4" customWidth="1"/>
    <col min="14" max="256" width="8.85546875" style="4"/>
    <col min="257" max="257" width="1.7109375" style="4" customWidth="1"/>
    <col min="258" max="258" width="42.85546875" style="4" customWidth="1"/>
    <col min="259" max="264" width="10.7109375" style="4" customWidth="1"/>
    <col min="265" max="266" width="9.42578125" style="4" bestFit="1" customWidth="1"/>
    <col min="267" max="512" width="8.85546875" style="4"/>
    <col min="513" max="513" width="1.7109375" style="4" customWidth="1"/>
    <col min="514" max="514" width="42.85546875" style="4" customWidth="1"/>
    <col min="515" max="520" width="10.7109375" style="4" customWidth="1"/>
    <col min="521" max="522" width="9.42578125" style="4" bestFit="1" customWidth="1"/>
    <col min="523" max="768" width="8.85546875" style="4"/>
    <col min="769" max="769" width="1.7109375" style="4" customWidth="1"/>
    <col min="770" max="770" width="42.85546875" style="4" customWidth="1"/>
    <col min="771" max="776" width="10.7109375" style="4" customWidth="1"/>
    <col min="777" max="778" width="9.42578125" style="4" bestFit="1" customWidth="1"/>
    <col min="779" max="1024" width="8.85546875" style="4"/>
    <col min="1025" max="1025" width="1.7109375" style="4" customWidth="1"/>
    <col min="1026" max="1026" width="42.85546875" style="4" customWidth="1"/>
    <col min="1027" max="1032" width="10.7109375" style="4" customWidth="1"/>
    <col min="1033" max="1034" width="9.42578125" style="4" bestFit="1" customWidth="1"/>
    <col min="1035" max="1280" width="8.85546875" style="4"/>
    <col min="1281" max="1281" width="1.7109375" style="4" customWidth="1"/>
    <col min="1282" max="1282" width="42.85546875" style="4" customWidth="1"/>
    <col min="1283" max="1288" width="10.7109375" style="4" customWidth="1"/>
    <col min="1289" max="1290" width="9.42578125" style="4" bestFit="1" customWidth="1"/>
    <col min="1291" max="1536" width="8.85546875" style="4"/>
    <col min="1537" max="1537" width="1.7109375" style="4" customWidth="1"/>
    <col min="1538" max="1538" width="42.85546875" style="4" customWidth="1"/>
    <col min="1539" max="1544" width="10.7109375" style="4" customWidth="1"/>
    <col min="1545" max="1546" width="9.42578125" style="4" bestFit="1" customWidth="1"/>
    <col min="1547" max="1792" width="8.85546875" style="4"/>
    <col min="1793" max="1793" width="1.7109375" style="4" customWidth="1"/>
    <col min="1794" max="1794" width="42.85546875" style="4" customWidth="1"/>
    <col min="1795" max="1800" width="10.7109375" style="4" customWidth="1"/>
    <col min="1801" max="1802" width="9.42578125" style="4" bestFit="1" customWidth="1"/>
    <col min="1803" max="2048" width="8.85546875" style="4"/>
    <col min="2049" max="2049" width="1.7109375" style="4" customWidth="1"/>
    <col min="2050" max="2050" width="42.85546875" style="4" customWidth="1"/>
    <col min="2051" max="2056" width="10.7109375" style="4" customWidth="1"/>
    <col min="2057" max="2058" width="9.42578125" style="4" bestFit="1" customWidth="1"/>
    <col min="2059" max="2304" width="8.85546875" style="4"/>
    <col min="2305" max="2305" width="1.7109375" style="4" customWidth="1"/>
    <col min="2306" max="2306" width="42.85546875" style="4" customWidth="1"/>
    <col min="2307" max="2312" width="10.7109375" style="4" customWidth="1"/>
    <col min="2313" max="2314" width="9.42578125" style="4" bestFit="1" customWidth="1"/>
    <col min="2315" max="2560" width="8.85546875" style="4"/>
    <col min="2561" max="2561" width="1.7109375" style="4" customWidth="1"/>
    <col min="2562" max="2562" width="42.85546875" style="4" customWidth="1"/>
    <col min="2563" max="2568" width="10.7109375" style="4" customWidth="1"/>
    <col min="2569" max="2570" width="9.42578125" style="4" bestFit="1" customWidth="1"/>
    <col min="2571" max="2816" width="8.85546875" style="4"/>
    <col min="2817" max="2817" width="1.7109375" style="4" customWidth="1"/>
    <col min="2818" max="2818" width="42.85546875" style="4" customWidth="1"/>
    <col min="2819" max="2824" width="10.7109375" style="4" customWidth="1"/>
    <col min="2825" max="2826" width="9.42578125" style="4" bestFit="1" customWidth="1"/>
    <col min="2827" max="3072" width="8.85546875" style="4"/>
    <col min="3073" max="3073" width="1.7109375" style="4" customWidth="1"/>
    <col min="3074" max="3074" width="42.85546875" style="4" customWidth="1"/>
    <col min="3075" max="3080" width="10.7109375" style="4" customWidth="1"/>
    <col min="3081" max="3082" width="9.42578125" style="4" bestFit="1" customWidth="1"/>
    <col min="3083" max="3328" width="8.85546875" style="4"/>
    <col min="3329" max="3329" width="1.7109375" style="4" customWidth="1"/>
    <col min="3330" max="3330" width="42.85546875" style="4" customWidth="1"/>
    <col min="3331" max="3336" width="10.7109375" style="4" customWidth="1"/>
    <col min="3337" max="3338" width="9.42578125" style="4" bestFit="1" customWidth="1"/>
    <col min="3339" max="3584" width="8.85546875" style="4"/>
    <col min="3585" max="3585" width="1.7109375" style="4" customWidth="1"/>
    <col min="3586" max="3586" width="42.85546875" style="4" customWidth="1"/>
    <col min="3587" max="3592" width="10.7109375" style="4" customWidth="1"/>
    <col min="3593" max="3594" width="9.42578125" style="4" bestFit="1" customWidth="1"/>
    <col min="3595" max="3840" width="8.85546875" style="4"/>
    <col min="3841" max="3841" width="1.7109375" style="4" customWidth="1"/>
    <col min="3842" max="3842" width="42.85546875" style="4" customWidth="1"/>
    <col min="3843" max="3848" width="10.7109375" style="4" customWidth="1"/>
    <col min="3849" max="3850" width="9.42578125" style="4" bestFit="1" customWidth="1"/>
    <col min="3851" max="4096" width="8.85546875" style="4"/>
    <col min="4097" max="4097" width="1.7109375" style="4" customWidth="1"/>
    <col min="4098" max="4098" width="42.85546875" style="4" customWidth="1"/>
    <col min="4099" max="4104" width="10.7109375" style="4" customWidth="1"/>
    <col min="4105" max="4106" width="9.42578125" style="4" bestFit="1" customWidth="1"/>
    <col min="4107" max="4352" width="8.85546875" style="4"/>
    <col min="4353" max="4353" width="1.7109375" style="4" customWidth="1"/>
    <col min="4354" max="4354" width="42.85546875" style="4" customWidth="1"/>
    <col min="4355" max="4360" width="10.7109375" style="4" customWidth="1"/>
    <col min="4361" max="4362" width="9.42578125" style="4" bestFit="1" customWidth="1"/>
    <col min="4363" max="4608" width="8.85546875" style="4"/>
    <col min="4609" max="4609" width="1.7109375" style="4" customWidth="1"/>
    <col min="4610" max="4610" width="42.85546875" style="4" customWidth="1"/>
    <col min="4611" max="4616" width="10.7109375" style="4" customWidth="1"/>
    <col min="4617" max="4618" width="9.42578125" style="4" bestFit="1" customWidth="1"/>
    <col min="4619" max="4864" width="8.85546875" style="4"/>
    <col min="4865" max="4865" width="1.7109375" style="4" customWidth="1"/>
    <col min="4866" max="4866" width="42.85546875" style="4" customWidth="1"/>
    <col min="4867" max="4872" width="10.7109375" style="4" customWidth="1"/>
    <col min="4873" max="4874" width="9.42578125" style="4" bestFit="1" customWidth="1"/>
    <col min="4875" max="5120" width="8.85546875" style="4"/>
    <col min="5121" max="5121" width="1.7109375" style="4" customWidth="1"/>
    <col min="5122" max="5122" width="42.85546875" style="4" customWidth="1"/>
    <col min="5123" max="5128" width="10.7109375" style="4" customWidth="1"/>
    <col min="5129" max="5130" width="9.42578125" style="4" bestFit="1" customWidth="1"/>
    <col min="5131" max="5376" width="8.85546875" style="4"/>
    <col min="5377" max="5377" width="1.7109375" style="4" customWidth="1"/>
    <col min="5378" max="5378" width="42.85546875" style="4" customWidth="1"/>
    <col min="5379" max="5384" width="10.7109375" style="4" customWidth="1"/>
    <col min="5385" max="5386" width="9.42578125" style="4" bestFit="1" customWidth="1"/>
    <col min="5387" max="5632" width="8.85546875" style="4"/>
    <col min="5633" max="5633" width="1.7109375" style="4" customWidth="1"/>
    <col min="5634" max="5634" width="42.85546875" style="4" customWidth="1"/>
    <col min="5635" max="5640" width="10.7109375" style="4" customWidth="1"/>
    <col min="5641" max="5642" width="9.42578125" style="4" bestFit="1" customWidth="1"/>
    <col min="5643" max="5888" width="8.85546875" style="4"/>
    <col min="5889" max="5889" width="1.7109375" style="4" customWidth="1"/>
    <col min="5890" max="5890" width="42.85546875" style="4" customWidth="1"/>
    <col min="5891" max="5896" width="10.7109375" style="4" customWidth="1"/>
    <col min="5897" max="5898" width="9.42578125" style="4" bestFit="1" customWidth="1"/>
    <col min="5899" max="6144" width="8.85546875" style="4"/>
    <col min="6145" max="6145" width="1.7109375" style="4" customWidth="1"/>
    <col min="6146" max="6146" width="42.85546875" style="4" customWidth="1"/>
    <col min="6147" max="6152" width="10.7109375" style="4" customWidth="1"/>
    <col min="6153" max="6154" width="9.42578125" style="4" bestFit="1" customWidth="1"/>
    <col min="6155" max="6400" width="8.85546875" style="4"/>
    <col min="6401" max="6401" width="1.7109375" style="4" customWidth="1"/>
    <col min="6402" max="6402" width="42.85546875" style="4" customWidth="1"/>
    <col min="6403" max="6408" width="10.7109375" style="4" customWidth="1"/>
    <col min="6409" max="6410" width="9.42578125" style="4" bestFit="1" customWidth="1"/>
    <col min="6411" max="6656" width="8.85546875" style="4"/>
    <col min="6657" max="6657" width="1.7109375" style="4" customWidth="1"/>
    <col min="6658" max="6658" width="42.85546875" style="4" customWidth="1"/>
    <col min="6659" max="6664" width="10.7109375" style="4" customWidth="1"/>
    <col min="6665" max="6666" width="9.42578125" style="4" bestFit="1" customWidth="1"/>
    <col min="6667" max="6912" width="8.85546875" style="4"/>
    <col min="6913" max="6913" width="1.7109375" style="4" customWidth="1"/>
    <col min="6914" max="6914" width="42.85546875" style="4" customWidth="1"/>
    <col min="6915" max="6920" width="10.7109375" style="4" customWidth="1"/>
    <col min="6921" max="6922" width="9.42578125" style="4" bestFit="1" customWidth="1"/>
    <col min="6923" max="7168" width="8.85546875" style="4"/>
    <col min="7169" max="7169" width="1.7109375" style="4" customWidth="1"/>
    <col min="7170" max="7170" width="42.85546875" style="4" customWidth="1"/>
    <col min="7171" max="7176" width="10.7109375" style="4" customWidth="1"/>
    <col min="7177" max="7178" width="9.42578125" style="4" bestFit="1" customWidth="1"/>
    <col min="7179" max="7424" width="8.85546875" style="4"/>
    <col min="7425" max="7425" width="1.7109375" style="4" customWidth="1"/>
    <col min="7426" max="7426" width="42.85546875" style="4" customWidth="1"/>
    <col min="7427" max="7432" width="10.7109375" style="4" customWidth="1"/>
    <col min="7433" max="7434" width="9.42578125" style="4" bestFit="1" customWidth="1"/>
    <col min="7435" max="7680" width="8.85546875" style="4"/>
    <col min="7681" max="7681" width="1.7109375" style="4" customWidth="1"/>
    <col min="7682" max="7682" width="42.85546875" style="4" customWidth="1"/>
    <col min="7683" max="7688" width="10.7109375" style="4" customWidth="1"/>
    <col min="7689" max="7690" width="9.42578125" style="4" bestFit="1" customWidth="1"/>
    <col min="7691" max="7936" width="8.85546875" style="4"/>
    <col min="7937" max="7937" width="1.7109375" style="4" customWidth="1"/>
    <col min="7938" max="7938" width="42.85546875" style="4" customWidth="1"/>
    <col min="7939" max="7944" width="10.7109375" style="4" customWidth="1"/>
    <col min="7945" max="7946" width="9.42578125" style="4" bestFit="1" customWidth="1"/>
    <col min="7947" max="8192" width="8.85546875" style="4"/>
    <col min="8193" max="8193" width="1.7109375" style="4" customWidth="1"/>
    <col min="8194" max="8194" width="42.85546875" style="4" customWidth="1"/>
    <col min="8195" max="8200" width="10.7109375" style="4" customWidth="1"/>
    <col min="8201" max="8202" width="9.42578125" style="4" bestFit="1" customWidth="1"/>
    <col min="8203" max="8448" width="8.85546875" style="4"/>
    <col min="8449" max="8449" width="1.7109375" style="4" customWidth="1"/>
    <col min="8450" max="8450" width="42.85546875" style="4" customWidth="1"/>
    <col min="8451" max="8456" width="10.7109375" style="4" customWidth="1"/>
    <col min="8457" max="8458" width="9.42578125" style="4" bestFit="1" customWidth="1"/>
    <col min="8459" max="8704" width="8.85546875" style="4"/>
    <col min="8705" max="8705" width="1.7109375" style="4" customWidth="1"/>
    <col min="8706" max="8706" width="42.85546875" style="4" customWidth="1"/>
    <col min="8707" max="8712" width="10.7109375" style="4" customWidth="1"/>
    <col min="8713" max="8714" width="9.42578125" style="4" bestFit="1" customWidth="1"/>
    <col min="8715" max="8960" width="8.85546875" style="4"/>
    <col min="8961" max="8961" width="1.7109375" style="4" customWidth="1"/>
    <col min="8962" max="8962" width="42.85546875" style="4" customWidth="1"/>
    <col min="8963" max="8968" width="10.7109375" style="4" customWidth="1"/>
    <col min="8969" max="8970" width="9.42578125" style="4" bestFit="1" customWidth="1"/>
    <col min="8971" max="9216" width="8.85546875" style="4"/>
    <col min="9217" max="9217" width="1.7109375" style="4" customWidth="1"/>
    <col min="9218" max="9218" width="42.85546875" style="4" customWidth="1"/>
    <col min="9219" max="9224" width="10.7109375" style="4" customWidth="1"/>
    <col min="9225" max="9226" width="9.42578125" style="4" bestFit="1" customWidth="1"/>
    <col min="9227" max="9472" width="8.85546875" style="4"/>
    <col min="9473" max="9473" width="1.7109375" style="4" customWidth="1"/>
    <col min="9474" max="9474" width="42.85546875" style="4" customWidth="1"/>
    <col min="9475" max="9480" width="10.7109375" style="4" customWidth="1"/>
    <col min="9481" max="9482" width="9.42578125" style="4" bestFit="1" customWidth="1"/>
    <col min="9483" max="9728" width="8.85546875" style="4"/>
    <col min="9729" max="9729" width="1.7109375" style="4" customWidth="1"/>
    <col min="9730" max="9730" width="42.85546875" style="4" customWidth="1"/>
    <col min="9731" max="9736" width="10.7109375" style="4" customWidth="1"/>
    <col min="9737" max="9738" width="9.42578125" style="4" bestFit="1" customWidth="1"/>
    <col min="9739" max="9984" width="8.85546875" style="4"/>
    <col min="9985" max="9985" width="1.7109375" style="4" customWidth="1"/>
    <col min="9986" max="9986" width="42.85546875" style="4" customWidth="1"/>
    <col min="9987" max="9992" width="10.7109375" style="4" customWidth="1"/>
    <col min="9993" max="9994" width="9.42578125" style="4" bestFit="1" customWidth="1"/>
    <col min="9995" max="10240" width="8.85546875" style="4"/>
    <col min="10241" max="10241" width="1.7109375" style="4" customWidth="1"/>
    <col min="10242" max="10242" width="42.85546875" style="4" customWidth="1"/>
    <col min="10243" max="10248" width="10.7109375" style="4" customWidth="1"/>
    <col min="10249" max="10250" width="9.42578125" style="4" bestFit="1" customWidth="1"/>
    <col min="10251" max="10496" width="8.85546875" style="4"/>
    <col min="10497" max="10497" width="1.7109375" style="4" customWidth="1"/>
    <col min="10498" max="10498" width="42.85546875" style="4" customWidth="1"/>
    <col min="10499" max="10504" width="10.7109375" style="4" customWidth="1"/>
    <col min="10505" max="10506" width="9.42578125" style="4" bestFit="1" customWidth="1"/>
    <col min="10507" max="10752" width="8.85546875" style="4"/>
    <col min="10753" max="10753" width="1.7109375" style="4" customWidth="1"/>
    <col min="10754" max="10754" width="42.85546875" style="4" customWidth="1"/>
    <col min="10755" max="10760" width="10.7109375" style="4" customWidth="1"/>
    <col min="10761" max="10762" width="9.42578125" style="4" bestFit="1" customWidth="1"/>
    <col min="10763" max="11008" width="8.85546875" style="4"/>
    <col min="11009" max="11009" width="1.7109375" style="4" customWidth="1"/>
    <col min="11010" max="11010" width="42.85546875" style="4" customWidth="1"/>
    <col min="11011" max="11016" width="10.7109375" style="4" customWidth="1"/>
    <col min="11017" max="11018" width="9.42578125" style="4" bestFit="1" customWidth="1"/>
    <col min="11019" max="11264" width="8.85546875" style="4"/>
    <col min="11265" max="11265" width="1.7109375" style="4" customWidth="1"/>
    <col min="11266" max="11266" width="42.85546875" style="4" customWidth="1"/>
    <col min="11267" max="11272" width="10.7109375" style="4" customWidth="1"/>
    <col min="11273" max="11274" width="9.42578125" style="4" bestFit="1" customWidth="1"/>
    <col min="11275" max="11520" width="8.85546875" style="4"/>
    <col min="11521" max="11521" width="1.7109375" style="4" customWidth="1"/>
    <col min="11522" max="11522" width="42.85546875" style="4" customWidth="1"/>
    <col min="11523" max="11528" width="10.7109375" style="4" customWidth="1"/>
    <col min="11529" max="11530" width="9.42578125" style="4" bestFit="1" customWidth="1"/>
    <col min="11531" max="11776" width="8.85546875" style="4"/>
    <col min="11777" max="11777" width="1.7109375" style="4" customWidth="1"/>
    <col min="11778" max="11778" width="42.85546875" style="4" customWidth="1"/>
    <col min="11779" max="11784" width="10.7109375" style="4" customWidth="1"/>
    <col min="11785" max="11786" width="9.42578125" style="4" bestFit="1" customWidth="1"/>
    <col min="11787" max="12032" width="8.85546875" style="4"/>
    <col min="12033" max="12033" width="1.7109375" style="4" customWidth="1"/>
    <col min="12034" max="12034" width="42.85546875" style="4" customWidth="1"/>
    <col min="12035" max="12040" width="10.7109375" style="4" customWidth="1"/>
    <col min="12041" max="12042" width="9.42578125" style="4" bestFit="1" customWidth="1"/>
    <col min="12043" max="12288" width="8.85546875" style="4"/>
    <col min="12289" max="12289" width="1.7109375" style="4" customWidth="1"/>
    <col min="12290" max="12290" width="42.85546875" style="4" customWidth="1"/>
    <col min="12291" max="12296" width="10.7109375" style="4" customWidth="1"/>
    <col min="12297" max="12298" width="9.42578125" style="4" bestFit="1" customWidth="1"/>
    <col min="12299" max="12544" width="8.85546875" style="4"/>
    <col min="12545" max="12545" width="1.7109375" style="4" customWidth="1"/>
    <col min="12546" max="12546" width="42.85546875" style="4" customWidth="1"/>
    <col min="12547" max="12552" width="10.7109375" style="4" customWidth="1"/>
    <col min="12553" max="12554" width="9.42578125" style="4" bestFit="1" customWidth="1"/>
    <col min="12555" max="12800" width="8.85546875" style="4"/>
    <col min="12801" max="12801" width="1.7109375" style="4" customWidth="1"/>
    <col min="12802" max="12802" width="42.85546875" style="4" customWidth="1"/>
    <col min="12803" max="12808" width="10.7109375" style="4" customWidth="1"/>
    <col min="12809" max="12810" width="9.42578125" style="4" bestFit="1" customWidth="1"/>
    <col min="12811" max="13056" width="8.85546875" style="4"/>
    <col min="13057" max="13057" width="1.7109375" style="4" customWidth="1"/>
    <col min="13058" max="13058" width="42.85546875" style="4" customWidth="1"/>
    <col min="13059" max="13064" width="10.7109375" style="4" customWidth="1"/>
    <col min="13065" max="13066" width="9.42578125" style="4" bestFit="1" customWidth="1"/>
    <col min="13067" max="13312" width="8.85546875" style="4"/>
    <col min="13313" max="13313" width="1.7109375" style="4" customWidth="1"/>
    <col min="13314" max="13314" width="42.85546875" style="4" customWidth="1"/>
    <col min="13315" max="13320" width="10.7109375" style="4" customWidth="1"/>
    <col min="13321" max="13322" width="9.42578125" style="4" bestFit="1" customWidth="1"/>
    <col min="13323" max="13568" width="8.85546875" style="4"/>
    <col min="13569" max="13569" width="1.7109375" style="4" customWidth="1"/>
    <col min="13570" max="13570" width="42.85546875" style="4" customWidth="1"/>
    <col min="13571" max="13576" width="10.7109375" style="4" customWidth="1"/>
    <col min="13577" max="13578" width="9.42578125" style="4" bestFit="1" customWidth="1"/>
    <col min="13579" max="13824" width="8.85546875" style="4"/>
    <col min="13825" max="13825" width="1.7109375" style="4" customWidth="1"/>
    <col min="13826" max="13826" width="42.85546875" style="4" customWidth="1"/>
    <col min="13827" max="13832" width="10.7109375" style="4" customWidth="1"/>
    <col min="13833" max="13834" width="9.42578125" style="4" bestFit="1" customWidth="1"/>
    <col min="13835" max="14080" width="8.85546875" style="4"/>
    <col min="14081" max="14081" width="1.7109375" style="4" customWidth="1"/>
    <col min="14082" max="14082" width="42.85546875" style="4" customWidth="1"/>
    <col min="14083" max="14088" width="10.7109375" style="4" customWidth="1"/>
    <col min="14089" max="14090" width="9.42578125" style="4" bestFit="1" customWidth="1"/>
    <col min="14091" max="14336" width="8.85546875" style="4"/>
    <col min="14337" max="14337" width="1.7109375" style="4" customWidth="1"/>
    <col min="14338" max="14338" width="42.85546875" style="4" customWidth="1"/>
    <col min="14339" max="14344" width="10.7109375" style="4" customWidth="1"/>
    <col min="14345" max="14346" width="9.42578125" style="4" bestFit="1" customWidth="1"/>
    <col min="14347" max="14592" width="8.85546875" style="4"/>
    <col min="14593" max="14593" width="1.7109375" style="4" customWidth="1"/>
    <col min="14594" max="14594" width="42.85546875" style="4" customWidth="1"/>
    <col min="14595" max="14600" width="10.7109375" style="4" customWidth="1"/>
    <col min="14601" max="14602" width="9.42578125" style="4" bestFit="1" customWidth="1"/>
    <col min="14603" max="14848" width="8.85546875" style="4"/>
    <col min="14849" max="14849" width="1.7109375" style="4" customWidth="1"/>
    <col min="14850" max="14850" width="42.85546875" style="4" customWidth="1"/>
    <col min="14851" max="14856" width="10.7109375" style="4" customWidth="1"/>
    <col min="14857" max="14858" width="9.42578125" style="4" bestFit="1" customWidth="1"/>
    <col min="14859" max="15104" width="8.85546875" style="4"/>
    <col min="15105" max="15105" width="1.7109375" style="4" customWidth="1"/>
    <col min="15106" max="15106" width="42.85546875" style="4" customWidth="1"/>
    <col min="15107" max="15112" width="10.7109375" style="4" customWidth="1"/>
    <col min="15113" max="15114" width="9.42578125" style="4" bestFit="1" customWidth="1"/>
    <col min="15115" max="15360" width="8.85546875" style="4"/>
    <col min="15361" max="15361" width="1.7109375" style="4" customWidth="1"/>
    <col min="15362" max="15362" width="42.85546875" style="4" customWidth="1"/>
    <col min="15363" max="15368" width="10.7109375" style="4" customWidth="1"/>
    <col min="15369" max="15370" width="9.42578125" style="4" bestFit="1" customWidth="1"/>
    <col min="15371" max="15616" width="8.85546875" style="4"/>
    <col min="15617" max="15617" width="1.7109375" style="4" customWidth="1"/>
    <col min="15618" max="15618" width="42.85546875" style="4" customWidth="1"/>
    <col min="15619" max="15624" width="10.7109375" style="4" customWidth="1"/>
    <col min="15625" max="15626" width="9.42578125" style="4" bestFit="1" customWidth="1"/>
    <col min="15627" max="15872" width="8.85546875" style="4"/>
    <col min="15873" max="15873" width="1.7109375" style="4" customWidth="1"/>
    <col min="15874" max="15874" width="42.85546875" style="4" customWidth="1"/>
    <col min="15875" max="15880" width="10.7109375" style="4" customWidth="1"/>
    <col min="15881" max="15882" width="9.42578125" style="4" bestFit="1" customWidth="1"/>
    <col min="15883" max="16128" width="8.85546875" style="4"/>
    <col min="16129" max="16129" width="1.7109375" style="4" customWidth="1"/>
    <col min="16130" max="16130" width="42.85546875" style="4" customWidth="1"/>
    <col min="16131" max="16136" width="10.7109375" style="4" customWidth="1"/>
    <col min="16137" max="16138" width="9.42578125" style="4" bestFit="1" customWidth="1"/>
    <col min="16139" max="16384" width="8.85546875" style="4"/>
  </cols>
  <sheetData>
    <row r="1" spans="1:15" s="2" customFormat="1" ht="19.5" x14ac:dyDescent="0.3">
      <c r="A1" s="318" t="str">
        <f>CoName</f>
        <v>Microsoft Corp.</v>
      </c>
      <c r="B1" s="3"/>
      <c r="C1" s="43" t="s">
        <v>0</v>
      </c>
      <c r="D1" s="43" t="s">
        <v>0</v>
      </c>
      <c r="E1" s="43" t="s">
        <v>0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 t="s">
        <v>1</v>
      </c>
      <c r="L1" s="43" t="s">
        <v>1</v>
      </c>
      <c r="M1" s="43" t="s">
        <v>1</v>
      </c>
      <c r="N1" s="43"/>
      <c r="O1" s="43"/>
    </row>
    <row r="2" spans="1:15" x14ac:dyDescent="0.25">
      <c r="A2" s="17" t="s">
        <v>10</v>
      </c>
      <c r="B2" s="65"/>
      <c r="C2" s="328">
        <v>2023</v>
      </c>
      <c r="D2" s="328">
        <f>C2+1</f>
        <v>2024</v>
      </c>
      <c r="E2" s="328">
        <f t="shared" ref="E2:M2" si="0">D2+1</f>
        <v>2025</v>
      </c>
      <c r="F2" s="328">
        <f t="shared" si="0"/>
        <v>2026</v>
      </c>
      <c r="G2" s="328">
        <f t="shared" si="0"/>
        <v>2027</v>
      </c>
      <c r="H2" s="328">
        <f t="shared" si="0"/>
        <v>2028</v>
      </c>
      <c r="I2" s="328">
        <f t="shared" si="0"/>
        <v>2029</v>
      </c>
      <c r="J2" s="328">
        <f t="shared" si="0"/>
        <v>2030</v>
      </c>
      <c r="K2" s="328">
        <f t="shared" si="0"/>
        <v>2031</v>
      </c>
      <c r="L2" s="328">
        <f t="shared" si="0"/>
        <v>2032</v>
      </c>
      <c r="M2" s="328">
        <f t="shared" si="0"/>
        <v>2033</v>
      </c>
      <c r="N2" s="229"/>
      <c r="O2" s="229"/>
    </row>
    <row r="3" spans="1:15" x14ac:dyDescent="0.25">
      <c r="K3" s="6"/>
      <c r="L3" s="6"/>
      <c r="M3" s="6"/>
      <c r="N3" s="6"/>
      <c r="O3" s="6"/>
    </row>
    <row r="4" spans="1:15" x14ac:dyDescent="0.25">
      <c r="B4" s="4" t="s">
        <v>141</v>
      </c>
      <c r="C4" s="45"/>
      <c r="D4" s="45"/>
      <c r="E4" s="46"/>
      <c r="F4" s="104">
        <f>Assumptions!F45</f>
        <v>0.25</v>
      </c>
      <c r="G4" s="104">
        <f>F4</f>
        <v>0.25</v>
      </c>
      <c r="H4" s="104">
        <f t="shared" ref="H4:J4" si="1">G4</f>
        <v>0.25</v>
      </c>
      <c r="I4" s="104">
        <f t="shared" si="1"/>
        <v>0.25</v>
      </c>
      <c r="J4" s="104">
        <f t="shared" si="1"/>
        <v>0.25</v>
      </c>
      <c r="K4" s="104">
        <f t="shared" ref="K4" si="2">J4</f>
        <v>0.25</v>
      </c>
      <c r="L4" s="104">
        <f t="shared" ref="L4" si="3">K4</f>
        <v>0.25</v>
      </c>
      <c r="M4" s="102">
        <f t="shared" ref="M4" si="4">L4</f>
        <v>0.25</v>
      </c>
      <c r="N4" s="183"/>
      <c r="O4" s="183"/>
    </row>
    <row r="5" spans="1:15" x14ac:dyDescent="0.25">
      <c r="B5" s="4" t="s">
        <v>154</v>
      </c>
      <c r="C5" s="45"/>
      <c r="D5" s="45"/>
      <c r="E5" s="46"/>
      <c r="F5" s="104">
        <f>Assumptions!F46</f>
        <v>0.24813292442248441</v>
      </c>
      <c r="G5" s="104">
        <f>Assumptions!G46</f>
        <v>0.24813292442248441</v>
      </c>
      <c r="H5" s="104">
        <f>Assumptions!H46</f>
        <v>0.24813292442248441</v>
      </c>
      <c r="I5" s="104">
        <f>Assumptions!I46</f>
        <v>0.24813292442248441</v>
      </c>
      <c r="J5" s="104">
        <f>Assumptions!J46</f>
        <v>0.24813292442248441</v>
      </c>
      <c r="K5" s="104">
        <f>Assumptions!K46</f>
        <v>0.24813292442248441</v>
      </c>
      <c r="L5" s="104">
        <f>Assumptions!L46</f>
        <v>0.24813292442248441</v>
      </c>
      <c r="M5" s="102">
        <f>Assumptions!M46</f>
        <v>0.24813292442248441</v>
      </c>
      <c r="N5" s="183"/>
      <c r="O5" s="183"/>
    </row>
    <row r="6" spans="1:15" x14ac:dyDescent="0.25">
      <c r="B6" s="4" t="s">
        <v>65</v>
      </c>
      <c r="C6" s="45"/>
      <c r="D6" s="45"/>
      <c r="E6" s="46"/>
      <c r="F6" s="104">
        <f>Assumptions!F47</f>
        <v>1.0679600596600289E-2</v>
      </c>
      <c r="G6" s="104">
        <f>Assumptions!G47</f>
        <v>1.0679600596600289E-2</v>
      </c>
      <c r="H6" s="104">
        <f>Assumptions!H47</f>
        <v>1.0679600596600289E-2</v>
      </c>
      <c r="I6" s="104">
        <f>Assumptions!I47</f>
        <v>1.0679600596600289E-2</v>
      </c>
      <c r="J6" s="104">
        <f>Assumptions!J47</f>
        <v>1.0679600596600289E-2</v>
      </c>
      <c r="K6" s="104">
        <f>Assumptions!K47</f>
        <v>1.0679600596600289E-2</v>
      </c>
      <c r="L6" s="104">
        <f>Assumptions!L47</f>
        <v>1.0679600596600289E-2</v>
      </c>
      <c r="M6" s="102">
        <f>Assumptions!M47</f>
        <v>1.0679600596600289E-2</v>
      </c>
      <c r="N6" s="183"/>
      <c r="O6" s="183"/>
    </row>
    <row r="7" spans="1:15" x14ac:dyDescent="0.25">
      <c r="B7" s="4" t="s">
        <v>66</v>
      </c>
      <c r="C7" s="45"/>
      <c r="D7" s="45"/>
      <c r="E7" s="46"/>
      <c r="F7" s="104">
        <f>Assumptions!F48</f>
        <v>9.1305675057858041E-2</v>
      </c>
      <c r="G7" s="104">
        <f>Assumptions!G48</f>
        <v>9.1305675057858041E-2</v>
      </c>
      <c r="H7" s="104">
        <f>Assumptions!H48</f>
        <v>9.1305675057858041E-2</v>
      </c>
      <c r="I7" s="104">
        <f>Assumptions!I48</f>
        <v>9.1305675057858041E-2</v>
      </c>
      <c r="J7" s="104">
        <f>Assumptions!J48</f>
        <v>9.1305675057858041E-2</v>
      </c>
      <c r="K7" s="104">
        <f>Assumptions!K48</f>
        <v>9.1305675057858041E-2</v>
      </c>
      <c r="L7" s="104">
        <f>Assumptions!L48</f>
        <v>9.1305675057858041E-2</v>
      </c>
      <c r="M7" s="102">
        <f>Assumptions!M48</f>
        <v>9.1305675057858041E-2</v>
      </c>
      <c r="N7" s="183"/>
      <c r="O7" s="183"/>
    </row>
    <row r="8" spans="1:15" x14ac:dyDescent="0.25">
      <c r="A8" s="7"/>
      <c r="C8" s="32"/>
      <c r="D8" s="32"/>
      <c r="E8" s="32"/>
      <c r="F8" s="105"/>
      <c r="G8" s="105"/>
      <c r="H8" s="105"/>
      <c r="I8" s="105"/>
      <c r="J8" s="105"/>
      <c r="K8" s="105"/>
      <c r="L8" s="105"/>
      <c r="M8" s="105"/>
      <c r="N8" s="183"/>
      <c r="O8" s="183"/>
    </row>
    <row r="9" spans="1:15" x14ac:dyDescent="0.25">
      <c r="B9" s="4" t="s">
        <v>67</v>
      </c>
      <c r="C9" s="45"/>
      <c r="D9" s="45"/>
      <c r="E9" s="46"/>
      <c r="F9" s="104">
        <f>Assumptions!F51</f>
        <v>0.14398844258920077</v>
      </c>
      <c r="G9" s="104">
        <f>Assumptions!G51</f>
        <v>0.14398844258920077</v>
      </c>
      <c r="H9" s="104">
        <f>Assumptions!H51</f>
        <v>0.14398844258920077</v>
      </c>
      <c r="I9" s="104">
        <f>Assumptions!I51</f>
        <v>0.14398844258920077</v>
      </c>
      <c r="J9" s="104">
        <f>Assumptions!J51</f>
        <v>0.14398844258920077</v>
      </c>
      <c r="K9" s="104">
        <f>Assumptions!K51</f>
        <v>0.14398844258920077</v>
      </c>
      <c r="L9" s="104">
        <f>Assumptions!L51</f>
        <v>0.14398844258920077</v>
      </c>
      <c r="M9" s="102">
        <f>Assumptions!M51</f>
        <v>0.14398844258920077</v>
      </c>
      <c r="N9" s="183"/>
      <c r="O9" s="183"/>
    </row>
    <row r="10" spans="1:15" x14ac:dyDescent="0.25">
      <c r="B10" s="4" t="s">
        <v>163</v>
      </c>
      <c r="C10" s="45"/>
      <c r="D10" s="45"/>
      <c r="E10" s="152"/>
      <c r="F10" s="103">
        <f>Assumptions!F50</f>
        <v>15405</v>
      </c>
      <c r="G10" s="103">
        <f>Assumptions!G50</f>
        <v>15405</v>
      </c>
      <c r="H10" s="103">
        <f>Assumptions!H50</f>
        <v>15405</v>
      </c>
      <c r="I10" s="103">
        <f>Assumptions!I50</f>
        <v>15405</v>
      </c>
      <c r="J10" s="103">
        <f>Assumptions!J50</f>
        <v>15405</v>
      </c>
      <c r="K10" s="103">
        <f>Assumptions!K50</f>
        <v>15405</v>
      </c>
      <c r="L10" s="103">
        <f>Assumptions!L50</f>
        <v>15405</v>
      </c>
      <c r="M10" s="103">
        <f>Assumptions!M50</f>
        <v>15405</v>
      </c>
      <c r="N10" s="211"/>
      <c r="O10" s="211"/>
    </row>
    <row r="11" spans="1:15" x14ac:dyDescent="0.25">
      <c r="C11" s="32"/>
      <c r="D11" s="32"/>
      <c r="E11" s="32"/>
      <c r="F11" s="105"/>
      <c r="G11" s="105"/>
      <c r="H11" s="105"/>
      <c r="I11" s="105"/>
      <c r="J11" s="105"/>
      <c r="K11" s="105"/>
      <c r="L11" s="105"/>
      <c r="M11" s="105"/>
      <c r="N11" s="183"/>
      <c r="O11" s="183"/>
    </row>
    <row r="12" spans="1:15" x14ac:dyDescent="0.25">
      <c r="B12" s="4" t="s">
        <v>153</v>
      </c>
      <c r="C12" s="45"/>
      <c r="D12" s="45"/>
      <c r="E12" s="46"/>
      <c r="F12" s="104">
        <f>Assumptions!F55</f>
        <v>0.31565164918992156</v>
      </c>
      <c r="G12" s="104">
        <f>Assumptions!G55</f>
        <v>0.31565164918992156</v>
      </c>
      <c r="H12" s="104">
        <f>Assumptions!H55</f>
        <v>0.31565164918992156</v>
      </c>
      <c r="I12" s="104">
        <f>Assumptions!I55</f>
        <v>0.31565164918992156</v>
      </c>
      <c r="J12" s="104">
        <f>Assumptions!J55</f>
        <v>0.31565164918992156</v>
      </c>
      <c r="K12" s="104">
        <f>Assumptions!K55</f>
        <v>0.31565164918992156</v>
      </c>
      <c r="L12" s="104">
        <f>Assumptions!L55</f>
        <v>0.31565164918992156</v>
      </c>
      <c r="M12" s="102">
        <f>Assumptions!M55</f>
        <v>0.31565164918992156</v>
      </c>
      <c r="N12" s="183"/>
      <c r="O12" s="183"/>
    </row>
    <row r="13" spans="1:15" x14ac:dyDescent="0.25">
      <c r="B13" s="4" t="s">
        <v>68</v>
      </c>
      <c r="C13" s="45"/>
      <c r="D13" s="45"/>
      <c r="E13" s="28"/>
      <c r="F13" s="104">
        <f>Assumptions!F56</f>
        <v>0.40285527679572913</v>
      </c>
      <c r="G13" s="104">
        <f>Assumptions!G56</f>
        <v>0.40285527679572913</v>
      </c>
      <c r="H13" s="104">
        <f>Assumptions!H56</f>
        <v>0.40285527679572913</v>
      </c>
      <c r="I13" s="104">
        <f>Assumptions!I56</f>
        <v>0.40285527679572913</v>
      </c>
      <c r="J13" s="104">
        <f>Assumptions!J56</f>
        <v>0.40285527679572913</v>
      </c>
      <c r="K13" s="104">
        <f>Assumptions!K56</f>
        <v>0.40285527679572913</v>
      </c>
      <c r="L13" s="104">
        <f>Assumptions!L56</f>
        <v>0.40285527679572913</v>
      </c>
      <c r="M13" s="104">
        <f>Assumptions!M56</f>
        <v>0.40285527679572913</v>
      </c>
      <c r="N13" s="183"/>
      <c r="O13" s="183"/>
    </row>
    <row r="14" spans="1:15" x14ac:dyDescent="0.25">
      <c r="B14" s="4" t="s">
        <v>69</v>
      </c>
      <c r="C14" s="45"/>
      <c r="D14" s="45"/>
      <c r="E14" s="46"/>
      <c r="F14" s="320">
        <f>Assumptions!F57</f>
        <v>0.3342065283752893</v>
      </c>
      <c r="G14" s="320">
        <f>Assumptions!G57</f>
        <v>0.3342065283752893</v>
      </c>
      <c r="H14" s="320">
        <f>Assumptions!H57</f>
        <v>0.3342065283752893</v>
      </c>
      <c r="I14" s="320">
        <f>Assumptions!I57</f>
        <v>0.3342065283752893</v>
      </c>
      <c r="J14" s="320">
        <f>Assumptions!J57</f>
        <v>0.3342065283752893</v>
      </c>
      <c r="K14" s="320">
        <f>Assumptions!K57</f>
        <v>0.3342065283752893</v>
      </c>
      <c r="L14" s="320">
        <f>Assumptions!L57</f>
        <v>0.3342065283752893</v>
      </c>
      <c r="M14" s="127">
        <f>Assumptions!M57</f>
        <v>0.3342065283752893</v>
      </c>
      <c r="N14" s="183"/>
      <c r="O14" s="183"/>
    </row>
    <row r="15" spans="1:15" x14ac:dyDescent="0.25">
      <c r="C15" s="45"/>
      <c r="D15" s="45"/>
      <c r="E15" s="45"/>
      <c r="F15" s="105"/>
      <c r="G15" s="105"/>
      <c r="H15" s="105"/>
      <c r="I15" s="105"/>
      <c r="J15" s="105"/>
      <c r="K15" s="105"/>
      <c r="L15" s="105"/>
      <c r="M15" s="105"/>
      <c r="N15" s="183"/>
      <c r="O15" s="183"/>
    </row>
    <row r="16" spans="1:15" ht="15" customHeight="1" x14ac:dyDescent="0.25">
      <c r="A16" s="191" t="s">
        <v>64</v>
      </c>
      <c r="B16" s="192"/>
      <c r="C16" s="316">
        <f>C2</f>
        <v>2023</v>
      </c>
      <c r="D16" s="316">
        <f t="shared" ref="D16:M16" si="5">D2</f>
        <v>2024</v>
      </c>
      <c r="E16" s="316">
        <f t="shared" si="5"/>
        <v>2025</v>
      </c>
      <c r="F16" s="316">
        <f t="shared" si="5"/>
        <v>2026</v>
      </c>
      <c r="G16" s="316">
        <f t="shared" si="5"/>
        <v>2027</v>
      </c>
      <c r="H16" s="316">
        <f t="shared" si="5"/>
        <v>2028</v>
      </c>
      <c r="I16" s="316">
        <f t="shared" si="5"/>
        <v>2029</v>
      </c>
      <c r="J16" s="316">
        <f t="shared" si="5"/>
        <v>2030</v>
      </c>
      <c r="K16" s="316">
        <f t="shared" si="5"/>
        <v>2031</v>
      </c>
      <c r="L16" s="316">
        <f t="shared" si="5"/>
        <v>2032</v>
      </c>
      <c r="M16" s="316">
        <f t="shared" si="5"/>
        <v>2033</v>
      </c>
      <c r="N16" s="221"/>
      <c r="O16" s="221"/>
    </row>
    <row r="17" spans="1:15" x14ac:dyDescent="0.25">
      <c r="B17" s="4" t="s">
        <v>159</v>
      </c>
      <c r="C17" s="337">
        <f>25%*IncState!C17</f>
        <v>52978.75</v>
      </c>
      <c r="D17" s="337">
        <f>25%*IncState!D17</f>
        <v>61280.5</v>
      </c>
      <c r="E17" s="198">
        <f>25%*IncState!E17</f>
        <v>70431</v>
      </c>
      <c r="F17" s="333">
        <f>F4*IncState!F17</f>
        <v>81375.748569692965</v>
      </c>
      <c r="G17" s="333">
        <f>G4*IncState!G17</f>
        <v>95145.458317002965</v>
      </c>
      <c r="H17" s="333">
        <f>H4*IncState!H17</f>
        <v>110935.01610283955</v>
      </c>
      <c r="I17" s="333">
        <f>I4*IncState!I17</f>
        <v>128724.91117382282</v>
      </c>
      <c r="J17" s="333">
        <f>J4*IncState!J17</f>
        <v>148394.10767173208</v>
      </c>
      <c r="K17" s="333">
        <f>K4*IncState!K17</f>
        <v>169716.82897558837</v>
      </c>
      <c r="L17" s="333">
        <f>L4*IncState!L17</f>
        <v>192374.30410856908</v>
      </c>
      <c r="M17" s="333">
        <f>M4*IncState!M17</f>
        <v>215984.39818445491</v>
      </c>
    </row>
    <row r="18" spans="1:15" x14ac:dyDescent="0.25">
      <c r="B18" s="4" t="s">
        <v>160</v>
      </c>
      <c r="C18" s="197">
        <f>111262-C17</f>
        <v>58283.25</v>
      </c>
      <c r="D18" s="197">
        <f>75543-D17</f>
        <v>14262.5</v>
      </c>
      <c r="E18" s="198">
        <f>94565-E17</f>
        <v>24134</v>
      </c>
      <c r="F18" s="333">
        <f>MAX(CashFlow!F23,0)</f>
        <v>82756.890786844117</v>
      </c>
      <c r="G18" s="333">
        <f>MAX(CashFlow!G23,0)</f>
        <v>161725.10368371411</v>
      </c>
      <c r="H18" s="333">
        <f>MAX(CashFlow!H23,0)</f>
        <v>264037.02173896984</v>
      </c>
      <c r="I18" s="333">
        <f>MAX(CashFlow!I23,0)</f>
        <v>397288.78587433044</v>
      </c>
      <c r="J18" s="333">
        <f>MAX(CashFlow!J23,0)</f>
        <v>573169.7898334515</v>
      </c>
      <c r="K18" s="333">
        <f>MAX(CashFlow!K23,0)</f>
        <v>783274.37875278911</v>
      </c>
      <c r="L18" s="333">
        <f>MAX(CashFlow!L23,0)</f>
        <v>1030905.1809683187</v>
      </c>
      <c r="M18" s="333">
        <f>MAX(CashFlow!M23,0)</f>
        <v>1318897.7368909682</v>
      </c>
    </row>
    <row r="19" spans="1:15" x14ac:dyDescent="0.25">
      <c r="B19" s="4" t="s">
        <v>70</v>
      </c>
      <c r="C19" s="199">
        <v>48688</v>
      </c>
      <c r="D19" s="199">
        <v>56924</v>
      </c>
      <c r="E19" s="200">
        <v>69905</v>
      </c>
      <c r="F19" s="333">
        <f>F5*IncState!F17</f>
        <v>80768.009878666868</v>
      </c>
      <c r="G19" s="333">
        <f>G5*IncState!G17</f>
        <v>94434.883270862148</v>
      </c>
      <c r="H19" s="333">
        <f>H5*IncState!H17</f>
        <v>110106.51986581192</v>
      </c>
      <c r="I19" s="333">
        <f>I5*IncState!I17</f>
        <v>127763.55462234079</v>
      </c>
      <c r="J19" s="333">
        <f>J5*IncState!J17</f>
        <v>147285.85561460766</v>
      </c>
      <c r="K19" s="333">
        <f>K5*IncState!K17</f>
        <v>168449.33238969353</v>
      </c>
      <c r="L19" s="333">
        <f>L5*IncState!L17</f>
        <v>190937.5946487984</v>
      </c>
      <c r="M19" s="333">
        <f>M5*IncState!M17</f>
        <v>214371.36140455652</v>
      </c>
    </row>
    <row r="20" spans="1:15" x14ac:dyDescent="0.25">
      <c r="B20" s="4" t="s">
        <v>71</v>
      </c>
      <c r="C20" s="199">
        <v>2500</v>
      </c>
      <c r="D20" s="199">
        <v>1246</v>
      </c>
      <c r="E20" s="200">
        <v>938</v>
      </c>
      <c r="F20" s="333">
        <f>F6*IncState!F18</f>
        <v>1083.7621524381593</v>
      </c>
      <c r="G20" s="333">
        <f>G6*IncState!G18</f>
        <v>1267.147135513464</v>
      </c>
      <c r="H20" s="333">
        <f>H6*IncState!H18</f>
        <v>1477.432453102519</v>
      </c>
      <c r="I20" s="333">
        <f>I6*IncState!I18</f>
        <v>1714.3582610078774</v>
      </c>
      <c r="J20" s="333">
        <f>J6*IncState!J18</f>
        <v>1976.3126037694296</v>
      </c>
      <c r="K20" s="333">
        <f>K6*IncState!K18</f>
        <v>2260.2885885349051</v>
      </c>
      <c r="L20" s="333">
        <f>L6*IncState!L18</f>
        <v>2562.0408236974886</v>
      </c>
      <c r="M20" s="333">
        <f>M6*IncState!M18</f>
        <v>2876.4800371571996</v>
      </c>
    </row>
    <row r="21" spans="1:15" x14ac:dyDescent="0.25">
      <c r="B21" s="4" t="s">
        <v>72</v>
      </c>
      <c r="C21" s="199">
        <v>21807</v>
      </c>
      <c r="D21" s="338">
        <v>26021</v>
      </c>
      <c r="E21" s="200">
        <v>25723</v>
      </c>
      <c r="F21" s="333">
        <f>F7*IncState!F17</f>
        <v>29720.270625977369</v>
      </c>
      <c r="G21" s="333">
        <f>G7*IncState!G17</f>
        <v>34749.281201293001</v>
      </c>
      <c r="H21" s="333">
        <f>H7*IncState!H17</f>
        <v>40515.986131296471</v>
      </c>
      <c r="I21" s="333">
        <f>I7*IncState!I17</f>
        <v>47013.259645954822</v>
      </c>
      <c r="J21" s="333">
        <f>J7*IncState!J17</f>
        <v>54196.896702303871</v>
      </c>
      <c r="K21" s="333">
        <f>K7*IncState!K17</f>
        <v>61984.438553180553</v>
      </c>
      <c r="L21" s="333">
        <f>L7*IncState!L17</f>
        <v>70259.462801674294</v>
      </c>
      <c r="M21" s="333">
        <f>M7*IncState!M17</f>
        <v>78882.405112787455</v>
      </c>
    </row>
    <row r="22" spans="1:15" s="11" customFormat="1" x14ac:dyDescent="0.25">
      <c r="B22" s="11" t="s">
        <v>73</v>
      </c>
      <c r="C22" s="11">
        <f>SUM(C17:C21)</f>
        <v>184257</v>
      </c>
      <c r="D22" s="11">
        <f>SUM(D17:D21)</f>
        <v>159734</v>
      </c>
      <c r="E22" s="26">
        <f t="shared" ref="E22" si="6">SUM(E17:E21)</f>
        <v>191131</v>
      </c>
      <c r="F22" s="11">
        <f>SUM(F17:F21)</f>
        <v>275704.68201361946</v>
      </c>
      <c r="G22" s="11">
        <f t="shared" ref="G22:M22" si="7">SUM(G17:G21)</f>
        <v>387321.87360838574</v>
      </c>
      <c r="H22" s="11">
        <f t="shared" si="7"/>
        <v>527071.97629202029</v>
      </c>
      <c r="I22" s="11">
        <f t="shared" si="7"/>
        <v>702504.86957745685</v>
      </c>
      <c r="J22" s="11">
        <f t="shared" si="7"/>
        <v>925022.96242586465</v>
      </c>
      <c r="K22" s="11">
        <f t="shared" si="7"/>
        <v>1185685.2672597864</v>
      </c>
      <c r="L22" s="11">
        <f t="shared" si="7"/>
        <v>1487038.5833510582</v>
      </c>
      <c r="M22" s="11">
        <f t="shared" si="7"/>
        <v>1831012.3816299243</v>
      </c>
    </row>
    <row r="23" spans="1:15" x14ac:dyDescent="0.25">
      <c r="A23" s="7"/>
      <c r="E23" s="29"/>
      <c r="I23" s="4"/>
      <c r="J23" s="4"/>
    </row>
    <row r="24" spans="1:15" x14ac:dyDescent="0.25">
      <c r="B24" s="4" t="s">
        <v>74</v>
      </c>
      <c r="C24" s="199">
        <f>95641+14346</f>
        <v>109987</v>
      </c>
      <c r="D24" s="199">
        <f>135591+18961</f>
        <v>154552</v>
      </c>
      <c r="E24" s="200">
        <f>204966+24823</f>
        <v>229789</v>
      </c>
      <c r="F24" s="4">
        <f>Calcs!F9</f>
        <v>257130.79815353703</v>
      </c>
      <c r="G24" s="4">
        <f>Calcs!G9</f>
        <v>285940.78208833403</v>
      </c>
      <c r="H24" s="4">
        <f>Calcs!H9</f>
        <v>315938.8183522906</v>
      </c>
      <c r="I24" s="4">
        <f>Calcs!I9</f>
        <v>346527.88652849547</v>
      </c>
      <c r="J24" s="4">
        <f>Calcs!J9</f>
        <v>376795.68962510367</v>
      </c>
      <c r="K24" s="4">
        <f>Calcs!K9</f>
        <v>405544.24379745353</v>
      </c>
      <c r="L24" s="4">
        <f>Calcs!L9</f>
        <v>431351.39938740444</v>
      </c>
      <c r="M24" s="4">
        <f>Calcs!M9</f>
        <v>452662.66575181292</v>
      </c>
    </row>
    <row r="25" spans="1:15" x14ac:dyDescent="0.25">
      <c r="B25" s="4" t="s">
        <v>161</v>
      </c>
      <c r="C25" s="199">
        <f>67886+9366</f>
        <v>77252</v>
      </c>
      <c r="D25" s="199">
        <f>27597+119220</f>
        <v>146817</v>
      </c>
      <c r="E25" s="200">
        <f>22604+119509</f>
        <v>142113</v>
      </c>
      <c r="F25" s="132">
        <f>E25-IncState!F8</f>
        <v>142113</v>
      </c>
      <c r="G25" s="132">
        <f>F25-IncState!G8</f>
        <v>142113</v>
      </c>
      <c r="H25" s="132">
        <f>G25-IncState!H8</f>
        <v>142113</v>
      </c>
      <c r="I25" s="132">
        <f>H25-IncState!I8</f>
        <v>142113</v>
      </c>
      <c r="J25" s="132">
        <f>I25-IncState!J8</f>
        <v>142113</v>
      </c>
      <c r="K25" s="132">
        <f>J25-IncState!K8</f>
        <v>142113</v>
      </c>
      <c r="L25" s="132">
        <f>K25-IncState!L8</f>
        <v>142113</v>
      </c>
      <c r="M25" s="132">
        <f>L25-IncState!M8</f>
        <v>142113</v>
      </c>
      <c r="N25" s="132"/>
      <c r="O25" s="132"/>
    </row>
    <row r="26" spans="1:15" x14ac:dyDescent="0.25">
      <c r="B26" s="4" t="s">
        <v>162</v>
      </c>
      <c r="C26" s="199">
        <v>9879</v>
      </c>
      <c r="D26" s="199">
        <v>14600</v>
      </c>
      <c r="E26" s="200">
        <v>15405</v>
      </c>
      <c r="F26" s="4">
        <f>F10</f>
        <v>15405</v>
      </c>
      <c r="G26" s="4">
        <f t="shared" ref="G26:M26" si="8">G10</f>
        <v>15405</v>
      </c>
      <c r="H26" s="4">
        <f t="shared" si="8"/>
        <v>15405</v>
      </c>
      <c r="I26" s="4">
        <f t="shared" si="8"/>
        <v>15405</v>
      </c>
      <c r="J26" s="4">
        <f t="shared" si="8"/>
        <v>15405</v>
      </c>
      <c r="K26" s="4">
        <f t="shared" si="8"/>
        <v>15405</v>
      </c>
      <c r="L26" s="4">
        <f t="shared" si="8"/>
        <v>15405</v>
      </c>
      <c r="M26" s="4">
        <f t="shared" si="8"/>
        <v>15405</v>
      </c>
    </row>
    <row r="27" spans="1:15" x14ac:dyDescent="0.25">
      <c r="B27" s="4" t="s">
        <v>164</v>
      </c>
      <c r="C27" s="199">
        <v>30601</v>
      </c>
      <c r="D27" s="199">
        <v>36460</v>
      </c>
      <c r="E27" s="200">
        <v>40565</v>
      </c>
      <c r="F27" s="4">
        <f>F9*IncState!F17</f>
        <v>46868.669204321886</v>
      </c>
      <c r="G27" s="4">
        <f>G9*IncState!G17</f>
        <v>54799.385450003901</v>
      </c>
      <c r="H27" s="4">
        <f>H9*IncState!H17</f>
        <v>63893.440789023101</v>
      </c>
      <c r="I27" s="4">
        <f>I9*IncState!I17</f>
        <v>74139.597929407828</v>
      </c>
      <c r="J27" s="4">
        <f>J9*IncState!J17</f>
        <v>85468.145812267481</v>
      </c>
      <c r="K27" s="4">
        <f>K9*IncState!K17</f>
        <v>97749.047541490843</v>
      </c>
      <c r="L27" s="4">
        <f>L9*IncState!L17</f>
        <v>110798.70577109659</v>
      </c>
      <c r="M27" s="4">
        <f>M9*IncState!M17</f>
        <v>124397.02847258186</v>
      </c>
    </row>
    <row r="28" spans="1:15" s="11" customFormat="1" x14ac:dyDescent="0.25">
      <c r="B28" s="11" t="s">
        <v>75</v>
      </c>
      <c r="C28" s="11">
        <f>SUM(C24:C27)</f>
        <v>227719</v>
      </c>
      <c r="D28" s="11">
        <f>SUM(D24:D27)</f>
        <v>352429</v>
      </c>
      <c r="E28" s="26">
        <f>SUM(E24:E27)</f>
        <v>427872</v>
      </c>
      <c r="F28" s="11">
        <f>SUM(F24:F27)</f>
        <v>461517.4673578589</v>
      </c>
      <c r="G28" s="11">
        <f t="shared" ref="G28:M28" si="9">SUM(G24:G27)</f>
        <v>498258.16753833793</v>
      </c>
      <c r="H28" s="11">
        <f t="shared" si="9"/>
        <v>537350.25914131373</v>
      </c>
      <c r="I28" s="11">
        <f t="shared" si="9"/>
        <v>578185.48445790331</v>
      </c>
      <c r="J28" s="11">
        <f t="shared" si="9"/>
        <v>619781.83543737116</v>
      </c>
      <c r="K28" s="11">
        <f t="shared" si="9"/>
        <v>660811.29133894446</v>
      </c>
      <c r="L28" s="11">
        <f t="shared" si="9"/>
        <v>699668.10515850107</v>
      </c>
      <c r="M28" s="11">
        <f t="shared" si="9"/>
        <v>734577.69422439486</v>
      </c>
    </row>
    <row r="29" spans="1:15" x14ac:dyDescent="0.25">
      <c r="E29" s="29"/>
      <c r="I29" s="4"/>
      <c r="J29" s="4"/>
    </row>
    <row r="30" spans="1:15" s="11" customFormat="1" x14ac:dyDescent="0.25">
      <c r="A30" s="11" t="s">
        <v>126</v>
      </c>
      <c r="B30" s="18" t="s">
        <v>76</v>
      </c>
      <c r="C30" s="19">
        <f>SUM(C28,C22)</f>
        <v>411976</v>
      </c>
      <c r="D30" s="19">
        <f>SUM(D28,D22)</f>
        <v>512163</v>
      </c>
      <c r="E30" s="19">
        <f>SUM(E28,E22)</f>
        <v>619003</v>
      </c>
      <c r="F30" s="19">
        <f>SUM(F28,F22)</f>
        <v>737222.14937147836</v>
      </c>
      <c r="G30" s="19">
        <f t="shared" ref="G30:M30" si="10">SUM(G28,G22)</f>
        <v>885580.04114672367</v>
      </c>
      <c r="H30" s="19">
        <f t="shared" si="10"/>
        <v>1064422.235433334</v>
      </c>
      <c r="I30" s="19">
        <f t="shared" si="10"/>
        <v>1280690.3540353603</v>
      </c>
      <c r="J30" s="19">
        <f t="shared" si="10"/>
        <v>1544804.7978632357</v>
      </c>
      <c r="K30" s="19">
        <f t="shared" si="10"/>
        <v>1846496.5585987307</v>
      </c>
      <c r="L30" s="19">
        <f t="shared" si="10"/>
        <v>2186706.6885095593</v>
      </c>
      <c r="M30" s="19">
        <f t="shared" si="10"/>
        <v>2565590.0758543191</v>
      </c>
    </row>
    <row r="31" spans="1:15" x14ac:dyDescent="0.25">
      <c r="A31" s="11"/>
      <c r="E31" s="29"/>
      <c r="I31" s="4"/>
      <c r="J31" s="4"/>
      <c r="N31" s="6"/>
      <c r="O31" s="6"/>
    </row>
    <row r="32" spans="1:15" x14ac:dyDescent="0.25">
      <c r="B32" s="4" t="s">
        <v>77</v>
      </c>
      <c r="C32" s="9">
        <v>5247</v>
      </c>
      <c r="D32" s="9">
        <f>6693+2249</f>
        <v>8942</v>
      </c>
      <c r="E32" s="47">
        <v>0</v>
      </c>
      <c r="F32" s="333">
        <f>MIN(CashFlow!F23,0)</f>
        <v>0</v>
      </c>
      <c r="G32" s="333">
        <f>MIN(CashFlow!G23,0)</f>
        <v>0</v>
      </c>
      <c r="H32" s="333">
        <f>MIN(CashFlow!H23,0)</f>
        <v>0</v>
      </c>
      <c r="I32" s="333">
        <f>MIN(CashFlow!I23,0)</f>
        <v>0</v>
      </c>
      <c r="J32" s="333">
        <f>MIN(CashFlow!J23,0)</f>
        <v>0</v>
      </c>
      <c r="K32" s="333">
        <f>MIN(CashFlow!K23,0)</f>
        <v>0</v>
      </c>
      <c r="L32" s="333">
        <f>MIN(CashFlow!L23,0)</f>
        <v>0</v>
      </c>
      <c r="M32" s="333">
        <f>MIN(CashFlow!M23,0)</f>
        <v>0</v>
      </c>
    </row>
    <row r="33" spans="1:15" x14ac:dyDescent="0.25">
      <c r="B33" s="4" t="s">
        <v>152</v>
      </c>
      <c r="C33" s="199">
        <v>18095</v>
      </c>
      <c r="D33" s="9">
        <v>21996</v>
      </c>
      <c r="E33" s="47">
        <f>27724</f>
        <v>27724</v>
      </c>
      <c r="F33" s="333">
        <f>F12*IncState!F18</f>
        <v>32032.219524728709</v>
      </c>
      <c r="G33" s="333">
        <f>G12*IncState!G18</f>
        <v>37452.438363513087</v>
      </c>
      <c r="H33" s="333">
        <f>H12*IncState!H18</f>
        <v>43667.737025388313</v>
      </c>
      <c r="I33" s="333">
        <f>I12*IncState!I18</f>
        <v>50670.435424501491</v>
      </c>
      <c r="J33" s="333">
        <f>J12*IncState!J18</f>
        <v>58412.88979414037</v>
      </c>
      <c r="K33" s="333">
        <f>K12*IncState!K18</f>
        <v>66806.226896099892</v>
      </c>
      <c r="L33" s="333">
        <f>L12*IncState!L18</f>
        <v>75724.96779977523</v>
      </c>
      <c r="M33" s="333">
        <f>M12*IncState!M18</f>
        <v>85018.691418066315</v>
      </c>
    </row>
    <row r="34" spans="1:15" x14ac:dyDescent="0.25">
      <c r="B34" s="4" t="s">
        <v>78</v>
      </c>
      <c r="C34" s="199">
        <f>104149-SUM(C32:C33)</f>
        <v>80807</v>
      </c>
      <c r="D34" s="9">
        <f>125286-SUM(D32:D33)</f>
        <v>94348</v>
      </c>
      <c r="E34" s="47">
        <f>141218-SUM(E32:E33)</f>
        <v>113494</v>
      </c>
      <c r="F34" s="333">
        <f>F13*IncState!F17</f>
        <v>131130.59885801328</v>
      </c>
      <c r="G34" s="333">
        <f>G13*IncState!G17</f>
        <v>153319.39978461096</v>
      </c>
      <c r="H34" s="333">
        <f>H13*IncState!H17</f>
        <v>178763.02647379239</v>
      </c>
      <c r="I34" s="333">
        <f>I13*IncState!I17</f>
        <v>207430.03888574417</v>
      </c>
      <c r="J34" s="333">
        <f>J13*IncState!J17</f>
        <v>239125.39728380344</v>
      </c>
      <c r="K34" s="333">
        <f>K13*IncState!K17</f>
        <v>273485.2804554163</v>
      </c>
      <c r="L34" s="333">
        <f>L13*IncState!L17</f>
        <v>309996.01412017347</v>
      </c>
      <c r="M34" s="333">
        <f>M13*IncState!M17</f>
        <v>348041.81805663026</v>
      </c>
    </row>
    <row r="35" spans="1:15" s="11" customFormat="1" x14ac:dyDescent="0.25">
      <c r="B35" s="11" t="s">
        <v>79</v>
      </c>
      <c r="C35" s="11">
        <f t="shared" ref="C35:E35" si="11">SUM(C32:C34)</f>
        <v>104149</v>
      </c>
      <c r="D35" s="11">
        <f t="shared" si="11"/>
        <v>125286</v>
      </c>
      <c r="E35" s="26">
        <f t="shared" si="11"/>
        <v>141218</v>
      </c>
      <c r="F35" s="11">
        <f>SUM(F32:F34)</f>
        <v>163162.818382742</v>
      </c>
      <c r="G35" s="11">
        <f t="shared" ref="G35:M35" si="12">SUM(G32:G34)</f>
        <v>190771.83814812405</v>
      </c>
      <c r="H35" s="11">
        <f t="shared" si="12"/>
        <v>222430.7634991807</v>
      </c>
      <c r="I35" s="11">
        <f t="shared" si="12"/>
        <v>258100.47431024566</v>
      </c>
      <c r="J35" s="11">
        <f t="shared" si="12"/>
        <v>297538.28707794379</v>
      </c>
      <c r="K35" s="11">
        <f t="shared" si="12"/>
        <v>340291.50735151616</v>
      </c>
      <c r="L35" s="11">
        <f t="shared" si="12"/>
        <v>385720.98191994871</v>
      </c>
      <c r="M35" s="11">
        <f t="shared" si="12"/>
        <v>433060.50947469659</v>
      </c>
    </row>
    <row r="36" spans="1:15" x14ac:dyDescent="0.25">
      <c r="B36" s="11"/>
      <c r="E36" s="29"/>
      <c r="I36" s="4"/>
      <c r="J36" s="4"/>
    </row>
    <row r="37" spans="1:15" x14ac:dyDescent="0.25">
      <c r="B37" s="4" t="s">
        <v>80</v>
      </c>
      <c r="C37" s="199">
        <v>41990</v>
      </c>
      <c r="D37" s="9">
        <v>42688</v>
      </c>
      <c r="E37" s="47">
        <v>40152</v>
      </c>
      <c r="F37" s="4">
        <f>Debt!F20</f>
        <v>40152</v>
      </c>
      <c r="G37" s="4">
        <f>Debt!G20</f>
        <v>40152</v>
      </c>
      <c r="H37" s="4">
        <f>Debt!H20</f>
        <v>40152</v>
      </c>
      <c r="I37" s="4">
        <f>Debt!I20</f>
        <v>40152</v>
      </c>
      <c r="J37" s="4">
        <f>Debt!J20</f>
        <v>40152</v>
      </c>
      <c r="K37" s="4">
        <f>Debt!K20</f>
        <v>40152</v>
      </c>
      <c r="L37" s="4">
        <f>Debt!L20</f>
        <v>40152</v>
      </c>
      <c r="M37" s="4">
        <f>Debt!M20</f>
        <v>40152</v>
      </c>
    </row>
    <row r="38" spans="1:15" x14ac:dyDescent="0.25">
      <c r="B38" s="4" t="s">
        <v>81</v>
      </c>
      <c r="C38" s="199">
        <f>205753-C37-C35</f>
        <v>59614</v>
      </c>
      <c r="D38" s="9">
        <f>243686-D37-D35</f>
        <v>75712</v>
      </c>
      <c r="E38" s="47">
        <f>275524-E37-E35</f>
        <v>94154</v>
      </c>
      <c r="F38" s="4">
        <f>F14*IncState!F17</f>
        <v>108785.22569367</v>
      </c>
      <c r="G38" s="4">
        <f>G14*IncState!G17</f>
        <v>127192.93325920543</v>
      </c>
      <c r="H38" s="4">
        <f>H14*IncState!H17</f>
        <v>148300.82642794729</v>
      </c>
      <c r="I38" s="4">
        <f>I14*IncState!I17</f>
        <v>172082.82271528326</v>
      </c>
      <c r="J38" s="4">
        <f>J14*IncState!J17</f>
        <v>198377.11822527385</v>
      </c>
      <c r="K38" s="4">
        <f>K14*IncState!K17</f>
        <v>226881.8888751764</v>
      </c>
      <c r="L38" s="4">
        <f>L14*IncState!L17</f>
        <v>257170.9932989481</v>
      </c>
      <c r="M38" s="4">
        <f>M14*IncState!M17</f>
        <v>288733.58360181126</v>
      </c>
    </row>
    <row r="39" spans="1:15" x14ac:dyDescent="0.25">
      <c r="B39" s="11" t="s">
        <v>82</v>
      </c>
      <c r="C39" s="11">
        <f t="shared" ref="C39:E39" si="13">SUM(C37:C38)</f>
        <v>101604</v>
      </c>
      <c r="D39" s="11">
        <f t="shared" si="13"/>
        <v>118400</v>
      </c>
      <c r="E39" s="26">
        <f t="shared" si="13"/>
        <v>134306</v>
      </c>
      <c r="F39" s="11">
        <f>SUM(F37:F38)</f>
        <v>148937.22569366999</v>
      </c>
      <c r="G39" s="11">
        <f t="shared" ref="G39:M39" si="14">SUM(G37:G38)</f>
        <v>167344.93325920543</v>
      </c>
      <c r="H39" s="11">
        <f t="shared" si="14"/>
        <v>188452.82642794729</v>
      </c>
      <c r="I39" s="11">
        <f t="shared" si="14"/>
        <v>212234.82271528326</v>
      </c>
      <c r="J39" s="11">
        <f t="shared" si="14"/>
        <v>238529.11822527385</v>
      </c>
      <c r="K39" s="11">
        <f t="shared" si="14"/>
        <v>267033.88887517643</v>
      </c>
      <c r="L39" s="11">
        <f t="shared" si="14"/>
        <v>297322.9932989481</v>
      </c>
      <c r="M39" s="11">
        <f t="shared" si="14"/>
        <v>328885.58360181126</v>
      </c>
      <c r="N39" s="11"/>
      <c r="O39" s="11"/>
    </row>
    <row r="40" spans="1:15" x14ac:dyDescent="0.25">
      <c r="E40" s="29"/>
      <c r="I40" s="4"/>
      <c r="J40" s="4"/>
    </row>
    <row r="41" spans="1:15" x14ac:dyDescent="0.25">
      <c r="B41" s="4" t="s">
        <v>17</v>
      </c>
      <c r="C41" s="201">
        <v>206223</v>
      </c>
      <c r="D41" s="201">
        <v>268477</v>
      </c>
      <c r="E41" s="234">
        <v>343479</v>
      </c>
      <c r="F41" s="4">
        <f>Calcs!F17</f>
        <v>425122.10529506643</v>
      </c>
      <c r="G41" s="4">
        <f>Calcs!G17</f>
        <v>527463.26973939408</v>
      </c>
      <c r="H41" s="4">
        <f>Calcs!H17</f>
        <v>653538.64550620597</v>
      </c>
      <c r="I41" s="4">
        <f>Calcs!I17</f>
        <v>810355.05700983107</v>
      </c>
      <c r="J41" s="4">
        <f>Calcs!J17</f>
        <v>1008737.392560018</v>
      </c>
      <c r="K41" s="4">
        <f>Calcs!K17</f>
        <v>1239171.1623720382</v>
      </c>
      <c r="L41" s="4">
        <f>Calcs!L17</f>
        <v>1503662.713290662</v>
      </c>
      <c r="M41" s="4">
        <f>Calcs!M17</f>
        <v>1803643.9827778111</v>
      </c>
    </row>
    <row r="42" spans="1:15" s="11" customFormat="1" x14ac:dyDescent="0.25">
      <c r="A42" s="11" t="s">
        <v>126</v>
      </c>
      <c r="B42" s="18" t="s">
        <v>83</v>
      </c>
      <c r="C42" s="19">
        <f>SUM(C41,C39,C35)</f>
        <v>411976</v>
      </c>
      <c r="D42" s="19">
        <f>SUM(D41,D39,D35)</f>
        <v>512163</v>
      </c>
      <c r="E42" s="19">
        <f t="shared" ref="E42:F42" si="15">SUM(E41,E39,E35)</f>
        <v>619003</v>
      </c>
      <c r="F42" s="19">
        <f t="shared" si="15"/>
        <v>737222.14937147836</v>
      </c>
      <c r="G42" s="19">
        <f t="shared" ref="G42" si="16">SUM(G41,G39,G35)</f>
        <v>885580.04114672355</v>
      </c>
      <c r="H42" s="19">
        <f t="shared" ref="H42" si="17">SUM(H41,H39,H35)</f>
        <v>1064422.235433334</v>
      </c>
      <c r="I42" s="19">
        <f t="shared" ref="I42" si="18">SUM(I41,I39,I35)</f>
        <v>1280690.35403536</v>
      </c>
      <c r="J42" s="19">
        <f t="shared" ref="J42" si="19">SUM(J41,J39,J35)</f>
        <v>1544804.7978632357</v>
      </c>
      <c r="K42" s="19">
        <f t="shared" ref="K42" si="20">SUM(K41,K39,K35)</f>
        <v>1846496.5585987307</v>
      </c>
      <c r="L42" s="19">
        <f t="shared" ref="L42" si="21">SUM(L41,L39,L35)</f>
        <v>2186706.6885095588</v>
      </c>
      <c r="M42" s="19">
        <f t="shared" ref="M42" si="22">SUM(M41,M39,M35)</f>
        <v>2565590.0758543191</v>
      </c>
    </row>
    <row r="43" spans="1:15" x14ac:dyDescent="0.25">
      <c r="E43" s="29"/>
      <c r="H43" s="6"/>
      <c r="K43" s="6"/>
      <c r="L43" s="6"/>
      <c r="M43" s="6"/>
      <c r="N43" s="6"/>
      <c r="O43" s="6"/>
    </row>
    <row r="44" spans="1:15" x14ac:dyDescent="0.25">
      <c r="A44" s="4" t="s">
        <v>126</v>
      </c>
      <c r="B44" s="11" t="s">
        <v>84</v>
      </c>
      <c r="C44" s="48">
        <f>C42-C30</f>
        <v>0</v>
      </c>
      <c r="D44" s="48">
        <f t="shared" ref="D44:J44" si="23">D42-D30</f>
        <v>0</v>
      </c>
      <c r="E44" s="153">
        <f t="shared" si="23"/>
        <v>0</v>
      </c>
      <c r="F44" s="48">
        <f t="shared" si="23"/>
        <v>0</v>
      </c>
      <c r="G44" s="48">
        <f t="shared" si="23"/>
        <v>0</v>
      </c>
      <c r="H44" s="48">
        <f t="shared" si="23"/>
        <v>0</v>
      </c>
      <c r="I44" s="48">
        <f t="shared" si="23"/>
        <v>0</v>
      </c>
      <c r="J44" s="48">
        <f t="shared" si="23"/>
        <v>0</v>
      </c>
      <c r="K44" s="48">
        <f t="shared" ref="K44:M44" si="24">K42-K30</f>
        <v>0</v>
      </c>
      <c r="L44" s="48">
        <f t="shared" si="24"/>
        <v>0</v>
      </c>
      <c r="M44" s="48">
        <f t="shared" si="24"/>
        <v>0</v>
      </c>
      <c r="N44" s="48"/>
      <c r="O44" s="48"/>
    </row>
    <row r="45" spans="1:15" x14ac:dyDescent="0.25">
      <c r="I45" s="4"/>
      <c r="J45" s="4"/>
    </row>
    <row r="46" spans="1:15" x14ac:dyDescent="0.25">
      <c r="H46" s="6"/>
    </row>
    <row r="47" spans="1:15" x14ac:dyDescent="0.25">
      <c r="H47" s="6"/>
    </row>
    <row r="48" spans="1:15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  <row r="54" spans="8:8" x14ac:dyDescent="0.25">
      <c r="H54" s="6"/>
    </row>
    <row r="55" spans="8:8" x14ac:dyDescent="0.25">
      <c r="H55" s="6"/>
    </row>
    <row r="56" spans="8:8" x14ac:dyDescent="0.25">
      <c r="H56" s="6"/>
    </row>
    <row r="57" spans="8:8" x14ac:dyDescent="0.25">
      <c r="H57" s="6"/>
    </row>
  </sheetData>
  <conditionalFormatting sqref="F4:O15">
    <cfRule type="expression" dxfId="0" priority="30">
      <formula>$E$14&gt;1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O23"/>
  <sheetViews>
    <sheetView showGridLines="0" zoomScaleNormal="100" workbookViewId="0">
      <selection activeCell="E3" sqref="E3:E23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8" width="11.7109375" style="4" customWidth="1"/>
    <col min="9" max="10" width="11.7109375" style="6" customWidth="1"/>
    <col min="11" max="13" width="11.7109375" style="4" customWidth="1"/>
    <col min="14" max="256" width="8.85546875" style="4"/>
    <col min="257" max="257" width="1.7109375" style="4" customWidth="1"/>
    <col min="258" max="258" width="40.7109375" style="4" customWidth="1"/>
    <col min="259" max="264" width="10.7109375" style="4" customWidth="1"/>
    <col min="265" max="266" width="9.42578125" style="4" bestFit="1" customWidth="1"/>
    <col min="267" max="512" width="8.85546875" style="4"/>
    <col min="513" max="513" width="1.7109375" style="4" customWidth="1"/>
    <col min="514" max="514" width="40.7109375" style="4" customWidth="1"/>
    <col min="515" max="520" width="10.7109375" style="4" customWidth="1"/>
    <col min="521" max="522" width="9.42578125" style="4" bestFit="1" customWidth="1"/>
    <col min="523" max="768" width="8.85546875" style="4"/>
    <col min="769" max="769" width="1.7109375" style="4" customWidth="1"/>
    <col min="770" max="770" width="40.7109375" style="4" customWidth="1"/>
    <col min="771" max="776" width="10.7109375" style="4" customWidth="1"/>
    <col min="777" max="778" width="9.42578125" style="4" bestFit="1" customWidth="1"/>
    <col min="779" max="1024" width="8.85546875" style="4"/>
    <col min="1025" max="1025" width="1.7109375" style="4" customWidth="1"/>
    <col min="1026" max="1026" width="40.7109375" style="4" customWidth="1"/>
    <col min="1027" max="1032" width="10.7109375" style="4" customWidth="1"/>
    <col min="1033" max="1034" width="9.42578125" style="4" bestFit="1" customWidth="1"/>
    <col min="1035" max="1280" width="8.85546875" style="4"/>
    <col min="1281" max="1281" width="1.7109375" style="4" customWidth="1"/>
    <col min="1282" max="1282" width="40.7109375" style="4" customWidth="1"/>
    <col min="1283" max="1288" width="10.7109375" style="4" customWidth="1"/>
    <col min="1289" max="1290" width="9.42578125" style="4" bestFit="1" customWidth="1"/>
    <col min="1291" max="1536" width="8.85546875" style="4"/>
    <col min="1537" max="1537" width="1.7109375" style="4" customWidth="1"/>
    <col min="1538" max="1538" width="40.7109375" style="4" customWidth="1"/>
    <col min="1539" max="1544" width="10.7109375" style="4" customWidth="1"/>
    <col min="1545" max="1546" width="9.42578125" style="4" bestFit="1" customWidth="1"/>
    <col min="1547" max="1792" width="8.85546875" style="4"/>
    <col min="1793" max="1793" width="1.7109375" style="4" customWidth="1"/>
    <col min="1794" max="1794" width="40.7109375" style="4" customWidth="1"/>
    <col min="1795" max="1800" width="10.7109375" style="4" customWidth="1"/>
    <col min="1801" max="1802" width="9.42578125" style="4" bestFit="1" customWidth="1"/>
    <col min="1803" max="2048" width="8.85546875" style="4"/>
    <col min="2049" max="2049" width="1.7109375" style="4" customWidth="1"/>
    <col min="2050" max="2050" width="40.7109375" style="4" customWidth="1"/>
    <col min="2051" max="2056" width="10.7109375" style="4" customWidth="1"/>
    <col min="2057" max="2058" width="9.42578125" style="4" bestFit="1" customWidth="1"/>
    <col min="2059" max="2304" width="8.85546875" style="4"/>
    <col min="2305" max="2305" width="1.7109375" style="4" customWidth="1"/>
    <col min="2306" max="2306" width="40.7109375" style="4" customWidth="1"/>
    <col min="2307" max="2312" width="10.7109375" style="4" customWidth="1"/>
    <col min="2313" max="2314" width="9.42578125" style="4" bestFit="1" customWidth="1"/>
    <col min="2315" max="2560" width="8.85546875" style="4"/>
    <col min="2561" max="2561" width="1.7109375" style="4" customWidth="1"/>
    <col min="2562" max="2562" width="40.7109375" style="4" customWidth="1"/>
    <col min="2563" max="2568" width="10.7109375" style="4" customWidth="1"/>
    <col min="2569" max="2570" width="9.42578125" style="4" bestFit="1" customWidth="1"/>
    <col min="2571" max="2816" width="8.85546875" style="4"/>
    <col min="2817" max="2817" width="1.7109375" style="4" customWidth="1"/>
    <col min="2818" max="2818" width="40.7109375" style="4" customWidth="1"/>
    <col min="2819" max="2824" width="10.7109375" style="4" customWidth="1"/>
    <col min="2825" max="2826" width="9.42578125" style="4" bestFit="1" customWidth="1"/>
    <col min="2827" max="3072" width="8.85546875" style="4"/>
    <col min="3073" max="3073" width="1.7109375" style="4" customWidth="1"/>
    <col min="3074" max="3074" width="40.7109375" style="4" customWidth="1"/>
    <col min="3075" max="3080" width="10.7109375" style="4" customWidth="1"/>
    <col min="3081" max="3082" width="9.42578125" style="4" bestFit="1" customWidth="1"/>
    <col min="3083" max="3328" width="8.85546875" style="4"/>
    <col min="3329" max="3329" width="1.7109375" style="4" customWidth="1"/>
    <col min="3330" max="3330" width="40.7109375" style="4" customWidth="1"/>
    <col min="3331" max="3336" width="10.7109375" style="4" customWidth="1"/>
    <col min="3337" max="3338" width="9.42578125" style="4" bestFit="1" customWidth="1"/>
    <col min="3339" max="3584" width="8.85546875" style="4"/>
    <col min="3585" max="3585" width="1.7109375" style="4" customWidth="1"/>
    <col min="3586" max="3586" width="40.7109375" style="4" customWidth="1"/>
    <col min="3587" max="3592" width="10.7109375" style="4" customWidth="1"/>
    <col min="3593" max="3594" width="9.42578125" style="4" bestFit="1" customWidth="1"/>
    <col min="3595" max="3840" width="8.85546875" style="4"/>
    <col min="3841" max="3841" width="1.7109375" style="4" customWidth="1"/>
    <col min="3842" max="3842" width="40.7109375" style="4" customWidth="1"/>
    <col min="3843" max="3848" width="10.7109375" style="4" customWidth="1"/>
    <col min="3849" max="3850" width="9.42578125" style="4" bestFit="1" customWidth="1"/>
    <col min="3851" max="4096" width="8.85546875" style="4"/>
    <col min="4097" max="4097" width="1.7109375" style="4" customWidth="1"/>
    <col min="4098" max="4098" width="40.7109375" style="4" customWidth="1"/>
    <col min="4099" max="4104" width="10.7109375" style="4" customWidth="1"/>
    <col min="4105" max="4106" width="9.42578125" style="4" bestFit="1" customWidth="1"/>
    <col min="4107" max="4352" width="8.85546875" style="4"/>
    <col min="4353" max="4353" width="1.7109375" style="4" customWidth="1"/>
    <col min="4354" max="4354" width="40.7109375" style="4" customWidth="1"/>
    <col min="4355" max="4360" width="10.7109375" style="4" customWidth="1"/>
    <col min="4361" max="4362" width="9.42578125" style="4" bestFit="1" customWidth="1"/>
    <col min="4363" max="4608" width="8.85546875" style="4"/>
    <col min="4609" max="4609" width="1.7109375" style="4" customWidth="1"/>
    <col min="4610" max="4610" width="40.7109375" style="4" customWidth="1"/>
    <col min="4611" max="4616" width="10.7109375" style="4" customWidth="1"/>
    <col min="4617" max="4618" width="9.42578125" style="4" bestFit="1" customWidth="1"/>
    <col min="4619" max="4864" width="8.85546875" style="4"/>
    <col min="4865" max="4865" width="1.7109375" style="4" customWidth="1"/>
    <col min="4866" max="4866" width="40.7109375" style="4" customWidth="1"/>
    <col min="4867" max="4872" width="10.7109375" style="4" customWidth="1"/>
    <col min="4873" max="4874" width="9.42578125" style="4" bestFit="1" customWidth="1"/>
    <col min="4875" max="5120" width="8.85546875" style="4"/>
    <col min="5121" max="5121" width="1.7109375" style="4" customWidth="1"/>
    <col min="5122" max="5122" width="40.7109375" style="4" customWidth="1"/>
    <col min="5123" max="5128" width="10.7109375" style="4" customWidth="1"/>
    <col min="5129" max="5130" width="9.42578125" style="4" bestFit="1" customWidth="1"/>
    <col min="5131" max="5376" width="8.85546875" style="4"/>
    <col min="5377" max="5377" width="1.7109375" style="4" customWidth="1"/>
    <col min="5378" max="5378" width="40.7109375" style="4" customWidth="1"/>
    <col min="5379" max="5384" width="10.7109375" style="4" customWidth="1"/>
    <col min="5385" max="5386" width="9.42578125" style="4" bestFit="1" customWidth="1"/>
    <col min="5387" max="5632" width="8.85546875" style="4"/>
    <col min="5633" max="5633" width="1.7109375" style="4" customWidth="1"/>
    <col min="5634" max="5634" width="40.7109375" style="4" customWidth="1"/>
    <col min="5635" max="5640" width="10.7109375" style="4" customWidth="1"/>
    <col min="5641" max="5642" width="9.42578125" style="4" bestFit="1" customWidth="1"/>
    <col min="5643" max="5888" width="8.85546875" style="4"/>
    <col min="5889" max="5889" width="1.7109375" style="4" customWidth="1"/>
    <col min="5890" max="5890" width="40.7109375" style="4" customWidth="1"/>
    <col min="5891" max="5896" width="10.7109375" style="4" customWidth="1"/>
    <col min="5897" max="5898" width="9.42578125" style="4" bestFit="1" customWidth="1"/>
    <col min="5899" max="6144" width="8.85546875" style="4"/>
    <col min="6145" max="6145" width="1.7109375" style="4" customWidth="1"/>
    <col min="6146" max="6146" width="40.7109375" style="4" customWidth="1"/>
    <col min="6147" max="6152" width="10.7109375" style="4" customWidth="1"/>
    <col min="6153" max="6154" width="9.42578125" style="4" bestFit="1" customWidth="1"/>
    <col min="6155" max="6400" width="8.85546875" style="4"/>
    <col min="6401" max="6401" width="1.7109375" style="4" customWidth="1"/>
    <col min="6402" max="6402" width="40.7109375" style="4" customWidth="1"/>
    <col min="6403" max="6408" width="10.7109375" style="4" customWidth="1"/>
    <col min="6409" max="6410" width="9.42578125" style="4" bestFit="1" customWidth="1"/>
    <col min="6411" max="6656" width="8.85546875" style="4"/>
    <col min="6657" max="6657" width="1.7109375" style="4" customWidth="1"/>
    <col min="6658" max="6658" width="40.7109375" style="4" customWidth="1"/>
    <col min="6659" max="6664" width="10.7109375" style="4" customWidth="1"/>
    <col min="6665" max="6666" width="9.42578125" style="4" bestFit="1" customWidth="1"/>
    <col min="6667" max="6912" width="8.85546875" style="4"/>
    <col min="6913" max="6913" width="1.7109375" style="4" customWidth="1"/>
    <col min="6914" max="6914" width="40.7109375" style="4" customWidth="1"/>
    <col min="6915" max="6920" width="10.7109375" style="4" customWidth="1"/>
    <col min="6921" max="6922" width="9.42578125" style="4" bestFit="1" customWidth="1"/>
    <col min="6923" max="7168" width="8.85546875" style="4"/>
    <col min="7169" max="7169" width="1.7109375" style="4" customWidth="1"/>
    <col min="7170" max="7170" width="40.7109375" style="4" customWidth="1"/>
    <col min="7171" max="7176" width="10.7109375" style="4" customWidth="1"/>
    <col min="7177" max="7178" width="9.42578125" style="4" bestFit="1" customWidth="1"/>
    <col min="7179" max="7424" width="8.85546875" style="4"/>
    <col min="7425" max="7425" width="1.7109375" style="4" customWidth="1"/>
    <col min="7426" max="7426" width="40.7109375" style="4" customWidth="1"/>
    <col min="7427" max="7432" width="10.7109375" style="4" customWidth="1"/>
    <col min="7433" max="7434" width="9.42578125" style="4" bestFit="1" customWidth="1"/>
    <col min="7435" max="7680" width="8.85546875" style="4"/>
    <col min="7681" max="7681" width="1.7109375" style="4" customWidth="1"/>
    <col min="7682" max="7682" width="40.7109375" style="4" customWidth="1"/>
    <col min="7683" max="7688" width="10.7109375" style="4" customWidth="1"/>
    <col min="7689" max="7690" width="9.42578125" style="4" bestFit="1" customWidth="1"/>
    <col min="7691" max="7936" width="8.85546875" style="4"/>
    <col min="7937" max="7937" width="1.7109375" style="4" customWidth="1"/>
    <col min="7938" max="7938" width="40.7109375" style="4" customWidth="1"/>
    <col min="7939" max="7944" width="10.7109375" style="4" customWidth="1"/>
    <col min="7945" max="7946" width="9.42578125" style="4" bestFit="1" customWidth="1"/>
    <col min="7947" max="8192" width="8.85546875" style="4"/>
    <col min="8193" max="8193" width="1.7109375" style="4" customWidth="1"/>
    <col min="8194" max="8194" width="40.7109375" style="4" customWidth="1"/>
    <col min="8195" max="8200" width="10.7109375" style="4" customWidth="1"/>
    <col min="8201" max="8202" width="9.42578125" style="4" bestFit="1" customWidth="1"/>
    <col min="8203" max="8448" width="8.85546875" style="4"/>
    <col min="8449" max="8449" width="1.7109375" style="4" customWidth="1"/>
    <col min="8450" max="8450" width="40.7109375" style="4" customWidth="1"/>
    <col min="8451" max="8456" width="10.7109375" style="4" customWidth="1"/>
    <col min="8457" max="8458" width="9.42578125" style="4" bestFit="1" customWidth="1"/>
    <col min="8459" max="8704" width="8.85546875" style="4"/>
    <col min="8705" max="8705" width="1.7109375" style="4" customWidth="1"/>
    <col min="8706" max="8706" width="40.7109375" style="4" customWidth="1"/>
    <col min="8707" max="8712" width="10.7109375" style="4" customWidth="1"/>
    <col min="8713" max="8714" width="9.42578125" style="4" bestFit="1" customWidth="1"/>
    <col min="8715" max="8960" width="8.85546875" style="4"/>
    <col min="8961" max="8961" width="1.7109375" style="4" customWidth="1"/>
    <col min="8962" max="8962" width="40.7109375" style="4" customWidth="1"/>
    <col min="8963" max="8968" width="10.7109375" style="4" customWidth="1"/>
    <col min="8969" max="8970" width="9.42578125" style="4" bestFit="1" customWidth="1"/>
    <col min="8971" max="9216" width="8.85546875" style="4"/>
    <col min="9217" max="9217" width="1.7109375" style="4" customWidth="1"/>
    <col min="9218" max="9218" width="40.7109375" style="4" customWidth="1"/>
    <col min="9219" max="9224" width="10.7109375" style="4" customWidth="1"/>
    <col min="9225" max="9226" width="9.42578125" style="4" bestFit="1" customWidth="1"/>
    <col min="9227" max="9472" width="8.85546875" style="4"/>
    <col min="9473" max="9473" width="1.7109375" style="4" customWidth="1"/>
    <col min="9474" max="9474" width="40.7109375" style="4" customWidth="1"/>
    <col min="9475" max="9480" width="10.7109375" style="4" customWidth="1"/>
    <col min="9481" max="9482" width="9.42578125" style="4" bestFit="1" customWidth="1"/>
    <col min="9483" max="9728" width="8.85546875" style="4"/>
    <col min="9729" max="9729" width="1.7109375" style="4" customWidth="1"/>
    <col min="9730" max="9730" width="40.7109375" style="4" customWidth="1"/>
    <col min="9731" max="9736" width="10.7109375" style="4" customWidth="1"/>
    <col min="9737" max="9738" width="9.42578125" style="4" bestFit="1" customWidth="1"/>
    <col min="9739" max="9984" width="8.85546875" style="4"/>
    <col min="9985" max="9985" width="1.7109375" style="4" customWidth="1"/>
    <col min="9986" max="9986" width="40.7109375" style="4" customWidth="1"/>
    <col min="9987" max="9992" width="10.7109375" style="4" customWidth="1"/>
    <col min="9993" max="9994" width="9.42578125" style="4" bestFit="1" customWidth="1"/>
    <col min="9995" max="10240" width="8.85546875" style="4"/>
    <col min="10241" max="10241" width="1.7109375" style="4" customWidth="1"/>
    <col min="10242" max="10242" width="40.7109375" style="4" customWidth="1"/>
    <col min="10243" max="10248" width="10.7109375" style="4" customWidth="1"/>
    <col min="10249" max="10250" width="9.42578125" style="4" bestFit="1" customWidth="1"/>
    <col min="10251" max="10496" width="8.85546875" style="4"/>
    <col min="10497" max="10497" width="1.7109375" style="4" customWidth="1"/>
    <col min="10498" max="10498" width="40.7109375" style="4" customWidth="1"/>
    <col min="10499" max="10504" width="10.7109375" style="4" customWidth="1"/>
    <col min="10505" max="10506" width="9.42578125" style="4" bestFit="1" customWidth="1"/>
    <col min="10507" max="10752" width="8.85546875" style="4"/>
    <col min="10753" max="10753" width="1.7109375" style="4" customWidth="1"/>
    <col min="10754" max="10754" width="40.7109375" style="4" customWidth="1"/>
    <col min="10755" max="10760" width="10.7109375" style="4" customWidth="1"/>
    <col min="10761" max="10762" width="9.42578125" style="4" bestFit="1" customWidth="1"/>
    <col min="10763" max="11008" width="8.85546875" style="4"/>
    <col min="11009" max="11009" width="1.7109375" style="4" customWidth="1"/>
    <col min="11010" max="11010" width="40.7109375" style="4" customWidth="1"/>
    <col min="11011" max="11016" width="10.7109375" style="4" customWidth="1"/>
    <col min="11017" max="11018" width="9.42578125" style="4" bestFit="1" customWidth="1"/>
    <col min="11019" max="11264" width="8.85546875" style="4"/>
    <col min="11265" max="11265" width="1.7109375" style="4" customWidth="1"/>
    <col min="11266" max="11266" width="40.7109375" style="4" customWidth="1"/>
    <col min="11267" max="11272" width="10.7109375" style="4" customWidth="1"/>
    <col min="11273" max="11274" width="9.42578125" style="4" bestFit="1" customWidth="1"/>
    <col min="11275" max="11520" width="8.85546875" style="4"/>
    <col min="11521" max="11521" width="1.7109375" style="4" customWidth="1"/>
    <col min="11522" max="11522" width="40.7109375" style="4" customWidth="1"/>
    <col min="11523" max="11528" width="10.7109375" style="4" customWidth="1"/>
    <col min="11529" max="11530" width="9.42578125" style="4" bestFit="1" customWidth="1"/>
    <col min="11531" max="11776" width="8.85546875" style="4"/>
    <col min="11777" max="11777" width="1.7109375" style="4" customWidth="1"/>
    <col min="11778" max="11778" width="40.7109375" style="4" customWidth="1"/>
    <col min="11779" max="11784" width="10.7109375" style="4" customWidth="1"/>
    <col min="11785" max="11786" width="9.42578125" style="4" bestFit="1" customWidth="1"/>
    <col min="11787" max="12032" width="8.85546875" style="4"/>
    <col min="12033" max="12033" width="1.7109375" style="4" customWidth="1"/>
    <col min="12034" max="12034" width="40.7109375" style="4" customWidth="1"/>
    <col min="12035" max="12040" width="10.7109375" style="4" customWidth="1"/>
    <col min="12041" max="12042" width="9.42578125" style="4" bestFit="1" customWidth="1"/>
    <col min="12043" max="12288" width="8.85546875" style="4"/>
    <col min="12289" max="12289" width="1.7109375" style="4" customWidth="1"/>
    <col min="12290" max="12290" width="40.7109375" style="4" customWidth="1"/>
    <col min="12291" max="12296" width="10.7109375" style="4" customWidth="1"/>
    <col min="12297" max="12298" width="9.42578125" style="4" bestFit="1" customWidth="1"/>
    <col min="12299" max="12544" width="8.85546875" style="4"/>
    <col min="12545" max="12545" width="1.7109375" style="4" customWidth="1"/>
    <col min="12546" max="12546" width="40.7109375" style="4" customWidth="1"/>
    <col min="12547" max="12552" width="10.7109375" style="4" customWidth="1"/>
    <col min="12553" max="12554" width="9.42578125" style="4" bestFit="1" customWidth="1"/>
    <col min="12555" max="12800" width="8.85546875" style="4"/>
    <col min="12801" max="12801" width="1.7109375" style="4" customWidth="1"/>
    <col min="12802" max="12802" width="40.7109375" style="4" customWidth="1"/>
    <col min="12803" max="12808" width="10.7109375" style="4" customWidth="1"/>
    <col min="12809" max="12810" width="9.42578125" style="4" bestFit="1" customWidth="1"/>
    <col min="12811" max="13056" width="8.85546875" style="4"/>
    <col min="13057" max="13057" width="1.7109375" style="4" customWidth="1"/>
    <col min="13058" max="13058" width="40.7109375" style="4" customWidth="1"/>
    <col min="13059" max="13064" width="10.7109375" style="4" customWidth="1"/>
    <col min="13065" max="13066" width="9.42578125" style="4" bestFit="1" customWidth="1"/>
    <col min="13067" max="13312" width="8.85546875" style="4"/>
    <col min="13313" max="13313" width="1.7109375" style="4" customWidth="1"/>
    <col min="13314" max="13314" width="40.7109375" style="4" customWidth="1"/>
    <col min="13315" max="13320" width="10.7109375" style="4" customWidth="1"/>
    <col min="13321" max="13322" width="9.42578125" style="4" bestFit="1" customWidth="1"/>
    <col min="13323" max="13568" width="8.85546875" style="4"/>
    <col min="13569" max="13569" width="1.7109375" style="4" customWidth="1"/>
    <col min="13570" max="13570" width="40.7109375" style="4" customWidth="1"/>
    <col min="13571" max="13576" width="10.7109375" style="4" customWidth="1"/>
    <col min="13577" max="13578" width="9.42578125" style="4" bestFit="1" customWidth="1"/>
    <col min="13579" max="13824" width="8.85546875" style="4"/>
    <col min="13825" max="13825" width="1.7109375" style="4" customWidth="1"/>
    <col min="13826" max="13826" width="40.7109375" style="4" customWidth="1"/>
    <col min="13827" max="13832" width="10.7109375" style="4" customWidth="1"/>
    <col min="13833" max="13834" width="9.42578125" style="4" bestFit="1" customWidth="1"/>
    <col min="13835" max="14080" width="8.85546875" style="4"/>
    <col min="14081" max="14081" width="1.7109375" style="4" customWidth="1"/>
    <col min="14082" max="14082" width="40.7109375" style="4" customWidth="1"/>
    <col min="14083" max="14088" width="10.7109375" style="4" customWidth="1"/>
    <col min="14089" max="14090" width="9.42578125" style="4" bestFit="1" customWidth="1"/>
    <col min="14091" max="14336" width="8.85546875" style="4"/>
    <col min="14337" max="14337" width="1.7109375" style="4" customWidth="1"/>
    <col min="14338" max="14338" width="40.7109375" style="4" customWidth="1"/>
    <col min="14339" max="14344" width="10.7109375" style="4" customWidth="1"/>
    <col min="14345" max="14346" width="9.42578125" style="4" bestFit="1" customWidth="1"/>
    <col min="14347" max="14592" width="8.85546875" style="4"/>
    <col min="14593" max="14593" width="1.7109375" style="4" customWidth="1"/>
    <col min="14594" max="14594" width="40.7109375" style="4" customWidth="1"/>
    <col min="14595" max="14600" width="10.7109375" style="4" customWidth="1"/>
    <col min="14601" max="14602" width="9.42578125" style="4" bestFit="1" customWidth="1"/>
    <col min="14603" max="14848" width="8.85546875" style="4"/>
    <col min="14849" max="14849" width="1.7109375" style="4" customWidth="1"/>
    <col min="14850" max="14850" width="40.7109375" style="4" customWidth="1"/>
    <col min="14851" max="14856" width="10.7109375" style="4" customWidth="1"/>
    <col min="14857" max="14858" width="9.42578125" style="4" bestFit="1" customWidth="1"/>
    <col min="14859" max="15104" width="8.85546875" style="4"/>
    <col min="15105" max="15105" width="1.7109375" style="4" customWidth="1"/>
    <col min="15106" max="15106" width="40.7109375" style="4" customWidth="1"/>
    <col min="15107" max="15112" width="10.7109375" style="4" customWidth="1"/>
    <col min="15113" max="15114" width="9.42578125" style="4" bestFit="1" customWidth="1"/>
    <col min="15115" max="15360" width="8.85546875" style="4"/>
    <col min="15361" max="15361" width="1.7109375" style="4" customWidth="1"/>
    <col min="15362" max="15362" width="40.7109375" style="4" customWidth="1"/>
    <col min="15363" max="15368" width="10.7109375" style="4" customWidth="1"/>
    <col min="15369" max="15370" width="9.42578125" style="4" bestFit="1" customWidth="1"/>
    <col min="15371" max="15616" width="8.85546875" style="4"/>
    <col min="15617" max="15617" width="1.7109375" style="4" customWidth="1"/>
    <col min="15618" max="15618" width="40.7109375" style="4" customWidth="1"/>
    <col min="15619" max="15624" width="10.7109375" style="4" customWidth="1"/>
    <col min="15625" max="15626" width="9.42578125" style="4" bestFit="1" customWidth="1"/>
    <col min="15627" max="15872" width="8.85546875" style="4"/>
    <col min="15873" max="15873" width="1.7109375" style="4" customWidth="1"/>
    <col min="15874" max="15874" width="40.7109375" style="4" customWidth="1"/>
    <col min="15875" max="15880" width="10.7109375" style="4" customWidth="1"/>
    <col min="15881" max="15882" width="9.42578125" style="4" bestFit="1" customWidth="1"/>
    <col min="15883" max="16128" width="8.85546875" style="4"/>
    <col min="16129" max="16129" width="1.7109375" style="4" customWidth="1"/>
    <col min="16130" max="16130" width="40.7109375" style="4" customWidth="1"/>
    <col min="16131" max="16136" width="10.7109375" style="4" customWidth="1"/>
    <col min="16137" max="16138" width="9.42578125" style="4" bestFit="1" customWidth="1"/>
    <col min="16139" max="16384" width="8.85546875" style="4"/>
  </cols>
  <sheetData>
    <row r="1" spans="1:15" s="2" customFormat="1" ht="19.5" x14ac:dyDescent="0.3">
      <c r="A1" s="318" t="str">
        <f>CoName</f>
        <v>Microsoft Corp.</v>
      </c>
      <c r="B1" s="3"/>
      <c r="C1" s="43" t="s">
        <v>0</v>
      </c>
      <c r="D1" s="43" t="s">
        <v>0</v>
      </c>
      <c r="E1" s="43" t="s">
        <v>0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 t="s">
        <v>1</v>
      </c>
      <c r="L1" s="43" t="s">
        <v>1</v>
      </c>
      <c r="M1" s="43" t="s">
        <v>1</v>
      </c>
      <c r="N1" s="43"/>
      <c r="O1" s="43"/>
    </row>
    <row r="2" spans="1:15" s="2" customFormat="1" x14ac:dyDescent="0.25">
      <c r="A2" s="191" t="s">
        <v>85</v>
      </c>
      <c r="B2" s="192"/>
      <c r="C2" s="316">
        <v>2023</v>
      </c>
      <c r="D2" s="316">
        <v>2024</v>
      </c>
      <c r="E2" s="316">
        <v>2025</v>
      </c>
      <c r="F2" s="316">
        <v>2026</v>
      </c>
      <c r="G2" s="316">
        <v>2027</v>
      </c>
      <c r="H2" s="316">
        <v>2028</v>
      </c>
      <c r="I2" s="316">
        <v>2029</v>
      </c>
      <c r="J2" s="316">
        <v>2030</v>
      </c>
      <c r="K2" s="316">
        <v>2031</v>
      </c>
      <c r="L2" s="316">
        <v>2032</v>
      </c>
      <c r="M2" s="316">
        <v>2033</v>
      </c>
      <c r="N2" s="221"/>
      <c r="O2" s="221"/>
    </row>
    <row r="3" spans="1:15" x14ac:dyDescent="0.25">
      <c r="B3" s="4" t="s">
        <v>157</v>
      </c>
      <c r="F3" s="4">
        <f>IncState!F36</f>
        <v>122320.6652950664</v>
      </c>
      <c r="G3" s="4">
        <f>IncState!G36</f>
        <v>143018.7244443277</v>
      </c>
      <c r="H3" s="4">
        <f>IncState!H36</f>
        <v>166752.93576681183</v>
      </c>
      <c r="I3" s="4">
        <f>IncState!I36</f>
        <v>193493.97150362513</v>
      </c>
      <c r="J3" s="4">
        <f>IncState!J36</f>
        <v>223059.89555018695</v>
      </c>
      <c r="K3" s="4">
        <f>IncState!K36</f>
        <v>255111.32981202024</v>
      </c>
      <c r="L3" s="4">
        <f>IncState!L36</f>
        <v>289169.11091862386</v>
      </c>
      <c r="M3" s="4">
        <f>IncState!M36</f>
        <v>324658.82948714902</v>
      </c>
    </row>
    <row r="4" spans="1:15" x14ac:dyDescent="0.25">
      <c r="B4" s="4" t="s">
        <v>15</v>
      </c>
      <c r="F4" s="4">
        <f>Calcs!F8</f>
        <v>50778.920473368191</v>
      </c>
      <c r="G4" s="4">
        <f>Calcs!G8</f>
        <v>56820.928550505661</v>
      </c>
      <c r="H4" s="4">
        <f>Calcs!H8</f>
        <v>63187.37726242865</v>
      </c>
      <c r="I4" s="4">
        <f>Calcs!I8</f>
        <v>69816.362539376918</v>
      </c>
      <c r="J4" s="4">
        <f>Calcs!J8</f>
        <v>76575.954427038829</v>
      </c>
      <c r="K4" s="4">
        <f>Calcs!K8</f>
        <v>83264.552951538426</v>
      </c>
      <c r="L4" s="4">
        <f>Calcs!L8</f>
        <v>89617.426875190431</v>
      </c>
      <c r="M4" s="4">
        <f>Calcs!M8</f>
        <v>95320.308655197106</v>
      </c>
    </row>
    <row r="5" spans="1:15" x14ac:dyDescent="0.25">
      <c r="B5" s="4" t="s">
        <v>54</v>
      </c>
      <c r="F5" s="4">
        <f>IncState!F24</f>
        <v>0</v>
      </c>
      <c r="G5" s="4">
        <f>IncState!G24</f>
        <v>0</v>
      </c>
      <c r="H5" s="4">
        <f>IncState!H24</f>
        <v>0</v>
      </c>
      <c r="I5" s="4">
        <f>IncState!I24</f>
        <v>0</v>
      </c>
      <c r="J5" s="4">
        <f>IncState!J24</f>
        <v>0</v>
      </c>
      <c r="K5" s="4">
        <f>IncState!K24</f>
        <v>0</v>
      </c>
      <c r="L5" s="4">
        <f>IncState!L24</f>
        <v>0</v>
      </c>
      <c r="M5" s="4">
        <f>IncState!M24</f>
        <v>0</v>
      </c>
    </row>
    <row r="6" spans="1:15" x14ac:dyDescent="0.25">
      <c r="B6" s="4" t="s">
        <v>239</v>
      </c>
      <c r="F6" s="4">
        <f>Calcs!F26</f>
        <v>-4005.9728440333565</v>
      </c>
      <c r="G6" s="4">
        <f>Calcs!G26</f>
        <v>-5039.9589325141569</v>
      </c>
      <c r="H6" s="4">
        <f>Calcs!H26</f>
        <v>-5779.2592773222423</v>
      </c>
      <c r="I6" s="4">
        <f>Calcs!I26</f>
        <v>-6511.418339010881</v>
      </c>
      <c r="J6" s="4">
        <f>Calcs!J26</f>
        <v>-7199.2761215885985</v>
      </c>
      <c r="K6" s="4">
        <f>Calcs!K26</f>
        <v>-7804.4956410119776</v>
      </c>
      <c r="L6" s="4">
        <f>Calcs!L26</f>
        <v>-8293.0393073093146</v>
      </c>
      <c r="M6" s="4">
        <f>Calcs!M26</f>
        <v>-8641.7148014689446</v>
      </c>
    </row>
    <row r="7" spans="1:15" x14ac:dyDescent="0.25">
      <c r="B7" s="4" t="s">
        <v>240</v>
      </c>
      <c r="F7" s="4">
        <f>BalSheet!E27-BalSheet!F27</f>
        <v>-6303.6692043218864</v>
      </c>
      <c r="G7" s="4">
        <f>BalSheet!F27-BalSheet!G27</f>
        <v>-7930.7162456820151</v>
      </c>
      <c r="H7" s="4">
        <f>BalSheet!G27-BalSheet!H27</f>
        <v>-9094.0553390191999</v>
      </c>
      <c r="I7" s="4">
        <f>BalSheet!H27-BalSheet!I27</f>
        <v>-10246.157140384727</v>
      </c>
      <c r="J7" s="4">
        <f>BalSheet!I27-BalSheet!J27</f>
        <v>-11328.547882859653</v>
      </c>
      <c r="K7" s="4">
        <f>BalSheet!J27-BalSheet!K27</f>
        <v>-12280.901729223362</v>
      </c>
      <c r="L7" s="4">
        <f>BalSheet!K27-BalSheet!L27</f>
        <v>-13049.658229605746</v>
      </c>
      <c r="M7" s="4">
        <f>BalSheet!L27-BalSheet!M27</f>
        <v>-13598.322701485275</v>
      </c>
    </row>
    <row r="8" spans="1:15" x14ac:dyDescent="0.25">
      <c r="B8" s="4" t="s">
        <v>241</v>
      </c>
      <c r="F8" s="4">
        <f>BalSheet!F38-BalSheet!E38</f>
        <v>14631.22569367</v>
      </c>
      <c r="G8" s="4">
        <f>BalSheet!G38-BalSheet!F38</f>
        <v>18407.707565535427</v>
      </c>
      <c r="H8" s="4">
        <f>BalSheet!H38-BalSheet!G38</f>
        <v>21107.893168741866</v>
      </c>
      <c r="I8" s="4">
        <f>BalSheet!I38-BalSheet!H38</f>
        <v>23781.996287335962</v>
      </c>
      <c r="J8" s="4">
        <f>BalSheet!J38-BalSheet!I38</f>
        <v>26294.295509990596</v>
      </c>
      <c r="K8" s="4">
        <f>BalSheet!K38-BalSheet!J38</f>
        <v>28504.770649902552</v>
      </c>
      <c r="L8" s="4">
        <f>BalSheet!L38-BalSheet!K38</f>
        <v>30289.1044237717</v>
      </c>
      <c r="M8" s="4">
        <f>BalSheet!M38-BalSheet!L38</f>
        <v>31562.590302863158</v>
      </c>
    </row>
    <row r="9" spans="1:15" s="11" customFormat="1" x14ac:dyDescent="0.25">
      <c r="B9" s="11" t="s">
        <v>242</v>
      </c>
      <c r="F9" s="11">
        <f>SUM(F3:F8)</f>
        <v>177421.16941374936</v>
      </c>
      <c r="G9" s="11">
        <f t="shared" ref="G9:M9" si="0">SUM(G3:G8)</f>
        <v>205276.68538217264</v>
      </c>
      <c r="H9" s="11">
        <f t="shared" si="0"/>
        <v>236174.8915816409</v>
      </c>
      <c r="I9" s="11">
        <f t="shared" si="0"/>
        <v>270334.75485094241</v>
      </c>
      <c r="J9" s="11">
        <f t="shared" si="0"/>
        <v>307402.32148276811</v>
      </c>
      <c r="K9" s="11">
        <f t="shared" si="0"/>
        <v>346795.25604322588</v>
      </c>
      <c r="L9" s="11">
        <f t="shared" si="0"/>
        <v>387732.94468067097</v>
      </c>
      <c r="M9" s="11">
        <f t="shared" si="0"/>
        <v>429301.69094225508</v>
      </c>
    </row>
    <row r="10" spans="1:15" x14ac:dyDescent="0.25">
      <c r="I10" s="4"/>
      <c r="J10" s="4"/>
    </row>
    <row r="11" spans="1:15" x14ac:dyDescent="0.25">
      <c r="B11" s="4" t="s">
        <v>14</v>
      </c>
      <c r="F11" s="4">
        <f>Calcs!F7</f>
        <v>78120.718626905247</v>
      </c>
      <c r="G11" s="4">
        <f>Calcs!G7</f>
        <v>85630.912485302659</v>
      </c>
      <c r="H11" s="4">
        <f>Calcs!H7</f>
        <v>93185.413526385208</v>
      </c>
      <c r="I11" s="4">
        <f>Calcs!I7</f>
        <v>100405.43071558178</v>
      </c>
      <c r="J11" s="4">
        <f>Calcs!J7</f>
        <v>106843.75752364706</v>
      </c>
      <c r="K11" s="4">
        <f>Calcs!K7</f>
        <v>112013.10712388827</v>
      </c>
      <c r="L11" s="4">
        <f>Calcs!L7</f>
        <v>115424.58246514139</v>
      </c>
      <c r="M11" s="4">
        <f>Calcs!M7</f>
        <v>116631.57501960556</v>
      </c>
    </row>
    <row r="12" spans="1:15" s="11" customFormat="1" x14ac:dyDescent="0.25">
      <c r="B12" s="11" t="s">
        <v>243</v>
      </c>
      <c r="F12" s="11">
        <f>-F11</f>
        <v>-78120.718626905247</v>
      </c>
      <c r="G12" s="11">
        <f t="shared" ref="G12:M12" si="1">-G11</f>
        <v>-85630.912485302659</v>
      </c>
      <c r="H12" s="11">
        <f t="shared" si="1"/>
        <v>-93185.413526385208</v>
      </c>
      <c r="I12" s="11">
        <f t="shared" si="1"/>
        <v>-100405.43071558178</v>
      </c>
      <c r="J12" s="11">
        <f t="shared" si="1"/>
        <v>-106843.75752364706</v>
      </c>
      <c r="K12" s="11">
        <f t="shared" si="1"/>
        <v>-112013.10712388827</v>
      </c>
      <c r="L12" s="11">
        <f t="shared" si="1"/>
        <v>-115424.58246514139</v>
      </c>
      <c r="M12" s="11">
        <f t="shared" si="1"/>
        <v>-116631.57501960556</v>
      </c>
    </row>
    <row r="13" spans="1:15" x14ac:dyDescent="0.25">
      <c r="I13" s="4"/>
      <c r="J13" s="4"/>
    </row>
    <row r="14" spans="1:15" x14ac:dyDescent="0.25">
      <c r="B14" s="4" t="s">
        <v>244</v>
      </c>
      <c r="F14" s="4">
        <f>-IncState!F39</f>
        <v>-24677.559999999998</v>
      </c>
      <c r="G14" s="4">
        <f>-IncState!G39</f>
        <v>-24677.559999999998</v>
      </c>
      <c r="H14" s="4">
        <f>-IncState!H39</f>
        <v>-24677.559999999998</v>
      </c>
      <c r="I14" s="4">
        <f>-IncState!I39</f>
        <v>-24677.559999999998</v>
      </c>
      <c r="J14" s="4">
        <f>-IncState!J39</f>
        <v>-24677.559999999998</v>
      </c>
      <c r="K14" s="4">
        <f>-IncState!K39</f>
        <v>-24677.559999999998</v>
      </c>
      <c r="L14" s="4">
        <f>-IncState!L39</f>
        <v>-24677.559999999998</v>
      </c>
      <c r="M14" s="4">
        <f>-IncState!M39</f>
        <v>-24677.559999999998</v>
      </c>
    </row>
    <row r="15" spans="1:15" x14ac:dyDescent="0.25">
      <c r="B15" s="4" t="s">
        <v>245</v>
      </c>
      <c r="F15" s="4">
        <f>Calcs!F16</f>
        <v>-16000</v>
      </c>
      <c r="G15" s="4">
        <f>Calcs!G16</f>
        <v>-16000</v>
      </c>
      <c r="H15" s="4">
        <f>Calcs!H16</f>
        <v>-16000</v>
      </c>
      <c r="I15" s="4">
        <f>Calcs!I16</f>
        <v>-12000</v>
      </c>
      <c r="J15" s="4">
        <f>Calcs!J16</f>
        <v>0</v>
      </c>
      <c r="K15" s="4">
        <f>Calcs!K16</f>
        <v>0</v>
      </c>
      <c r="L15" s="4">
        <f>Calcs!L16</f>
        <v>0</v>
      </c>
      <c r="M15" s="4">
        <f>Calcs!M16</f>
        <v>0</v>
      </c>
    </row>
    <row r="16" spans="1:15" x14ac:dyDescent="0.25">
      <c r="B16" s="4" t="s">
        <v>246</v>
      </c>
      <c r="F16" s="4">
        <f>-Debt!F19</f>
        <v>0</v>
      </c>
      <c r="G16" s="4">
        <f>-Debt!G19</f>
        <v>0</v>
      </c>
      <c r="H16" s="4">
        <f>-Debt!H19</f>
        <v>0</v>
      </c>
      <c r="I16" s="4">
        <f>-Debt!I19</f>
        <v>0</v>
      </c>
      <c r="J16" s="4">
        <f>-Debt!J19</f>
        <v>0</v>
      </c>
      <c r="K16" s="4">
        <f>-Debt!K19</f>
        <v>0</v>
      </c>
      <c r="L16" s="4">
        <f>-Debt!L19</f>
        <v>0</v>
      </c>
      <c r="M16" s="4">
        <f>-Debt!M19</f>
        <v>0</v>
      </c>
    </row>
    <row r="17" spans="1:13" s="11" customFormat="1" x14ac:dyDescent="0.25">
      <c r="B17" s="11" t="s">
        <v>247</v>
      </c>
      <c r="F17" s="11">
        <f>SUM(F14:F16)</f>
        <v>-40677.56</v>
      </c>
      <c r="G17" s="11">
        <f t="shared" ref="G17:M17" si="2">SUM(G14:G16)</f>
        <v>-40677.56</v>
      </c>
      <c r="H17" s="11">
        <f t="shared" si="2"/>
        <v>-40677.56</v>
      </c>
      <c r="I17" s="11">
        <f t="shared" si="2"/>
        <v>-36677.56</v>
      </c>
      <c r="J17" s="11">
        <f t="shared" si="2"/>
        <v>-24677.559999999998</v>
      </c>
      <c r="K17" s="11">
        <f t="shared" si="2"/>
        <v>-24677.559999999998</v>
      </c>
      <c r="L17" s="11">
        <f t="shared" si="2"/>
        <v>-24677.559999999998</v>
      </c>
      <c r="M17" s="11">
        <f t="shared" si="2"/>
        <v>-24677.559999999998</v>
      </c>
    </row>
    <row r="18" spans="1:13" x14ac:dyDescent="0.25">
      <c r="I18" s="4"/>
      <c r="J18" s="4"/>
    </row>
    <row r="19" spans="1:13" x14ac:dyDescent="0.25">
      <c r="A19" s="4" t="s">
        <v>126</v>
      </c>
      <c r="B19" s="4" t="s">
        <v>248</v>
      </c>
      <c r="F19" s="4">
        <f>SUM(F17,F12,F9)</f>
        <v>58622.890786844117</v>
      </c>
      <c r="G19" s="4">
        <f t="shared" ref="G19:M19" si="3">SUM(G17,G12,G9)</f>
        <v>78968.212896869984</v>
      </c>
      <c r="H19" s="4">
        <f t="shared" si="3"/>
        <v>102311.91805525569</v>
      </c>
      <c r="I19" s="4">
        <f t="shared" si="3"/>
        <v>133251.76413536063</v>
      </c>
      <c r="J19" s="4">
        <f t="shared" si="3"/>
        <v>175881.00395912107</v>
      </c>
      <c r="K19" s="4">
        <f t="shared" si="3"/>
        <v>210104.58891933761</v>
      </c>
      <c r="L19" s="4">
        <f t="shared" si="3"/>
        <v>247630.80221552961</v>
      </c>
      <c r="M19" s="4">
        <f t="shared" si="3"/>
        <v>287992.55592264951</v>
      </c>
    </row>
    <row r="20" spans="1:13" x14ac:dyDescent="0.25">
      <c r="I20" s="4"/>
      <c r="J20" s="4"/>
    </row>
    <row r="21" spans="1:13" x14ac:dyDescent="0.25">
      <c r="B21" s="4" t="s">
        <v>249</v>
      </c>
      <c r="F21" s="4">
        <f>BalSheet!E18</f>
        <v>24134</v>
      </c>
      <c r="G21" s="4">
        <f>BalSheet!F18</f>
        <v>82756.890786844117</v>
      </c>
      <c r="H21" s="4">
        <f>BalSheet!G18</f>
        <v>161725.10368371411</v>
      </c>
      <c r="I21" s="4">
        <f>BalSheet!H18</f>
        <v>264037.02173896984</v>
      </c>
      <c r="J21" s="4">
        <f>BalSheet!I18</f>
        <v>397288.78587433044</v>
      </c>
      <c r="K21" s="4">
        <f>BalSheet!J18</f>
        <v>573169.7898334515</v>
      </c>
      <c r="L21" s="4">
        <f>BalSheet!K18</f>
        <v>783274.37875278911</v>
      </c>
      <c r="M21" s="4">
        <f>BalSheet!L18</f>
        <v>1030905.1809683187</v>
      </c>
    </row>
    <row r="22" spans="1:13" x14ac:dyDescent="0.25">
      <c r="B22" s="4" t="s">
        <v>250</v>
      </c>
      <c r="F22" s="4">
        <f>F19</f>
        <v>58622.890786844117</v>
      </c>
      <c r="G22" s="4">
        <f t="shared" ref="G22:M22" si="4">G19</f>
        <v>78968.212896869984</v>
      </c>
      <c r="H22" s="4">
        <f t="shared" si="4"/>
        <v>102311.91805525569</v>
      </c>
      <c r="I22" s="4">
        <f t="shared" si="4"/>
        <v>133251.76413536063</v>
      </c>
      <c r="J22" s="4">
        <f t="shared" si="4"/>
        <v>175881.00395912107</v>
      </c>
      <c r="K22" s="4">
        <f t="shared" si="4"/>
        <v>210104.58891933761</v>
      </c>
      <c r="L22" s="4">
        <f t="shared" si="4"/>
        <v>247630.80221552961</v>
      </c>
      <c r="M22" s="4">
        <f t="shared" si="4"/>
        <v>287992.55592264951</v>
      </c>
    </row>
    <row r="23" spans="1:13" x14ac:dyDescent="0.25">
      <c r="B23" s="4" t="s">
        <v>251</v>
      </c>
      <c r="F23" s="4">
        <f>SUM(F21:F22)</f>
        <v>82756.890786844117</v>
      </c>
      <c r="G23" s="4">
        <f t="shared" ref="G23:M23" si="5">SUM(G21:G22)</f>
        <v>161725.10368371411</v>
      </c>
      <c r="H23" s="4">
        <f t="shared" si="5"/>
        <v>264037.02173896984</v>
      </c>
      <c r="I23" s="4">
        <f t="shared" si="5"/>
        <v>397288.78587433044</v>
      </c>
      <c r="J23" s="4">
        <f t="shared" si="5"/>
        <v>573169.7898334515</v>
      </c>
      <c r="K23" s="4">
        <f t="shared" si="5"/>
        <v>783274.37875278911</v>
      </c>
      <c r="L23" s="4">
        <f t="shared" si="5"/>
        <v>1030905.1809683187</v>
      </c>
      <c r="M23" s="4">
        <f t="shared" si="5"/>
        <v>1318897.7368909682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O30"/>
  <sheetViews>
    <sheetView showGridLines="0" zoomScaleNormal="100" workbookViewId="0">
      <selection activeCell="F3" sqref="F3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3" width="11.7109375" style="4" customWidth="1"/>
    <col min="14" max="256" width="8.85546875" style="4"/>
    <col min="257" max="257" width="1.7109375" style="4" customWidth="1"/>
    <col min="258" max="258" width="40.7109375" style="4" customWidth="1"/>
    <col min="259" max="264" width="10.7109375" style="4" customWidth="1"/>
    <col min="265" max="266" width="9.42578125" style="4" bestFit="1" customWidth="1"/>
    <col min="267" max="512" width="8.85546875" style="4"/>
    <col min="513" max="513" width="1.7109375" style="4" customWidth="1"/>
    <col min="514" max="514" width="40.7109375" style="4" customWidth="1"/>
    <col min="515" max="520" width="10.7109375" style="4" customWidth="1"/>
    <col min="521" max="522" width="9.42578125" style="4" bestFit="1" customWidth="1"/>
    <col min="523" max="768" width="8.85546875" style="4"/>
    <col min="769" max="769" width="1.7109375" style="4" customWidth="1"/>
    <col min="770" max="770" width="40.7109375" style="4" customWidth="1"/>
    <col min="771" max="776" width="10.7109375" style="4" customWidth="1"/>
    <col min="777" max="778" width="9.42578125" style="4" bestFit="1" customWidth="1"/>
    <col min="779" max="1024" width="8.85546875" style="4"/>
    <col min="1025" max="1025" width="1.7109375" style="4" customWidth="1"/>
    <col min="1026" max="1026" width="40.7109375" style="4" customWidth="1"/>
    <col min="1027" max="1032" width="10.7109375" style="4" customWidth="1"/>
    <col min="1033" max="1034" width="9.42578125" style="4" bestFit="1" customWidth="1"/>
    <col min="1035" max="1280" width="8.85546875" style="4"/>
    <col min="1281" max="1281" width="1.7109375" style="4" customWidth="1"/>
    <col min="1282" max="1282" width="40.7109375" style="4" customWidth="1"/>
    <col min="1283" max="1288" width="10.7109375" style="4" customWidth="1"/>
    <col min="1289" max="1290" width="9.42578125" style="4" bestFit="1" customWidth="1"/>
    <col min="1291" max="1536" width="8.85546875" style="4"/>
    <col min="1537" max="1537" width="1.7109375" style="4" customWidth="1"/>
    <col min="1538" max="1538" width="40.7109375" style="4" customWidth="1"/>
    <col min="1539" max="1544" width="10.7109375" style="4" customWidth="1"/>
    <col min="1545" max="1546" width="9.42578125" style="4" bestFit="1" customWidth="1"/>
    <col min="1547" max="1792" width="8.85546875" style="4"/>
    <col min="1793" max="1793" width="1.7109375" style="4" customWidth="1"/>
    <col min="1794" max="1794" width="40.7109375" style="4" customWidth="1"/>
    <col min="1795" max="1800" width="10.7109375" style="4" customWidth="1"/>
    <col min="1801" max="1802" width="9.42578125" style="4" bestFit="1" customWidth="1"/>
    <col min="1803" max="2048" width="8.85546875" style="4"/>
    <col min="2049" max="2049" width="1.7109375" style="4" customWidth="1"/>
    <col min="2050" max="2050" width="40.7109375" style="4" customWidth="1"/>
    <col min="2051" max="2056" width="10.7109375" style="4" customWidth="1"/>
    <col min="2057" max="2058" width="9.42578125" style="4" bestFit="1" customWidth="1"/>
    <col min="2059" max="2304" width="8.85546875" style="4"/>
    <col min="2305" max="2305" width="1.7109375" style="4" customWidth="1"/>
    <col min="2306" max="2306" width="40.7109375" style="4" customWidth="1"/>
    <col min="2307" max="2312" width="10.7109375" style="4" customWidth="1"/>
    <col min="2313" max="2314" width="9.42578125" style="4" bestFit="1" customWidth="1"/>
    <col min="2315" max="2560" width="8.85546875" style="4"/>
    <col min="2561" max="2561" width="1.7109375" style="4" customWidth="1"/>
    <col min="2562" max="2562" width="40.7109375" style="4" customWidth="1"/>
    <col min="2563" max="2568" width="10.7109375" style="4" customWidth="1"/>
    <col min="2569" max="2570" width="9.42578125" style="4" bestFit="1" customWidth="1"/>
    <col min="2571" max="2816" width="8.85546875" style="4"/>
    <col min="2817" max="2817" width="1.7109375" style="4" customWidth="1"/>
    <col min="2818" max="2818" width="40.7109375" style="4" customWidth="1"/>
    <col min="2819" max="2824" width="10.7109375" style="4" customWidth="1"/>
    <col min="2825" max="2826" width="9.42578125" style="4" bestFit="1" customWidth="1"/>
    <col min="2827" max="3072" width="8.85546875" style="4"/>
    <col min="3073" max="3073" width="1.7109375" style="4" customWidth="1"/>
    <col min="3074" max="3074" width="40.7109375" style="4" customWidth="1"/>
    <col min="3075" max="3080" width="10.7109375" style="4" customWidth="1"/>
    <col min="3081" max="3082" width="9.42578125" style="4" bestFit="1" customWidth="1"/>
    <col min="3083" max="3328" width="8.85546875" style="4"/>
    <col min="3329" max="3329" width="1.7109375" style="4" customWidth="1"/>
    <col min="3330" max="3330" width="40.7109375" style="4" customWidth="1"/>
    <col min="3331" max="3336" width="10.7109375" style="4" customWidth="1"/>
    <col min="3337" max="3338" width="9.42578125" style="4" bestFit="1" customWidth="1"/>
    <col min="3339" max="3584" width="8.85546875" style="4"/>
    <col min="3585" max="3585" width="1.7109375" style="4" customWidth="1"/>
    <col min="3586" max="3586" width="40.7109375" style="4" customWidth="1"/>
    <col min="3587" max="3592" width="10.7109375" style="4" customWidth="1"/>
    <col min="3593" max="3594" width="9.42578125" style="4" bestFit="1" customWidth="1"/>
    <col min="3595" max="3840" width="8.85546875" style="4"/>
    <col min="3841" max="3841" width="1.7109375" style="4" customWidth="1"/>
    <col min="3842" max="3842" width="40.7109375" style="4" customWidth="1"/>
    <col min="3843" max="3848" width="10.7109375" style="4" customWidth="1"/>
    <col min="3849" max="3850" width="9.42578125" style="4" bestFit="1" customWidth="1"/>
    <col min="3851" max="4096" width="8.85546875" style="4"/>
    <col min="4097" max="4097" width="1.7109375" style="4" customWidth="1"/>
    <col min="4098" max="4098" width="40.7109375" style="4" customWidth="1"/>
    <col min="4099" max="4104" width="10.7109375" style="4" customWidth="1"/>
    <col min="4105" max="4106" width="9.42578125" style="4" bestFit="1" customWidth="1"/>
    <col min="4107" max="4352" width="8.85546875" style="4"/>
    <col min="4353" max="4353" width="1.7109375" style="4" customWidth="1"/>
    <col min="4354" max="4354" width="40.7109375" style="4" customWidth="1"/>
    <col min="4355" max="4360" width="10.7109375" style="4" customWidth="1"/>
    <col min="4361" max="4362" width="9.42578125" style="4" bestFit="1" customWidth="1"/>
    <col min="4363" max="4608" width="8.85546875" style="4"/>
    <col min="4609" max="4609" width="1.7109375" style="4" customWidth="1"/>
    <col min="4610" max="4610" width="40.7109375" style="4" customWidth="1"/>
    <col min="4611" max="4616" width="10.7109375" style="4" customWidth="1"/>
    <col min="4617" max="4618" width="9.42578125" style="4" bestFit="1" customWidth="1"/>
    <col min="4619" max="4864" width="8.85546875" style="4"/>
    <col min="4865" max="4865" width="1.7109375" style="4" customWidth="1"/>
    <col min="4866" max="4866" width="40.7109375" style="4" customWidth="1"/>
    <col min="4867" max="4872" width="10.7109375" style="4" customWidth="1"/>
    <col min="4873" max="4874" width="9.42578125" style="4" bestFit="1" customWidth="1"/>
    <col min="4875" max="5120" width="8.85546875" style="4"/>
    <col min="5121" max="5121" width="1.7109375" style="4" customWidth="1"/>
    <col min="5122" max="5122" width="40.7109375" style="4" customWidth="1"/>
    <col min="5123" max="5128" width="10.7109375" style="4" customWidth="1"/>
    <col min="5129" max="5130" width="9.42578125" style="4" bestFit="1" customWidth="1"/>
    <col min="5131" max="5376" width="8.85546875" style="4"/>
    <col min="5377" max="5377" width="1.7109375" style="4" customWidth="1"/>
    <col min="5378" max="5378" width="40.7109375" style="4" customWidth="1"/>
    <col min="5379" max="5384" width="10.7109375" style="4" customWidth="1"/>
    <col min="5385" max="5386" width="9.42578125" style="4" bestFit="1" customWidth="1"/>
    <col min="5387" max="5632" width="8.85546875" style="4"/>
    <col min="5633" max="5633" width="1.7109375" style="4" customWidth="1"/>
    <col min="5634" max="5634" width="40.7109375" style="4" customWidth="1"/>
    <col min="5635" max="5640" width="10.7109375" style="4" customWidth="1"/>
    <col min="5641" max="5642" width="9.42578125" style="4" bestFit="1" customWidth="1"/>
    <col min="5643" max="5888" width="8.85546875" style="4"/>
    <col min="5889" max="5889" width="1.7109375" style="4" customWidth="1"/>
    <col min="5890" max="5890" width="40.7109375" style="4" customWidth="1"/>
    <col min="5891" max="5896" width="10.7109375" style="4" customWidth="1"/>
    <col min="5897" max="5898" width="9.42578125" style="4" bestFit="1" customWidth="1"/>
    <col min="5899" max="6144" width="8.85546875" style="4"/>
    <col min="6145" max="6145" width="1.7109375" style="4" customWidth="1"/>
    <col min="6146" max="6146" width="40.7109375" style="4" customWidth="1"/>
    <col min="6147" max="6152" width="10.7109375" style="4" customWidth="1"/>
    <col min="6153" max="6154" width="9.42578125" style="4" bestFit="1" customWidth="1"/>
    <col min="6155" max="6400" width="8.85546875" style="4"/>
    <col min="6401" max="6401" width="1.7109375" style="4" customWidth="1"/>
    <col min="6402" max="6402" width="40.7109375" style="4" customWidth="1"/>
    <col min="6403" max="6408" width="10.7109375" style="4" customWidth="1"/>
    <col min="6409" max="6410" width="9.42578125" style="4" bestFit="1" customWidth="1"/>
    <col min="6411" max="6656" width="8.85546875" style="4"/>
    <col min="6657" max="6657" width="1.7109375" style="4" customWidth="1"/>
    <col min="6658" max="6658" width="40.7109375" style="4" customWidth="1"/>
    <col min="6659" max="6664" width="10.7109375" style="4" customWidth="1"/>
    <col min="6665" max="6666" width="9.42578125" style="4" bestFit="1" customWidth="1"/>
    <col min="6667" max="6912" width="8.85546875" style="4"/>
    <col min="6913" max="6913" width="1.7109375" style="4" customWidth="1"/>
    <col min="6914" max="6914" width="40.7109375" style="4" customWidth="1"/>
    <col min="6915" max="6920" width="10.7109375" style="4" customWidth="1"/>
    <col min="6921" max="6922" width="9.42578125" style="4" bestFit="1" customWidth="1"/>
    <col min="6923" max="7168" width="8.85546875" style="4"/>
    <col min="7169" max="7169" width="1.7109375" style="4" customWidth="1"/>
    <col min="7170" max="7170" width="40.7109375" style="4" customWidth="1"/>
    <col min="7171" max="7176" width="10.7109375" style="4" customWidth="1"/>
    <col min="7177" max="7178" width="9.42578125" style="4" bestFit="1" customWidth="1"/>
    <col min="7179" max="7424" width="8.85546875" style="4"/>
    <col min="7425" max="7425" width="1.7109375" style="4" customWidth="1"/>
    <col min="7426" max="7426" width="40.7109375" style="4" customWidth="1"/>
    <col min="7427" max="7432" width="10.7109375" style="4" customWidth="1"/>
    <col min="7433" max="7434" width="9.42578125" style="4" bestFit="1" customWidth="1"/>
    <col min="7435" max="7680" width="8.85546875" style="4"/>
    <col min="7681" max="7681" width="1.7109375" style="4" customWidth="1"/>
    <col min="7682" max="7682" width="40.7109375" style="4" customWidth="1"/>
    <col min="7683" max="7688" width="10.7109375" style="4" customWidth="1"/>
    <col min="7689" max="7690" width="9.42578125" style="4" bestFit="1" customWidth="1"/>
    <col min="7691" max="7936" width="8.85546875" style="4"/>
    <col min="7937" max="7937" width="1.7109375" style="4" customWidth="1"/>
    <col min="7938" max="7938" width="40.7109375" style="4" customWidth="1"/>
    <col min="7939" max="7944" width="10.7109375" style="4" customWidth="1"/>
    <col min="7945" max="7946" width="9.42578125" style="4" bestFit="1" customWidth="1"/>
    <col min="7947" max="8192" width="8.85546875" style="4"/>
    <col min="8193" max="8193" width="1.7109375" style="4" customWidth="1"/>
    <col min="8194" max="8194" width="40.7109375" style="4" customWidth="1"/>
    <col min="8195" max="8200" width="10.7109375" style="4" customWidth="1"/>
    <col min="8201" max="8202" width="9.42578125" style="4" bestFit="1" customWidth="1"/>
    <col min="8203" max="8448" width="8.85546875" style="4"/>
    <col min="8449" max="8449" width="1.7109375" style="4" customWidth="1"/>
    <col min="8450" max="8450" width="40.7109375" style="4" customWidth="1"/>
    <col min="8451" max="8456" width="10.7109375" style="4" customWidth="1"/>
    <col min="8457" max="8458" width="9.42578125" style="4" bestFit="1" customWidth="1"/>
    <col min="8459" max="8704" width="8.85546875" style="4"/>
    <col min="8705" max="8705" width="1.7109375" style="4" customWidth="1"/>
    <col min="8706" max="8706" width="40.7109375" style="4" customWidth="1"/>
    <col min="8707" max="8712" width="10.7109375" style="4" customWidth="1"/>
    <col min="8713" max="8714" width="9.42578125" style="4" bestFit="1" customWidth="1"/>
    <col min="8715" max="8960" width="8.85546875" style="4"/>
    <col min="8961" max="8961" width="1.7109375" style="4" customWidth="1"/>
    <col min="8962" max="8962" width="40.7109375" style="4" customWidth="1"/>
    <col min="8963" max="8968" width="10.7109375" style="4" customWidth="1"/>
    <col min="8969" max="8970" width="9.42578125" style="4" bestFit="1" customWidth="1"/>
    <col min="8971" max="9216" width="8.85546875" style="4"/>
    <col min="9217" max="9217" width="1.7109375" style="4" customWidth="1"/>
    <col min="9218" max="9218" width="40.7109375" style="4" customWidth="1"/>
    <col min="9219" max="9224" width="10.7109375" style="4" customWidth="1"/>
    <col min="9225" max="9226" width="9.42578125" style="4" bestFit="1" customWidth="1"/>
    <col min="9227" max="9472" width="8.85546875" style="4"/>
    <col min="9473" max="9473" width="1.7109375" style="4" customWidth="1"/>
    <col min="9474" max="9474" width="40.7109375" style="4" customWidth="1"/>
    <col min="9475" max="9480" width="10.7109375" style="4" customWidth="1"/>
    <col min="9481" max="9482" width="9.42578125" style="4" bestFit="1" customWidth="1"/>
    <col min="9483" max="9728" width="8.85546875" style="4"/>
    <col min="9729" max="9729" width="1.7109375" style="4" customWidth="1"/>
    <col min="9730" max="9730" width="40.7109375" style="4" customWidth="1"/>
    <col min="9731" max="9736" width="10.7109375" style="4" customWidth="1"/>
    <col min="9737" max="9738" width="9.42578125" style="4" bestFit="1" customWidth="1"/>
    <col min="9739" max="9984" width="8.85546875" style="4"/>
    <col min="9985" max="9985" width="1.7109375" style="4" customWidth="1"/>
    <col min="9986" max="9986" width="40.7109375" style="4" customWidth="1"/>
    <col min="9987" max="9992" width="10.7109375" style="4" customWidth="1"/>
    <col min="9993" max="9994" width="9.42578125" style="4" bestFit="1" customWidth="1"/>
    <col min="9995" max="10240" width="8.85546875" style="4"/>
    <col min="10241" max="10241" width="1.7109375" style="4" customWidth="1"/>
    <col min="10242" max="10242" width="40.7109375" style="4" customWidth="1"/>
    <col min="10243" max="10248" width="10.7109375" style="4" customWidth="1"/>
    <col min="10249" max="10250" width="9.42578125" style="4" bestFit="1" customWidth="1"/>
    <col min="10251" max="10496" width="8.85546875" style="4"/>
    <col min="10497" max="10497" width="1.7109375" style="4" customWidth="1"/>
    <col min="10498" max="10498" width="40.7109375" style="4" customWidth="1"/>
    <col min="10499" max="10504" width="10.7109375" style="4" customWidth="1"/>
    <col min="10505" max="10506" width="9.42578125" style="4" bestFit="1" customWidth="1"/>
    <col min="10507" max="10752" width="8.85546875" style="4"/>
    <col min="10753" max="10753" width="1.7109375" style="4" customWidth="1"/>
    <col min="10754" max="10754" width="40.7109375" style="4" customWidth="1"/>
    <col min="10755" max="10760" width="10.7109375" style="4" customWidth="1"/>
    <col min="10761" max="10762" width="9.42578125" style="4" bestFit="1" customWidth="1"/>
    <col min="10763" max="11008" width="8.85546875" style="4"/>
    <col min="11009" max="11009" width="1.7109375" style="4" customWidth="1"/>
    <col min="11010" max="11010" width="40.7109375" style="4" customWidth="1"/>
    <col min="11011" max="11016" width="10.7109375" style="4" customWidth="1"/>
    <col min="11017" max="11018" width="9.42578125" style="4" bestFit="1" customWidth="1"/>
    <col min="11019" max="11264" width="8.85546875" style="4"/>
    <col min="11265" max="11265" width="1.7109375" style="4" customWidth="1"/>
    <col min="11266" max="11266" width="40.7109375" style="4" customWidth="1"/>
    <col min="11267" max="11272" width="10.7109375" style="4" customWidth="1"/>
    <col min="11273" max="11274" width="9.42578125" style="4" bestFit="1" customWidth="1"/>
    <col min="11275" max="11520" width="8.85546875" style="4"/>
    <col min="11521" max="11521" width="1.7109375" style="4" customWidth="1"/>
    <col min="11522" max="11522" width="40.7109375" style="4" customWidth="1"/>
    <col min="11523" max="11528" width="10.7109375" style="4" customWidth="1"/>
    <col min="11529" max="11530" width="9.42578125" style="4" bestFit="1" customWidth="1"/>
    <col min="11531" max="11776" width="8.85546875" style="4"/>
    <col min="11777" max="11777" width="1.7109375" style="4" customWidth="1"/>
    <col min="11778" max="11778" width="40.7109375" style="4" customWidth="1"/>
    <col min="11779" max="11784" width="10.7109375" style="4" customWidth="1"/>
    <col min="11785" max="11786" width="9.42578125" style="4" bestFit="1" customWidth="1"/>
    <col min="11787" max="12032" width="8.85546875" style="4"/>
    <col min="12033" max="12033" width="1.7109375" style="4" customWidth="1"/>
    <col min="12034" max="12034" width="40.7109375" style="4" customWidth="1"/>
    <col min="12035" max="12040" width="10.7109375" style="4" customWidth="1"/>
    <col min="12041" max="12042" width="9.42578125" style="4" bestFit="1" customWidth="1"/>
    <col min="12043" max="12288" width="8.85546875" style="4"/>
    <col min="12289" max="12289" width="1.7109375" style="4" customWidth="1"/>
    <col min="12290" max="12290" width="40.7109375" style="4" customWidth="1"/>
    <col min="12291" max="12296" width="10.7109375" style="4" customWidth="1"/>
    <col min="12297" max="12298" width="9.42578125" style="4" bestFit="1" customWidth="1"/>
    <col min="12299" max="12544" width="8.85546875" style="4"/>
    <col min="12545" max="12545" width="1.7109375" style="4" customWidth="1"/>
    <col min="12546" max="12546" width="40.7109375" style="4" customWidth="1"/>
    <col min="12547" max="12552" width="10.7109375" style="4" customWidth="1"/>
    <col min="12553" max="12554" width="9.42578125" style="4" bestFit="1" customWidth="1"/>
    <col min="12555" max="12800" width="8.85546875" style="4"/>
    <col min="12801" max="12801" width="1.7109375" style="4" customWidth="1"/>
    <col min="12802" max="12802" width="40.7109375" style="4" customWidth="1"/>
    <col min="12803" max="12808" width="10.7109375" style="4" customWidth="1"/>
    <col min="12809" max="12810" width="9.42578125" style="4" bestFit="1" customWidth="1"/>
    <col min="12811" max="13056" width="8.85546875" style="4"/>
    <col min="13057" max="13057" width="1.7109375" style="4" customWidth="1"/>
    <col min="13058" max="13058" width="40.7109375" style="4" customWidth="1"/>
    <col min="13059" max="13064" width="10.7109375" style="4" customWidth="1"/>
    <col min="13065" max="13066" width="9.42578125" style="4" bestFit="1" customWidth="1"/>
    <col min="13067" max="13312" width="8.85546875" style="4"/>
    <col min="13313" max="13313" width="1.7109375" style="4" customWidth="1"/>
    <col min="13314" max="13314" width="40.7109375" style="4" customWidth="1"/>
    <col min="13315" max="13320" width="10.7109375" style="4" customWidth="1"/>
    <col min="13321" max="13322" width="9.42578125" style="4" bestFit="1" customWidth="1"/>
    <col min="13323" max="13568" width="8.85546875" style="4"/>
    <col min="13569" max="13569" width="1.7109375" style="4" customWidth="1"/>
    <col min="13570" max="13570" width="40.7109375" style="4" customWidth="1"/>
    <col min="13571" max="13576" width="10.7109375" style="4" customWidth="1"/>
    <col min="13577" max="13578" width="9.42578125" style="4" bestFit="1" customWidth="1"/>
    <col min="13579" max="13824" width="8.85546875" style="4"/>
    <col min="13825" max="13825" width="1.7109375" style="4" customWidth="1"/>
    <col min="13826" max="13826" width="40.7109375" style="4" customWidth="1"/>
    <col min="13827" max="13832" width="10.7109375" style="4" customWidth="1"/>
    <col min="13833" max="13834" width="9.42578125" style="4" bestFit="1" customWidth="1"/>
    <col min="13835" max="14080" width="8.85546875" style="4"/>
    <col min="14081" max="14081" width="1.7109375" style="4" customWidth="1"/>
    <col min="14082" max="14082" width="40.7109375" style="4" customWidth="1"/>
    <col min="14083" max="14088" width="10.7109375" style="4" customWidth="1"/>
    <col min="14089" max="14090" width="9.42578125" style="4" bestFit="1" customWidth="1"/>
    <col min="14091" max="14336" width="8.85546875" style="4"/>
    <col min="14337" max="14337" width="1.7109375" style="4" customWidth="1"/>
    <col min="14338" max="14338" width="40.7109375" style="4" customWidth="1"/>
    <col min="14339" max="14344" width="10.7109375" style="4" customWidth="1"/>
    <col min="14345" max="14346" width="9.42578125" style="4" bestFit="1" customWidth="1"/>
    <col min="14347" max="14592" width="8.85546875" style="4"/>
    <col min="14593" max="14593" width="1.7109375" style="4" customWidth="1"/>
    <col min="14594" max="14594" width="40.7109375" style="4" customWidth="1"/>
    <col min="14595" max="14600" width="10.7109375" style="4" customWidth="1"/>
    <col min="14601" max="14602" width="9.42578125" style="4" bestFit="1" customWidth="1"/>
    <col min="14603" max="14848" width="8.85546875" style="4"/>
    <col min="14849" max="14849" width="1.7109375" style="4" customWidth="1"/>
    <col min="14850" max="14850" width="40.7109375" style="4" customWidth="1"/>
    <col min="14851" max="14856" width="10.7109375" style="4" customWidth="1"/>
    <col min="14857" max="14858" width="9.42578125" style="4" bestFit="1" customWidth="1"/>
    <col min="14859" max="15104" width="8.85546875" style="4"/>
    <col min="15105" max="15105" width="1.7109375" style="4" customWidth="1"/>
    <col min="15106" max="15106" width="40.7109375" style="4" customWidth="1"/>
    <col min="15107" max="15112" width="10.7109375" style="4" customWidth="1"/>
    <col min="15113" max="15114" width="9.42578125" style="4" bestFit="1" customWidth="1"/>
    <col min="15115" max="15360" width="8.85546875" style="4"/>
    <col min="15361" max="15361" width="1.7109375" style="4" customWidth="1"/>
    <col min="15362" max="15362" width="40.7109375" style="4" customWidth="1"/>
    <col min="15363" max="15368" width="10.7109375" style="4" customWidth="1"/>
    <col min="15369" max="15370" width="9.42578125" style="4" bestFit="1" customWidth="1"/>
    <col min="15371" max="15616" width="8.85546875" style="4"/>
    <col min="15617" max="15617" width="1.7109375" style="4" customWidth="1"/>
    <col min="15618" max="15618" width="40.7109375" style="4" customWidth="1"/>
    <col min="15619" max="15624" width="10.7109375" style="4" customWidth="1"/>
    <col min="15625" max="15626" width="9.42578125" style="4" bestFit="1" customWidth="1"/>
    <col min="15627" max="15872" width="8.85546875" style="4"/>
    <col min="15873" max="15873" width="1.7109375" style="4" customWidth="1"/>
    <col min="15874" max="15874" width="40.7109375" style="4" customWidth="1"/>
    <col min="15875" max="15880" width="10.7109375" style="4" customWidth="1"/>
    <col min="15881" max="15882" width="9.42578125" style="4" bestFit="1" customWidth="1"/>
    <col min="15883" max="16128" width="8.85546875" style="4"/>
    <col min="16129" max="16129" width="1.7109375" style="4" customWidth="1"/>
    <col min="16130" max="16130" width="40.7109375" style="4" customWidth="1"/>
    <col min="16131" max="16136" width="10.7109375" style="4" customWidth="1"/>
    <col min="16137" max="16138" width="9.42578125" style="4" bestFit="1" customWidth="1"/>
    <col min="16139" max="16384" width="8.85546875" style="4"/>
  </cols>
  <sheetData>
    <row r="1" spans="1:15" s="2" customFormat="1" ht="19.5" x14ac:dyDescent="0.3">
      <c r="A1" s="318" t="str">
        <f>CoName</f>
        <v>Microsoft Corp.</v>
      </c>
      <c r="B1" s="3"/>
      <c r="C1" s="43" t="s">
        <v>0</v>
      </c>
      <c r="D1" s="43" t="s">
        <v>0</v>
      </c>
      <c r="E1" s="43" t="s">
        <v>0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 t="s">
        <v>1</v>
      </c>
      <c r="L1" s="43" t="s">
        <v>1</v>
      </c>
      <c r="M1" s="43" t="s">
        <v>1</v>
      </c>
      <c r="N1" s="43"/>
      <c r="O1" s="43"/>
    </row>
    <row r="2" spans="1:15" s="2" customFormat="1" ht="16.350000000000001" customHeight="1" x14ac:dyDescent="0.25">
      <c r="A2" s="191" t="s">
        <v>88</v>
      </c>
      <c r="B2" s="192"/>
      <c r="C2" s="316">
        <v>2023</v>
      </c>
      <c r="D2" s="316">
        <v>2024</v>
      </c>
      <c r="E2" s="316">
        <v>2025</v>
      </c>
      <c r="F2" s="316">
        <v>2026</v>
      </c>
      <c r="G2" s="316">
        <v>2027</v>
      </c>
      <c r="H2" s="316">
        <v>2028</v>
      </c>
      <c r="I2" s="316">
        <v>2029</v>
      </c>
      <c r="J2" s="316">
        <v>2030</v>
      </c>
      <c r="K2" s="316">
        <v>2031</v>
      </c>
      <c r="L2" s="316">
        <v>2032</v>
      </c>
      <c r="M2" s="316">
        <v>2033</v>
      </c>
      <c r="N2" s="221"/>
      <c r="O2" s="221"/>
    </row>
    <row r="3" spans="1:15" x14ac:dyDescent="0.25">
      <c r="A3" s="11" t="s">
        <v>126</v>
      </c>
      <c r="B3" s="4" t="s">
        <v>89</v>
      </c>
      <c r="D3" s="291"/>
      <c r="E3" s="25"/>
      <c r="F3" s="292">
        <f>IncState!F17</f>
        <v>325502.99427877186</v>
      </c>
      <c r="G3" s="292">
        <f>IncState!G17</f>
        <v>380581.83326801186</v>
      </c>
      <c r="H3" s="292">
        <f>IncState!H17</f>
        <v>443740.06441135821</v>
      </c>
      <c r="I3" s="292">
        <f>IncState!I17</f>
        <v>514899.6446952913</v>
      </c>
      <c r="J3" s="292">
        <f>IncState!J17</f>
        <v>593576.43068692833</v>
      </c>
      <c r="K3" s="292">
        <f>IncState!K17</f>
        <v>678867.3159023535</v>
      </c>
      <c r="L3" s="292">
        <f>IncState!L17</f>
        <v>769497.21643427631</v>
      </c>
      <c r="M3" s="292">
        <f>IncState!M17</f>
        <v>863937.59273781965</v>
      </c>
      <c r="N3" s="231"/>
      <c r="O3" s="231"/>
    </row>
    <row r="4" spans="1:15" x14ac:dyDescent="0.25">
      <c r="B4" s="4" t="s">
        <v>55</v>
      </c>
      <c r="E4" s="29"/>
      <c r="F4" s="4">
        <f>IncState!F21</f>
        <v>148500.83361254982</v>
      </c>
      <c r="G4" s="4">
        <f>IncState!G21</f>
        <v>173628.87743419455</v>
      </c>
      <c r="H4" s="4">
        <f>IncState!H21</f>
        <v>202442.89800891315</v>
      </c>
      <c r="I4" s="4">
        <f>IncState!I21</f>
        <v>234907.29058722861</v>
      </c>
      <c r="J4" s="4">
        <f>IncState!J21</f>
        <v>270801.17946404824</v>
      </c>
      <c r="K4" s="4">
        <f>IncState!K21</f>
        <v>309712.54979447153</v>
      </c>
      <c r="L4" s="4">
        <f>IncState!L21</f>
        <v>351059.68335628009</v>
      </c>
      <c r="M4" s="4">
        <f>IncState!M21</f>
        <v>394145.23050718603</v>
      </c>
    </row>
    <row r="5" spans="1:15" x14ac:dyDescent="0.25">
      <c r="B5" s="32" t="s">
        <v>94</v>
      </c>
      <c r="C5" s="32"/>
      <c r="D5" s="32"/>
      <c r="E5" s="41"/>
      <c r="F5" s="45">
        <f>IncState!F11</f>
        <v>0.17629644009803683</v>
      </c>
      <c r="G5" s="45">
        <f>IncState!G11</f>
        <v>0.17629644009803683</v>
      </c>
      <c r="H5" s="45">
        <f>IncState!H11</f>
        <v>0.17629644009803683</v>
      </c>
      <c r="I5" s="45">
        <f>IncState!I11</f>
        <v>0.17629644009803683</v>
      </c>
      <c r="J5" s="45">
        <f>IncState!J11</f>
        <v>0.17629644009803683</v>
      </c>
      <c r="K5" s="45">
        <f>IncState!K11</f>
        <v>0.17629644009803683</v>
      </c>
      <c r="L5" s="45">
        <f>IncState!L11</f>
        <v>0.17629644009803683</v>
      </c>
      <c r="M5" s="45">
        <f>IncState!M11</f>
        <v>0.17629644009803683</v>
      </c>
      <c r="N5" s="45"/>
      <c r="O5" s="45"/>
    </row>
    <row r="6" spans="1:15" x14ac:dyDescent="0.25">
      <c r="C6" s="5"/>
      <c r="D6" s="5"/>
      <c r="E6" s="25"/>
      <c r="F6" s="5"/>
      <c r="G6" s="5"/>
      <c r="H6" s="5"/>
      <c r="I6" s="5"/>
      <c r="J6" s="5"/>
      <c r="K6" s="5"/>
      <c r="L6" s="5"/>
      <c r="M6" s="5"/>
      <c r="N6" s="184"/>
      <c r="O6" s="184"/>
    </row>
    <row r="7" spans="1:15" x14ac:dyDescent="0.25">
      <c r="A7" s="26" t="s">
        <v>126</v>
      </c>
      <c r="B7" s="23" t="s">
        <v>90</v>
      </c>
      <c r="C7" s="119"/>
      <c r="D7" s="119"/>
      <c r="E7" s="119"/>
      <c r="F7" s="134">
        <f t="shared" ref="F7:M7" si="0">F4*(1-F5)</f>
        <v>122320.6652950664</v>
      </c>
      <c r="G7" s="134">
        <f t="shared" ref="G7:M7" si="1">G4*(1-G5)</f>
        <v>143018.7244443277</v>
      </c>
      <c r="H7" s="134">
        <f t="shared" si="1"/>
        <v>166752.93576681183</v>
      </c>
      <c r="I7" s="134">
        <f t="shared" si="1"/>
        <v>193493.97150362513</v>
      </c>
      <c r="J7" s="134">
        <f t="shared" si="1"/>
        <v>223059.89555018695</v>
      </c>
      <c r="K7" s="134">
        <f t="shared" si="1"/>
        <v>255111.32981202024</v>
      </c>
      <c r="L7" s="134">
        <f t="shared" si="1"/>
        <v>289169.11091862392</v>
      </c>
      <c r="M7" s="168">
        <f t="shared" si="1"/>
        <v>324658.82948714902</v>
      </c>
      <c r="N7" s="231"/>
      <c r="O7" s="231"/>
    </row>
    <row r="8" spans="1:15" x14ac:dyDescent="0.25">
      <c r="B8" s="4" t="s">
        <v>15</v>
      </c>
      <c r="C8" s="119"/>
      <c r="D8" s="119"/>
      <c r="E8" s="120"/>
      <c r="F8" s="135">
        <f>CashFlow!F4</f>
        <v>50778.920473368191</v>
      </c>
      <c r="G8" s="135">
        <f>CashFlow!G4</f>
        <v>56820.928550505661</v>
      </c>
      <c r="H8" s="135">
        <f>CashFlow!H4</f>
        <v>63187.37726242865</v>
      </c>
      <c r="I8" s="135">
        <f>CashFlow!I4</f>
        <v>69816.362539376918</v>
      </c>
      <c r="J8" s="135">
        <f>CashFlow!J4</f>
        <v>76575.954427038829</v>
      </c>
      <c r="K8" s="135">
        <f>CashFlow!K4</f>
        <v>83264.552951538426</v>
      </c>
      <c r="L8" s="135">
        <f>CashFlow!L4</f>
        <v>89617.426875190431</v>
      </c>
      <c r="M8" s="135">
        <f>CashFlow!M4</f>
        <v>95320.308655197106</v>
      </c>
      <c r="N8" s="230"/>
      <c r="O8" s="230"/>
    </row>
    <row r="9" spans="1:15" x14ac:dyDescent="0.25">
      <c r="B9" s="4" t="s">
        <v>54</v>
      </c>
      <c r="C9" s="5"/>
      <c r="D9" s="5"/>
      <c r="E9" s="25"/>
      <c r="F9" s="196">
        <f>CashFlow!F5</f>
        <v>0</v>
      </c>
      <c r="G9" s="196">
        <f>CashFlow!G5</f>
        <v>0</v>
      </c>
      <c r="H9" s="196">
        <f>CashFlow!H5</f>
        <v>0</v>
      </c>
      <c r="I9" s="196">
        <f>CashFlow!I5</f>
        <v>0</v>
      </c>
      <c r="J9" s="196">
        <f>CashFlow!J5</f>
        <v>0</v>
      </c>
      <c r="K9" s="196">
        <f>CashFlow!K5</f>
        <v>0</v>
      </c>
      <c r="L9" s="196">
        <f>CashFlow!L5</f>
        <v>0</v>
      </c>
      <c r="M9" s="196">
        <f>CashFlow!M5</f>
        <v>0</v>
      </c>
      <c r="N9" s="230"/>
      <c r="O9" s="230"/>
    </row>
    <row r="10" spans="1:15" x14ac:dyDescent="0.25">
      <c r="B10" s="4" t="s">
        <v>91</v>
      </c>
      <c r="C10" s="5"/>
      <c r="D10" s="5"/>
      <c r="E10" s="25"/>
      <c r="F10" s="196">
        <f>CashFlow!F6</f>
        <v>-4005.9728440333565</v>
      </c>
      <c r="G10" s="196">
        <f>CashFlow!G6</f>
        <v>-5039.9589325141569</v>
      </c>
      <c r="H10" s="196">
        <f>CashFlow!H6</f>
        <v>-5779.2592773222423</v>
      </c>
      <c r="I10" s="196">
        <f>CashFlow!I6</f>
        <v>-6511.418339010881</v>
      </c>
      <c r="J10" s="196">
        <f>CashFlow!J6</f>
        <v>-7199.2761215885985</v>
      </c>
      <c r="K10" s="196">
        <f>CashFlow!K6</f>
        <v>-7804.4956410119776</v>
      </c>
      <c r="L10" s="196">
        <f>CashFlow!L6</f>
        <v>-8293.0393073093146</v>
      </c>
      <c r="M10" s="196">
        <f>CashFlow!M6</f>
        <v>-8641.7148014689446</v>
      </c>
      <c r="N10" s="230"/>
      <c r="O10" s="230"/>
    </row>
    <row r="11" spans="1:15" x14ac:dyDescent="0.25">
      <c r="B11" s="4" t="s">
        <v>166</v>
      </c>
      <c r="C11" s="5"/>
      <c r="D11" s="5"/>
      <c r="E11" s="25"/>
      <c r="F11" s="196">
        <f>CashFlow!F7</f>
        <v>-6303.6692043218864</v>
      </c>
      <c r="G11" s="196">
        <f>CashFlow!G7</f>
        <v>-7930.7162456820151</v>
      </c>
      <c r="H11" s="196">
        <f>CashFlow!H7</f>
        <v>-9094.0553390191999</v>
      </c>
      <c r="I11" s="196">
        <f>CashFlow!I7</f>
        <v>-10246.157140384727</v>
      </c>
      <c r="J11" s="196">
        <f>CashFlow!J7</f>
        <v>-11328.547882859653</v>
      </c>
      <c r="K11" s="196">
        <f>CashFlow!K7</f>
        <v>-12280.901729223362</v>
      </c>
      <c r="L11" s="196">
        <f>CashFlow!L7</f>
        <v>-13049.658229605746</v>
      </c>
      <c r="M11" s="196">
        <f>CashFlow!M7</f>
        <v>-13598.322701485275</v>
      </c>
      <c r="N11" s="230"/>
      <c r="O11" s="230"/>
    </row>
    <row r="12" spans="1:15" x14ac:dyDescent="0.25">
      <c r="B12" s="4" t="s">
        <v>167</v>
      </c>
      <c r="E12" s="29"/>
      <c r="F12" s="196">
        <f>CashFlow!F8</f>
        <v>14631.22569367</v>
      </c>
      <c r="G12" s="196">
        <f>CashFlow!G8</f>
        <v>18407.707565535427</v>
      </c>
      <c r="H12" s="196">
        <f>CashFlow!H8</f>
        <v>21107.893168741866</v>
      </c>
      <c r="I12" s="196">
        <f>CashFlow!I8</f>
        <v>23781.996287335962</v>
      </c>
      <c r="J12" s="196">
        <f>CashFlow!J8</f>
        <v>26294.295509990596</v>
      </c>
      <c r="K12" s="196">
        <f>CashFlow!K8</f>
        <v>28504.770649902552</v>
      </c>
      <c r="L12" s="196">
        <f>CashFlow!L8</f>
        <v>30289.1044237717</v>
      </c>
      <c r="M12" s="196">
        <f>CashFlow!M8</f>
        <v>31562.590302863158</v>
      </c>
      <c r="N12" s="230"/>
      <c r="O12" s="230"/>
    </row>
    <row r="13" spans="1:15" x14ac:dyDescent="0.25">
      <c r="B13" s="4" t="s">
        <v>92</v>
      </c>
      <c r="E13" s="29"/>
      <c r="F13" s="132">
        <f>CashFlow!F11*-1</f>
        <v>-78120.718626905247</v>
      </c>
      <c r="G13" s="132">
        <f>CashFlow!G11*-1</f>
        <v>-85630.912485302659</v>
      </c>
      <c r="H13" s="132">
        <f>CashFlow!H11*-1</f>
        <v>-93185.413526385208</v>
      </c>
      <c r="I13" s="132">
        <f>CashFlow!I11*-1</f>
        <v>-100405.43071558178</v>
      </c>
      <c r="J13" s="132">
        <f>CashFlow!J11*-1</f>
        <v>-106843.75752364706</v>
      </c>
      <c r="K13" s="132">
        <f>CashFlow!K11*-1</f>
        <v>-112013.10712388827</v>
      </c>
      <c r="L13" s="132">
        <f>CashFlow!L11*-1</f>
        <v>-115424.58246514139</v>
      </c>
      <c r="M13" s="132">
        <f>CashFlow!M11*-1</f>
        <v>-116631.57501960556</v>
      </c>
      <c r="N13" s="132"/>
      <c r="O13" s="132"/>
    </row>
    <row r="14" spans="1:15" x14ac:dyDescent="0.25">
      <c r="E14" s="64"/>
      <c r="F14" s="136"/>
      <c r="G14" s="136"/>
      <c r="H14" s="136"/>
      <c r="I14" s="136"/>
      <c r="J14" s="136"/>
      <c r="K14" s="136"/>
      <c r="L14" s="136"/>
      <c r="M14" s="136"/>
      <c r="N14" s="136"/>
      <c r="O14" s="136"/>
    </row>
    <row r="15" spans="1:15" s="11" customFormat="1" x14ac:dyDescent="0.25">
      <c r="A15" s="26" t="s">
        <v>126</v>
      </c>
      <c r="B15" s="36" t="s">
        <v>93</v>
      </c>
      <c r="C15" s="36"/>
      <c r="D15" s="36"/>
      <c r="E15" s="36"/>
      <c r="F15" s="36">
        <f>SUM(F7:F13)</f>
        <v>99300.450786844114</v>
      </c>
      <c r="G15" s="36">
        <f t="shared" ref="G15:M15" si="2">SUM(G7:G13)</f>
        <v>119645.77289686998</v>
      </c>
      <c r="H15" s="36">
        <f t="shared" si="2"/>
        <v>142989.47805525569</v>
      </c>
      <c r="I15" s="36">
        <f t="shared" si="2"/>
        <v>169929.32413536063</v>
      </c>
      <c r="J15" s="36">
        <f t="shared" si="2"/>
        <v>200558.56395912106</v>
      </c>
      <c r="K15" s="36">
        <f t="shared" si="2"/>
        <v>234782.1489193376</v>
      </c>
      <c r="L15" s="36">
        <f t="shared" si="2"/>
        <v>272308.3622155296</v>
      </c>
      <c r="M15" s="20">
        <f t="shared" si="2"/>
        <v>312670.11592264951</v>
      </c>
    </row>
    <row r="16" spans="1:15" x14ac:dyDescent="0.25">
      <c r="B16" s="67"/>
      <c r="C16" s="67"/>
      <c r="D16" s="67"/>
      <c r="E16" s="67"/>
      <c r="F16" s="67"/>
      <c r="G16" s="67"/>
      <c r="H16" s="67"/>
      <c r="I16" s="85"/>
      <c r="J16" s="85"/>
      <c r="K16" s="67"/>
      <c r="L16" s="67"/>
      <c r="M16" s="67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N11" sqref="N11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318" t="str">
        <f>CoName</f>
        <v>Microsoft Corp.</v>
      </c>
    </row>
    <row r="2" spans="1:13" x14ac:dyDescent="0.25">
      <c r="G2" s="146"/>
    </row>
    <row r="3" spans="1:13" x14ac:dyDescent="0.25">
      <c r="A3" s="29" t="s">
        <v>126</v>
      </c>
      <c r="B3" s="165" t="s">
        <v>102</v>
      </c>
      <c r="C3" s="166"/>
      <c r="D3" s="166"/>
      <c r="E3" s="167"/>
      <c r="F3" s="11"/>
      <c r="G3" s="78" t="s">
        <v>110</v>
      </c>
      <c r="H3" s="78" t="s">
        <v>105</v>
      </c>
      <c r="I3" s="78" t="s">
        <v>106</v>
      </c>
      <c r="J3" s="78" t="s">
        <v>107</v>
      </c>
      <c r="K3" s="78" t="s">
        <v>108</v>
      </c>
      <c r="L3" s="78" t="s">
        <v>113</v>
      </c>
      <c r="M3" s="78" t="s">
        <v>109</v>
      </c>
    </row>
    <row r="4" spans="1:13" x14ac:dyDescent="0.25">
      <c r="A4" s="29"/>
      <c r="B4" s="321" t="s">
        <v>168</v>
      </c>
      <c r="C4" s="68"/>
      <c r="D4" s="73"/>
      <c r="E4" s="322">
        <f>Assumptions!E17</f>
        <v>0.17629644009803683</v>
      </c>
      <c r="G4" s="138" t="s">
        <v>253</v>
      </c>
      <c r="H4" s="139">
        <v>1.0900000000000001</v>
      </c>
      <c r="I4" s="81">
        <f>20329+78328</f>
        <v>98657</v>
      </c>
      <c r="J4" s="82">
        <f>14800*268.19</f>
        <v>3969212</v>
      </c>
      <c r="K4" s="141">
        <f>I4/J4</f>
        <v>2.4855563270492983E-2</v>
      </c>
      <c r="L4" s="154">
        <f>E4</f>
        <v>0.17629644009803683</v>
      </c>
      <c r="M4" s="142">
        <f>H4/((1+K4*(1-L4)))</f>
        <v>1.0681314861688522</v>
      </c>
    </row>
    <row r="5" spans="1:13" x14ac:dyDescent="0.25">
      <c r="A5" s="29"/>
      <c r="B5" s="68" t="s">
        <v>95</v>
      </c>
      <c r="C5" s="68"/>
      <c r="D5" s="73"/>
      <c r="E5" s="137">
        <v>4.0800000000000003E-2</v>
      </c>
      <c r="G5" s="138" t="s">
        <v>261</v>
      </c>
      <c r="H5" s="139">
        <v>0.72</v>
      </c>
      <c r="I5" s="81">
        <f>7942+55174</f>
        <v>63116</v>
      </c>
      <c r="J5" s="82">
        <f>304.16*934.7</f>
        <v>284298.35200000001</v>
      </c>
      <c r="K5" s="141">
        <f t="shared" ref="K5:K6" si="0">I5/J5</f>
        <v>0.22200621127765102</v>
      </c>
      <c r="L5" s="154">
        <f>L4</f>
        <v>0.17629644009803683</v>
      </c>
      <c r="M5" s="142">
        <f t="shared" ref="M5:M6" si="1">H5/((1+K5*(1-L5)))</f>
        <v>0.60869042200526702</v>
      </c>
    </row>
    <row r="6" spans="1:13" x14ac:dyDescent="0.25">
      <c r="A6" s="29"/>
      <c r="B6" s="68" t="s">
        <v>96</v>
      </c>
      <c r="C6" s="68"/>
      <c r="D6" s="73"/>
      <c r="E6" s="137">
        <v>0.05</v>
      </c>
      <c r="G6" s="138" t="s">
        <v>252</v>
      </c>
      <c r="H6" s="140">
        <v>1</v>
      </c>
      <c r="I6" s="83">
        <v>21607</v>
      </c>
      <c r="J6" s="82">
        <f>5400*282.17</f>
        <v>1523718</v>
      </c>
      <c r="K6" s="141">
        <f t="shared" si="0"/>
        <v>1.4180445463005622E-2</v>
      </c>
      <c r="L6" s="154">
        <f t="shared" ref="L6" si="2">L5</f>
        <v>0.17629644009803683</v>
      </c>
      <c r="M6" s="142">
        <f t="shared" si="1"/>
        <v>0.98845437507154854</v>
      </c>
    </row>
    <row r="7" spans="1:13" x14ac:dyDescent="0.25">
      <c r="A7" s="29"/>
      <c r="B7" s="68" t="s">
        <v>97</v>
      </c>
      <c r="C7" s="68"/>
      <c r="D7" s="73"/>
      <c r="E7" s="236">
        <f>M11</f>
        <v>0.89855795151620854</v>
      </c>
      <c r="G7" s="138" t="s">
        <v>260</v>
      </c>
      <c r="H7" s="140">
        <v>0.97</v>
      </c>
      <c r="I7" s="83">
        <f>5232+22861</f>
        <v>28093</v>
      </c>
      <c r="J7" s="84">
        <f>74.26*3900</f>
        <v>289614</v>
      </c>
      <c r="K7" s="141">
        <f>I7/J7</f>
        <v>9.7001526169315025E-2</v>
      </c>
      <c r="L7" s="154">
        <f>L6</f>
        <v>0.17629644009803683</v>
      </c>
      <c r="M7" s="142">
        <f>H7/((1+K7*(1-L7)))</f>
        <v>0.89823089981424642</v>
      </c>
    </row>
    <row r="8" spans="1:13" x14ac:dyDescent="0.25">
      <c r="A8" s="29"/>
      <c r="B8" s="68" t="s">
        <v>98</v>
      </c>
      <c r="C8" s="68"/>
      <c r="D8" s="73"/>
      <c r="E8" s="137">
        <f>E5+E6*E7</f>
        <v>8.5727897575810424E-2</v>
      </c>
      <c r="L8" s="67"/>
    </row>
    <row r="9" spans="1:13" x14ac:dyDescent="0.25">
      <c r="A9" s="29"/>
      <c r="B9" s="69" t="s">
        <v>99</v>
      </c>
      <c r="C9" s="69"/>
      <c r="D9" s="74"/>
      <c r="E9" s="143">
        <f>1-E10</f>
        <v>0.98953262022902067</v>
      </c>
      <c r="G9" s="4" t="s">
        <v>111</v>
      </c>
      <c r="L9" s="29"/>
      <c r="M9" s="235">
        <f>AVERAGE(M4:M7)</f>
        <v>0.89087679576497858</v>
      </c>
    </row>
    <row r="10" spans="1:13" x14ac:dyDescent="0.25">
      <c r="A10" s="29"/>
      <c r="B10" s="70" t="s">
        <v>100</v>
      </c>
      <c r="C10" s="70"/>
      <c r="D10" s="75"/>
      <c r="E10" s="144">
        <f>BalSheet!E37/MAIN!F6</f>
        <v>1.0467379770979387E-2</v>
      </c>
      <c r="M10" s="67"/>
    </row>
    <row r="11" spans="1:13" x14ac:dyDescent="0.25">
      <c r="A11" s="29"/>
      <c r="B11" s="164" t="s">
        <v>183</v>
      </c>
      <c r="C11" s="71"/>
      <c r="D11" s="76"/>
      <c r="E11" s="145">
        <f>Debt!F5</f>
        <v>3.4599999999999999E-2</v>
      </c>
      <c r="G11" s="4" t="s">
        <v>112</v>
      </c>
      <c r="L11" s="29"/>
      <c r="M11" s="235">
        <f>M9*(1+E10*(1-E4))</f>
        <v>0.89855795151620854</v>
      </c>
    </row>
    <row r="12" spans="1:13" x14ac:dyDescent="0.25">
      <c r="A12" s="29"/>
      <c r="B12" s="72" t="s">
        <v>101</v>
      </c>
      <c r="C12" s="72"/>
      <c r="D12" s="77"/>
      <c r="E12" s="145">
        <f>E11*(1-E4)</f>
        <v>2.8500143172607927E-2</v>
      </c>
      <c r="M12" s="67"/>
    </row>
    <row r="13" spans="1:13" s="11" customFormat="1" x14ac:dyDescent="0.25">
      <c r="A13" s="26" t="s">
        <v>126</v>
      </c>
      <c r="B13" s="165" t="s">
        <v>102</v>
      </c>
      <c r="C13" s="166"/>
      <c r="D13" s="167"/>
      <c r="E13" s="161">
        <f>WACC!E8*WACC!E9+WACC!E12*WACC!E10</f>
        <v>8.512887293703178E-2</v>
      </c>
      <c r="F13" s="4"/>
    </row>
    <row r="14" spans="1:13" s="11" customFormat="1" x14ac:dyDescent="0.25">
      <c r="A14" s="372"/>
      <c r="B14" s="78" t="s">
        <v>103</v>
      </c>
      <c r="C14" s="78"/>
      <c r="D14" s="366"/>
      <c r="E14" s="367">
        <v>0.03</v>
      </c>
      <c r="F14" s="4"/>
    </row>
    <row r="15" spans="1:13" x14ac:dyDescent="0.25">
      <c r="B15" s="340"/>
      <c r="C15" s="340"/>
      <c r="D15" s="340"/>
      <c r="E15" s="340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T45"/>
  <sheetViews>
    <sheetView showGridLines="0" topLeftCell="E1" zoomScaleNormal="100" workbookViewId="0">
      <selection activeCell="N18" sqref="N18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3" width="12.7109375" style="4" customWidth="1"/>
    <col min="4" max="4" width="15.85546875" style="4" customWidth="1"/>
    <col min="5" max="5" width="10.42578125" style="4" customWidth="1"/>
    <col min="6" max="6" width="12.140625" style="4" customWidth="1"/>
    <col min="7" max="7" width="11.42578125" style="4" bestFit="1" customWidth="1"/>
    <col min="8" max="12" width="11.7109375" style="4" customWidth="1"/>
    <col min="13" max="16384" width="9" style="4"/>
  </cols>
  <sheetData>
    <row r="1" spans="1:20" ht="19.5" x14ac:dyDescent="0.3">
      <c r="A1" s="318" t="str">
        <f>CoName</f>
        <v>Microsoft Corp.</v>
      </c>
      <c r="B1" s="3"/>
      <c r="C1" s="3"/>
      <c r="D1" s="43" t="s">
        <v>1</v>
      </c>
      <c r="E1" s="43" t="s">
        <v>1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 t="s">
        <v>1</v>
      </c>
      <c r="L1" s="43"/>
      <c r="M1" s="43"/>
    </row>
    <row r="2" spans="1:20" x14ac:dyDescent="0.25">
      <c r="A2" s="78" t="s">
        <v>114</v>
      </c>
      <c r="B2" s="21"/>
      <c r="C2" s="44"/>
      <c r="D2" s="78">
        <v>0.5</v>
      </c>
      <c r="E2" s="78">
        <f>D2+1</f>
        <v>1.5</v>
      </c>
      <c r="F2" s="78">
        <f t="shared" ref="F2:H2" si="0">E2+1</f>
        <v>2.5</v>
      </c>
      <c r="G2" s="78">
        <f t="shared" si="0"/>
        <v>3.5</v>
      </c>
      <c r="H2" s="78">
        <f t="shared" si="0"/>
        <v>4.5</v>
      </c>
      <c r="I2" s="78">
        <f t="shared" ref="I2" si="1">H2+1</f>
        <v>5.5</v>
      </c>
      <c r="J2" s="78">
        <f t="shared" ref="J2" si="2">I2+1</f>
        <v>6.5</v>
      </c>
      <c r="K2" s="78">
        <f t="shared" ref="K2" si="3">J2+1</f>
        <v>7.5</v>
      </c>
      <c r="L2" s="162"/>
      <c r="M2" s="165" t="s">
        <v>102</v>
      </c>
      <c r="N2" s="166"/>
      <c r="O2" s="167"/>
      <c r="P2" s="161">
        <f>WACC!E13</f>
        <v>8.512887293703178E-2</v>
      </c>
    </row>
    <row r="3" spans="1:20" x14ac:dyDescent="0.25">
      <c r="B3" s="4" t="s">
        <v>254</v>
      </c>
      <c r="D3" s="8">
        <f>1/(1+$P$2)^D2</f>
        <v>0.9599737118164251</v>
      </c>
      <c r="E3" s="8">
        <f>1/(1+$P$2)^E2</f>
        <v>0.88466332042031182</v>
      </c>
      <c r="F3" s="8">
        <f>1/(1+$P$2)^F2</f>
        <v>0.81526106482252558</v>
      </c>
      <c r="G3" s="8">
        <f>1/(1+$P$2)^G2</f>
        <v>0.75130344897737678</v>
      </c>
      <c r="H3" s="8">
        <f>1/(1+$P$2)^H2</f>
        <v>0.69236333832301744</v>
      </c>
      <c r="I3" s="8">
        <f>1/(1+$P$2)^I2</f>
        <v>0.63804710720584989</v>
      </c>
      <c r="J3" s="8">
        <f>1/(1+$P$2)^J2</f>
        <v>0.58799201009083701</v>
      </c>
      <c r="K3" s="8">
        <f>1/(1+$P$2)^K2</f>
        <v>0.54186375900160688</v>
      </c>
      <c r="L3" s="29"/>
      <c r="M3" s="78" t="s">
        <v>103</v>
      </c>
      <c r="N3" s="78"/>
      <c r="O3" s="366"/>
      <c r="P3" s="367">
        <v>0.03</v>
      </c>
    </row>
    <row r="4" spans="1:20" x14ac:dyDescent="0.25">
      <c r="B4" s="4" t="s">
        <v>255</v>
      </c>
      <c r="D4" s="4">
        <f>D3*'Free Cash Flow'!F15</f>
        <v>95325.822326890993</v>
      </c>
      <c r="E4" s="4">
        <f>E3*'Free Cash Flow'!G15</f>
        <v>105846.22672519955</v>
      </c>
      <c r="F4" s="4">
        <f>F3*'Free Cash Flow'!H15</f>
        <v>116573.75413774491</v>
      </c>
      <c r="G4" s="4">
        <f>G3*'Free Cash Flow'!I15</f>
        <v>127668.48730529104</v>
      </c>
      <c r="H4" s="4">
        <f>H3*'Free Cash Flow'!J15</f>
        <v>138859.39687200746</v>
      </c>
      <c r="I4" s="4">
        <f>I3*'Free Cash Flow'!K15</f>
        <v>149802.07094155642</v>
      </c>
      <c r="J4" s="4">
        <f>J3*'Free Cash Flow'!L15</f>
        <v>160115.14126365297</v>
      </c>
      <c r="K4" s="4">
        <f>K3*'Free Cash Flow'!M15</f>
        <v>169424.60434131505</v>
      </c>
      <c r="M4" s="67"/>
      <c r="N4" s="67"/>
      <c r="O4" s="67"/>
      <c r="P4" s="67"/>
    </row>
    <row r="5" spans="1:20" x14ac:dyDescent="0.25">
      <c r="G5" s="146"/>
      <c r="J5" s="4" t="s">
        <v>256</v>
      </c>
      <c r="K5" s="4">
        <f>((K4*(1+P3))/(P2-P3))</f>
        <v>3165443.6808616938</v>
      </c>
    </row>
    <row r="6" spans="1:20" x14ac:dyDescent="0.25">
      <c r="A6" s="78" t="s">
        <v>115</v>
      </c>
      <c r="B6" s="21"/>
      <c r="C6" s="44"/>
      <c r="D6" s="87"/>
      <c r="E6" s="78" t="s">
        <v>173</v>
      </c>
      <c r="F6" s="21"/>
      <c r="G6" s="44"/>
      <c r="H6" s="87" t="s">
        <v>169</v>
      </c>
      <c r="L6" s="340"/>
      <c r="M6" s="340"/>
    </row>
    <row r="7" spans="1:20" x14ac:dyDescent="0.25">
      <c r="B7" s="4" t="s">
        <v>116</v>
      </c>
      <c r="C7" s="4">
        <f>SUM(D4:K4)</f>
        <v>1063615.5039136584</v>
      </c>
      <c r="E7" s="4" t="s">
        <v>116</v>
      </c>
      <c r="G7" s="4">
        <f>C7</f>
        <v>1063615.5039136584</v>
      </c>
      <c r="L7" s="173"/>
      <c r="M7" s="173"/>
      <c r="N7" s="173" t="s">
        <v>257</v>
      </c>
      <c r="O7" s="173"/>
      <c r="P7" s="173"/>
      <c r="Q7" s="173"/>
      <c r="R7" s="173"/>
      <c r="S7" s="173" t="s">
        <v>258</v>
      </c>
      <c r="T7" s="173"/>
    </row>
    <row r="8" spans="1:20" x14ac:dyDescent="0.25">
      <c r="B8" s="4" t="s">
        <v>117</v>
      </c>
      <c r="C8" s="4">
        <f>K5*K3</f>
        <v>1715239.2118196003</v>
      </c>
      <c r="E8" s="4" t="s">
        <v>174</v>
      </c>
      <c r="G8" s="4">
        <f>K3*G10*IncState!M25</f>
        <v>3182683.6434273259</v>
      </c>
      <c r="L8" s="300">
        <f>C18</f>
        <v>381.7968956171481</v>
      </c>
      <c r="M8" s="282">
        <f>N8-E23</f>
        <v>2.4999999999999998E-2</v>
      </c>
      <c r="N8" s="282">
        <v>0.03</v>
      </c>
      <c r="O8" s="282">
        <f>N8+E23</f>
        <v>3.4999999999999996E-2</v>
      </c>
      <c r="P8" s="173"/>
      <c r="Q8" s="173">
        <f>G18</f>
        <v>579.23632882739787</v>
      </c>
      <c r="R8" s="269">
        <f>S8-L23</f>
        <v>10</v>
      </c>
      <c r="S8" s="269">
        <v>12</v>
      </c>
      <c r="T8" s="269">
        <f>S8+L23</f>
        <v>14</v>
      </c>
    </row>
    <row r="9" spans="1:20" x14ac:dyDescent="0.25">
      <c r="B9" s="4" t="s">
        <v>118</v>
      </c>
      <c r="C9" s="4">
        <f>SUM(C7:C8)</f>
        <v>2778854.715733259</v>
      </c>
      <c r="E9" s="4" t="s">
        <v>118</v>
      </c>
      <c r="G9" s="4">
        <f>SUM(G7:G8)</f>
        <v>4246299.1473409841</v>
      </c>
      <c r="L9" s="371">
        <f>L10+$E$22</f>
        <v>9.5128872937031789E-2</v>
      </c>
      <c r="M9" s="368">
        <f t="dataTable" ref="M9:O13" dt2D="1" dtr="1" r1="P3" r2="P2" ca="1"/>
        <v>302.68454096607024</v>
      </c>
      <c r="N9" s="369">
        <v>315.58915378365964</v>
      </c>
      <c r="O9" s="368">
        <v>330.63992570705869</v>
      </c>
      <c r="P9" s="173"/>
      <c r="Q9" s="371">
        <v>0.109388443417472</v>
      </c>
      <c r="R9" s="368">
        <f t="dataTable" ref="R9:T13" dt2D="1" dtr="1" r1="G10" r2="P2"/>
        <v>440.16511299578906</v>
      </c>
      <c r="S9" s="369">
        <v>500.62913967796317</v>
      </c>
      <c r="T9" s="368">
        <v>561.09316636013727</v>
      </c>
    </row>
    <row r="10" spans="1:20" x14ac:dyDescent="0.25">
      <c r="C10" s="86"/>
      <c r="E10" s="4" t="s">
        <v>119</v>
      </c>
      <c r="G10" s="86">
        <v>12</v>
      </c>
      <c r="L10" s="371">
        <f>L11+$E$22</f>
        <v>9.0128872937031784E-2</v>
      </c>
      <c r="M10" s="370">
        <v>329.58774488653484</v>
      </c>
      <c r="N10" s="265">
        <v>345.63431395519905</v>
      </c>
      <c r="O10" s="370">
        <v>364.59162075778937</v>
      </c>
      <c r="P10" s="173"/>
      <c r="Q10" s="371">
        <v>0.104388443417472</v>
      </c>
      <c r="R10" s="370">
        <v>453.1448366723867</v>
      </c>
      <c r="S10" s="265">
        <v>515.69240736735878</v>
      </c>
      <c r="T10" s="370">
        <v>578.23997806233103</v>
      </c>
    </row>
    <row r="11" spans="1:20" x14ac:dyDescent="0.25">
      <c r="I11" s="162"/>
      <c r="L11" s="371">
        <v>8.512887293703178E-2</v>
      </c>
      <c r="M11" s="265">
        <v>361.57937182148169</v>
      </c>
      <c r="N11" s="265">
        <v>381.7968956171481</v>
      </c>
      <c r="O11" s="265">
        <v>406.04752899839434</v>
      </c>
      <c r="P11" s="173"/>
      <c r="Q11" s="371">
        <v>8.512887293703178E-2</v>
      </c>
      <c r="R11" s="265">
        <v>507.86653324822601</v>
      </c>
      <c r="S11" s="265">
        <v>579.23632882739787</v>
      </c>
      <c r="T11" s="265">
        <v>650.60612440656962</v>
      </c>
    </row>
    <row r="12" spans="1:20" x14ac:dyDescent="0.25">
      <c r="B12" s="29" t="s">
        <v>120</v>
      </c>
      <c r="C12" s="39">
        <f>MAIN!F7</f>
        <v>102012</v>
      </c>
      <c r="E12" s="29" t="s">
        <v>120</v>
      </c>
      <c r="F12" s="158"/>
      <c r="G12" s="39">
        <f>C12</f>
        <v>102012</v>
      </c>
      <c r="I12" s="162"/>
      <c r="L12" s="371">
        <f>L11-$E$22</f>
        <v>8.0128872937031775E-2</v>
      </c>
      <c r="M12" s="370">
        <v>400.11201361571682</v>
      </c>
      <c r="N12" s="265">
        <v>425.98243488779133</v>
      </c>
      <c r="O12" s="370">
        <v>457.58542149739833</v>
      </c>
      <c r="P12" s="173"/>
      <c r="Q12" s="371">
        <v>9.438844341747199E-2</v>
      </c>
      <c r="R12" s="370">
        <v>480.58124210530298</v>
      </c>
      <c r="S12" s="265">
        <v>547.54473671814151</v>
      </c>
      <c r="T12" s="370">
        <v>614.50823133098015</v>
      </c>
    </row>
    <row r="13" spans="1:20" x14ac:dyDescent="0.25">
      <c r="B13" s="29" t="s">
        <v>121</v>
      </c>
      <c r="C13" s="39">
        <f>MAIN!F8</f>
        <v>43208</v>
      </c>
      <c r="E13" s="29" t="s">
        <v>121</v>
      </c>
      <c r="F13" s="158"/>
      <c r="G13" s="39">
        <f t="shared" ref="G13:G14" si="4">C13</f>
        <v>43208</v>
      </c>
      <c r="L13" s="371">
        <f>L12-$E$22</f>
        <v>7.5128872937031771E-2</v>
      </c>
      <c r="M13" s="370">
        <v>447.22503972465239</v>
      </c>
      <c r="N13" s="265">
        <v>480.94902028722652</v>
      </c>
      <c r="O13" s="370">
        <v>523.07692004670696</v>
      </c>
      <c r="P13" s="173"/>
      <c r="Q13" s="371">
        <v>8.9388443417471986E-2</v>
      </c>
      <c r="R13" s="370">
        <v>495.08061435460439</v>
      </c>
      <c r="S13" s="265">
        <v>564.38386710060661</v>
      </c>
      <c r="T13" s="370">
        <v>633.68711984660877</v>
      </c>
    </row>
    <row r="14" spans="1:20" x14ac:dyDescent="0.25">
      <c r="B14" s="29" t="s">
        <v>122</v>
      </c>
      <c r="C14" s="80">
        <v>0</v>
      </c>
      <c r="E14" s="4" t="s">
        <v>122</v>
      </c>
      <c r="F14" s="29"/>
      <c r="G14" s="39">
        <f t="shared" si="4"/>
        <v>0</v>
      </c>
    </row>
    <row r="15" spans="1:20" x14ac:dyDescent="0.25">
      <c r="B15" s="4" t="s">
        <v>123</v>
      </c>
      <c r="C15" s="67">
        <f>C9+C12-C13</f>
        <v>2837658.715733259</v>
      </c>
      <c r="E15" s="4" t="s">
        <v>123</v>
      </c>
      <c r="G15" s="67">
        <f>G9+G12-G13</f>
        <v>4305103.1473409841</v>
      </c>
      <c r="N15" s="173" t="s">
        <v>259</v>
      </c>
      <c r="S15" s="173" t="str">
        <f>N15</f>
        <v>Avg</v>
      </c>
    </row>
    <row r="16" spans="1:20" x14ac:dyDescent="0.25">
      <c r="N16" s="265">
        <f>AVERAGE(M9:O13)</f>
        <v>391.53879643685525</v>
      </c>
      <c r="S16" s="265">
        <f>AVERAGE(R9:T13)</f>
        <v>541.49729593829363</v>
      </c>
    </row>
    <row r="17" spans="1:17" x14ac:dyDescent="0.25">
      <c r="B17" s="4" t="s">
        <v>124</v>
      </c>
      <c r="C17" s="4">
        <f>MAIN!F5</f>
        <v>7432.3776550000002</v>
      </c>
      <c r="E17" s="4" t="s">
        <v>124</v>
      </c>
      <c r="G17" s="4">
        <f>C17</f>
        <v>7432.3776550000002</v>
      </c>
    </row>
    <row r="18" spans="1:17" x14ac:dyDescent="0.25">
      <c r="A18" s="4" t="s">
        <v>126</v>
      </c>
      <c r="B18" s="147" t="s">
        <v>125</v>
      </c>
      <c r="C18" s="160">
        <f>C15/C17</f>
        <v>381.7968956171481</v>
      </c>
      <c r="E18" s="147" t="s">
        <v>125</v>
      </c>
      <c r="F18" s="158"/>
      <c r="G18" s="160">
        <f>G15/G17</f>
        <v>579.23632882739787</v>
      </c>
    </row>
    <row r="19" spans="1:17" x14ac:dyDescent="0.25">
      <c r="C19" s="23"/>
    </row>
    <row r="20" spans="1:17" x14ac:dyDescent="0.25">
      <c r="A20" s="115" t="s">
        <v>147</v>
      </c>
      <c r="B20" s="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232"/>
    </row>
    <row r="21" spans="1:17" x14ac:dyDescent="0.25">
      <c r="B21" s="116"/>
      <c r="C21" s="116"/>
      <c r="D21" s="116"/>
      <c r="E21" s="116"/>
      <c r="F21" s="116"/>
      <c r="G21" s="116"/>
      <c r="H21" s="116"/>
      <c r="I21" s="116"/>
    </row>
    <row r="22" spans="1:17" x14ac:dyDescent="0.25">
      <c r="B22" s="116"/>
      <c r="C22" s="116" t="s">
        <v>148</v>
      </c>
      <c r="D22" s="116"/>
      <c r="E22" s="117">
        <v>5.0000000000000001E-3</v>
      </c>
      <c r="F22" s="116"/>
      <c r="G22" s="116"/>
      <c r="J22" s="116" t="s">
        <v>148</v>
      </c>
      <c r="K22" s="116"/>
      <c r="L22" s="117">
        <v>5.0000000000000001E-3</v>
      </c>
    </row>
    <row r="23" spans="1:17" x14ac:dyDescent="0.25">
      <c r="B23" s="116"/>
      <c r="C23" s="116" t="s">
        <v>149</v>
      </c>
      <c r="D23" s="116"/>
      <c r="E23" s="148">
        <v>5.0000000000000001E-3</v>
      </c>
      <c r="F23" s="116"/>
      <c r="G23" s="116"/>
      <c r="J23" s="116" t="s">
        <v>172</v>
      </c>
      <c r="K23" s="116"/>
      <c r="L23" s="157">
        <v>2</v>
      </c>
    </row>
    <row r="24" spans="1:17" x14ac:dyDescent="0.25">
      <c r="B24" s="116"/>
      <c r="C24" s="116"/>
      <c r="D24" s="116"/>
      <c r="E24" s="171"/>
      <c r="F24" s="116"/>
      <c r="G24" s="116"/>
      <c r="J24" s="116"/>
      <c r="K24" s="116"/>
      <c r="L24" s="170"/>
    </row>
    <row r="25" spans="1:17" x14ac:dyDescent="0.25">
      <c r="A25" s="151" t="s">
        <v>175</v>
      </c>
      <c r="B25" s="16"/>
      <c r="C25" s="149"/>
      <c r="D25" s="149"/>
      <c r="E25" s="150"/>
      <c r="F25" s="149"/>
      <c r="G25" s="149"/>
      <c r="H25" s="149"/>
      <c r="I25" s="149"/>
      <c r="J25" s="159"/>
      <c r="K25" s="16"/>
      <c r="L25" s="16"/>
      <c r="M25" s="16"/>
      <c r="N25" s="16"/>
      <c r="O25" s="16"/>
      <c r="P25" s="16"/>
    </row>
    <row r="26" spans="1:17" x14ac:dyDescent="0.25">
      <c r="B26" s="116"/>
      <c r="C26" s="116"/>
      <c r="D26" s="116"/>
      <c r="E26" s="116"/>
      <c r="F26" s="116"/>
      <c r="H26" s="116"/>
      <c r="I26" s="173"/>
      <c r="P26" s="173"/>
    </row>
    <row r="27" spans="1:17" x14ac:dyDescent="0.25">
      <c r="B27" s="162"/>
      <c r="C27" s="169"/>
      <c r="D27" s="116"/>
      <c r="E27" s="293"/>
      <c r="F27" s="294"/>
      <c r="G27" s="293"/>
      <c r="I27" s="116"/>
      <c r="J27" s="293"/>
    </row>
    <row r="28" spans="1:17" x14ac:dyDescent="0.25">
      <c r="B28" s="162"/>
      <c r="C28" s="295"/>
      <c r="E28" s="116"/>
      <c r="F28" s="296"/>
      <c r="G28" s="296"/>
      <c r="H28" s="296"/>
      <c r="I28" s="173"/>
      <c r="J28" s="173"/>
      <c r="N28" s="297"/>
      <c r="P28" s="173"/>
    </row>
    <row r="29" spans="1:17" x14ac:dyDescent="0.25">
      <c r="B29" s="162"/>
      <c r="C29" s="295"/>
      <c r="E29" s="298"/>
      <c r="F29" s="173"/>
      <c r="G29" s="173"/>
      <c r="H29" s="275"/>
      <c r="I29" s="275"/>
      <c r="J29" s="275"/>
      <c r="N29" s="299"/>
      <c r="O29" s="49"/>
      <c r="P29" s="49"/>
      <c r="Q29" s="49"/>
    </row>
    <row r="30" spans="1:17" x14ac:dyDescent="0.25">
      <c r="E30" s="261"/>
      <c r="F30" s="173"/>
      <c r="G30" s="300"/>
      <c r="H30" s="301"/>
      <c r="I30" s="301"/>
      <c r="J30" s="301"/>
      <c r="N30" s="302"/>
      <c r="O30" s="169"/>
      <c r="P30" s="169"/>
      <c r="Q30" s="169"/>
    </row>
    <row r="31" spans="1:17" x14ac:dyDescent="0.25">
      <c r="F31" s="275"/>
      <c r="G31" s="301"/>
      <c r="H31" s="278"/>
      <c r="I31" s="278"/>
      <c r="J31" s="278"/>
      <c r="K31" s="303"/>
      <c r="M31" s="49"/>
      <c r="N31" s="169"/>
      <c r="O31" s="86"/>
      <c r="P31" s="86"/>
      <c r="Q31" s="86"/>
    </row>
    <row r="32" spans="1:17" x14ac:dyDescent="0.25">
      <c r="F32" s="275"/>
      <c r="G32" s="301"/>
      <c r="H32" s="278"/>
      <c r="I32" s="278"/>
      <c r="J32" s="278"/>
      <c r="K32" s="303"/>
      <c r="M32" s="49"/>
      <c r="N32" s="169"/>
      <c r="O32" s="86"/>
      <c r="P32" s="86"/>
      <c r="Q32" s="86"/>
    </row>
    <row r="33" spans="2:17" x14ac:dyDescent="0.25">
      <c r="D33" s="49"/>
      <c r="E33" s="146"/>
      <c r="F33" s="275"/>
      <c r="G33" s="301"/>
      <c r="H33" s="278"/>
      <c r="I33" s="278"/>
      <c r="J33" s="278"/>
      <c r="K33" s="303"/>
      <c r="L33" s="146"/>
      <c r="M33" s="49"/>
      <c r="N33" s="169"/>
      <c r="O33" s="86"/>
      <c r="P33" s="86"/>
      <c r="Q33" s="86"/>
    </row>
    <row r="34" spans="2:17" x14ac:dyDescent="0.25">
      <c r="D34" s="49"/>
      <c r="E34" s="261"/>
      <c r="F34" s="275"/>
      <c r="G34" s="301"/>
      <c r="H34" s="278"/>
      <c r="I34" s="278"/>
      <c r="J34" s="278"/>
      <c r="K34" s="297"/>
      <c r="M34" s="49"/>
      <c r="N34" s="169"/>
      <c r="O34" s="86"/>
      <c r="P34" s="86"/>
      <c r="Q34" s="86"/>
    </row>
    <row r="35" spans="2:17" x14ac:dyDescent="0.25">
      <c r="D35" s="49"/>
      <c r="E35" s="261"/>
      <c r="F35" s="275"/>
      <c r="G35" s="301"/>
      <c r="H35" s="278"/>
      <c r="I35" s="278"/>
      <c r="J35" s="278"/>
      <c r="K35" s="297"/>
      <c r="M35" s="49"/>
      <c r="N35" s="169"/>
      <c r="O35" s="86"/>
      <c r="P35" s="86"/>
      <c r="Q35" s="86"/>
    </row>
    <row r="36" spans="2:17" x14ac:dyDescent="0.25">
      <c r="B36" s="304"/>
      <c r="C36" s="304"/>
      <c r="D36" s="304"/>
      <c r="E36" s="305"/>
      <c r="F36" s="306"/>
      <c r="G36" s="305"/>
    </row>
    <row r="37" spans="2:17" x14ac:dyDescent="0.25">
      <c r="B37" s="116"/>
      <c r="C37" s="116"/>
      <c r="D37" s="116"/>
      <c r="E37" s="116"/>
      <c r="F37" s="294"/>
      <c r="G37" s="294"/>
      <c r="H37" s="294"/>
      <c r="I37" s="173"/>
      <c r="J37" s="173"/>
      <c r="P37" s="173"/>
    </row>
    <row r="38" spans="2:17" x14ac:dyDescent="0.25">
      <c r="F38" s="282"/>
      <c r="G38" s="282"/>
      <c r="H38" s="275"/>
      <c r="I38" s="275"/>
      <c r="J38" s="275"/>
      <c r="M38" s="173"/>
      <c r="O38" s="86"/>
      <c r="P38" s="86"/>
      <c r="Q38" s="86"/>
    </row>
    <row r="39" spans="2:17" x14ac:dyDescent="0.25">
      <c r="E39" s="49"/>
      <c r="F39" s="269"/>
      <c r="G39" s="307"/>
      <c r="H39" s="301"/>
      <c r="I39" s="301"/>
      <c r="J39" s="301"/>
      <c r="L39" s="86"/>
      <c r="M39" s="86"/>
      <c r="N39" s="308"/>
      <c r="O39" s="172"/>
      <c r="P39" s="172"/>
      <c r="Q39" s="172"/>
    </row>
    <row r="40" spans="2:17" x14ac:dyDescent="0.25">
      <c r="E40" s="49"/>
      <c r="F40" s="275"/>
      <c r="G40" s="301"/>
      <c r="H40" s="269"/>
      <c r="I40" s="269"/>
      <c r="J40" s="269"/>
      <c r="K40" s="49"/>
      <c r="M40" s="49"/>
      <c r="N40" s="169"/>
      <c r="O40" s="309"/>
      <c r="P40" s="309"/>
      <c r="Q40" s="309"/>
    </row>
    <row r="41" spans="2:17" x14ac:dyDescent="0.25">
      <c r="D41" s="8"/>
      <c r="E41" s="49"/>
      <c r="F41" s="275"/>
      <c r="G41" s="301"/>
      <c r="H41" s="269"/>
      <c r="I41" s="269"/>
      <c r="J41" s="269"/>
      <c r="K41" s="8"/>
      <c r="L41" s="49"/>
      <c r="M41" s="49"/>
      <c r="N41" s="169"/>
      <c r="O41" s="309"/>
      <c r="P41" s="309"/>
      <c r="Q41" s="309"/>
    </row>
    <row r="42" spans="2:17" x14ac:dyDescent="0.25">
      <c r="D42" s="8"/>
      <c r="E42" s="146"/>
      <c r="F42" s="275"/>
      <c r="G42" s="301"/>
      <c r="H42" s="269"/>
      <c r="I42" s="269"/>
      <c r="J42" s="269"/>
      <c r="K42" s="8"/>
      <c r="L42" s="146"/>
      <c r="M42" s="49"/>
      <c r="N42" s="169"/>
      <c r="O42" s="309"/>
      <c r="P42" s="309"/>
      <c r="Q42" s="309"/>
    </row>
    <row r="43" spans="2:17" x14ac:dyDescent="0.25">
      <c r="D43" s="8"/>
      <c r="E43" s="49"/>
      <c r="F43" s="275"/>
      <c r="G43" s="301"/>
      <c r="H43" s="269"/>
      <c r="I43" s="269"/>
      <c r="J43" s="269"/>
      <c r="K43" s="8"/>
      <c r="L43" s="49"/>
      <c r="M43" s="49"/>
      <c r="N43" s="169"/>
      <c r="O43" s="309"/>
      <c r="P43" s="309"/>
      <c r="Q43" s="309"/>
    </row>
    <row r="44" spans="2:17" x14ac:dyDescent="0.25">
      <c r="D44" s="8"/>
      <c r="E44" s="8"/>
      <c r="F44" s="275"/>
      <c r="G44" s="301"/>
      <c r="H44" s="269"/>
      <c r="I44" s="269"/>
      <c r="J44" s="269"/>
      <c r="K44" s="8"/>
      <c r="L44" s="49"/>
      <c r="M44" s="49"/>
      <c r="N44" s="169"/>
      <c r="O44" s="309"/>
      <c r="P44" s="309"/>
      <c r="Q44" s="309"/>
    </row>
    <row r="45" spans="2:17" x14ac:dyDescent="0.25">
      <c r="D45" s="8"/>
      <c r="E45" s="8"/>
      <c r="F45" s="86"/>
      <c r="G45" s="86"/>
      <c r="H45" s="86"/>
      <c r="J45" s="8"/>
      <c r="K45" s="8"/>
      <c r="L45" s="49"/>
      <c r="M45" s="49"/>
      <c r="N45" s="49"/>
    </row>
  </sheetData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F967-9893-4C24-9902-E3B112D5E747}">
  <sheetPr codeName="Sheet15"/>
  <dimension ref="A1:Q45"/>
  <sheetViews>
    <sheetView showGridLines="0" zoomScaleNormal="100" workbookViewId="0"/>
  </sheetViews>
  <sheetFormatPr defaultColWidth="9.140625" defaultRowHeight="15" x14ac:dyDescent="0.25"/>
  <cols>
    <col min="1" max="1" width="2.140625" style="4" bestFit="1" customWidth="1"/>
    <col min="2" max="2" width="22.7109375" style="4" bestFit="1" customWidth="1"/>
    <col min="3" max="3" width="14.42578125" style="4" bestFit="1" customWidth="1"/>
    <col min="4" max="4" width="12.42578125" style="4" customWidth="1"/>
    <col min="5" max="5" width="12.140625" style="4" bestFit="1" customWidth="1"/>
    <col min="6" max="6" width="11.28515625" style="4" customWidth="1"/>
    <col min="7" max="7" width="12.140625" style="4" customWidth="1"/>
    <col min="8" max="8" width="12.140625" style="4" bestFit="1" customWidth="1"/>
    <col min="9" max="9" width="12.28515625" style="4" bestFit="1" customWidth="1"/>
    <col min="10" max="10" width="12.140625" style="4" bestFit="1" customWidth="1"/>
    <col min="11" max="11" width="10.42578125" style="4" bestFit="1" customWidth="1"/>
    <col min="12" max="12" width="12" style="4" customWidth="1"/>
    <col min="13" max="13" width="10.42578125" style="4" bestFit="1" customWidth="1"/>
    <col min="14" max="17" width="11.42578125" style="4" bestFit="1" customWidth="1"/>
    <col min="18" max="16384" width="9.140625" style="4"/>
  </cols>
  <sheetData>
    <row r="1" spans="1:17" ht="19.5" x14ac:dyDescent="0.3">
      <c r="A1" s="318" t="str">
        <f>CoName</f>
        <v>Microsoft Corp.</v>
      </c>
    </row>
    <row r="2" spans="1:17" ht="30" x14ac:dyDescent="0.25">
      <c r="A2" s="4" t="s">
        <v>126</v>
      </c>
      <c r="B2" s="242"/>
      <c r="C2" s="241" t="s">
        <v>190</v>
      </c>
      <c r="D2" s="241" t="s">
        <v>184</v>
      </c>
      <c r="E2" s="241" t="s">
        <v>191</v>
      </c>
      <c r="F2" s="241" t="s">
        <v>185</v>
      </c>
      <c r="G2" s="241" t="s">
        <v>188</v>
      </c>
      <c r="H2" s="243" t="s">
        <v>194</v>
      </c>
      <c r="I2" s="243" t="s">
        <v>189</v>
      </c>
      <c r="J2" s="243" t="s">
        <v>192</v>
      </c>
      <c r="K2" s="243" t="s">
        <v>193</v>
      </c>
      <c r="L2" s="243" t="s">
        <v>195</v>
      </c>
      <c r="M2" s="243" t="s">
        <v>196</v>
      </c>
      <c r="N2" s="243" t="s">
        <v>197</v>
      </c>
    </row>
    <row r="3" spans="1:17" x14ac:dyDescent="0.25">
      <c r="A3" s="29"/>
      <c r="D3" s="244"/>
      <c r="E3" s="205"/>
      <c r="F3" s="86"/>
      <c r="G3" s="86"/>
      <c r="H3" s="86"/>
      <c r="I3" s="86"/>
      <c r="J3" s="86"/>
      <c r="K3" s="86"/>
      <c r="L3" s="86"/>
      <c r="M3" s="250"/>
    </row>
    <row r="4" spans="1:17" x14ac:dyDescent="0.25">
      <c r="A4" s="29"/>
      <c r="D4" s="244"/>
      <c r="E4" s="205"/>
      <c r="F4" s="86"/>
      <c r="G4" s="86"/>
      <c r="H4" s="86"/>
      <c r="I4" s="86"/>
      <c r="J4" s="86"/>
      <c r="K4" s="86"/>
      <c r="L4" s="86"/>
      <c r="M4" s="250"/>
    </row>
    <row r="5" spans="1:17" x14ac:dyDescent="0.25">
      <c r="A5" s="29"/>
      <c r="D5" s="244"/>
      <c r="E5" s="205"/>
      <c r="F5" s="86"/>
      <c r="G5" s="86"/>
      <c r="H5" s="86"/>
      <c r="I5" s="86"/>
      <c r="J5" s="86"/>
      <c r="K5" s="86"/>
      <c r="L5" s="86"/>
      <c r="M5" s="250"/>
    </row>
    <row r="6" spans="1:17" x14ac:dyDescent="0.25">
      <c r="A6" s="29"/>
      <c r="D6" s="244"/>
      <c r="E6" s="205"/>
      <c r="F6" s="86"/>
      <c r="G6" s="86"/>
      <c r="H6" s="86"/>
      <c r="I6" s="86"/>
      <c r="J6" s="86"/>
      <c r="K6" s="86"/>
      <c r="L6" s="86"/>
      <c r="M6" s="250"/>
    </row>
    <row r="7" spans="1:17" x14ac:dyDescent="0.25">
      <c r="A7" s="29"/>
      <c r="D7" s="244"/>
      <c r="E7" s="205"/>
      <c r="F7" s="86"/>
      <c r="G7" s="86"/>
      <c r="H7" s="86"/>
      <c r="I7" s="254"/>
      <c r="J7" s="254"/>
      <c r="K7" s="254"/>
      <c r="L7" s="254"/>
      <c r="M7" s="251"/>
    </row>
    <row r="8" spans="1:17" x14ac:dyDescent="0.25">
      <c r="A8" s="29" t="s">
        <v>126</v>
      </c>
      <c r="B8" s="238" t="s">
        <v>186</v>
      </c>
      <c r="C8" s="238"/>
      <c r="D8" s="245"/>
      <c r="E8" s="247"/>
      <c r="F8" s="256"/>
      <c r="G8" s="256"/>
      <c r="H8" s="256"/>
      <c r="I8" s="257"/>
      <c r="J8" s="257"/>
      <c r="K8" s="257"/>
      <c r="L8" s="257"/>
      <c r="M8" s="258"/>
    </row>
    <row r="9" spans="1:17" x14ac:dyDescent="0.25">
      <c r="B9" s="67"/>
      <c r="C9" s="237"/>
      <c r="D9" s="246"/>
      <c r="E9" s="206"/>
      <c r="F9" s="237"/>
      <c r="G9" s="67"/>
      <c r="H9" s="67"/>
      <c r="I9" s="67"/>
      <c r="J9" s="67"/>
      <c r="K9" s="67"/>
      <c r="L9" s="67"/>
      <c r="M9" s="67"/>
    </row>
    <row r="10" spans="1:17" x14ac:dyDescent="0.25">
      <c r="A10" s="4" t="s">
        <v>126</v>
      </c>
      <c r="B10" s="11" t="s">
        <v>205</v>
      </c>
      <c r="C10" s="86"/>
      <c r="D10" s="244"/>
      <c r="E10" s="205"/>
      <c r="F10" s="86"/>
      <c r="G10" s="86"/>
      <c r="H10" s="86"/>
      <c r="I10" s="86"/>
      <c r="J10" s="86"/>
      <c r="K10" s="86"/>
      <c r="L10" s="86"/>
      <c r="M10" s="86"/>
      <c r="N10" s="172"/>
      <c r="O10" s="172"/>
      <c r="P10" s="172"/>
      <c r="Q10" s="172"/>
    </row>
    <row r="11" spans="1:17" x14ac:dyDescent="0.25">
      <c r="A11" s="64"/>
      <c r="B11" s="238" t="s">
        <v>187</v>
      </c>
      <c r="C11" s="238"/>
      <c r="D11" s="248"/>
      <c r="E11" s="248"/>
      <c r="F11" s="248"/>
      <c r="G11" s="248"/>
      <c r="H11" s="248"/>
      <c r="I11" s="255"/>
      <c r="J11" s="255"/>
      <c r="K11" s="255"/>
      <c r="L11" s="255"/>
      <c r="M11" s="249"/>
      <c r="N11" s="260"/>
    </row>
    <row r="12" spans="1:17" x14ac:dyDescent="0.25">
      <c r="A12" s="146"/>
      <c r="B12" s="239"/>
      <c r="C12" s="240"/>
      <c r="D12" s="240"/>
      <c r="E12" s="240"/>
      <c r="F12" s="240"/>
      <c r="G12" s="67"/>
      <c r="H12" s="67"/>
      <c r="I12" s="67"/>
      <c r="J12" s="67"/>
      <c r="K12" s="67"/>
      <c r="L12" s="67"/>
      <c r="M12" s="67"/>
      <c r="N12" s="259"/>
    </row>
    <row r="13" spans="1:17" x14ac:dyDescent="0.25">
      <c r="B13" s="11"/>
      <c r="C13" s="310"/>
      <c r="D13" s="311"/>
      <c r="E13" s="312"/>
      <c r="F13" s="179"/>
      <c r="G13" s="179"/>
      <c r="H13" s="179"/>
      <c r="I13" s="179"/>
      <c r="J13" s="179"/>
      <c r="K13" s="179"/>
      <c r="L13" s="179"/>
      <c r="M13" s="179"/>
      <c r="N13" s="8"/>
    </row>
    <row r="14" spans="1:17" x14ac:dyDescent="0.25">
      <c r="A14" s="146"/>
      <c r="D14" s="8"/>
      <c r="E14" s="8"/>
      <c r="F14" s="8"/>
      <c r="G14" s="8"/>
      <c r="H14" s="8"/>
      <c r="I14" s="8"/>
      <c r="J14" s="8"/>
      <c r="K14" s="8"/>
      <c r="L14" s="8"/>
      <c r="M14" s="8"/>
      <c r="N14" s="12"/>
    </row>
    <row r="15" spans="1:17" x14ac:dyDescent="0.25">
      <c r="A15" s="146"/>
      <c r="B15" s="146"/>
      <c r="C15" s="146"/>
      <c r="D15" s="146"/>
      <c r="E15" s="146"/>
      <c r="F15" s="146"/>
      <c r="N15" s="8"/>
    </row>
    <row r="16" spans="1:17" x14ac:dyDescent="0.25">
      <c r="B16" s="12"/>
      <c r="C16" s="8"/>
      <c r="D16" s="311"/>
      <c r="E16" s="312"/>
      <c r="F16" s="313"/>
      <c r="G16" s="313"/>
      <c r="H16" s="313"/>
      <c r="I16" s="313"/>
      <c r="J16" s="313"/>
      <c r="K16" s="313"/>
      <c r="L16" s="313"/>
      <c r="M16" s="313"/>
      <c r="N16" s="8"/>
    </row>
    <row r="17" spans="1:14" x14ac:dyDescent="0.25">
      <c r="D17" s="8"/>
      <c r="E17" s="8"/>
      <c r="F17" s="8"/>
      <c r="G17" s="8"/>
      <c r="H17" s="8"/>
      <c r="I17" s="8"/>
      <c r="J17" s="8"/>
      <c r="K17" s="8"/>
      <c r="L17" s="8"/>
      <c r="M17" s="8"/>
      <c r="N17" s="12"/>
    </row>
    <row r="18" spans="1:14" x14ac:dyDescent="0.25">
      <c r="D18" s="173"/>
    </row>
    <row r="20" spans="1:14" x14ac:dyDescent="0.25">
      <c r="D20" s="314"/>
      <c r="E20" s="314"/>
      <c r="F20" s="314"/>
    </row>
    <row r="21" spans="1:14" x14ac:dyDescent="0.25">
      <c r="C21" s="314"/>
      <c r="E21" s="314"/>
    </row>
    <row r="22" spans="1:14" x14ac:dyDescent="0.25">
      <c r="C22" s="314"/>
      <c r="D22" s="314"/>
      <c r="E22" s="314"/>
      <c r="G22" s="314"/>
    </row>
    <row r="23" spans="1:14" x14ac:dyDescent="0.25">
      <c r="C23" s="314"/>
      <c r="D23" s="314"/>
      <c r="E23" s="314"/>
      <c r="G23" s="314"/>
    </row>
    <row r="24" spans="1:14" x14ac:dyDescent="0.25">
      <c r="C24" s="314"/>
      <c r="D24" s="314"/>
      <c r="E24" s="314"/>
      <c r="G24" s="314"/>
    </row>
    <row r="25" spans="1:14" x14ac:dyDescent="0.25">
      <c r="C25" s="314"/>
      <c r="D25" s="314"/>
      <c r="E25" s="314"/>
      <c r="H25" s="314"/>
    </row>
    <row r="26" spans="1:14" x14ac:dyDescent="0.25">
      <c r="C26" s="314"/>
      <c r="D26" s="314"/>
    </row>
    <row r="28" spans="1:14" x14ac:dyDescent="0.25">
      <c r="A28" s="32"/>
      <c r="D28" s="314"/>
    </row>
    <row r="29" spans="1:14" x14ac:dyDescent="0.25">
      <c r="C29" s="315"/>
      <c r="D29" s="315"/>
    </row>
    <row r="30" spans="1:14" x14ac:dyDescent="0.25">
      <c r="C30" s="315"/>
      <c r="D30" s="315"/>
    </row>
    <row r="31" spans="1:14" x14ac:dyDescent="0.25">
      <c r="C31" s="315"/>
      <c r="D31" s="315"/>
    </row>
    <row r="32" spans="1:14" x14ac:dyDescent="0.25">
      <c r="C32" s="315"/>
      <c r="D32" s="315"/>
    </row>
    <row r="33" spans="2:7" x14ac:dyDescent="0.25">
      <c r="C33" s="315"/>
      <c r="D33" s="315"/>
    </row>
    <row r="34" spans="2:7" x14ac:dyDescent="0.25">
      <c r="C34" s="315"/>
      <c r="D34" s="315"/>
      <c r="E34" s="315"/>
    </row>
    <row r="36" spans="2:7" x14ac:dyDescent="0.25">
      <c r="B36" s="11"/>
    </row>
    <row r="45" spans="2:7" x14ac:dyDescent="0.25">
      <c r="G45" s="262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7B6C6-A523-4E35-8D77-94DE15CE59A2}">
  <sheetPr codeName="Sheet16"/>
  <dimension ref="A1:R58"/>
  <sheetViews>
    <sheetView showGridLines="0" zoomScaleNormal="100" workbookViewId="0"/>
  </sheetViews>
  <sheetFormatPr defaultColWidth="9.140625" defaultRowHeight="15" x14ac:dyDescent="0.25"/>
  <cols>
    <col min="1" max="1" width="3.42578125" style="4" customWidth="1"/>
    <col min="2" max="2" width="9.140625" style="4"/>
    <col min="3" max="3" width="12.140625" style="4" customWidth="1"/>
    <col min="4" max="4" width="12.28515625" style="4" bestFit="1" customWidth="1"/>
    <col min="5" max="5" width="9.140625" style="4"/>
    <col min="6" max="10" width="12.42578125" style="4" customWidth="1"/>
    <col min="11" max="11" width="22.42578125" style="4" customWidth="1"/>
    <col min="12" max="12" width="13.28515625" style="4" customWidth="1"/>
    <col min="13" max="13" width="12.42578125" style="4" customWidth="1"/>
    <col min="14" max="14" width="12.28515625" style="4" bestFit="1" customWidth="1"/>
    <col min="15" max="15" width="11" style="4" bestFit="1" customWidth="1"/>
    <col min="16" max="18" width="12.42578125" style="4" customWidth="1"/>
    <col min="19" max="16384" width="9.140625" style="4"/>
  </cols>
  <sheetData>
    <row r="1" spans="1:18" ht="19.5" x14ac:dyDescent="0.3">
      <c r="A1" s="318" t="str">
        <f>CoName</f>
        <v>Microsoft Corp.</v>
      </c>
    </row>
    <row r="2" spans="1:18" x14ac:dyDescent="0.25">
      <c r="A2" s="11" t="s">
        <v>198</v>
      </c>
    </row>
    <row r="3" spans="1:18" x14ac:dyDescent="0.25">
      <c r="A3" s="108" t="s">
        <v>199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18" x14ac:dyDescent="0.25">
      <c r="A4" s="162"/>
      <c r="F4" s="253"/>
    </row>
    <row r="5" spans="1:18" x14ac:dyDescent="0.25">
      <c r="F5" s="265"/>
    </row>
    <row r="6" spans="1:18" ht="11.85" customHeight="1" x14ac:dyDescent="0.25">
      <c r="A6" s="162"/>
    </row>
    <row r="7" spans="1:18" x14ac:dyDescent="0.25">
      <c r="K7" s="270"/>
      <c r="L7" s="271"/>
      <c r="M7" s="271"/>
      <c r="N7" s="271"/>
    </row>
    <row r="8" spans="1:18" x14ac:dyDescent="0.25">
      <c r="B8" s="176"/>
      <c r="C8" s="176"/>
      <c r="D8" s="176"/>
      <c r="E8" s="176"/>
      <c r="F8" s="176"/>
      <c r="G8" s="176"/>
      <c r="H8" s="176"/>
      <c r="I8" s="176"/>
      <c r="J8" s="176"/>
      <c r="L8" s="272"/>
      <c r="M8" s="269"/>
      <c r="P8" s="162"/>
      <c r="Q8" s="162"/>
      <c r="R8" s="162"/>
    </row>
    <row r="9" spans="1:18" x14ac:dyDescent="0.25">
      <c r="B9" s="87"/>
      <c r="C9" s="87"/>
      <c r="D9" s="87"/>
      <c r="E9" s="87"/>
      <c r="F9" s="87"/>
      <c r="G9" s="87"/>
      <c r="H9" s="87"/>
      <c r="I9" s="87"/>
      <c r="J9" s="87"/>
      <c r="L9" s="272"/>
      <c r="M9" s="269"/>
      <c r="R9" s="8"/>
    </row>
    <row r="10" spans="1:18" x14ac:dyDescent="0.25">
      <c r="B10" s="156"/>
      <c r="C10" s="156"/>
      <c r="D10" s="156"/>
      <c r="E10" s="156"/>
      <c r="F10" s="156"/>
      <c r="G10" s="156"/>
      <c r="H10" s="156"/>
      <c r="I10" s="156"/>
      <c r="J10" s="156"/>
      <c r="L10" s="272"/>
      <c r="M10" s="269"/>
      <c r="R10" s="8"/>
    </row>
    <row r="11" spans="1:18" x14ac:dyDescent="0.25">
      <c r="L11" s="272"/>
      <c r="M11" s="269"/>
    </row>
    <row r="12" spans="1:18" x14ac:dyDescent="0.25">
      <c r="L12" s="272"/>
      <c r="M12" s="269"/>
      <c r="R12" s="8"/>
    </row>
    <row r="13" spans="1:18" x14ac:dyDescent="0.25">
      <c r="L13" s="272"/>
      <c r="M13" s="269"/>
      <c r="R13" s="8"/>
    </row>
    <row r="14" spans="1:18" x14ac:dyDescent="0.25">
      <c r="L14" s="11"/>
      <c r="N14" s="11"/>
      <c r="R14" s="8"/>
    </row>
    <row r="15" spans="1:18" x14ac:dyDescent="0.25">
      <c r="N15" s="11"/>
      <c r="R15" s="8"/>
    </row>
    <row r="16" spans="1:18" x14ac:dyDescent="0.25">
      <c r="N16" s="273"/>
      <c r="P16" s="162"/>
      <c r="Q16" s="162"/>
      <c r="R16" s="156"/>
    </row>
    <row r="17" spans="1:18" x14ac:dyDescent="0.25">
      <c r="P17" s="162"/>
      <c r="Q17" s="162"/>
      <c r="R17" s="169"/>
    </row>
    <row r="20" spans="1:18" x14ac:dyDescent="0.25">
      <c r="A20" s="162"/>
    </row>
    <row r="21" spans="1:18" x14ac:dyDescent="0.25">
      <c r="A21" s="108" t="s">
        <v>201</v>
      </c>
      <c r="B21" s="266"/>
      <c r="C21" s="266"/>
      <c r="D21" s="266"/>
      <c r="E21" s="266"/>
      <c r="F21" s="266"/>
      <c r="G21" s="266"/>
      <c r="H21" s="266"/>
      <c r="I21" s="266"/>
      <c r="J21" s="266"/>
      <c r="K21" s="266"/>
      <c r="L21" s="266"/>
      <c r="M21" s="266"/>
      <c r="N21" s="266"/>
      <c r="O21" s="266"/>
      <c r="P21" s="266"/>
    </row>
    <row r="22" spans="1:18" x14ac:dyDescent="0.25"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R22" s="177"/>
    </row>
    <row r="23" spans="1:18" x14ac:dyDescent="0.25">
      <c r="B23" s="173"/>
      <c r="C23" s="274"/>
      <c r="D23" s="274"/>
      <c r="E23" s="173"/>
      <c r="F23" s="274"/>
      <c r="G23" s="173"/>
      <c r="H23" s="173"/>
      <c r="I23" s="173"/>
      <c r="J23" s="173"/>
      <c r="K23" s="173"/>
      <c r="L23" s="173"/>
      <c r="M23" s="173"/>
      <c r="N23" s="173"/>
      <c r="O23" s="173"/>
      <c r="P23" s="173"/>
    </row>
    <row r="24" spans="1:18" x14ac:dyDescent="0.25">
      <c r="B24" s="173"/>
      <c r="C24" s="274"/>
      <c r="D24" s="274"/>
      <c r="E24" s="274"/>
      <c r="F24" s="173"/>
      <c r="G24" s="274"/>
      <c r="H24" s="274"/>
      <c r="I24" s="173"/>
      <c r="J24" s="173"/>
      <c r="K24" s="173"/>
      <c r="L24" s="173"/>
      <c r="M24" s="173"/>
      <c r="N24" s="173"/>
      <c r="O24" s="173"/>
      <c r="P24" s="173"/>
      <c r="R24" s="86"/>
    </row>
    <row r="25" spans="1:18" x14ac:dyDescent="0.25">
      <c r="B25" s="173"/>
      <c r="C25" s="274"/>
      <c r="D25" s="275"/>
      <c r="E25" s="275"/>
      <c r="F25" s="275"/>
      <c r="G25" s="173"/>
      <c r="H25" s="173"/>
      <c r="I25" s="173"/>
      <c r="J25" s="173"/>
      <c r="K25" s="173"/>
      <c r="L25" s="146"/>
      <c r="M25" s="173"/>
      <c r="N25" s="173"/>
      <c r="O25" s="173"/>
      <c r="P25" s="173"/>
      <c r="R25" s="86"/>
    </row>
    <row r="26" spans="1:18" x14ac:dyDescent="0.25">
      <c r="B26" s="173"/>
      <c r="C26" s="276"/>
      <c r="D26" s="173"/>
      <c r="E26" s="173"/>
      <c r="F26" s="275"/>
      <c r="G26" s="275"/>
      <c r="H26" s="275"/>
      <c r="I26" s="173"/>
      <c r="J26" s="173"/>
      <c r="K26" s="173"/>
      <c r="L26" s="146"/>
      <c r="M26" s="269"/>
      <c r="N26" s="269"/>
      <c r="O26" s="269"/>
      <c r="P26" s="173"/>
      <c r="R26" s="86"/>
    </row>
    <row r="27" spans="1:18" x14ac:dyDescent="0.25">
      <c r="B27" s="173"/>
      <c r="C27" s="173"/>
      <c r="D27" s="173"/>
      <c r="E27" s="277"/>
      <c r="F27" s="278"/>
      <c r="G27" s="278"/>
      <c r="H27" s="278"/>
      <c r="I27" s="275"/>
      <c r="J27" s="173"/>
      <c r="K27" s="173"/>
      <c r="L27" s="277"/>
      <c r="M27" s="278"/>
      <c r="N27" s="278"/>
      <c r="O27" s="278"/>
      <c r="P27" s="173"/>
    </row>
    <row r="28" spans="1:18" x14ac:dyDescent="0.25">
      <c r="B28" s="173"/>
      <c r="C28" s="173"/>
      <c r="D28" s="173"/>
      <c r="E28" s="277"/>
      <c r="F28" s="278"/>
      <c r="G28" s="278"/>
      <c r="H28" s="278"/>
      <c r="I28" s="275"/>
      <c r="J28" s="173"/>
      <c r="K28" s="173"/>
      <c r="L28" s="277"/>
      <c r="M28" s="278"/>
      <c r="N28" s="278"/>
      <c r="O28" s="278"/>
      <c r="P28" s="173"/>
      <c r="R28" s="177"/>
    </row>
    <row r="29" spans="1:18" x14ac:dyDescent="0.25">
      <c r="B29" s="173"/>
      <c r="C29" s="173"/>
      <c r="D29" s="173"/>
      <c r="E29" s="277"/>
      <c r="F29" s="278"/>
      <c r="G29" s="278"/>
      <c r="H29" s="278"/>
      <c r="I29" s="275"/>
      <c r="J29" s="173"/>
      <c r="K29" s="173"/>
      <c r="L29" s="277"/>
      <c r="M29" s="278"/>
      <c r="N29" s="278"/>
      <c r="O29" s="278"/>
      <c r="P29" s="173"/>
    </row>
    <row r="30" spans="1:18" x14ac:dyDescent="0.25">
      <c r="B30" s="173"/>
      <c r="C30" s="275"/>
      <c r="D30" s="173"/>
      <c r="E30" s="277"/>
      <c r="F30" s="278"/>
      <c r="G30" s="278"/>
      <c r="H30" s="278"/>
      <c r="I30" s="275"/>
      <c r="J30" s="173"/>
      <c r="K30" s="173"/>
      <c r="L30" s="277"/>
      <c r="M30" s="278"/>
      <c r="N30" s="278"/>
      <c r="O30" s="278"/>
      <c r="P30" s="173"/>
      <c r="R30" s="86"/>
    </row>
    <row r="31" spans="1:18" x14ac:dyDescent="0.25">
      <c r="B31" s="173"/>
      <c r="C31" s="275"/>
      <c r="D31" s="173"/>
      <c r="E31" s="277"/>
      <c r="F31" s="278"/>
      <c r="G31" s="278"/>
      <c r="H31" s="278"/>
      <c r="I31" s="275"/>
      <c r="J31" s="173"/>
      <c r="K31" s="173"/>
      <c r="L31" s="277"/>
      <c r="M31" s="278"/>
      <c r="N31" s="278"/>
      <c r="O31" s="278"/>
      <c r="P31" s="173"/>
      <c r="R31" s="86"/>
    </row>
    <row r="32" spans="1:18" x14ac:dyDescent="0.25">
      <c r="B32" s="173"/>
      <c r="C32" s="279"/>
      <c r="D32" s="173"/>
      <c r="E32" s="280"/>
      <c r="F32" s="173"/>
      <c r="G32" s="173"/>
      <c r="H32" s="173"/>
      <c r="I32" s="173"/>
      <c r="J32" s="173"/>
      <c r="K32" s="173"/>
      <c r="P32" s="173"/>
      <c r="R32" s="86"/>
    </row>
    <row r="33" spans="1:18" x14ac:dyDescent="0.25">
      <c r="B33" s="173"/>
      <c r="C33" s="274"/>
      <c r="D33" s="173"/>
      <c r="E33" s="281"/>
      <c r="F33" s="274"/>
      <c r="G33" s="173"/>
      <c r="H33" s="173"/>
      <c r="I33" s="173"/>
      <c r="J33" s="173"/>
      <c r="K33" s="173"/>
      <c r="L33" s="275"/>
      <c r="M33" s="173"/>
      <c r="N33" s="173"/>
      <c r="O33" s="173"/>
      <c r="P33" s="173"/>
      <c r="R33" s="86"/>
    </row>
    <row r="34" spans="1:18" x14ac:dyDescent="0.25">
      <c r="B34" s="173"/>
      <c r="C34" s="173"/>
      <c r="D34" s="173"/>
      <c r="E34" s="175"/>
      <c r="F34" s="275"/>
      <c r="G34" s="275"/>
      <c r="H34" s="275"/>
      <c r="I34" s="173"/>
      <c r="J34" s="173"/>
      <c r="K34" s="173"/>
      <c r="L34" s="173"/>
      <c r="M34" s="275"/>
      <c r="N34" s="275"/>
      <c r="O34" s="275"/>
      <c r="P34" s="173"/>
    </row>
    <row r="35" spans="1:18" x14ac:dyDescent="0.25">
      <c r="B35" s="173"/>
      <c r="C35" s="275"/>
      <c r="D35" s="173"/>
      <c r="E35" s="277"/>
      <c r="F35" s="269"/>
      <c r="G35" s="269"/>
      <c r="H35" s="269"/>
      <c r="I35" s="275"/>
      <c r="J35" s="173"/>
      <c r="K35" s="173"/>
      <c r="L35" s="277"/>
      <c r="M35" s="269"/>
      <c r="N35" s="269"/>
      <c r="O35" s="269"/>
      <c r="P35" s="173"/>
    </row>
    <row r="36" spans="1:18" x14ac:dyDescent="0.25">
      <c r="A36" s="162"/>
      <c r="B36" s="173"/>
      <c r="C36" s="275"/>
      <c r="D36" s="173"/>
      <c r="E36" s="277"/>
      <c r="F36" s="269"/>
      <c r="G36" s="269"/>
      <c r="H36" s="269"/>
      <c r="I36" s="282"/>
      <c r="J36" s="275"/>
      <c r="K36" s="173"/>
      <c r="L36" s="277"/>
      <c r="M36" s="269"/>
      <c r="N36" s="269"/>
      <c r="O36" s="269"/>
      <c r="P36" s="173"/>
    </row>
    <row r="37" spans="1:18" x14ac:dyDescent="0.25">
      <c r="B37" s="173"/>
      <c r="C37" s="173"/>
      <c r="D37" s="173"/>
      <c r="E37" s="277"/>
      <c r="F37" s="269"/>
      <c r="G37" s="269"/>
      <c r="H37" s="269"/>
      <c r="I37" s="282"/>
      <c r="J37" s="173"/>
      <c r="K37" s="173"/>
      <c r="L37" s="277"/>
      <c r="M37" s="269"/>
      <c r="N37" s="269"/>
      <c r="O37" s="269"/>
      <c r="P37" s="173"/>
    </row>
    <row r="38" spans="1:18" x14ac:dyDescent="0.25">
      <c r="A38" s="174"/>
      <c r="B38" s="173"/>
      <c r="C38" s="275"/>
      <c r="D38" s="173"/>
      <c r="E38" s="277"/>
      <c r="F38" s="269"/>
      <c r="G38" s="269"/>
      <c r="H38" s="269"/>
      <c r="I38" s="282"/>
      <c r="J38" s="275"/>
      <c r="K38" s="173"/>
      <c r="L38" s="277"/>
      <c r="M38" s="269"/>
      <c r="N38" s="269"/>
      <c r="O38" s="269"/>
      <c r="P38" s="173"/>
    </row>
    <row r="39" spans="1:18" x14ac:dyDescent="0.25">
      <c r="B39" s="283"/>
      <c r="C39" s="282"/>
      <c r="D39" s="173"/>
      <c r="E39" s="277"/>
      <c r="F39" s="269"/>
      <c r="G39" s="269"/>
      <c r="H39" s="269"/>
      <c r="I39" s="282"/>
      <c r="J39" s="275"/>
      <c r="K39" s="173"/>
      <c r="L39" s="277"/>
      <c r="M39" s="269"/>
      <c r="N39" s="269"/>
      <c r="O39" s="269"/>
      <c r="P39" s="173"/>
    </row>
    <row r="41" spans="1:18" x14ac:dyDescent="0.25">
      <c r="A41" s="108" t="s">
        <v>202</v>
      </c>
      <c r="B41" s="266"/>
      <c r="C41" s="266"/>
      <c r="D41" s="266"/>
      <c r="E41" s="266"/>
      <c r="F41" s="266"/>
      <c r="G41" s="266"/>
      <c r="H41" s="266"/>
      <c r="I41" s="266"/>
      <c r="J41" s="266"/>
      <c r="K41" s="266"/>
      <c r="L41" s="266"/>
      <c r="M41" s="266"/>
      <c r="N41" s="266"/>
      <c r="O41" s="266"/>
      <c r="P41" s="266"/>
      <c r="Q41" s="49"/>
      <c r="R41" s="49"/>
    </row>
    <row r="42" spans="1:18" x14ac:dyDescent="0.25">
      <c r="E42" s="8"/>
      <c r="F42" s="263"/>
      <c r="G42" s="263"/>
      <c r="H42" s="263"/>
      <c r="I42" s="178"/>
      <c r="J42" s="178"/>
      <c r="K42" s="178"/>
      <c r="P42" s="86"/>
      <c r="Q42" s="179"/>
      <c r="R42" s="86"/>
    </row>
    <row r="43" spans="1:18" x14ac:dyDescent="0.25">
      <c r="E43" s="8"/>
      <c r="F43" s="263"/>
      <c r="G43" s="263"/>
      <c r="H43" s="263"/>
      <c r="I43" s="178"/>
      <c r="J43" s="178"/>
      <c r="K43" s="178"/>
      <c r="P43" s="86"/>
      <c r="Q43" s="179"/>
      <c r="R43" s="86"/>
    </row>
    <row r="44" spans="1:18" x14ac:dyDescent="0.25">
      <c r="D44" s="173"/>
      <c r="E44" s="8"/>
      <c r="F44" s="178"/>
      <c r="G44" s="178"/>
      <c r="H44" s="178"/>
      <c r="I44" s="178"/>
      <c r="J44" s="178"/>
      <c r="K44" s="178"/>
      <c r="P44" s="179"/>
      <c r="Q44" s="179"/>
      <c r="R44" s="179"/>
    </row>
    <row r="45" spans="1:18" x14ac:dyDescent="0.25">
      <c r="E45" s="8"/>
      <c r="F45" s="263"/>
      <c r="G45" s="263"/>
      <c r="H45" s="263"/>
      <c r="I45" s="178"/>
      <c r="J45" s="178"/>
      <c r="K45" s="178"/>
      <c r="P45" s="86"/>
      <c r="Q45" s="179"/>
      <c r="R45" s="86"/>
    </row>
    <row r="46" spans="1:18" x14ac:dyDescent="0.25">
      <c r="E46" s="8"/>
      <c r="F46" s="263"/>
      <c r="G46" s="263"/>
      <c r="H46" s="263"/>
      <c r="I46" s="178"/>
      <c r="J46" s="178"/>
      <c r="K46" s="178"/>
      <c r="P46" s="86"/>
      <c r="Q46" s="179"/>
      <c r="R46" s="86"/>
    </row>
    <row r="48" spans="1:18" x14ac:dyDescent="0.25">
      <c r="A48" s="174"/>
    </row>
    <row r="49" spans="2:18" x14ac:dyDescent="0.25">
      <c r="B49" s="180"/>
    </row>
    <row r="51" spans="2:18" x14ac:dyDescent="0.25">
      <c r="I51" s="173"/>
      <c r="J51" s="173"/>
      <c r="K51" s="173"/>
      <c r="Q51" s="173"/>
    </row>
    <row r="52" spans="2:18" x14ac:dyDescent="0.25">
      <c r="F52" s="86"/>
      <c r="G52" s="86"/>
      <c r="H52" s="86"/>
      <c r="I52" s="86"/>
      <c r="J52" s="86"/>
      <c r="K52" s="86"/>
      <c r="L52" s="86"/>
      <c r="P52" s="86"/>
      <c r="Q52" s="86"/>
      <c r="R52" s="86"/>
    </row>
    <row r="53" spans="2:18" x14ac:dyDescent="0.25">
      <c r="E53" s="8"/>
      <c r="F53" s="142"/>
      <c r="G53" s="142"/>
      <c r="H53" s="142"/>
      <c r="I53" s="181"/>
      <c r="J53" s="181"/>
      <c r="K53" s="181"/>
      <c r="L53" s="142"/>
      <c r="O53" s="49"/>
      <c r="P53" s="49"/>
      <c r="Q53" s="182"/>
      <c r="R53" s="49"/>
    </row>
    <row r="54" spans="2:18" x14ac:dyDescent="0.25">
      <c r="E54" s="8"/>
      <c r="F54" s="142"/>
      <c r="G54" s="142"/>
      <c r="H54" s="142"/>
      <c r="I54" s="181"/>
      <c r="J54" s="181"/>
      <c r="K54" s="181"/>
      <c r="L54" s="142"/>
      <c r="O54" s="49"/>
      <c r="P54" s="49"/>
      <c r="Q54" s="182"/>
      <c r="R54" s="49"/>
    </row>
    <row r="55" spans="2:18" x14ac:dyDescent="0.25">
      <c r="E55" s="8"/>
      <c r="F55" s="181"/>
      <c r="G55" s="181"/>
      <c r="H55" s="181"/>
      <c r="I55" s="181"/>
      <c r="J55" s="181"/>
      <c r="K55" s="181"/>
      <c r="L55" s="181"/>
      <c r="O55" s="49"/>
      <c r="P55" s="182"/>
      <c r="Q55" s="182"/>
      <c r="R55" s="182"/>
    </row>
    <row r="56" spans="2:18" x14ac:dyDescent="0.25">
      <c r="E56" s="8"/>
      <c r="F56" s="142"/>
      <c r="G56" s="142"/>
      <c r="H56" s="142"/>
      <c r="I56" s="181"/>
      <c r="J56" s="181"/>
      <c r="K56" s="181"/>
      <c r="L56" s="142"/>
      <c r="O56" s="49"/>
      <c r="P56" s="49"/>
      <c r="Q56" s="182"/>
      <c r="R56" s="49"/>
    </row>
    <row r="57" spans="2:18" x14ac:dyDescent="0.25">
      <c r="E57" s="8"/>
      <c r="F57" s="142"/>
      <c r="G57" s="142"/>
      <c r="H57" s="142"/>
      <c r="I57" s="181"/>
      <c r="J57" s="181"/>
      <c r="K57" s="181"/>
      <c r="L57" s="142"/>
      <c r="O57" s="49"/>
      <c r="P57" s="49"/>
      <c r="Q57" s="182"/>
      <c r="R57" s="49"/>
    </row>
    <row r="58" spans="2:18" x14ac:dyDescent="0.25">
      <c r="O58" s="4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9B163E-8FD9-4F0C-B1E1-F38F6A6548CE}">
  <ds:schemaRefs>
    <ds:schemaRef ds:uri="http://purl.org/dc/dcmitype/"/>
    <ds:schemaRef ds:uri="http://schemas.openxmlformats.org/package/2006/metadata/core-properties"/>
    <ds:schemaRef ds:uri="http://schemas.microsoft.com/office/2006/metadata/properties"/>
    <ds:schemaRef ds:uri="88a26cf8-717e-46a4-ac0d-03f11284dc6b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MAIN</vt:lpstr>
      <vt:lpstr>Assumptions</vt:lpstr>
      <vt:lpstr>Revenue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COMPS</vt:lpstr>
      <vt:lpstr>Presentation</vt:lpstr>
      <vt:lpstr>Ccy</vt:lpstr>
      <vt:lpstr>circ</vt:lpstr>
      <vt:lpstr>CoName</vt:lpstr>
      <vt:lpstr>g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2025-11-04T03:11:40Z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