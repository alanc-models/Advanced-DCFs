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0" documentId="8_{D89D7BEE-0C2E-4F86-9EA2-E0FADAD66EF1}" xr6:coauthVersionLast="47" xr6:coauthVersionMax="47" xr10:uidLastSave="{00000000-0000-0000-0000-000000000000}"/>
  <bookViews>
    <workbookView xWindow="-105" yWindow="0" windowWidth="19215" windowHeight="21705" tabRatio="808" xr2:uid="{00000000-000D-0000-FFFF-FFFF00000000}"/>
  </bookViews>
  <sheets>
    <sheet name="MAIN" sheetId="3" r:id="rId1"/>
    <sheet name="Assumptions" sheetId="13" r:id="rId2"/>
    <sheet name="Revenue" sheetId="32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32" l="1"/>
  <c r="S10" i="32" s="1"/>
  <c r="Q10" i="32"/>
  <c r="Q8" i="32"/>
  <c r="R8" i="32" s="1"/>
  <c r="S8" i="32" s="1"/>
  <c r="Q6" i="32"/>
  <c r="R6" i="32" s="1"/>
  <c r="S6" i="32" s="1"/>
  <c r="R4" i="32"/>
  <c r="S4" i="32"/>
  <c r="Q4" i="32"/>
  <c r="P16" i="12"/>
  <c r="I5" i="3" s="1"/>
  <c r="I6" i="3" s="1"/>
  <c r="N13" i="12"/>
  <c r="N12" i="12"/>
  <c r="N10" i="12"/>
  <c r="N9" i="12"/>
  <c r="N11" i="12"/>
  <c r="Q8" i="12"/>
  <c r="O8" i="12"/>
  <c r="K16" i="12"/>
  <c r="J5" i="3" s="1"/>
  <c r="J6" i="3" s="1"/>
  <c r="I13" i="12"/>
  <c r="I12" i="12"/>
  <c r="I9" i="12"/>
  <c r="I10" i="12"/>
  <c r="J8" i="12"/>
  <c r="L8" i="12"/>
  <c r="G17" i="12"/>
  <c r="G13" i="12"/>
  <c r="G14" i="12"/>
  <c r="G12" i="12"/>
  <c r="F13" i="13"/>
  <c r="C13" i="12"/>
  <c r="C12" i="12"/>
  <c r="E3" i="12"/>
  <c r="F3" i="12"/>
  <c r="G3" i="12"/>
  <c r="H3" i="12"/>
  <c r="D3" i="12"/>
  <c r="M3" i="12"/>
  <c r="E9" i="11"/>
  <c r="E10" i="11"/>
  <c r="J7" i="11"/>
  <c r="I7" i="11"/>
  <c r="I6" i="11"/>
  <c r="J6" i="11"/>
  <c r="J5" i="11"/>
  <c r="K5" i="11" s="1"/>
  <c r="I5" i="11"/>
  <c r="K4" i="11"/>
  <c r="I4" i="11"/>
  <c r="E4" i="11"/>
  <c r="G5" i="10"/>
  <c r="H5" i="10"/>
  <c r="I5" i="10"/>
  <c r="J5" i="10"/>
  <c r="F8" i="10"/>
  <c r="F5" i="10"/>
  <c r="G30" i="8"/>
  <c r="H30" i="8"/>
  <c r="I30" i="8"/>
  <c r="J30" i="8"/>
  <c r="G22" i="7"/>
  <c r="H22" i="7"/>
  <c r="I22" i="7"/>
  <c r="J22" i="7"/>
  <c r="G23" i="7"/>
  <c r="H23" i="7"/>
  <c r="I23" i="7"/>
  <c r="J23" i="7"/>
  <c r="G31" i="7"/>
  <c r="H31" i="7"/>
  <c r="I31" i="7"/>
  <c r="J31" i="7"/>
  <c r="G32" i="7"/>
  <c r="H32" i="7"/>
  <c r="I32" i="7"/>
  <c r="J32" i="7"/>
  <c r="G32" i="6"/>
  <c r="H32" i="6"/>
  <c r="I32" i="6"/>
  <c r="J32" i="6"/>
  <c r="G26" i="6"/>
  <c r="H26" i="6"/>
  <c r="H27" i="6" s="1"/>
  <c r="I26" i="6"/>
  <c r="I27" i="6" s="1"/>
  <c r="J26" i="6"/>
  <c r="J27" i="6" s="1"/>
  <c r="G27" i="6"/>
  <c r="G28" i="6"/>
  <c r="H28" i="6"/>
  <c r="I28" i="6"/>
  <c r="J28" i="6"/>
  <c r="G17" i="6"/>
  <c r="G20" i="6" s="1"/>
  <c r="G18" i="6"/>
  <c r="H18" i="6"/>
  <c r="I18" i="6"/>
  <c r="J18" i="6"/>
  <c r="G19" i="6"/>
  <c r="H19" i="6"/>
  <c r="I19" i="6"/>
  <c r="J19" i="6"/>
  <c r="G21" i="6"/>
  <c r="H21" i="6"/>
  <c r="I21" i="6"/>
  <c r="J21" i="6"/>
  <c r="F23" i="7"/>
  <c r="F22" i="7"/>
  <c r="F32" i="6"/>
  <c r="F28" i="6"/>
  <c r="F27" i="6"/>
  <c r="F26" i="6"/>
  <c r="F22" i="6"/>
  <c r="F21" i="6"/>
  <c r="F20" i="6"/>
  <c r="F19" i="6"/>
  <c r="F18" i="6"/>
  <c r="F17" i="6"/>
  <c r="E20" i="6"/>
  <c r="G15" i="5"/>
  <c r="H15" i="5"/>
  <c r="I15" i="5"/>
  <c r="J15" i="5"/>
  <c r="F20" i="9"/>
  <c r="E22" i="5"/>
  <c r="E21" i="5"/>
  <c r="E20" i="5"/>
  <c r="E19" i="5"/>
  <c r="E18" i="5"/>
  <c r="E16" i="5"/>
  <c r="F13" i="5" s="1"/>
  <c r="F30" i="8"/>
  <c r="F19" i="7"/>
  <c r="F5" i="9" s="1"/>
  <c r="F9" i="10" s="1"/>
  <c r="E9" i="5"/>
  <c r="F6" i="5" s="1"/>
  <c r="F32" i="7"/>
  <c r="F31" i="7"/>
  <c r="E43" i="13"/>
  <c r="D43" i="13"/>
  <c r="C43" i="13"/>
  <c r="E42" i="13"/>
  <c r="D42" i="13"/>
  <c r="C42" i="13"/>
  <c r="E41" i="13"/>
  <c r="D41" i="13"/>
  <c r="C41" i="13"/>
  <c r="E37" i="13"/>
  <c r="D37" i="13"/>
  <c r="C37" i="13"/>
  <c r="E36" i="13"/>
  <c r="F36" i="13" s="1"/>
  <c r="D36" i="13"/>
  <c r="C36" i="13"/>
  <c r="E16" i="13"/>
  <c r="D16" i="13"/>
  <c r="C16" i="13"/>
  <c r="E15" i="13"/>
  <c r="D15" i="13"/>
  <c r="C15" i="13"/>
  <c r="D14" i="13"/>
  <c r="E13" i="13"/>
  <c r="F7" i="7" s="1"/>
  <c r="D13" i="13"/>
  <c r="C13" i="13"/>
  <c r="E11" i="13"/>
  <c r="D11" i="13"/>
  <c r="C11" i="13"/>
  <c r="C10" i="13"/>
  <c r="D10" i="13"/>
  <c r="E10" i="13"/>
  <c r="D30" i="13"/>
  <c r="E30" i="13"/>
  <c r="F30" i="13" s="1"/>
  <c r="G30" i="13" s="1"/>
  <c r="H30" i="13" s="1"/>
  <c r="I30" i="13" s="1"/>
  <c r="J30" i="13" s="1"/>
  <c r="E29" i="13"/>
  <c r="F29" i="13" s="1"/>
  <c r="F3" i="5" s="1"/>
  <c r="C31" i="8"/>
  <c r="C27" i="8"/>
  <c r="C28" i="8" s="1"/>
  <c r="C26" i="8"/>
  <c r="D31" i="8"/>
  <c r="D32" i="8"/>
  <c r="E31" i="8"/>
  <c r="D26" i="8"/>
  <c r="D27" i="8" s="1"/>
  <c r="D28" i="8" s="1"/>
  <c r="E27" i="8"/>
  <c r="E26" i="8"/>
  <c r="E28" i="8" s="1"/>
  <c r="E13" i="8"/>
  <c r="E14" i="8" s="1"/>
  <c r="E22" i="13" s="1"/>
  <c r="F22" i="13" s="1"/>
  <c r="F6" i="6" s="1"/>
  <c r="D13" i="8"/>
  <c r="D14" i="8" s="1"/>
  <c r="D16" i="8" s="1"/>
  <c r="C13" i="8"/>
  <c r="C14" i="8" s="1"/>
  <c r="C15" i="7"/>
  <c r="C12" i="13" s="1"/>
  <c r="D15" i="7"/>
  <c r="D16" i="7" s="1"/>
  <c r="D25" i="7" s="1"/>
  <c r="D28" i="7" s="1"/>
  <c r="D33" i="7" s="1"/>
  <c r="E15" i="7"/>
  <c r="E12" i="13" s="1"/>
  <c r="G6" i="13"/>
  <c r="G8" i="13" s="1"/>
  <c r="K11" i="32"/>
  <c r="K12" i="32" s="1"/>
  <c r="L11" i="32"/>
  <c r="L12" i="32" s="1"/>
  <c r="M11" i="32"/>
  <c r="M12" i="32" s="1"/>
  <c r="M10" i="32"/>
  <c r="L10" i="32"/>
  <c r="K10" i="32"/>
  <c r="M8" i="32"/>
  <c r="N8" i="32" s="1"/>
  <c r="L8" i="32"/>
  <c r="K8" i="32"/>
  <c r="M6" i="32"/>
  <c r="L6" i="32"/>
  <c r="K6" i="32"/>
  <c r="M4" i="32"/>
  <c r="L4" i="32"/>
  <c r="K4" i="32"/>
  <c r="J9" i="32"/>
  <c r="I9" i="32" s="1"/>
  <c r="N9" i="32" s="1"/>
  <c r="O9" i="32" s="1"/>
  <c r="J7" i="32"/>
  <c r="J8" i="32" s="1"/>
  <c r="J5" i="32"/>
  <c r="I5" i="32" s="1"/>
  <c r="N5" i="32" s="1"/>
  <c r="O5" i="32" s="1"/>
  <c r="J3" i="32"/>
  <c r="I3" i="32" s="1"/>
  <c r="N3" i="32" s="1"/>
  <c r="O3" i="32" s="1"/>
  <c r="P3" i="32" s="1"/>
  <c r="Q3" i="32" s="1"/>
  <c r="E4" i="32"/>
  <c r="E6" i="32"/>
  <c r="E9" i="32"/>
  <c r="E10" i="32" s="1"/>
  <c r="D7" i="32"/>
  <c r="D8" i="32" s="1"/>
  <c r="E7" i="32"/>
  <c r="E8" i="32" s="1"/>
  <c r="D9" i="32"/>
  <c r="D4" i="32"/>
  <c r="D6" i="32"/>
  <c r="F11" i="32"/>
  <c r="G11" i="32"/>
  <c r="H11" i="32"/>
  <c r="C9" i="32"/>
  <c r="C11" i="32" s="1"/>
  <c r="C7" i="32"/>
  <c r="C5" i="32"/>
  <c r="E3" i="32"/>
  <c r="D3" i="32"/>
  <c r="D5" i="32"/>
  <c r="E5" i="32"/>
  <c r="C3" i="32"/>
  <c r="P2" i="32"/>
  <c r="Q2" i="32" s="1"/>
  <c r="R2" i="32" s="1"/>
  <c r="S2" i="32" s="1"/>
  <c r="A1" i="32"/>
  <c r="F8" i="3"/>
  <c r="F7" i="3"/>
  <c r="A1" i="10"/>
  <c r="D21" i="8"/>
  <c r="C21" i="8"/>
  <c r="E21" i="8"/>
  <c r="C32" i="8"/>
  <c r="E32" i="8"/>
  <c r="C10" i="5"/>
  <c r="C17" i="5" s="1"/>
  <c r="D2" i="5"/>
  <c r="E2" i="5" s="1"/>
  <c r="F6" i="3"/>
  <c r="J11" i="6"/>
  <c r="J30" i="6" s="1"/>
  <c r="I11" i="6"/>
  <c r="I30" i="6" s="1"/>
  <c r="H11" i="6"/>
  <c r="H16" i="6" s="1"/>
  <c r="H24" i="6" s="1"/>
  <c r="G11" i="6"/>
  <c r="G16" i="6" s="1"/>
  <c r="G24" i="6" s="1"/>
  <c r="F11" i="6"/>
  <c r="F30" i="6" s="1"/>
  <c r="E11" i="6"/>
  <c r="E16" i="6" s="1"/>
  <c r="E24" i="6" s="1"/>
  <c r="D11" i="6"/>
  <c r="D16" i="6" s="1"/>
  <c r="D24" i="6" s="1"/>
  <c r="C11" i="6"/>
  <c r="C30" i="6" s="1"/>
  <c r="F21" i="13"/>
  <c r="G21" i="13" s="1"/>
  <c r="F20" i="13"/>
  <c r="F4" i="6" s="1"/>
  <c r="D2" i="10"/>
  <c r="E2" i="10" s="1"/>
  <c r="F2" i="10" s="1"/>
  <c r="G2" i="10" s="1"/>
  <c r="H2" i="10" s="1"/>
  <c r="I2" i="10" s="1"/>
  <c r="J2" i="10" s="1"/>
  <c r="D2" i="9"/>
  <c r="E2" i="9"/>
  <c r="F2" i="9" s="1"/>
  <c r="G2" i="9" s="1"/>
  <c r="H2" i="9" s="1"/>
  <c r="I2" i="9" s="1"/>
  <c r="J2" i="9" s="1"/>
  <c r="J12" i="8"/>
  <c r="I12" i="8"/>
  <c r="H12" i="8"/>
  <c r="G12" i="8"/>
  <c r="F12" i="8"/>
  <c r="E12" i="8"/>
  <c r="D12" i="8"/>
  <c r="C12" i="8"/>
  <c r="J12" i="7"/>
  <c r="I12" i="7"/>
  <c r="H12" i="7"/>
  <c r="G12" i="7"/>
  <c r="F12" i="7"/>
  <c r="E12" i="7"/>
  <c r="D12" i="7"/>
  <c r="C12" i="7"/>
  <c r="F41" i="13"/>
  <c r="F8" i="8" s="1"/>
  <c r="A1" i="3"/>
  <c r="A1" i="13"/>
  <c r="A1" i="5"/>
  <c r="A1" i="6"/>
  <c r="A1" i="7"/>
  <c r="A1" i="8"/>
  <c r="A1" i="9"/>
  <c r="A1" i="11"/>
  <c r="A1" i="12"/>
  <c r="F8" i="6"/>
  <c r="F11" i="5"/>
  <c r="F15" i="5" s="1"/>
  <c r="F9" i="6"/>
  <c r="G9" i="6"/>
  <c r="H9" i="6"/>
  <c r="I9" i="6"/>
  <c r="J9" i="6"/>
  <c r="J8" i="6"/>
  <c r="I8" i="6"/>
  <c r="H8" i="6"/>
  <c r="G8" i="6"/>
  <c r="J11" i="5"/>
  <c r="I11" i="5"/>
  <c r="H11" i="5"/>
  <c r="E2" i="12"/>
  <c r="F2" i="12"/>
  <c r="G2" i="12"/>
  <c r="H2" i="12"/>
  <c r="G11" i="5"/>
  <c r="F19" i="8" l="1"/>
  <c r="K7" i="11"/>
  <c r="K6" i="11"/>
  <c r="G22" i="6"/>
  <c r="H17" i="6"/>
  <c r="H20" i="6" s="1"/>
  <c r="D35" i="13"/>
  <c r="E35" i="13"/>
  <c r="C35" i="13"/>
  <c r="G10" i="13"/>
  <c r="G4" i="7" s="1"/>
  <c r="C16" i="7"/>
  <c r="C25" i="7" s="1"/>
  <c r="D12" i="13"/>
  <c r="D34" i="7"/>
  <c r="C35" i="8"/>
  <c r="C16" i="8"/>
  <c r="D35" i="8"/>
  <c r="E16" i="8"/>
  <c r="E23" i="8" s="1"/>
  <c r="D20" i="7"/>
  <c r="G7" i="13"/>
  <c r="O6" i="32"/>
  <c r="P5" i="32"/>
  <c r="Q5" i="32" s="1"/>
  <c r="R5" i="32" s="1"/>
  <c r="S5" i="32" s="1"/>
  <c r="O10" i="32"/>
  <c r="P9" i="32"/>
  <c r="J6" i="32"/>
  <c r="J10" i="32"/>
  <c r="J4" i="32"/>
  <c r="I7" i="32"/>
  <c r="N7" i="32" s="1"/>
  <c r="R3" i="32"/>
  <c r="S3" i="32"/>
  <c r="O4" i="32"/>
  <c r="E11" i="32"/>
  <c r="D11" i="32"/>
  <c r="D12" i="32" s="1"/>
  <c r="D10" i="32"/>
  <c r="F9" i="3"/>
  <c r="G30" i="6"/>
  <c r="E30" i="6"/>
  <c r="F5" i="6"/>
  <c r="G5" i="6"/>
  <c r="H21" i="13"/>
  <c r="G22" i="13"/>
  <c r="G6" i="6" s="1"/>
  <c r="G41" i="13"/>
  <c r="G13" i="13"/>
  <c r="G20" i="13"/>
  <c r="G4" i="6" s="1"/>
  <c r="D10" i="5"/>
  <c r="D17" i="5" s="1"/>
  <c r="E10" i="5"/>
  <c r="E17" i="5" s="1"/>
  <c r="F2" i="5"/>
  <c r="F16" i="6"/>
  <c r="F24" i="6" s="1"/>
  <c r="D30" i="6"/>
  <c r="J16" i="6"/>
  <c r="J24" i="6" s="1"/>
  <c r="D23" i="8"/>
  <c r="C16" i="6"/>
  <c r="C24" i="6" s="1"/>
  <c r="I16" i="6"/>
  <c r="I24" i="6" s="1"/>
  <c r="H30" i="6"/>
  <c r="E35" i="8"/>
  <c r="C23" i="8"/>
  <c r="G29" i="13"/>
  <c r="F4" i="5"/>
  <c r="F5" i="8"/>
  <c r="G36" i="13"/>
  <c r="F35" i="13"/>
  <c r="F42" i="13"/>
  <c r="E16" i="7"/>
  <c r="E20" i="7" s="1"/>
  <c r="F37" i="13"/>
  <c r="F43" i="13"/>
  <c r="G19" i="8" l="1"/>
  <c r="H22" i="6"/>
  <c r="I17" i="6"/>
  <c r="I20" i="6" s="1"/>
  <c r="G4" i="5"/>
  <c r="H4" i="5" s="1"/>
  <c r="I4" i="5" s="1"/>
  <c r="J4" i="5" s="1"/>
  <c r="F8" i="5"/>
  <c r="C20" i="7"/>
  <c r="C28" i="7"/>
  <c r="C14" i="13"/>
  <c r="C37" i="8"/>
  <c r="D37" i="8"/>
  <c r="E37" i="8"/>
  <c r="O7" i="32"/>
  <c r="N11" i="32"/>
  <c r="E12" i="32"/>
  <c r="Q9" i="32"/>
  <c r="H22" i="13"/>
  <c r="I22" i="13" s="1"/>
  <c r="H5" i="6"/>
  <c r="I21" i="13"/>
  <c r="H20" i="13"/>
  <c r="H4" i="6" s="1"/>
  <c r="H13" i="13"/>
  <c r="G7" i="7"/>
  <c r="G19" i="7" s="1"/>
  <c r="G8" i="8"/>
  <c r="H41" i="13"/>
  <c r="G2" i="5"/>
  <c r="F10" i="5"/>
  <c r="F17" i="5" s="1"/>
  <c r="H29" i="13"/>
  <c r="G3" i="5"/>
  <c r="G35" i="13"/>
  <c r="H35" i="13" s="1"/>
  <c r="I35" i="13" s="1"/>
  <c r="J35" i="13" s="1"/>
  <c r="F4" i="8"/>
  <c r="F12" i="13"/>
  <c r="G12" i="13" s="1"/>
  <c r="F10" i="8"/>
  <c r="G43" i="13"/>
  <c r="G37" i="13"/>
  <c r="F6" i="8"/>
  <c r="F11" i="13"/>
  <c r="G11" i="13" s="1"/>
  <c r="E25" i="7"/>
  <c r="F9" i="8"/>
  <c r="G42" i="13"/>
  <c r="G5" i="8"/>
  <c r="H36" i="13"/>
  <c r="G5" i="9" l="1"/>
  <c r="G9" i="10" s="1"/>
  <c r="I22" i="6"/>
  <c r="J17" i="6"/>
  <c r="J20" i="6" s="1"/>
  <c r="J22" i="6" s="1"/>
  <c r="F18" i="7"/>
  <c r="E28" i="7"/>
  <c r="E14" i="13"/>
  <c r="F14" i="13" s="1"/>
  <c r="G14" i="13" s="1"/>
  <c r="C34" i="7"/>
  <c r="C33" i="7"/>
  <c r="E33" i="7"/>
  <c r="E34" i="7"/>
  <c r="I20" i="13"/>
  <c r="I4" i="6" s="1"/>
  <c r="R9" i="32"/>
  <c r="O8" i="32"/>
  <c r="P7" i="32"/>
  <c r="O11" i="32"/>
  <c r="H6" i="6"/>
  <c r="J21" i="13"/>
  <c r="I5" i="6"/>
  <c r="H8" i="8"/>
  <c r="I41" i="13"/>
  <c r="G5" i="7"/>
  <c r="H11" i="13"/>
  <c r="I13" i="13"/>
  <c r="H7" i="7"/>
  <c r="H19" i="7" s="1"/>
  <c r="H5" i="9" s="1"/>
  <c r="H9" i="10" s="1"/>
  <c r="H12" i="13"/>
  <c r="G6" i="7"/>
  <c r="H2" i="5"/>
  <c r="G10" i="5"/>
  <c r="G17" i="5" s="1"/>
  <c r="I29" i="13"/>
  <c r="H3" i="5"/>
  <c r="J22" i="13"/>
  <c r="I6" i="6"/>
  <c r="H42" i="13"/>
  <c r="G9" i="8"/>
  <c r="F5" i="7"/>
  <c r="H37" i="13"/>
  <c r="G6" i="8"/>
  <c r="H43" i="13"/>
  <c r="G10" i="8"/>
  <c r="I36" i="13"/>
  <c r="H5" i="8"/>
  <c r="F6" i="7"/>
  <c r="G4" i="8"/>
  <c r="H19" i="8" l="1"/>
  <c r="F4" i="9"/>
  <c r="G8" i="7"/>
  <c r="H14" i="13"/>
  <c r="J20" i="13"/>
  <c r="J4" i="6" s="1"/>
  <c r="Q7" i="32"/>
  <c r="P11" i="32"/>
  <c r="P12" i="32" s="1"/>
  <c r="S9" i="32"/>
  <c r="J5" i="6"/>
  <c r="I12" i="13"/>
  <c r="H6" i="7"/>
  <c r="J13" i="13"/>
  <c r="I7" i="7"/>
  <c r="I19" i="7" s="1"/>
  <c r="I5" i="9" s="1"/>
  <c r="I9" i="10" s="1"/>
  <c r="I11" i="13"/>
  <c r="H5" i="7"/>
  <c r="J41" i="13"/>
  <c r="I8" i="8"/>
  <c r="I2" i="5"/>
  <c r="H10" i="5"/>
  <c r="H17" i="5" s="1"/>
  <c r="I3" i="5"/>
  <c r="J29" i="13"/>
  <c r="J6" i="6"/>
  <c r="F15" i="13"/>
  <c r="G15" i="13" s="1"/>
  <c r="J36" i="13"/>
  <c r="I5" i="8"/>
  <c r="H10" i="8"/>
  <c r="I43" i="13"/>
  <c r="I37" i="13"/>
  <c r="H6" i="8"/>
  <c r="H4" i="8"/>
  <c r="L4" i="11"/>
  <c r="L5" i="11" s="1"/>
  <c r="L6" i="11" s="1"/>
  <c r="L7" i="11" s="1"/>
  <c r="I42" i="13"/>
  <c r="H9" i="8"/>
  <c r="I19" i="8" l="1"/>
  <c r="H8" i="7"/>
  <c r="I14" i="13"/>
  <c r="R7" i="32"/>
  <c r="Q11" i="32"/>
  <c r="Q12" i="32" s="1"/>
  <c r="H6" i="13" s="1"/>
  <c r="H15" i="13"/>
  <c r="G9" i="7"/>
  <c r="J8" i="8"/>
  <c r="J11" i="13"/>
  <c r="I5" i="7"/>
  <c r="J7" i="7"/>
  <c r="J19" i="7" s="1"/>
  <c r="I6" i="7"/>
  <c r="J12" i="13"/>
  <c r="J2" i="5"/>
  <c r="I10" i="5"/>
  <c r="I17" i="5" s="1"/>
  <c r="J3" i="5"/>
  <c r="I4" i="8"/>
  <c r="F16" i="13"/>
  <c r="G16" i="13" s="1"/>
  <c r="J37" i="13"/>
  <c r="I6" i="8"/>
  <c r="I10" i="8"/>
  <c r="J43" i="13"/>
  <c r="J5" i="8"/>
  <c r="J42" i="13"/>
  <c r="I9" i="8"/>
  <c r="F8" i="7"/>
  <c r="E12" i="11"/>
  <c r="F9" i="7"/>
  <c r="H7" i="13" l="1"/>
  <c r="H8" i="13"/>
  <c r="H10" i="13"/>
  <c r="H4" i="7" s="1"/>
  <c r="J19" i="8"/>
  <c r="J5" i="9"/>
  <c r="J9" i="10" s="1"/>
  <c r="J14" i="13"/>
  <c r="J8" i="7" s="1"/>
  <c r="I8" i="7"/>
  <c r="S7" i="32"/>
  <c r="S11" i="32" s="1"/>
  <c r="R11" i="32"/>
  <c r="R12" i="32" s="1"/>
  <c r="I6" i="13" s="1"/>
  <c r="G10" i="7"/>
  <c r="H16" i="13"/>
  <c r="J6" i="7"/>
  <c r="J5" i="7"/>
  <c r="I15" i="13"/>
  <c r="H9" i="7"/>
  <c r="J10" i="5"/>
  <c r="J17" i="5" s="1"/>
  <c r="J6" i="8"/>
  <c r="M4" i="11"/>
  <c r="J10" i="8"/>
  <c r="J9" i="8"/>
  <c r="F10" i="7"/>
  <c r="J4" i="8"/>
  <c r="I7" i="13" l="1"/>
  <c r="I8" i="13"/>
  <c r="I10" i="13"/>
  <c r="I4" i="7" s="1"/>
  <c r="S12" i="32"/>
  <c r="J6" i="13" s="1"/>
  <c r="H10" i="7"/>
  <c r="I16" i="13"/>
  <c r="J15" i="13"/>
  <c r="I9" i="7"/>
  <c r="M5" i="11"/>
  <c r="J7" i="13" l="1"/>
  <c r="J8" i="13"/>
  <c r="J10" i="13"/>
  <c r="J4" i="7" s="1"/>
  <c r="J9" i="7"/>
  <c r="J16" i="13"/>
  <c r="I10" i="7"/>
  <c r="M6" i="11"/>
  <c r="M7" i="11"/>
  <c r="J10" i="7" l="1"/>
  <c r="M9" i="11"/>
  <c r="M11" i="11" s="1"/>
  <c r="E7" i="11" s="1"/>
  <c r="E8" i="11" s="1"/>
  <c r="E13" i="11" s="1"/>
  <c r="I11" i="32" l="1"/>
  <c r="N12" i="32" s="1"/>
  <c r="J11" i="32"/>
  <c r="J12" i="32" l="1"/>
  <c r="O12" i="32"/>
  <c r="F6" i="13" s="1"/>
  <c r="F10" i="13" l="1"/>
  <c r="F4" i="7" s="1"/>
  <c r="F13" i="7" s="1"/>
  <c r="F8" i="13"/>
  <c r="F7" i="13"/>
  <c r="F31" i="8" l="1"/>
  <c r="F27" i="8"/>
  <c r="F21" i="5" s="1"/>
  <c r="F15" i="8"/>
  <c r="F19" i="5" s="1"/>
  <c r="F13" i="8"/>
  <c r="G13" i="7"/>
  <c r="F15" i="7"/>
  <c r="F20" i="8"/>
  <c r="F14" i="7"/>
  <c r="F26" i="8" s="1"/>
  <c r="F20" i="5" s="1"/>
  <c r="F3" i="10"/>
  <c r="F7" i="5"/>
  <c r="F7" i="9" l="1"/>
  <c r="F11" i="10" s="1"/>
  <c r="F11" i="9"/>
  <c r="F12" i="9" s="1"/>
  <c r="F13" i="10" s="1"/>
  <c r="F9" i="5"/>
  <c r="F16" i="7"/>
  <c r="F18" i="5"/>
  <c r="F22" i="5" s="1"/>
  <c r="G3" i="10"/>
  <c r="G15" i="8"/>
  <c r="G19" i="5" s="1"/>
  <c r="G31" i="8"/>
  <c r="G14" i="7"/>
  <c r="G26" i="8" s="1"/>
  <c r="G20" i="5" s="1"/>
  <c r="G7" i="5"/>
  <c r="G11" i="9" s="1"/>
  <c r="G12" i="9" s="1"/>
  <c r="G13" i="10" s="1"/>
  <c r="G27" i="8"/>
  <c r="G21" i="5" s="1"/>
  <c r="G15" i="7"/>
  <c r="G13" i="8"/>
  <c r="G20" i="8"/>
  <c r="G7" i="9" s="1"/>
  <c r="G11" i="10" s="1"/>
  <c r="H13" i="7"/>
  <c r="F8" i="9"/>
  <c r="F12" i="10" s="1"/>
  <c r="F32" i="8"/>
  <c r="G16" i="7" l="1"/>
  <c r="G18" i="5"/>
  <c r="G22" i="5" s="1"/>
  <c r="H3" i="10"/>
  <c r="H31" i="8"/>
  <c r="H15" i="8"/>
  <c r="H19" i="5" s="1"/>
  <c r="H7" i="5"/>
  <c r="H11" i="9" s="1"/>
  <c r="H12" i="9" s="1"/>
  <c r="H13" i="10" s="1"/>
  <c r="H13" i="8"/>
  <c r="H27" i="8"/>
  <c r="H21" i="5" s="1"/>
  <c r="H15" i="7"/>
  <c r="H14" i="7"/>
  <c r="H26" i="8" s="1"/>
  <c r="H20" i="5" s="1"/>
  <c r="H20" i="8"/>
  <c r="I13" i="7"/>
  <c r="G4" i="10"/>
  <c r="G7" i="10" s="1"/>
  <c r="G25" i="7"/>
  <c r="G32" i="8"/>
  <c r="G8" i="9"/>
  <c r="G12" i="10" s="1"/>
  <c r="F4" i="10"/>
  <c r="F7" i="10" s="1"/>
  <c r="F25" i="7"/>
  <c r="F27" i="7" s="1"/>
  <c r="F28" i="7" s="1"/>
  <c r="F20" i="7"/>
  <c r="H7" i="9"/>
  <c r="H11" i="10" s="1"/>
  <c r="F23" i="5"/>
  <c r="F6" i="9" s="1"/>
  <c r="F10" i="10" s="1"/>
  <c r="G23" i="5"/>
  <c r="G6" i="9" s="1"/>
  <c r="G10" i="10" s="1"/>
  <c r="F18" i="8"/>
  <c r="F21" i="8" s="1"/>
  <c r="G6" i="5"/>
  <c r="F14" i="5" l="1"/>
  <c r="F16" i="5" s="1"/>
  <c r="F33" i="7"/>
  <c r="F34" i="7"/>
  <c r="F3" i="9"/>
  <c r="F9" i="9" s="1"/>
  <c r="F18" i="9" s="1"/>
  <c r="F21" i="9" s="1"/>
  <c r="F22" i="9" s="1"/>
  <c r="F15" i="10"/>
  <c r="D4" i="12" s="1"/>
  <c r="I31" i="8"/>
  <c r="I3" i="10"/>
  <c r="I15" i="7"/>
  <c r="I15" i="8"/>
  <c r="I19" i="5" s="1"/>
  <c r="I20" i="8"/>
  <c r="I14" i="7"/>
  <c r="I26" i="8" s="1"/>
  <c r="I20" i="5" s="1"/>
  <c r="I7" i="5"/>
  <c r="I11" i="9" s="1"/>
  <c r="I12" i="9" s="1"/>
  <c r="I13" i="10" s="1"/>
  <c r="I27" i="8"/>
  <c r="I21" i="5" s="1"/>
  <c r="J13" i="7"/>
  <c r="I13" i="8"/>
  <c r="I7" i="9"/>
  <c r="I11" i="10" s="1"/>
  <c r="H16" i="7"/>
  <c r="G27" i="7"/>
  <c r="G28" i="7"/>
  <c r="H8" i="9"/>
  <c r="H12" i="10" s="1"/>
  <c r="H32" i="8"/>
  <c r="G8" i="5"/>
  <c r="G18" i="7" s="1"/>
  <c r="H18" i="5"/>
  <c r="H22" i="5" s="1"/>
  <c r="H23" i="5" s="1"/>
  <c r="H6" i="9" s="1"/>
  <c r="H10" i="10" s="1"/>
  <c r="I16" i="7" l="1"/>
  <c r="G9" i="5"/>
  <c r="G14" i="5"/>
  <c r="G33" i="7"/>
  <c r="G34" i="7"/>
  <c r="G3" i="9"/>
  <c r="H25" i="7"/>
  <c r="H27" i="7" s="1"/>
  <c r="H28" i="7" s="1"/>
  <c r="H4" i="10"/>
  <c r="H7" i="10" s="1"/>
  <c r="J31" i="8"/>
  <c r="J3" i="10"/>
  <c r="J14" i="7"/>
  <c r="J26" i="8" s="1"/>
  <c r="J20" i="5" s="1"/>
  <c r="J15" i="7"/>
  <c r="J27" i="8"/>
  <c r="J21" i="5" s="1"/>
  <c r="J15" i="8"/>
  <c r="J19" i="5" s="1"/>
  <c r="J13" i="8"/>
  <c r="J20" i="8"/>
  <c r="J7" i="9" s="1"/>
  <c r="J11" i="10" s="1"/>
  <c r="J7" i="5"/>
  <c r="J11" i="9" s="1"/>
  <c r="J12" i="9" s="1"/>
  <c r="J13" i="10" s="1"/>
  <c r="J16" i="7"/>
  <c r="G4" i="9"/>
  <c r="G8" i="10" s="1"/>
  <c r="G15" i="10" s="1"/>
  <c r="E4" i="12" s="1"/>
  <c r="G20" i="7"/>
  <c r="I25" i="7"/>
  <c r="I27" i="7" s="1"/>
  <c r="I28" i="7" s="1"/>
  <c r="I4" i="10"/>
  <c r="I7" i="10" s="1"/>
  <c r="I18" i="5"/>
  <c r="I22" i="5" s="1"/>
  <c r="I23" i="5" s="1"/>
  <c r="I6" i="9" s="1"/>
  <c r="I10" i="10" s="1"/>
  <c r="F14" i="8"/>
  <c r="F25" i="8"/>
  <c r="F28" i="8" s="1"/>
  <c r="I32" i="8"/>
  <c r="I8" i="9"/>
  <c r="I12" i="10" s="1"/>
  <c r="F34" i="8"/>
  <c r="G13" i="5"/>
  <c r="G16" i="5" s="1"/>
  <c r="F35" i="8" l="1"/>
  <c r="I3" i="9"/>
  <c r="I34" i="7"/>
  <c r="I14" i="5"/>
  <c r="I33" i="7"/>
  <c r="J32" i="8"/>
  <c r="J8" i="9"/>
  <c r="J12" i="10" s="1"/>
  <c r="J18" i="5"/>
  <c r="J22" i="5" s="1"/>
  <c r="J23" i="5" s="1"/>
  <c r="J6" i="9" s="1"/>
  <c r="J10" i="10" s="1"/>
  <c r="G9" i="9"/>
  <c r="G18" i="9" s="1"/>
  <c r="G21" i="9" s="1"/>
  <c r="F31" i="6"/>
  <c r="F33" i="6" s="1"/>
  <c r="G20" i="9"/>
  <c r="F16" i="8"/>
  <c r="F23" i="8" s="1"/>
  <c r="H3" i="9"/>
  <c r="H14" i="5"/>
  <c r="H33" i="7"/>
  <c r="H34" i="7"/>
  <c r="J4" i="10"/>
  <c r="J7" i="10" s="1"/>
  <c r="J25" i="7"/>
  <c r="J27" i="7" s="1"/>
  <c r="J28" i="7" s="1"/>
  <c r="H13" i="5"/>
  <c r="G34" i="8"/>
  <c r="H6" i="5"/>
  <c r="G18" i="8"/>
  <c r="G21" i="8" s="1"/>
  <c r="G22" i="9" l="1"/>
  <c r="H8" i="5"/>
  <c r="H18" i="7" s="1"/>
  <c r="G25" i="8"/>
  <c r="G28" i="8" s="1"/>
  <c r="G35" i="8" s="1"/>
  <c r="G14" i="8"/>
  <c r="J3" i="9"/>
  <c r="J14" i="5"/>
  <c r="J34" i="7"/>
  <c r="J33" i="7"/>
  <c r="H16" i="5"/>
  <c r="F37" i="8"/>
  <c r="I13" i="5" l="1"/>
  <c r="I16" i="5" s="1"/>
  <c r="H34" i="8"/>
  <c r="H9" i="5"/>
  <c r="G31" i="6"/>
  <c r="G33" i="6" s="1"/>
  <c r="H20" i="9"/>
  <c r="G16" i="8"/>
  <c r="G23" i="8" s="1"/>
  <c r="G37" i="8" s="1"/>
  <c r="H4" i="9"/>
  <c r="H20" i="7"/>
  <c r="H8" i="10" l="1"/>
  <c r="H15" i="10" s="1"/>
  <c r="F4" i="12" s="1"/>
  <c r="H9" i="9"/>
  <c r="H18" i="9" s="1"/>
  <c r="H21" i="9" s="1"/>
  <c r="H22" i="9" s="1"/>
  <c r="I6" i="5"/>
  <c r="H18" i="8"/>
  <c r="H21" i="8" s="1"/>
  <c r="I34" i="8"/>
  <c r="J13" i="5"/>
  <c r="J16" i="5" s="1"/>
  <c r="J34" i="8" s="1"/>
  <c r="H14" i="8" l="1"/>
  <c r="H25" i="8"/>
  <c r="H28" i="8" s="1"/>
  <c r="H35" i="8" s="1"/>
  <c r="I8" i="5"/>
  <c r="I18" i="7" s="1"/>
  <c r="I9" i="5" l="1"/>
  <c r="I18" i="8"/>
  <c r="I21" i="8" s="1"/>
  <c r="J6" i="5"/>
  <c r="I4" i="9"/>
  <c r="I20" i="7"/>
  <c r="I20" i="9"/>
  <c r="H31" i="6"/>
  <c r="H33" i="6" s="1"/>
  <c r="H16" i="8"/>
  <c r="H23" i="8" s="1"/>
  <c r="H37" i="8" s="1"/>
  <c r="I8" i="10" l="1"/>
  <c r="I15" i="10" s="1"/>
  <c r="G4" i="12" s="1"/>
  <c r="I9" i="9"/>
  <c r="I18" i="9" s="1"/>
  <c r="I21" i="9" s="1"/>
  <c r="I22" i="9" s="1"/>
  <c r="J8" i="5"/>
  <c r="J18" i="7" s="1"/>
  <c r="J9" i="5" l="1"/>
  <c r="J18" i="8" s="1"/>
  <c r="J21" i="8" s="1"/>
  <c r="I25" i="8"/>
  <c r="I28" i="8" s="1"/>
  <c r="I35" i="8" s="1"/>
  <c r="I14" i="8"/>
  <c r="J4" i="9"/>
  <c r="J20" i="7"/>
  <c r="G8" i="12" s="1"/>
  <c r="J8" i="10" l="1"/>
  <c r="J15" i="10" s="1"/>
  <c r="H4" i="12" s="1"/>
  <c r="J9" i="9"/>
  <c r="J18" i="9" s="1"/>
  <c r="J21" i="9" s="1"/>
  <c r="J20" i="9"/>
  <c r="I31" i="6"/>
  <c r="I33" i="6" s="1"/>
  <c r="I16" i="8"/>
  <c r="I23" i="8" s="1"/>
  <c r="I37" i="8" s="1"/>
  <c r="J22" i="9" l="1"/>
  <c r="J14" i="8" s="1"/>
  <c r="J25" i="8"/>
  <c r="J28" i="8" s="1"/>
  <c r="J35" i="8" s="1"/>
  <c r="H5" i="12"/>
  <c r="C8" i="12" s="1"/>
  <c r="C7" i="12"/>
  <c r="G7" i="12" l="1"/>
  <c r="G9" i="12" s="1"/>
  <c r="G15" i="12" s="1"/>
  <c r="G18" i="12" s="1"/>
  <c r="N8" i="12" s="1"/>
  <c r="C9" i="12"/>
  <c r="C15" i="12" s="1"/>
  <c r="C18" i="12" s="1"/>
  <c r="I8" i="12" s="1"/>
  <c r="J31" i="6"/>
  <c r="J33" i="6" s="1"/>
  <c r="J16" i="8"/>
  <c r="J23" i="8" s="1"/>
  <c r="J37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<sst xmlns="http://schemas.openxmlformats.org/spreadsheetml/2006/main" count="353" uniqueCount="209">
  <si>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</si>
  <si>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</si>
  <si>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</si>
  <si>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</si>
  <si>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</si>
  <si>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</si>
  <si>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</si>
  <si>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</si>
  <si>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</si>
  <si>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</si>
  <si>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</si>
  <si>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</si>
  <si>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</si>
  <si>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</si>
  <si>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</si>
  <si>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</si>
  <si>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</si>
  <si>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</si>
  <si>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</si>
  <si>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</si>
  <si>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</si>
  <si>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</si>
  <si>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</si>
  <si>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</si>
  <si>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</si>
  <si>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</si>
  <si>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</si>
  <si>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</si>
  <si>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</si>
  <si>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</si>
  <si>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</si>
  <si>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</si>
  <si>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</si>
  <si>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</si>
  <si>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</si>
  <si>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</si>
  <si>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</si>
  <si>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</si>
  <si>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</si>
  <si>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</si>
  <si>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</si>
  <si>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</si>
  <si>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</si>
  <si>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</si>
  <si>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</si>
  <si>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</si>
  <si>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</si>
  <si>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</si>
  <si>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</si>
  <si>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</si>
  <si>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</si>
  <si>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</si>
  <si>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</si>
  <si>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</si>
  <si>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Tax expense</t>
  </si>
  <si>
    <t xml:space="preserve"> Net income</t>
  </si>
  <si>
    <t>Shareholder information</t>
  </si>
  <si>
    <t>Basic earnings per share</t>
  </si>
  <si>
    <t>Diluted earnings per share</t>
  </si>
  <si>
    <t>Balance sheet</t>
  </si>
  <si>
    <t>Other current assets % of sales</t>
  </si>
  <si>
    <t>Other long-term assets % of sales</t>
  </si>
  <si>
    <t>Other current liabilities % of sales</t>
  </si>
  <si>
    <t>Other long-term liabilities % of sales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</si>
  <si>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</si>
  <si>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</si>
  <si>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</si>
  <si>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</si>
  <si>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</si>
  <si>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</si>
  <si>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</si>
  <si>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</si>
  <si>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</si>
  <si>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</si>
  <si>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</si>
  <si>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</si>
  <si>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</si>
  <si>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</si>
  <si>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</si>
  <si>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</si>
  <si>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</si>
  <si>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</si>
  <si>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</si>
  <si>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</si>
  <si>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</si>
  <si>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</si>
  <si>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</si>
  <si>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</si>
  <si>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</si>
  <si>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</si>
  <si>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</si>
  <si>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</si>
  <si>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</si>
  <si>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</si>
  <si>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</si>
  <si>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</si>
  <si>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</si>
  <si>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</si>
  <si>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</si>
  <si>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</si>
  <si>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</si>
  <si>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</si>
  <si>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</si>
  <si>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</si>
  <si>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</si>
  <si>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</si>
  <si>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</si>
  <si>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</si>
  <si>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</si>
  <si>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</si>
  <si>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</si>
  <si>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</si>
  <si>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</si>
  <si>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</si>
  <si>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</si>
  <si>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</si>
  <si>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</si>
  <si>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</si>
  <si>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</si>
  <si>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</si>
  <si>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</si>
  <si>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</si>
  <si>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</si>
  <si>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</si>
  <si>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</si>
  <si>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</si>
  <si>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</si>
  <si>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</si>
  <si>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</si>
  <si>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</si>
  <si>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Interest rate on Revolver</t>
  </si>
  <si>
    <t>Operating Cash % of sales</t>
  </si>
  <si>
    <t>Calcs</t>
  </si>
  <si>
    <t>CapEx % of Sales</t>
  </si>
  <si>
    <t>Share issuance / (repurchases)</t>
  </si>
  <si>
    <t>Debt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</si>
  <si>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</si>
  <si>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</si>
  <si>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</si>
  <si>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</si>
  <si>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</si>
  <si>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</si>
  <si>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</si>
  <si>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</si>
  <si>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</si>
  <si>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</si>
  <si>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</si>
  <si>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</si>
  <si>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</si>
  <si>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</si>
  <si>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</si>
  <si>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</si>
  <si>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</si>
  <si>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</si>
  <si>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</si>
  <si>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</si>
  <si>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</si>
  <si>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</si>
  <si>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</si>
  <si>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</si>
  <si>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</si>
  <si>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DCF tables</t>
  </si>
  <si>
    <t>Cash</t>
  </si>
  <si>
    <t>Implied Price</t>
  </si>
  <si>
    <t>Difference</t>
  </si>
  <si>
    <t>Cost of debt</t>
  </si>
  <si>
    <t>Average</t>
  </si>
  <si>
    <t>Perpetuity</t>
  </si>
  <si>
    <t>Terminal Mult</t>
  </si>
  <si>
    <t>Model Details</t>
  </si>
  <si>
    <t>Scenario</t>
  </si>
  <si>
    <t>S/O</t>
  </si>
  <si>
    <t>Q325</t>
  </si>
  <si>
    <t>Netflix Inc.</t>
  </si>
  <si>
    <t>Revenues</t>
  </si>
  <si>
    <t>United States &amp; Canada</t>
  </si>
  <si>
    <t>y/y</t>
  </si>
  <si>
    <t>Europe, Middle East, Africa</t>
  </si>
  <si>
    <t>LATAM</t>
  </si>
  <si>
    <t>Asia-Pacific</t>
  </si>
  <si>
    <t>Q124</t>
  </si>
  <si>
    <t>Q224</t>
  </si>
  <si>
    <t>Q324</t>
  </si>
  <si>
    <t>Q424</t>
  </si>
  <si>
    <t>Q125</t>
  </si>
  <si>
    <t>Q225</t>
  </si>
  <si>
    <t>Q425</t>
  </si>
  <si>
    <t>TOTAL REVENUES</t>
  </si>
  <si>
    <t>(inc) / dec In OWC</t>
  </si>
  <si>
    <t>(inc) / dec LT assets</t>
  </si>
  <si>
    <t>inc / (dec) LT liabilities</t>
  </si>
  <si>
    <t>Cash Flow From Operations</t>
  </si>
  <si>
    <t>Cash Flow From Investing</t>
  </si>
  <si>
    <t>Shares Issued / (repurchased)</t>
  </si>
  <si>
    <t>Debt Issuance / (repayment)</t>
  </si>
  <si>
    <t>Cash Flor From Financing</t>
  </si>
  <si>
    <t>Net Changes In cash</t>
  </si>
  <si>
    <t>Beginning cash</t>
  </si>
  <si>
    <t>Changes</t>
  </si>
  <si>
    <t>Ending cash Adjusted for Revolver</t>
  </si>
  <si>
    <t>NO REVOLVER</t>
  </si>
  <si>
    <t>DIS</t>
  </si>
  <si>
    <t>PARA</t>
  </si>
  <si>
    <t>WBD</t>
  </si>
  <si>
    <t>CMCSA</t>
  </si>
  <si>
    <t>PV FCF</t>
  </si>
  <si>
    <t>Discount Factor</t>
  </si>
  <si>
    <t>LTGR</t>
  </si>
  <si>
    <t>Exit Mult.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</si>
</sst>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3" formatCode="[$$-409]#,##0.00_);\([$$-409]#,##0.00\)"/>
    <numFmt numFmtId="184" formatCode="&quot;$&quot;#,##0.00"/>
  </numFmts>
  <fonts count="6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2" fillId="41" borderId="0"/>
    <xf numFmtId="0" fontId="63" fillId="41" borderId="22">
      <alignment horizontal="right"/>
    </xf>
  </cellStyleXfs>
  <cellXfs count="292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45" fillId="0" borderId="14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69" fontId="39" fillId="0" borderId="18" xfId="4" applyFont="1" applyFill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75" fontId="33" fillId="34" borderId="0" xfId="0" applyNumberFormat="1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5" fillId="33" borderId="1" xfId="3" applyNumberFormat="1" applyFont="1"/>
    <xf numFmtId="167" fontId="55" fillId="33" borderId="1" xfId="3" applyNumberFormat="1" applyFont="1"/>
    <xf numFmtId="169" fontId="55" fillId="33" borderId="14" xfId="3" applyNumberFormat="1" applyFont="1" applyBorder="1"/>
    <xf numFmtId="169" fontId="55" fillId="0" borderId="15" xfId="3" applyNumberFormat="1" applyFont="1" applyFill="1" applyBorder="1"/>
    <xf numFmtId="173" fontId="30" fillId="36" borderId="14" xfId="0" applyNumberFormat="1" applyFont="1" applyFill="1" applyBorder="1"/>
    <xf numFmtId="177" fontId="55" fillId="33" borderId="1" xfId="3" applyNumberFormat="1" applyFont="1"/>
    <xf numFmtId="167" fontId="33" fillId="35" borderId="0" xfId="0" applyFont="1" applyFill="1"/>
    <xf numFmtId="175" fontId="33" fillId="35" borderId="0" xfId="0" applyNumberFormat="1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75" fontId="33" fillId="35" borderId="0" xfId="0" applyNumberFormat="1" applyFont="1" applyFill="1" applyAlignment="1">
      <alignment horizontal="right"/>
    </xf>
    <xf numFmtId="167" fontId="33" fillId="34" borderId="17" xfId="0" applyFont="1" applyFill="1" applyBorder="1"/>
    <xf numFmtId="175" fontId="57" fillId="35" borderId="0" xfId="0" applyNumberFormat="1" applyFont="1" applyFill="1"/>
    <xf numFmtId="175" fontId="58" fillId="35" borderId="0" xfId="3" applyNumberFormat="1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59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5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66" fontId="39" fillId="35" borderId="0" xfId="59" applyFont="1" applyFill="1" applyProtection="1"/>
    <xf numFmtId="172" fontId="37" fillId="35" borderId="0" xfId="3" applyNumberFormat="1" applyFont="1" applyFill="1" applyBorder="1" applyProtection="1"/>
    <xf numFmtId="166" fontId="33" fillId="35" borderId="0" xfId="59" applyFont="1" applyFill="1" applyProtection="1"/>
    <xf numFmtId="175" fontId="33" fillId="34" borderId="0" xfId="52" applyNumberFormat="1" applyFont="1" applyFill="1" applyBorder="1" applyAlignment="1">
      <alignment horizontal="right" vertical="center"/>
    </xf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5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67" fontId="39" fillId="35" borderId="15" xfId="0" applyFont="1" applyFill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67" fontId="39" fillId="0" borderId="14" xfId="4" applyNumberFormat="1" applyFont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5" fillId="0" borderId="0" xfId="3" applyNumberFormat="1" applyFont="1" applyFill="1" applyBorder="1"/>
    <xf numFmtId="169" fontId="39" fillId="0" borderId="0" xfId="4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6" fillId="33" borderId="1" xfId="3" applyNumberFormat="1" applyFont="1"/>
    <xf numFmtId="177" fontId="66" fillId="33" borderId="1" xfId="3" applyNumberFormat="1" applyFont="1"/>
    <xf numFmtId="167" fontId="66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166" fontId="38" fillId="0" borderId="0" xfId="57" applyFont="1" applyFill="1" applyBorder="1"/>
    <xf numFmtId="0" fontId="33" fillId="34" borderId="0" xfId="52" applyNumberFormat="1" applyFont="1" applyFill="1" applyBorder="1" applyAlignment="1">
      <alignment horizontal="right" vertical="center"/>
    </xf>
    <xf numFmtId="179" fontId="39" fillId="0" borderId="0" xfId="4" applyNumberFormat="1" applyFont="1" applyBorder="1"/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67" fontId="55" fillId="0" borderId="0" xfId="3" applyNumberFormat="1" applyFont="1" applyFill="1" applyBorder="1"/>
    <xf numFmtId="175" fontId="58" fillId="0" borderId="0" xfId="3" applyNumberFormat="1" applyFont="1" applyFill="1" applyBorder="1"/>
    <xf numFmtId="0" fontId="58" fillId="0" borderId="0" xfId="3" applyNumberFormat="1" applyFont="1" applyFill="1" applyBorder="1"/>
    <xf numFmtId="177" fontId="55" fillId="0" borderId="0" xfId="3" applyNumberFormat="1" applyFont="1" applyFill="1" applyBorder="1"/>
    <xf numFmtId="173" fontId="55" fillId="0" borderId="0" xfId="0" applyNumberFormat="1" applyFont="1"/>
    <xf numFmtId="167" fontId="56" fillId="0" borderId="0" xfId="0" applyFont="1"/>
    <xf numFmtId="173" fontId="55" fillId="40" borderId="1" xfId="0" applyNumberFormat="1" applyFont="1" applyFill="1" applyBorder="1"/>
    <xf numFmtId="0" fontId="33" fillId="0" borderId="0" xfId="0" applyNumberFormat="1" applyFont="1"/>
    <xf numFmtId="167" fontId="50" fillId="0" borderId="0" xfId="0" applyFont="1"/>
    <xf numFmtId="167" fontId="30" fillId="0" borderId="0" xfId="0" applyFont="1"/>
    <xf numFmtId="0" fontId="33" fillId="0" borderId="0" xfId="52" applyNumberFormat="1" applyFont="1" applyFill="1" applyBorder="1" applyAlignment="1">
      <alignment horizontal="right" vertical="center"/>
    </xf>
    <xf numFmtId="166" fontId="1" fillId="0" borderId="0" xfId="57" applyFont="1" applyFill="1" applyBorder="1"/>
    <xf numFmtId="169" fontId="66" fillId="0" borderId="0" xfId="3" applyNumberFormat="1" applyFont="1" applyFill="1" applyBorder="1"/>
    <xf numFmtId="177" fontId="66" fillId="0" borderId="0" xfId="3" applyNumberFormat="1" applyFont="1" applyFill="1" applyBorder="1"/>
    <xf numFmtId="167" fontId="66" fillId="0" borderId="0" xfId="3" applyNumberFormat="1" applyFont="1" applyFill="1" applyBorder="1"/>
    <xf numFmtId="174" fontId="45" fillId="0" borderId="0" xfId="0" applyNumberFormat="1" applyFont="1"/>
    <xf numFmtId="0" fontId="33" fillId="0" borderId="0" xfId="0" applyNumberFormat="1" applyFont="1" applyAlignment="1">
      <alignment horizontal="right"/>
    </xf>
    <xf numFmtId="179" fontId="39" fillId="0" borderId="0" xfId="4" applyNumberFormat="1" applyFont="1" applyFill="1" applyBorder="1"/>
    <xf numFmtId="167" fontId="39" fillId="0" borderId="0" xfId="4" applyNumberFormat="1" applyFont="1" applyFill="1" applyBorder="1"/>
    <xf numFmtId="166" fontId="59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5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3" fontId="37" fillId="33" borderId="1" xfId="3" applyNumberFormat="1" applyFont="1" applyAlignment="1">
      <alignment horizontal="center"/>
    </xf>
    <xf numFmtId="180" fontId="45" fillId="0" borderId="0" xfId="0" applyNumberFormat="1" applyFont="1" applyAlignment="1">
      <alignment horizontal="center"/>
    </xf>
    <xf numFmtId="10" fontId="67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4" fontId="64" fillId="33" borderId="14" xfId="3" applyNumberFormat="1" applyFont="1" applyBorder="1" applyAlignment="1">
      <alignment horizontal="center"/>
    </xf>
    <xf numFmtId="184" fontId="64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Continuous"/>
    </xf>
    <xf numFmtId="166" fontId="39" fillId="0" borderId="0" xfId="59" applyFont="1" applyAlignment="1" applyProtection="1">
      <alignment horizontal="center"/>
    </xf>
    <xf numFmtId="10" fontId="33" fillId="0" borderId="0" xfId="0" applyNumberFormat="1" applyFont="1"/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9" fontId="39" fillId="0" borderId="0" xfId="59" applyNumberFormat="1" applyFont="1" applyAlignment="1" applyProtection="1">
      <alignment horizontal="right"/>
    </xf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0" fontId="39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75" fontId="33" fillId="35" borderId="0" xfId="4" applyNumberFormat="1" applyFont="1" applyFill="1"/>
    <xf numFmtId="167" fontId="68" fillId="0" borderId="0" xfId="0" applyFont="1"/>
    <xf numFmtId="167" fontId="56" fillId="40" borderId="1" xfId="0" applyFont="1" applyFill="1" applyBorder="1"/>
    <xf numFmtId="169" fontId="55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7" fillId="0" borderId="0" xfId="0" applyNumberFormat="1" applyFont="1"/>
    <xf numFmtId="166" fontId="33" fillId="34" borderId="0" xfId="54" applyNumberFormat="1" applyFont="1" applyFill="1" applyBorder="1"/>
    <xf numFmtId="178" fontId="33" fillId="42" borderId="0" xfId="0" applyNumberFormat="1" applyFont="1" applyFill="1"/>
    <xf numFmtId="167" fontId="33" fillId="0" borderId="0" xfId="0" applyFont="1" applyFill="1"/>
    <xf numFmtId="178" fontId="33" fillId="42" borderId="0" xfId="0" applyNumberFormat="1" applyFont="1" applyFill="1" applyAlignment="1">
      <alignment horizontal="right"/>
    </xf>
    <xf numFmtId="178" fontId="33" fillId="0" borderId="0" xfId="0" applyNumberFormat="1" applyFont="1" applyFill="1"/>
    <xf numFmtId="167" fontId="45" fillId="0" borderId="21" xfId="0" applyFont="1" applyBorder="1"/>
    <xf numFmtId="167" fontId="39" fillId="0" borderId="0" xfId="0" applyFont="1" applyBorder="1"/>
    <xf numFmtId="167" fontId="39" fillId="0" borderId="23" xfId="0" applyFont="1" applyBorder="1"/>
    <xf numFmtId="173" fontId="40" fillId="0" borderId="21" xfId="0" applyNumberFormat="1" applyFont="1" applyBorder="1"/>
    <xf numFmtId="173" fontId="40" fillId="0" borderId="23" xfId="0" applyNumberFormat="1" applyFont="1" applyBorder="1"/>
    <xf numFmtId="173" fontId="66" fillId="43" borderId="0" xfId="0" applyNumberFormat="1" applyFont="1" applyFill="1" applyBorder="1"/>
    <xf numFmtId="173" fontId="40" fillId="0" borderId="17" xfId="0" applyNumberFormat="1" applyFont="1" applyBorder="1"/>
    <xf numFmtId="173" fontId="40" fillId="0" borderId="0" xfId="0" applyNumberFormat="1" applyFont="1" applyBorder="1"/>
    <xf numFmtId="39" fontId="38" fillId="0" borderId="17" xfId="57" applyNumberFormat="1" applyFont="1" applyBorder="1"/>
    <xf numFmtId="39" fontId="38" fillId="0" borderId="24" xfId="57" applyNumberFormat="1" applyFont="1" applyBorder="1"/>
    <xf numFmtId="179" fontId="37" fillId="0" borderId="0" xfId="0" applyNumberFormat="1" applyFont="1" applyBorder="1"/>
    <xf numFmtId="167" fontId="37" fillId="0" borderId="0" xfId="0" applyFont="1" applyBorder="1"/>
    <xf numFmtId="167" fontId="39" fillId="0" borderId="0" xfId="0" applyFont="1" applyFill="1"/>
    <xf numFmtId="180" fontId="39" fillId="0" borderId="0" xfId="0" applyNumberFormat="1" applyFont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44546A"/>
      <color rgb="FFEA4335"/>
      <color rgb="FF5F6368"/>
      <color rgb="FF34A853"/>
      <color rgb="FF4472C4"/>
      <color rgb="FFFBBC05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abSelected="1" zoomScaleNormal="100" workbookViewId="0">
      <selection activeCell="I5" sqref="I5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0" width="15.7109375" style="4" customWidth="1"/>
    <col min="11" max="11" width="17.42578125" style="4" bestFit="1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50" customFormat="1" ht="19.5" x14ac:dyDescent="0.3">
      <c r="A1" s="266" t="str">
        <f>CoName</f>
        <v>Netflix Inc.</v>
      </c>
      <c r="B1" s="2"/>
      <c r="C1" s="2"/>
      <c r="D1" s="159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</row>
    <row r="2" spans="1:15" s="15" customFormat="1" x14ac:dyDescent="0.25">
      <c r="A2" s="66" t="s">
        <v>169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4" spans="1:15" x14ac:dyDescent="0.25">
      <c r="B4" s="4" t="s">
        <v>3</v>
      </c>
      <c r="C4" s="52" t="s">
        <v>173</v>
      </c>
      <c r="E4" s="4" t="s">
        <v>156</v>
      </c>
      <c r="F4" s="230">
        <v>1104.5</v>
      </c>
      <c r="H4" s="177" t="s">
        <v>170</v>
      </c>
      <c r="I4" s="176" t="s">
        <v>168</v>
      </c>
      <c r="J4" s="176" t="s">
        <v>167</v>
      </c>
    </row>
    <row r="5" spans="1:15" x14ac:dyDescent="0.25">
      <c r="B5" s="4" t="s">
        <v>4</v>
      </c>
      <c r="C5" s="53"/>
      <c r="E5" s="4" t="s">
        <v>171</v>
      </c>
      <c r="F5" s="166">
        <v>424.45499999999998</v>
      </c>
      <c r="G5" s="4" t="s">
        <v>172</v>
      </c>
      <c r="H5" s="176" t="s">
        <v>163</v>
      </c>
      <c r="I5" s="238">
        <f>'DCF Model'!P16</f>
        <v>918.20098653309879</v>
      </c>
      <c r="J5" s="237">
        <f>'DCF Model'!K16</f>
        <v>944.18116973350266</v>
      </c>
    </row>
    <row r="6" spans="1:15" x14ac:dyDescent="0.25">
      <c r="B6" s="4" t="s">
        <v>5</v>
      </c>
      <c r="C6" s="52" t="s">
        <v>9</v>
      </c>
      <c r="E6" s="4" t="s">
        <v>96</v>
      </c>
      <c r="F6" s="166">
        <f>F5*F4</f>
        <v>468810.54749999999</v>
      </c>
      <c r="H6" s="176" t="s">
        <v>164</v>
      </c>
      <c r="I6" s="232">
        <f>I5/$F$4-1</f>
        <v>-0.16867271477311108</v>
      </c>
      <c r="J6" s="232">
        <f>J5/$F$4-1</f>
        <v>-0.14515059326980295</v>
      </c>
    </row>
    <row r="7" spans="1:15" x14ac:dyDescent="0.25">
      <c r="B7" s="4" t="s">
        <v>6</v>
      </c>
      <c r="C7" s="52" t="s">
        <v>8</v>
      </c>
      <c r="E7" s="4" t="s">
        <v>162</v>
      </c>
      <c r="F7" s="52">
        <f>9287.287+37.105</f>
        <v>9324.3919999999998</v>
      </c>
      <c r="G7" s="4" t="s">
        <v>172</v>
      </c>
    </row>
    <row r="8" spans="1:15" x14ac:dyDescent="0.25">
      <c r="B8" s="4" t="s">
        <v>2</v>
      </c>
      <c r="C8" s="52" t="s">
        <v>79</v>
      </c>
      <c r="E8" s="4" t="s">
        <v>135</v>
      </c>
      <c r="F8" s="52">
        <f>14463.02</f>
        <v>14463.02</v>
      </c>
      <c r="G8" s="4" t="s">
        <v>172</v>
      </c>
    </row>
    <row r="9" spans="1:15" x14ac:dyDescent="0.25">
      <c r="B9" s="4" t="s">
        <v>7</v>
      </c>
      <c r="C9" s="52">
        <v>0</v>
      </c>
      <c r="E9" s="4" t="s">
        <v>110</v>
      </c>
      <c r="F9" s="52">
        <f>F6-F7+F8</f>
        <v>473949.17550000001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46"/>
  <sheetViews>
    <sheetView showGridLines="0" zoomScaleNormal="100" workbookViewId="0">
      <selection activeCell="D5" sqref="D5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266" t="str">
        <f>CoName</f>
        <v>Netflix Inc.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/>
      <c r="L1" s="42"/>
    </row>
    <row r="2" spans="1:20" x14ac:dyDescent="0.25">
      <c r="A2" s="65" t="s">
        <v>118</v>
      </c>
      <c r="B2" s="106" t="s">
        <v>119</v>
      </c>
      <c r="C2" s="107">
        <v>44926</v>
      </c>
      <c r="D2" s="107">
        <v>45291</v>
      </c>
      <c r="E2" s="107">
        <v>45657</v>
      </c>
      <c r="F2" s="107">
        <v>46022</v>
      </c>
      <c r="G2" s="107">
        <v>46387</v>
      </c>
      <c r="H2" s="107">
        <v>46752</v>
      </c>
      <c r="I2" s="107">
        <v>47118</v>
      </c>
      <c r="J2" s="107">
        <v>47483</v>
      </c>
      <c r="K2" s="203"/>
      <c r="L2" s="203"/>
    </row>
    <row r="3" spans="1:20" x14ac:dyDescent="0.25">
      <c r="A3" s="87"/>
      <c r="B3" s="165"/>
      <c r="C3" s="203"/>
      <c r="D3" s="203"/>
      <c r="E3" s="203"/>
      <c r="F3" s="203"/>
      <c r="G3" s="203"/>
      <c r="H3" s="203"/>
      <c r="I3" s="203"/>
      <c r="J3" s="203"/>
      <c r="K3" s="203"/>
      <c r="L3" s="203"/>
    </row>
    <row r="4" spans="1:20" x14ac:dyDescent="0.25">
      <c r="B4" s="95" t="s">
        <v>125</v>
      </c>
      <c r="C4"/>
      <c r="D4" s="271">
        <v>1</v>
      </c>
      <c r="E4"/>
      <c r="F4"/>
      <c r="G4" s="90"/>
      <c r="H4" s="90"/>
      <c r="I4" s="90"/>
      <c r="J4" s="90"/>
      <c r="K4" s="90"/>
      <c r="M4" s="239"/>
      <c r="N4" s="240"/>
      <c r="O4" s="240"/>
    </row>
    <row r="5" spans="1:20" x14ac:dyDescent="0.25">
      <c r="B5" s="89"/>
      <c r="C5" s="91"/>
      <c r="D5" s="113" t="s">
        <v>120</v>
      </c>
      <c r="E5" s="92"/>
      <c r="K5" s="90"/>
      <c r="M5" s="241"/>
      <c r="N5" s="242"/>
      <c r="O5" s="242"/>
    </row>
    <row r="6" spans="1:20" x14ac:dyDescent="0.25">
      <c r="B6" s="93" t="s">
        <v>126</v>
      </c>
      <c r="D6" s="100">
        <v>0</v>
      </c>
      <c r="E6" s="94"/>
      <c r="F6" s="100">
        <f>Revenue!O12</f>
        <v>0.14664029713907656</v>
      </c>
      <c r="G6" s="100">
        <f>Revenue!P12</f>
        <v>0.12999999999999967</v>
      </c>
      <c r="H6" s="100">
        <f>Revenue!Q12</f>
        <v>0.13000000000000012</v>
      </c>
      <c r="I6" s="100">
        <f>Revenue!R12</f>
        <v>0.12999999999999989</v>
      </c>
      <c r="J6" s="100">
        <f>Revenue!S12</f>
        <v>0.12999999999999967</v>
      </c>
      <c r="K6" s="178"/>
      <c r="M6" s="178"/>
      <c r="N6" s="243"/>
      <c r="O6" s="243"/>
      <c r="P6" s="243"/>
      <c r="Q6" s="243"/>
      <c r="R6" s="243"/>
      <c r="S6" s="243"/>
      <c r="T6" s="243"/>
    </row>
    <row r="7" spans="1:20" x14ac:dyDescent="0.25">
      <c r="B7" s="4" t="s">
        <v>122</v>
      </c>
      <c r="D7" s="100">
        <v>2.5000000000000001E-2</v>
      </c>
      <c r="E7" s="94"/>
      <c r="F7" s="100">
        <f>F6+$D$7</f>
        <v>0.17164029713907655</v>
      </c>
      <c r="G7" s="100">
        <f t="shared" ref="G7:J7" si="0">G6+$D$7</f>
        <v>0.15499999999999967</v>
      </c>
      <c r="H7" s="100">
        <f t="shared" si="0"/>
        <v>0.15500000000000011</v>
      </c>
      <c r="I7" s="100">
        <f t="shared" si="0"/>
        <v>0.15499999999999989</v>
      </c>
      <c r="J7" s="100">
        <f t="shared" si="0"/>
        <v>0.15499999999999967</v>
      </c>
      <c r="K7" s="178"/>
      <c r="M7" s="178"/>
      <c r="N7" s="178"/>
      <c r="O7" s="178"/>
      <c r="P7" s="178"/>
      <c r="Q7" s="178"/>
      <c r="R7" s="178"/>
      <c r="S7" s="178"/>
      <c r="T7" s="178"/>
    </row>
    <row r="8" spans="1:20" x14ac:dyDescent="0.25">
      <c r="B8" s="4" t="s">
        <v>121</v>
      </c>
      <c r="D8" s="100">
        <v>-2.5000000000000001E-2</v>
      </c>
      <c r="E8" s="94"/>
      <c r="F8" s="100">
        <f>F6+$D$8</f>
        <v>0.12164029713907656</v>
      </c>
      <c r="G8" s="100">
        <f t="shared" ref="G8:J8" si="1">G6+$D$8</f>
        <v>0.10499999999999968</v>
      </c>
      <c r="H8" s="100">
        <f t="shared" si="1"/>
        <v>0.10500000000000012</v>
      </c>
      <c r="I8" s="100">
        <f t="shared" si="1"/>
        <v>0.1049999999999999</v>
      </c>
      <c r="J8" s="100">
        <f t="shared" si="1"/>
        <v>0.10499999999999968</v>
      </c>
      <c r="K8" s="178"/>
    </row>
    <row r="9" spans="1:20" x14ac:dyDescent="0.25">
      <c r="K9" s="31"/>
      <c r="L9" s="31"/>
      <c r="M9" s="178"/>
      <c r="N9" s="178"/>
    </row>
    <row r="10" spans="1:20" x14ac:dyDescent="0.25">
      <c r="B10" s="121" t="s">
        <v>139</v>
      </c>
      <c r="C10" s="198">
        <f>Revenue!D12</f>
        <v>6.5667846985438372E-2</v>
      </c>
      <c r="D10" s="198">
        <f>Revenue!E12</f>
        <v>7.0034559357002868E-2</v>
      </c>
      <c r="E10" s="199">
        <f>Revenue!J12</f>
        <v>0.15955311044892273</v>
      </c>
      <c r="F10" s="104">
        <f t="shared" ref="F10" si="2">CHOOSE(ScenarioREV,F6,F7,F8)</f>
        <v>0.14664029713907656</v>
      </c>
      <c r="G10" s="104">
        <f t="shared" ref="G10:J10" si="3">CHOOSE(ScenarioREV,G6,G7,G8)</f>
        <v>0.12999999999999967</v>
      </c>
      <c r="H10" s="104">
        <f t="shared" si="3"/>
        <v>0.13000000000000012</v>
      </c>
      <c r="I10" s="104">
        <f t="shared" si="3"/>
        <v>0.12999999999999989</v>
      </c>
      <c r="J10" s="104">
        <f t="shared" si="3"/>
        <v>0.12999999999999967</v>
      </c>
      <c r="K10" s="30"/>
      <c r="L10" s="30"/>
      <c r="M10" s="178"/>
      <c r="N10" s="178"/>
    </row>
    <row r="11" spans="1:20" x14ac:dyDescent="0.25">
      <c r="B11" s="4" t="s">
        <v>127</v>
      </c>
      <c r="C11" s="8">
        <f>IncState!C14/IncState!C13</f>
        <v>0.60629294761596741</v>
      </c>
      <c r="D11" s="8">
        <f>IncState!D14/IncState!D13</f>
        <v>0.58462160446530476</v>
      </c>
      <c r="E11" s="8">
        <f>IncState!E14/IncState!E13</f>
        <v>0.53943443349582676</v>
      </c>
      <c r="F11" s="100">
        <f>E11</f>
        <v>0.53943443349582676</v>
      </c>
      <c r="G11" s="100">
        <f t="shared" ref="G11:J11" si="4">F11</f>
        <v>0.53943443349582676</v>
      </c>
      <c r="H11" s="100">
        <f t="shared" si="4"/>
        <v>0.53943443349582676</v>
      </c>
      <c r="I11" s="100">
        <f t="shared" si="4"/>
        <v>0.53943443349582676</v>
      </c>
      <c r="J11" s="100">
        <f t="shared" si="4"/>
        <v>0.53943443349582676</v>
      </c>
      <c r="K11" s="178"/>
      <c r="L11" s="178"/>
      <c r="M11" s="178"/>
      <c r="N11" s="178"/>
    </row>
    <row r="12" spans="1:20" x14ac:dyDescent="0.25">
      <c r="B12" s="4" t="s">
        <v>44</v>
      </c>
      <c r="C12" s="8">
        <f>IncState!C15/IncState!C13</f>
        <v>0.21554058050547908</v>
      </c>
      <c r="D12" s="8">
        <f>IncState!D15/IncState!D13</f>
        <v>0.20917071068110571</v>
      </c>
      <c r="E12" s="8">
        <f>IncState!E15/IncState!E13</f>
        <v>0.19345387496299452</v>
      </c>
      <c r="F12" s="100">
        <f>E12</f>
        <v>0.19345387496299452</v>
      </c>
      <c r="G12" s="100">
        <f t="shared" ref="G12:J12" si="5">F12</f>
        <v>0.19345387496299452</v>
      </c>
      <c r="H12" s="100">
        <f t="shared" si="5"/>
        <v>0.19345387496299452</v>
      </c>
      <c r="I12" s="100">
        <f t="shared" si="5"/>
        <v>0.19345387496299452</v>
      </c>
      <c r="J12" s="100">
        <f t="shared" si="5"/>
        <v>0.19345387496299452</v>
      </c>
      <c r="K12" s="178"/>
      <c r="L12" s="178"/>
    </row>
    <row r="13" spans="1:20" x14ac:dyDescent="0.25">
      <c r="B13" s="4" t="s">
        <v>129</v>
      </c>
      <c r="C13" s="4">
        <f>IncState!C19</f>
        <v>14026.132</v>
      </c>
      <c r="D13" s="4">
        <f>IncState!D19</f>
        <v>14197.437</v>
      </c>
      <c r="E13" s="4">
        <f>IncState!E19</f>
        <v>15301.517</v>
      </c>
      <c r="F13" s="101">
        <f>E13</f>
        <v>15301.517</v>
      </c>
      <c r="G13" s="101">
        <f t="shared" ref="G13:J13" si="6">F13</f>
        <v>15301.517</v>
      </c>
      <c r="H13" s="101">
        <f t="shared" si="6"/>
        <v>15301.517</v>
      </c>
      <c r="I13" s="101">
        <f t="shared" si="6"/>
        <v>15301.517</v>
      </c>
      <c r="J13" s="101">
        <f t="shared" si="6"/>
        <v>15301.517</v>
      </c>
      <c r="K13" s="204"/>
      <c r="L13" s="204"/>
    </row>
    <row r="14" spans="1:20" x14ac:dyDescent="0.25">
      <c r="B14" s="4" t="s">
        <v>46</v>
      </c>
      <c r="C14" s="8">
        <f>IncState!C27/IncState!C25</f>
        <v>0.14665946292208723</v>
      </c>
      <c r="D14" s="8">
        <f>IncState!D27/IncState!D25</f>
        <v>0.12850329672277633</v>
      </c>
      <c r="E14" s="8">
        <f>IncState!E27/IncState!E25</f>
        <v>0.12583475429668109</v>
      </c>
      <c r="F14" s="100">
        <f>E14</f>
        <v>0.12583475429668109</v>
      </c>
      <c r="G14" s="100">
        <f t="shared" ref="G14:J14" si="7">F14</f>
        <v>0.12583475429668109</v>
      </c>
      <c r="H14" s="100">
        <f t="shared" si="7"/>
        <v>0.12583475429668109</v>
      </c>
      <c r="I14" s="100">
        <f t="shared" si="7"/>
        <v>0.12583475429668109</v>
      </c>
      <c r="J14" s="100">
        <f t="shared" si="7"/>
        <v>0.12583475429668109</v>
      </c>
      <c r="K14" s="178"/>
      <c r="L14" s="178"/>
    </row>
    <row r="15" spans="1:20" x14ac:dyDescent="0.25">
      <c r="B15" s="4" t="s">
        <v>47</v>
      </c>
      <c r="C15" s="4">
        <f>IncState!C31</f>
        <v>444.69799999999998</v>
      </c>
      <c r="D15" s="4">
        <f>IncState!D31</f>
        <v>441.57100000000003</v>
      </c>
      <c r="E15" s="4">
        <f>IncState!E31</f>
        <v>429.51900000000001</v>
      </c>
      <c r="F15" s="101">
        <f>E15</f>
        <v>429.51900000000001</v>
      </c>
      <c r="G15" s="101">
        <f t="shared" ref="G15:J15" si="8">F15</f>
        <v>429.51900000000001</v>
      </c>
      <c r="H15" s="101">
        <f t="shared" si="8"/>
        <v>429.51900000000001</v>
      </c>
      <c r="I15" s="101">
        <f t="shared" si="8"/>
        <v>429.51900000000001</v>
      </c>
      <c r="J15" s="101">
        <f t="shared" si="8"/>
        <v>429.51900000000001</v>
      </c>
      <c r="K15" s="204"/>
      <c r="L15" s="204"/>
    </row>
    <row r="16" spans="1:20" x14ac:dyDescent="0.25">
      <c r="B16" s="4" t="s">
        <v>48</v>
      </c>
      <c r="C16" s="4">
        <f>IncState!C32</f>
        <v>451.29</v>
      </c>
      <c r="D16" s="4">
        <f>IncState!D32</f>
        <v>449.49799999999999</v>
      </c>
      <c r="E16" s="4">
        <f>IncState!E32</f>
        <v>439.26100000000002</v>
      </c>
      <c r="F16" s="101">
        <f>E16</f>
        <v>439.26100000000002</v>
      </c>
      <c r="G16" s="101">
        <f t="shared" ref="G16:J16" si="9">F16</f>
        <v>439.26100000000002</v>
      </c>
      <c r="H16" s="101">
        <f t="shared" si="9"/>
        <v>439.26100000000002</v>
      </c>
      <c r="I16" s="101">
        <f t="shared" si="9"/>
        <v>439.26100000000002</v>
      </c>
      <c r="J16" s="101">
        <f t="shared" si="9"/>
        <v>439.26100000000002</v>
      </c>
      <c r="K16" s="204"/>
      <c r="L16" s="204"/>
    </row>
    <row r="17" spans="1:12" x14ac:dyDescent="0.25">
      <c r="F17" s="103"/>
      <c r="G17" s="103"/>
      <c r="H17" s="103"/>
      <c r="I17" s="103"/>
      <c r="J17" s="103"/>
      <c r="K17" s="178"/>
      <c r="L17" s="178"/>
    </row>
    <row r="18" spans="1:12" x14ac:dyDescent="0.25">
      <c r="A18" s="65" t="s">
        <v>118</v>
      </c>
      <c r="B18" s="106" t="s">
        <v>135</v>
      </c>
      <c r="C18" s="107">
        <v>44926</v>
      </c>
      <c r="D18" s="107">
        <v>45291</v>
      </c>
      <c r="E18" s="107">
        <v>45657</v>
      </c>
      <c r="F18" s="117">
        <v>46022</v>
      </c>
      <c r="G18" s="117">
        <v>46387</v>
      </c>
      <c r="H18" s="117">
        <v>46752</v>
      </c>
      <c r="I18" s="117">
        <v>47118</v>
      </c>
      <c r="J18" s="117">
        <v>47483</v>
      </c>
      <c r="K18" s="205"/>
      <c r="L18" s="205"/>
    </row>
    <row r="19" spans="1:12" x14ac:dyDescent="0.25">
      <c r="A19" s="87"/>
      <c r="B19" s="165"/>
      <c r="C19" s="203"/>
      <c r="D19" s="203"/>
      <c r="E19" s="203"/>
      <c r="F19" s="205"/>
      <c r="G19" s="205"/>
      <c r="H19" s="205"/>
      <c r="I19" s="205"/>
      <c r="J19" s="205"/>
      <c r="K19" s="205"/>
      <c r="L19" s="205"/>
    </row>
    <row r="20" spans="1:12" x14ac:dyDescent="0.25">
      <c r="B20" s="4" t="s">
        <v>130</v>
      </c>
      <c r="E20" s="8">
        <v>0.05</v>
      </c>
      <c r="F20" s="100">
        <f>E20</f>
        <v>0.05</v>
      </c>
      <c r="G20" s="100">
        <f t="shared" ref="G20:J20" si="10">F20</f>
        <v>0.05</v>
      </c>
      <c r="H20" s="100">
        <f t="shared" si="10"/>
        <v>0.05</v>
      </c>
      <c r="I20" s="100">
        <f t="shared" si="10"/>
        <v>0.05</v>
      </c>
      <c r="J20" s="100">
        <f t="shared" si="10"/>
        <v>0.05</v>
      </c>
      <c r="K20" s="178"/>
      <c r="L20" s="178"/>
    </row>
    <row r="21" spans="1:12" x14ac:dyDescent="0.25">
      <c r="B21" s="4" t="s">
        <v>25</v>
      </c>
      <c r="E21" s="8">
        <v>4.3999999999999997E-2</v>
      </c>
      <c r="F21" s="100">
        <f>E21</f>
        <v>4.3999999999999997E-2</v>
      </c>
      <c r="G21" s="100">
        <f t="shared" ref="G21:J21" si="11">F21</f>
        <v>4.3999999999999997E-2</v>
      </c>
      <c r="H21" s="100">
        <f t="shared" si="11"/>
        <v>4.3999999999999997E-2</v>
      </c>
      <c r="I21" s="100">
        <f t="shared" si="11"/>
        <v>4.3999999999999997E-2</v>
      </c>
      <c r="J21" s="100">
        <f t="shared" si="11"/>
        <v>4.3999999999999997E-2</v>
      </c>
      <c r="K21" s="178"/>
      <c r="L21" s="178"/>
    </row>
    <row r="22" spans="1:12" x14ac:dyDescent="0.25">
      <c r="B22" s="4" t="s">
        <v>26</v>
      </c>
      <c r="C22" s="8"/>
      <c r="D22" s="8"/>
      <c r="E22" s="8">
        <f>IncState!E22/BalSheet!E14</f>
        <v>3.4947184852537977E-2</v>
      </c>
      <c r="F22" s="130">
        <f>E22</f>
        <v>3.4947184852537977E-2</v>
      </c>
      <c r="G22" s="130">
        <f t="shared" ref="G22:J22" si="12">F22</f>
        <v>3.4947184852537977E-2</v>
      </c>
      <c r="H22" s="130">
        <f t="shared" si="12"/>
        <v>3.4947184852537977E-2</v>
      </c>
      <c r="I22" s="130">
        <f t="shared" si="12"/>
        <v>3.4947184852537977E-2</v>
      </c>
      <c r="J22" s="130">
        <f t="shared" si="12"/>
        <v>3.4947184852537977E-2</v>
      </c>
      <c r="K22" s="178"/>
      <c r="L22" s="178"/>
    </row>
    <row r="23" spans="1:12" x14ac:dyDescent="0.25">
      <c r="F23" s="103"/>
      <c r="G23" s="103"/>
      <c r="H23" s="103"/>
      <c r="I23" s="103"/>
      <c r="J23" s="103"/>
      <c r="K23" s="178"/>
      <c r="L23" s="178"/>
    </row>
    <row r="24" spans="1:12" x14ac:dyDescent="0.25">
      <c r="B24" s="4" t="s">
        <v>27</v>
      </c>
      <c r="E24" s="4">
        <v>0</v>
      </c>
      <c r="F24" s="101">
        <v>0</v>
      </c>
      <c r="G24" s="101">
        <v>0</v>
      </c>
      <c r="H24" s="101">
        <v>0</v>
      </c>
      <c r="I24" s="101">
        <v>0</v>
      </c>
      <c r="J24" s="101">
        <v>0</v>
      </c>
      <c r="K24" s="204"/>
      <c r="L24" s="204"/>
    </row>
    <row r="25" spans="1:12" x14ac:dyDescent="0.25">
      <c r="B25" s="4" t="s">
        <v>28</v>
      </c>
      <c r="E25" s="4">
        <v>0</v>
      </c>
      <c r="F25" s="101">
        <v>0</v>
      </c>
      <c r="G25" s="101">
        <v>0</v>
      </c>
      <c r="H25" s="101">
        <v>0</v>
      </c>
      <c r="I25" s="101">
        <v>0</v>
      </c>
      <c r="J25" s="101">
        <v>0</v>
      </c>
      <c r="K25" s="204"/>
      <c r="L25" s="204"/>
    </row>
    <row r="26" spans="1:12" x14ac:dyDescent="0.25">
      <c r="F26" s="103"/>
      <c r="G26" s="103"/>
      <c r="H26" s="103"/>
      <c r="I26" s="103"/>
      <c r="J26" s="103"/>
      <c r="K26" s="178"/>
      <c r="L26" s="178"/>
    </row>
    <row r="27" spans="1:12" x14ac:dyDescent="0.25">
      <c r="A27" s="65" t="s">
        <v>118</v>
      </c>
      <c r="B27" s="106" t="s">
        <v>132</v>
      </c>
      <c r="C27" s="107">
        <v>44926</v>
      </c>
      <c r="D27" s="107">
        <v>45291</v>
      </c>
      <c r="E27" s="107">
        <v>45657</v>
      </c>
      <c r="F27" s="117">
        <v>46022</v>
      </c>
      <c r="G27" s="117">
        <v>46387</v>
      </c>
      <c r="H27" s="117">
        <v>46752</v>
      </c>
      <c r="I27" s="117">
        <v>47118</v>
      </c>
      <c r="J27" s="117">
        <v>47483</v>
      </c>
      <c r="K27" s="206"/>
      <c r="L27" s="206"/>
    </row>
    <row r="28" spans="1:12" x14ac:dyDescent="0.25">
      <c r="A28" s="87"/>
      <c r="B28" s="165"/>
      <c r="C28" s="203"/>
      <c r="D28" s="203"/>
      <c r="E28" s="203"/>
      <c r="F28" s="205"/>
      <c r="G28" s="205"/>
      <c r="H28" s="205"/>
      <c r="I28" s="205"/>
      <c r="J28" s="205"/>
      <c r="K28" s="206"/>
      <c r="L28" s="206"/>
    </row>
    <row r="29" spans="1:12" x14ac:dyDescent="0.25">
      <c r="B29" s="4" t="s">
        <v>133</v>
      </c>
      <c r="D29" s="8"/>
      <c r="E29" s="8">
        <f>439.538/IncState!E13</f>
        <v>1.1269925980807758E-2</v>
      </c>
      <c r="F29" s="228">
        <f>E29</f>
        <v>1.1269925980807758E-2</v>
      </c>
      <c r="G29" s="228">
        <f t="shared" ref="G29:J29" si="13">F29</f>
        <v>1.1269925980807758E-2</v>
      </c>
      <c r="H29" s="228">
        <f t="shared" si="13"/>
        <v>1.1269925980807758E-2</v>
      </c>
      <c r="I29" s="228">
        <f t="shared" si="13"/>
        <v>1.1269925980807758E-2</v>
      </c>
      <c r="J29" s="228">
        <f t="shared" si="13"/>
        <v>1.1269925980807758E-2</v>
      </c>
      <c r="K29" s="178"/>
      <c r="L29" s="178"/>
    </row>
    <row r="30" spans="1:12" x14ac:dyDescent="0.25">
      <c r="B30" s="4" t="s">
        <v>144</v>
      </c>
      <c r="D30" s="8">
        <f>IncState!D18/BalSheet!C18</f>
        <v>0.25527996641532991</v>
      </c>
      <c r="E30" s="8">
        <f>IncState!E18/BalSheet!D18</f>
        <v>0.22053392551111539</v>
      </c>
      <c r="F30" s="100">
        <f>E30</f>
        <v>0.22053392551111539</v>
      </c>
      <c r="G30" s="100">
        <f t="shared" ref="G30:J30" si="14">F30</f>
        <v>0.22053392551111539</v>
      </c>
      <c r="H30" s="100">
        <f t="shared" si="14"/>
        <v>0.22053392551111539</v>
      </c>
      <c r="I30" s="100">
        <f t="shared" si="14"/>
        <v>0.22053392551111539</v>
      </c>
      <c r="J30" s="100">
        <f t="shared" si="14"/>
        <v>0.22053392551111539</v>
      </c>
      <c r="K30" s="178"/>
      <c r="L30" s="178"/>
    </row>
    <row r="31" spans="1:12" x14ac:dyDescent="0.25">
      <c r="B31" s="4" t="s">
        <v>134</v>
      </c>
      <c r="F31" s="105">
        <v>0</v>
      </c>
      <c r="G31" s="105">
        <v>0</v>
      </c>
      <c r="H31" s="105">
        <v>0</v>
      </c>
      <c r="I31" s="105">
        <v>0</v>
      </c>
      <c r="J31" s="105">
        <v>0</v>
      </c>
      <c r="K31" s="207"/>
      <c r="L31" s="207"/>
    </row>
    <row r="32" spans="1:12" x14ac:dyDescent="0.25">
      <c r="F32" s="31"/>
      <c r="G32" s="31"/>
      <c r="H32" s="31"/>
      <c r="I32" s="31"/>
      <c r="J32" s="31"/>
      <c r="K32" s="31"/>
      <c r="L32" s="31"/>
    </row>
    <row r="33" spans="1:12" x14ac:dyDescent="0.25">
      <c r="A33" s="65" t="s">
        <v>118</v>
      </c>
      <c r="B33" s="106" t="s">
        <v>123</v>
      </c>
      <c r="C33" s="107">
        <v>44926</v>
      </c>
      <c r="D33" s="107">
        <v>45291</v>
      </c>
      <c r="E33" s="107">
        <v>45657</v>
      </c>
      <c r="F33" s="116">
        <v>46022</v>
      </c>
      <c r="G33" s="116">
        <v>46387</v>
      </c>
      <c r="H33" s="116">
        <v>46752</v>
      </c>
      <c r="I33" s="116">
        <v>47118</v>
      </c>
      <c r="J33" s="116">
        <v>47483</v>
      </c>
      <c r="K33" s="206"/>
      <c r="L33" s="206"/>
    </row>
    <row r="34" spans="1:12" x14ac:dyDescent="0.25">
      <c r="A34" s="87"/>
      <c r="B34" s="165"/>
      <c r="C34" s="203"/>
      <c r="D34" s="203"/>
      <c r="E34" s="203"/>
      <c r="F34" s="272"/>
      <c r="G34" s="272"/>
      <c r="H34" s="272"/>
      <c r="I34" s="272"/>
      <c r="J34" s="272"/>
      <c r="K34" s="206"/>
      <c r="L34" s="206"/>
    </row>
    <row r="35" spans="1:12" x14ac:dyDescent="0.25">
      <c r="B35" s="4" t="s">
        <v>131</v>
      </c>
      <c r="C35" s="8">
        <f>BalSheet!C13/IncState!C13</f>
        <v>0.05</v>
      </c>
      <c r="D35" s="8">
        <f>BalSheet!D13/IncState!D13</f>
        <v>0.05</v>
      </c>
      <c r="E35" s="8">
        <f>BalSheet!E13/IncState!E13</f>
        <v>0.05</v>
      </c>
      <c r="F35" s="100">
        <f>E35</f>
        <v>0.05</v>
      </c>
      <c r="G35" s="100">
        <f t="shared" ref="G35:J35" si="15">F35</f>
        <v>0.05</v>
      </c>
      <c r="H35" s="100">
        <f t="shared" si="15"/>
        <v>0.05</v>
      </c>
      <c r="I35" s="100">
        <f t="shared" si="15"/>
        <v>0.05</v>
      </c>
      <c r="J35" s="100">
        <f t="shared" si="15"/>
        <v>0.05</v>
      </c>
      <c r="K35" s="178"/>
      <c r="L35" s="178"/>
    </row>
    <row r="36" spans="1:12" x14ac:dyDescent="0.25">
      <c r="B36" s="4" t="s">
        <v>60</v>
      </c>
      <c r="C36" s="8">
        <f>BalSheet!C15/IncState!C13</f>
        <v>0.101469719805602</v>
      </c>
      <c r="D36" s="8">
        <f>BalSheet!D15/IncState!D13</f>
        <v>8.2442917725393222E-2</v>
      </c>
      <c r="E36" s="8">
        <f>BalSheet!E15/IncState!E13</f>
        <v>9.0168023017686269E-2</v>
      </c>
      <c r="F36" s="100">
        <f t="shared" ref="F36:J36" si="16">E36</f>
        <v>9.0168023017686269E-2</v>
      </c>
      <c r="G36" s="100">
        <f t="shared" si="16"/>
        <v>9.0168023017686269E-2</v>
      </c>
      <c r="H36" s="100">
        <f t="shared" si="16"/>
        <v>9.0168023017686269E-2</v>
      </c>
      <c r="I36" s="100">
        <f t="shared" si="16"/>
        <v>9.0168023017686269E-2</v>
      </c>
      <c r="J36" s="100">
        <f t="shared" si="16"/>
        <v>9.0168023017686269E-2</v>
      </c>
      <c r="K36" s="178"/>
      <c r="L36" s="178"/>
    </row>
    <row r="37" spans="1:12" x14ac:dyDescent="0.25">
      <c r="B37" s="4" t="s">
        <v>61</v>
      </c>
      <c r="C37" s="8">
        <f>BalSheet!C20/IncState!C13</f>
        <v>0.16426489496466137</v>
      </c>
      <c r="D37" s="8">
        <f>BalSheet!D20/IncState!D13</f>
        <v>0.16796575376363707</v>
      </c>
      <c r="E37" s="8">
        <f>BalSheet!E20/IncState!E13</f>
        <v>0.16624657450792374</v>
      </c>
      <c r="F37" s="100">
        <f>E37</f>
        <v>0.16624657450792374</v>
      </c>
      <c r="G37" s="100">
        <f t="shared" ref="G37:J37" si="17">F37</f>
        <v>0.16624657450792374</v>
      </c>
      <c r="H37" s="100">
        <f t="shared" si="17"/>
        <v>0.16624657450792374</v>
      </c>
      <c r="I37" s="100">
        <f t="shared" si="17"/>
        <v>0.16624657450792374</v>
      </c>
      <c r="J37" s="100">
        <f t="shared" si="17"/>
        <v>0.16624657450792374</v>
      </c>
      <c r="K37" s="178"/>
      <c r="L37" s="178"/>
    </row>
    <row r="38" spans="1:12" x14ac:dyDescent="0.25">
      <c r="F38" s="31"/>
      <c r="G38" s="31"/>
      <c r="H38" s="31"/>
      <c r="I38" s="31"/>
      <c r="J38" s="31"/>
      <c r="K38" s="31"/>
      <c r="L38" s="31"/>
    </row>
    <row r="39" spans="1:12" x14ac:dyDescent="0.25">
      <c r="A39" s="65" t="s">
        <v>118</v>
      </c>
      <c r="B39" s="106" t="s">
        <v>124</v>
      </c>
      <c r="C39" s="107">
        <v>44926</v>
      </c>
      <c r="D39" s="107">
        <v>45291</v>
      </c>
      <c r="E39" s="107">
        <v>45657</v>
      </c>
      <c r="F39" s="116">
        <v>46022</v>
      </c>
      <c r="G39" s="116">
        <v>46387</v>
      </c>
      <c r="H39" s="116">
        <v>46752</v>
      </c>
      <c r="I39" s="116">
        <v>47118</v>
      </c>
      <c r="J39" s="116">
        <v>47483</v>
      </c>
      <c r="K39" s="206"/>
      <c r="L39" s="206"/>
    </row>
    <row r="40" spans="1:12" x14ac:dyDescent="0.25">
      <c r="A40" s="87"/>
      <c r="B40" s="165"/>
      <c r="C40" s="203"/>
      <c r="D40" s="203"/>
      <c r="E40" s="203"/>
      <c r="F40" s="272"/>
      <c r="G40" s="272"/>
      <c r="H40" s="272"/>
      <c r="I40" s="272"/>
      <c r="J40" s="272"/>
      <c r="K40" s="206"/>
      <c r="L40" s="206"/>
    </row>
    <row r="41" spans="1:12" x14ac:dyDescent="0.25">
      <c r="B41" s="4" t="s">
        <v>143</v>
      </c>
      <c r="C41" s="8">
        <f>BalSheet!C26/IncState!C14</f>
        <v>0.11405104838539286</v>
      </c>
      <c r="D41" s="8">
        <f>BalSheet!D26/IncState!D14</f>
        <v>0.12941031585106605</v>
      </c>
      <c r="E41" s="8">
        <f>BalSheet!E26/IncState!E14</f>
        <v>0.14527928464739631</v>
      </c>
      <c r="F41" s="100">
        <f t="shared" ref="F41:J41" si="18">E41</f>
        <v>0.14527928464739631</v>
      </c>
      <c r="G41" s="100">
        <f t="shared" si="18"/>
        <v>0.14527928464739631</v>
      </c>
      <c r="H41" s="100">
        <f t="shared" si="18"/>
        <v>0.14527928464739631</v>
      </c>
      <c r="I41" s="100">
        <f t="shared" si="18"/>
        <v>0.14527928464739631</v>
      </c>
      <c r="J41" s="100">
        <f t="shared" si="18"/>
        <v>0.14527928464739631</v>
      </c>
      <c r="K41" s="178"/>
      <c r="L41" s="178"/>
    </row>
    <row r="42" spans="1:12" x14ac:dyDescent="0.25">
      <c r="B42" s="4" t="s">
        <v>62</v>
      </c>
      <c r="C42" s="8">
        <f>BalSheet!C27/IncState!C13</f>
        <v>0.18170839982223938</v>
      </c>
      <c r="D42" s="8">
        <f>BalSheet!D27/IncState!D13</f>
        <v>0.17523313334399068</v>
      </c>
      <c r="E42" s="8">
        <f>BalSheet!E27/IncState!E13</f>
        <v>0.15164993605543001</v>
      </c>
      <c r="F42" s="100">
        <f t="shared" ref="F42:J42" si="19">E42</f>
        <v>0.15164993605543001</v>
      </c>
      <c r="G42" s="100">
        <f t="shared" si="19"/>
        <v>0.15164993605543001</v>
      </c>
      <c r="H42" s="100">
        <f t="shared" si="19"/>
        <v>0.15164993605543001</v>
      </c>
      <c r="I42" s="100">
        <f t="shared" si="19"/>
        <v>0.15164993605543001</v>
      </c>
      <c r="J42" s="100">
        <f t="shared" si="19"/>
        <v>0.15164993605543001</v>
      </c>
      <c r="K42" s="178"/>
      <c r="L42" s="178"/>
    </row>
    <row r="43" spans="1:12" x14ac:dyDescent="0.25">
      <c r="B43" s="4" t="s">
        <v>63</v>
      </c>
      <c r="C43" s="8">
        <f>BalSheet!C31/IncState!C13</f>
        <v>0.17501884357539246</v>
      </c>
      <c r="D43" s="8">
        <f>BalSheet!D31/IncState!D13</f>
        <v>0.1524052348736839</v>
      </c>
      <c r="E43" s="8">
        <f>BalSheet!E31/IncState!E13</f>
        <v>0.11110124810754689</v>
      </c>
      <c r="F43" s="100">
        <f t="shared" ref="F43:J43" si="20">E43</f>
        <v>0.11110124810754689</v>
      </c>
      <c r="G43" s="100">
        <f t="shared" si="20"/>
        <v>0.11110124810754689</v>
      </c>
      <c r="H43" s="100">
        <f t="shared" si="20"/>
        <v>0.11110124810754689</v>
      </c>
      <c r="I43" s="100">
        <f t="shared" si="20"/>
        <v>0.11110124810754689</v>
      </c>
      <c r="J43" s="100">
        <f t="shared" si="20"/>
        <v>0.11110124810754689</v>
      </c>
      <c r="K43" s="178"/>
      <c r="L43" s="178"/>
    </row>
    <row r="44" spans="1:12" x14ac:dyDescent="0.25">
      <c r="F44" s="125"/>
      <c r="G44" s="31"/>
      <c r="H44" s="31"/>
      <c r="I44" s="31"/>
      <c r="J44" s="31"/>
    </row>
    <row r="45" spans="1:12" x14ac:dyDescent="0.25">
      <c r="F45" s="126"/>
      <c r="G45" s="96"/>
      <c r="H45" s="96"/>
      <c r="I45" s="96"/>
      <c r="J45" s="96"/>
    </row>
    <row r="46" spans="1:12" x14ac:dyDescent="0.25">
      <c r="F46" s="96"/>
      <c r="G46" s="96"/>
      <c r="H46" s="96"/>
      <c r="I46" s="96"/>
      <c r="J46" s="96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N7:T7 D7:D8 M9:N11 F45:J46 F41:J43 K39:L43 F6:K8 F35:J37 K33:L37 F11:L31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S13"/>
  <sheetViews>
    <sheetView showGridLines="0" topLeftCell="G1" workbookViewId="0">
      <selection activeCell="R10" sqref="R10"/>
    </sheetView>
  </sheetViews>
  <sheetFormatPr defaultColWidth="11.7109375" defaultRowHeight="15" x14ac:dyDescent="0.25"/>
  <cols>
    <col min="1" max="1" width="2" style="4" bestFit="1" customWidth="1"/>
    <col min="2" max="2" width="25.140625" style="4" bestFit="1" customWidth="1"/>
    <col min="3" max="3" width="11.7109375" style="4" hidden="1" customWidth="1"/>
    <col min="4" max="16384" width="11.7109375" style="4"/>
  </cols>
  <sheetData>
    <row r="1" spans="1:19" ht="19.5" x14ac:dyDescent="0.3">
      <c r="A1" s="266" t="str">
        <f>CoName</f>
        <v>Netflix Inc.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9" s="277" customFormat="1" x14ac:dyDescent="0.25">
      <c r="A2" s="274" t="s">
        <v>174</v>
      </c>
      <c r="B2" s="274"/>
      <c r="C2" s="274">
        <v>2021</v>
      </c>
      <c r="D2" s="276">
        <v>2022</v>
      </c>
      <c r="E2" s="276">
        <v>2023</v>
      </c>
      <c r="F2" s="276" t="s">
        <v>180</v>
      </c>
      <c r="G2" s="276" t="s">
        <v>181</v>
      </c>
      <c r="H2" s="276" t="s">
        <v>182</v>
      </c>
      <c r="I2" s="276" t="s">
        <v>183</v>
      </c>
      <c r="J2" s="276">
        <v>2024</v>
      </c>
      <c r="K2" s="276" t="s">
        <v>184</v>
      </c>
      <c r="L2" s="276" t="s">
        <v>185</v>
      </c>
      <c r="M2" s="276" t="s">
        <v>172</v>
      </c>
      <c r="N2" s="276" t="s">
        <v>186</v>
      </c>
      <c r="O2" s="276">
        <v>2025</v>
      </c>
      <c r="P2" s="276">
        <f>O2+1</f>
        <v>2026</v>
      </c>
      <c r="Q2" s="276">
        <f t="shared" ref="Q2:S2" si="0">P2+1</f>
        <v>2027</v>
      </c>
      <c r="R2" s="276">
        <f t="shared" si="0"/>
        <v>2028</v>
      </c>
      <c r="S2" s="276">
        <f t="shared" si="0"/>
        <v>2029</v>
      </c>
    </row>
    <row r="3" spans="1:19" x14ac:dyDescent="0.25">
      <c r="B3" s="4" t="s">
        <v>175</v>
      </c>
      <c r="C3" s="4">
        <f>12972.1+1.279+75.215</f>
        <v>13048.594000000001</v>
      </c>
      <c r="D3" s="4">
        <f>14084.643+-0.919+74.296</f>
        <v>14158.02</v>
      </c>
      <c r="E3" s="28">
        <f>14873.783+5.832+80.128</f>
        <v>14959.743</v>
      </c>
      <c r="F3" s="4">
        <v>4224.3149999999996</v>
      </c>
      <c r="G3" s="4">
        <v>4295.5600000000004</v>
      </c>
      <c r="H3" s="4">
        <v>4322.4759999999997</v>
      </c>
      <c r="I3" s="28">
        <f>J3-SUM(F3:H3)</f>
        <v>4616.1399999999994</v>
      </c>
      <c r="J3" s="161">
        <f>17359.369+9.497+89.625</f>
        <v>17458.490999999998</v>
      </c>
      <c r="K3" s="4">
        <v>4617.098</v>
      </c>
      <c r="L3" s="4">
        <v>4929.0029999999997</v>
      </c>
      <c r="M3" s="4">
        <v>5071.7809999999999</v>
      </c>
      <c r="N3" s="28">
        <f>I3*(1+N4)</f>
        <v>5170.0767999999998</v>
      </c>
      <c r="O3" s="280">
        <f>SUM(K3:N3)</f>
        <v>19787.958799999997</v>
      </c>
      <c r="P3" s="279">
        <f>O3*(1+P4)</f>
        <v>22360.393443999994</v>
      </c>
      <c r="Q3" s="279">
        <f t="shared" ref="Q3:S3" si="1">P3*(1+Q4)</f>
        <v>25267.244591719991</v>
      </c>
      <c r="R3" s="279">
        <f t="shared" si="1"/>
        <v>28551.986388643589</v>
      </c>
      <c r="S3" s="28">
        <f t="shared" si="1"/>
        <v>32263.744619167253</v>
      </c>
    </row>
    <row r="4" spans="1:19" s="44" customFormat="1" x14ac:dyDescent="0.25">
      <c r="B4" s="44" t="s">
        <v>176</v>
      </c>
      <c r="D4" s="44">
        <f>D3/C3-1</f>
        <v>8.5022646884407527E-2</v>
      </c>
      <c r="E4" s="45">
        <f>E3/D3-1</f>
        <v>5.6626774082816578E-2</v>
      </c>
      <c r="I4" s="45"/>
      <c r="J4" s="281">
        <f>J3/E3-1</f>
        <v>0.1670314790835643</v>
      </c>
      <c r="K4" s="44">
        <f>K3/F3-1</f>
        <v>9.2981465634073279E-2</v>
      </c>
      <c r="L4" s="44">
        <f t="shared" ref="L4:M4" si="2">L3/G3-1</f>
        <v>0.14746459134548218</v>
      </c>
      <c r="M4" s="44">
        <f t="shared" si="2"/>
        <v>0.17335087574806662</v>
      </c>
      <c r="N4" s="283">
        <v>0.12</v>
      </c>
      <c r="O4" s="282">
        <f>O3/J3-1</f>
        <v>0.13342893151532964</v>
      </c>
      <c r="P4" s="283">
        <v>0.13</v>
      </c>
      <c r="Q4" s="283">
        <f>P4</f>
        <v>0.13</v>
      </c>
      <c r="R4" s="283">
        <f t="shared" ref="R4:S10" si="3">Q4</f>
        <v>0.13</v>
      </c>
      <c r="S4" s="283">
        <f t="shared" si="3"/>
        <v>0.13</v>
      </c>
    </row>
    <row r="5" spans="1:19" x14ac:dyDescent="0.25">
      <c r="B5" s="4" t="s">
        <v>177</v>
      </c>
      <c r="C5" s="4">
        <f>9699.819+7.338+74.036</f>
        <v>9781.1929999999993</v>
      </c>
      <c r="D5" s="4">
        <f>9745.015+2.693+76.729</f>
        <v>9824.4369999999981</v>
      </c>
      <c r="E5" s="28">
        <f>10556.487+12.084+88.813</f>
        <v>10657.384</v>
      </c>
      <c r="F5" s="4">
        <v>2958.1930000000002</v>
      </c>
      <c r="G5" s="4">
        <v>3007.7719999999999</v>
      </c>
      <c r="H5" s="4">
        <v>3133.4659999999999</v>
      </c>
      <c r="I5" s="28">
        <f>J5-SUM(F5:H5)</f>
        <v>3401.0569999999989</v>
      </c>
      <c r="J5" s="161">
        <f>12387.035+12.32+101.133</f>
        <v>12500.487999999999</v>
      </c>
      <c r="K5" s="4">
        <v>3404.6759999999999</v>
      </c>
      <c r="L5" s="4">
        <v>3538.1750000000002</v>
      </c>
      <c r="M5" s="4">
        <v>3699.0520000000001</v>
      </c>
      <c r="N5" s="28">
        <f>I5*(1+N6)</f>
        <v>3911.2155499999985</v>
      </c>
      <c r="O5" s="280">
        <f>SUM(K5:N5)</f>
        <v>14553.118549999999</v>
      </c>
      <c r="P5" s="279">
        <f>O5*(1+P6)</f>
        <v>16445.023961499999</v>
      </c>
      <c r="Q5" s="279">
        <f t="shared" ref="Q5:S5" si="4">P5*(1+Q6)</f>
        <v>18582.877076494999</v>
      </c>
      <c r="R5" s="279">
        <f t="shared" si="4"/>
        <v>20998.651096439346</v>
      </c>
      <c r="S5" s="28">
        <f t="shared" si="4"/>
        <v>23728.47573897646</v>
      </c>
    </row>
    <row r="6" spans="1:19" s="44" customFormat="1" x14ac:dyDescent="0.25">
      <c r="B6" s="44" t="s">
        <v>176</v>
      </c>
      <c r="D6" s="44">
        <f>D5/C5-1</f>
        <v>4.4211375851594958E-3</v>
      </c>
      <c r="E6" s="45">
        <f>E5/D5-1</f>
        <v>8.4783178924146219E-2</v>
      </c>
      <c r="I6" s="45"/>
      <c r="J6" s="281">
        <f>J5/E5-1</f>
        <v>0.17294150234241346</v>
      </c>
      <c r="K6" s="44">
        <f>K5/F5-1</f>
        <v>0.15093099064192228</v>
      </c>
      <c r="L6" s="44">
        <f t="shared" ref="L6" si="5">L5/G5-1</f>
        <v>0.17634415108592005</v>
      </c>
      <c r="M6" s="44">
        <f t="shared" ref="M6" si="6">M5/H5-1</f>
        <v>0.18049852782829001</v>
      </c>
      <c r="N6" s="283">
        <v>0.15</v>
      </c>
      <c r="O6" s="282">
        <f>O5/J5-1</f>
        <v>0.16420403347453316</v>
      </c>
      <c r="P6" s="283">
        <v>0.13</v>
      </c>
      <c r="Q6" s="283">
        <f>P6</f>
        <v>0.13</v>
      </c>
      <c r="R6" s="283">
        <f t="shared" si="3"/>
        <v>0.13</v>
      </c>
      <c r="S6" s="283">
        <f t="shared" si="3"/>
        <v>0.13</v>
      </c>
    </row>
    <row r="7" spans="1:19" x14ac:dyDescent="0.25">
      <c r="B7" s="4" t="s">
        <v>178</v>
      </c>
      <c r="C7" s="4">
        <f>3576.976+2.424+39.961</f>
        <v>3619.3609999999999</v>
      </c>
      <c r="D7" s="4">
        <f>4069.973+1.738+41.699</f>
        <v>4113.41</v>
      </c>
      <c r="E7" s="28">
        <f>4446.461+4.298+45.997</f>
        <v>4496.7560000000003</v>
      </c>
      <c r="F7" s="4">
        <v>1165.008</v>
      </c>
      <c r="G7" s="4">
        <v>1204.145</v>
      </c>
      <c r="H7" s="4">
        <v>1240.8920000000001</v>
      </c>
      <c r="I7" s="28">
        <f>J7-SUM(F7:H7)</f>
        <v>1290.4279999999999</v>
      </c>
      <c r="J7" s="161">
        <f>4839.816+7.33+53.327</f>
        <v>4900.473</v>
      </c>
      <c r="K7" s="4">
        <v>1261.934</v>
      </c>
      <c r="L7" s="4">
        <v>1306.7349999999999</v>
      </c>
      <c r="M7" s="4">
        <v>1370.913</v>
      </c>
      <c r="N7" s="28">
        <f>I7*(1+N8)</f>
        <v>1425.6393955025899</v>
      </c>
      <c r="O7" s="280">
        <f>SUM(K7:N7)</f>
        <v>5365.22139550259</v>
      </c>
      <c r="P7" s="279">
        <f>O7*(1+P8)</f>
        <v>6062.700176917926</v>
      </c>
      <c r="Q7" s="279">
        <f t="shared" ref="Q7:S7" si="7">P7*(1+Q8)</f>
        <v>6850.8511999172561</v>
      </c>
      <c r="R7" s="279">
        <f t="shared" si="7"/>
        <v>7741.4618559064984</v>
      </c>
      <c r="S7" s="28">
        <f t="shared" si="7"/>
        <v>8747.8518971743415</v>
      </c>
    </row>
    <row r="8" spans="1:19" s="44" customFormat="1" x14ac:dyDescent="0.25">
      <c r="B8" s="44" t="s">
        <v>176</v>
      </c>
      <c r="D8" s="44">
        <f>D7/C7-1</f>
        <v>0.13650171950242052</v>
      </c>
      <c r="E8" s="45">
        <f>E7/D7-1</f>
        <v>9.3194211128966087E-2</v>
      </c>
      <c r="I8" s="45"/>
      <c r="J8" s="281">
        <f>J7/E7-1</f>
        <v>8.9779610012195477E-2</v>
      </c>
      <c r="K8" s="44">
        <f>K7/F7-1</f>
        <v>8.3197711947042396E-2</v>
      </c>
      <c r="L8" s="44">
        <f t="shared" ref="L8" si="8">L7/G7-1</f>
        <v>8.5197380714116644E-2</v>
      </c>
      <c r="M8" s="44">
        <f t="shared" ref="M8" si="9">M7/H7-1</f>
        <v>0.10478027096636922</v>
      </c>
      <c r="N8" s="283">
        <f>M8</f>
        <v>0.10478027096636922</v>
      </c>
      <c r="O8" s="282">
        <f>O7/J7-1</f>
        <v>9.4837456609308868E-2</v>
      </c>
      <c r="P8" s="283">
        <v>0.13</v>
      </c>
      <c r="Q8" s="283">
        <f>P8</f>
        <v>0.13</v>
      </c>
      <c r="R8" s="283">
        <f t="shared" si="3"/>
        <v>0.13</v>
      </c>
      <c r="S8" s="283">
        <f t="shared" si="3"/>
        <v>0.13</v>
      </c>
    </row>
    <row r="9" spans="1:19" x14ac:dyDescent="0.25">
      <c r="B9" s="4" t="s">
        <v>179</v>
      </c>
      <c r="C9" s="4">
        <f>3266.601+7.14+32.632</f>
        <v>3306.373</v>
      </c>
      <c r="D9" s="4">
        <f>3570.221+5.391+38.023</f>
        <v>3613.6350000000002</v>
      </c>
      <c r="E9" s="28">
        <f>3763.727+7.315+45.338</f>
        <v>3816.38</v>
      </c>
      <c r="F9" s="4">
        <v>1022.924</v>
      </c>
      <c r="G9" s="4">
        <v>1051.8330000000001</v>
      </c>
      <c r="H9" s="4">
        <v>1127.8689999999999</v>
      </c>
      <c r="I9" s="28">
        <f>J9-SUM(F9:H9)</f>
        <v>1281.8640000000005</v>
      </c>
      <c r="J9" s="161">
        <f>4414.746+12.203+57.541</f>
        <v>4484.4900000000007</v>
      </c>
      <c r="K9" s="4">
        <v>1259.0930000000001</v>
      </c>
      <c r="L9" s="4">
        <v>1305.2529999999999</v>
      </c>
      <c r="M9" s="4">
        <v>1368.5609999999999</v>
      </c>
      <c r="N9" s="28">
        <f>I9*(1+N10)</f>
        <v>1474.1436000000003</v>
      </c>
      <c r="O9" s="280">
        <f>SUM(K9:N9)</f>
        <v>5407.0506000000005</v>
      </c>
      <c r="P9" s="279">
        <f>O9*(1+P10)</f>
        <v>6109.9671779999999</v>
      </c>
      <c r="Q9" s="279">
        <f t="shared" ref="Q9:S9" si="10">P9*(1+Q10)</f>
        <v>6904.2629111399992</v>
      </c>
      <c r="R9" s="279">
        <f t="shared" si="10"/>
        <v>7801.8170895881985</v>
      </c>
      <c r="S9" s="28">
        <f t="shared" si="10"/>
        <v>8816.0533112346639</v>
      </c>
    </row>
    <row r="10" spans="1:19" s="44" customFormat="1" x14ac:dyDescent="0.25">
      <c r="B10" s="44" t="s">
        <v>176</v>
      </c>
      <c r="D10" s="44">
        <f>D9/C9-1</f>
        <v>9.2930228985053986E-2</v>
      </c>
      <c r="E10" s="45">
        <f>E9/D9-1</f>
        <v>5.6105555763102721E-2</v>
      </c>
      <c r="I10" s="45"/>
      <c r="J10" s="281">
        <f>J9/E9-1</f>
        <v>0.1750638039188972</v>
      </c>
      <c r="K10" s="44">
        <f>K9/F9-1</f>
        <v>0.23087638964380552</v>
      </c>
      <c r="L10" s="44">
        <f t="shared" ref="L10" si="11">L9/G9-1</f>
        <v>0.24093178289709472</v>
      </c>
      <c r="M10" s="44">
        <f t="shared" ref="M10" si="12">M9/H9-1</f>
        <v>0.21340421626979733</v>
      </c>
      <c r="N10" s="283">
        <v>0.15</v>
      </c>
      <c r="O10" s="282">
        <f>O9/J9-1</f>
        <v>0.20572252363144972</v>
      </c>
      <c r="P10" s="283">
        <v>0.13</v>
      </c>
      <c r="Q10" s="283">
        <f>P10</f>
        <v>0.13</v>
      </c>
      <c r="R10" s="283">
        <f t="shared" si="3"/>
        <v>0.13</v>
      </c>
      <c r="S10" s="283">
        <f t="shared" si="3"/>
        <v>0.13</v>
      </c>
    </row>
    <row r="11" spans="1:19" s="11" customFormat="1" x14ac:dyDescent="0.25">
      <c r="A11" s="11" t="s">
        <v>118</v>
      </c>
      <c r="B11" s="11" t="s">
        <v>187</v>
      </c>
      <c r="C11" s="11">
        <f>SUM(C9,C7,C5,C3)</f>
        <v>29755.521000000001</v>
      </c>
      <c r="D11" s="11">
        <f t="shared" ref="D11:S11" si="13">SUM(D9,D7,D5,D3)</f>
        <v>31709.501999999997</v>
      </c>
      <c r="E11" s="25">
        <f t="shared" si="13"/>
        <v>33930.262999999999</v>
      </c>
      <c r="F11" s="11">
        <f t="shared" si="13"/>
        <v>9370.4399999999987</v>
      </c>
      <c r="G11" s="11">
        <f t="shared" si="13"/>
        <v>9559.3100000000013</v>
      </c>
      <c r="H11" s="11">
        <f t="shared" si="13"/>
        <v>9824.7029999999995</v>
      </c>
      <c r="I11" s="25">
        <f t="shared" si="13"/>
        <v>10589.488999999998</v>
      </c>
      <c r="J11" s="278">
        <f t="shared" si="13"/>
        <v>39343.941999999995</v>
      </c>
      <c r="K11" s="11">
        <f t="shared" si="13"/>
        <v>10542.800999999999</v>
      </c>
      <c r="L11" s="11">
        <f t="shared" si="13"/>
        <v>11079.166000000001</v>
      </c>
      <c r="M11" s="11">
        <f t="shared" si="13"/>
        <v>11510.307000000001</v>
      </c>
      <c r="N11" s="25">
        <f t="shared" si="13"/>
        <v>11981.075345502588</v>
      </c>
      <c r="O11" s="11">
        <f t="shared" si="13"/>
        <v>45113.349345502589</v>
      </c>
      <c r="P11" s="11">
        <f t="shared" si="13"/>
        <v>50978.084760417914</v>
      </c>
      <c r="Q11" s="11">
        <f t="shared" si="13"/>
        <v>57605.235779272247</v>
      </c>
      <c r="R11" s="11">
        <f t="shared" si="13"/>
        <v>65093.916430577636</v>
      </c>
      <c r="S11" s="25">
        <f t="shared" si="13"/>
        <v>73556.125566552713</v>
      </c>
    </row>
    <row r="12" spans="1:19" s="44" customFormat="1" x14ac:dyDescent="0.25">
      <c r="B12" s="44" t="s">
        <v>176</v>
      </c>
      <c r="D12" s="44">
        <f>D11/C11-1</f>
        <v>6.5667846985438372E-2</v>
      </c>
      <c r="E12" s="45">
        <f>E11/D11-1</f>
        <v>7.0034559357002868E-2</v>
      </c>
      <c r="I12" s="45"/>
      <c r="J12" s="281">
        <f>J11/E11-1</f>
        <v>0.15955311044892273</v>
      </c>
      <c r="K12" s="44">
        <f>K11/F11-1</f>
        <v>0.12511269481475806</v>
      </c>
      <c r="L12" s="44">
        <f t="shared" ref="L12" si="14">L11/G11-1</f>
        <v>0.15899222851858541</v>
      </c>
      <c r="M12" s="44">
        <f t="shared" ref="M12:N12" si="15">M11/H11-1</f>
        <v>0.17156793442000251</v>
      </c>
      <c r="N12" s="44">
        <f t="shared" si="15"/>
        <v>0.13141203938193713</v>
      </c>
      <c r="O12" s="282">
        <f>O11/J11-1</f>
        <v>0.14664029713907656</v>
      </c>
      <c r="P12" s="285">
        <f>P11/O11-1</f>
        <v>0.12999999999999967</v>
      </c>
      <c r="Q12" s="285">
        <f t="shared" ref="Q12:S12" si="16">Q11/P11-1</f>
        <v>0.13000000000000012</v>
      </c>
      <c r="R12" s="285">
        <f t="shared" si="16"/>
        <v>0.12999999999999989</v>
      </c>
      <c r="S12" s="284">
        <f t="shared" si="16"/>
        <v>0.12999999999999967</v>
      </c>
    </row>
    <row r="13" spans="1:19" x14ac:dyDescent="0.25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37"/>
  <sheetViews>
    <sheetView showGridLines="0" zoomScaleNormal="100" workbookViewId="0">
      <selection activeCell="F18" sqref="F18:J2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66" t="str">
        <f>CoName</f>
        <v>Netflix Inc.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/>
      <c r="L1" s="42"/>
    </row>
    <row r="2" spans="1:13" x14ac:dyDescent="0.25">
      <c r="A2" s="21" t="s">
        <v>11</v>
      </c>
      <c r="B2" s="20"/>
      <c r="C2" s="200">
        <v>2022</v>
      </c>
      <c r="D2" s="264">
        <f>C2+1</f>
        <v>2023</v>
      </c>
      <c r="E2" s="264">
        <f t="shared" ref="E2:J2" si="0">D2+1</f>
        <v>2024</v>
      </c>
      <c r="F2" s="264">
        <f t="shared" si="0"/>
        <v>2025</v>
      </c>
      <c r="G2" s="264">
        <f t="shared" si="0"/>
        <v>2026</v>
      </c>
      <c r="H2" s="264">
        <f t="shared" si="0"/>
        <v>2027</v>
      </c>
      <c r="I2" s="264">
        <f t="shared" si="0"/>
        <v>2028</v>
      </c>
      <c r="J2" s="264">
        <f t="shared" si="0"/>
        <v>2029</v>
      </c>
      <c r="K2" s="201"/>
      <c r="L2" s="201"/>
      <c r="M2" s="201"/>
    </row>
    <row r="3" spans="1:13" x14ac:dyDescent="0.25">
      <c r="B3" s="4" t="s">
        <v>12</v>
      </c>
      <c r="C3" s="30"/>
      <c r="D3" s="30"/>
      <c r="E3" s="41"/>
      <c r="F3" s="210">
        <f>Assumptions!F29</f>
        <v>1.1269925980807758E-2</v>
      </c>
      <c r="G3" s="210">
        <f>Assumptions!G29</f>
        <v>1.1269925980807758E-2</v>
      </c>
      <c r="H3" s="210">
        <f>Assumptions!H29</f>
        <v>1.1269925980807758E-2</v>
      </c>
      <c r="I3" s="210">
        <f>Assumptions!I29</f>
        <v>1.1269925980807758E-2</v>
      </c>
      <c r="J3" s="210">
        <f>Assumptions!J29</f>
        <v>1.1269925980807758E-2</v>
      </c>
      <c r="K3" s="208"/>
      <c r="L3" s="208"/>
    </row>
    <row r="4" spans="1:13" x14ac:dyDescent="0.25">
      <c r="B4" s="4" t="s">
        <v>128</v>
      </c>
      <c r="C4" s="30"/>
      <c r="D4" s="30"/>
      <c r="E4" s="41"/>
      <c r="F4" s="210">
        <f>Assumptions!F30</f>
        <v>0.22053392551111539</v>
      </c>
      <c r="G4" s="210">
        <f>F4</f>
        <v>0.22053392551111539</v>
      </c>
      <c r="H4" s="210">
        <f t="shared" ref="H4:J4" si="1">G4</f>
        <v>0.22053392551111539</v>
      </c>
      <c r="I4" s="210">
        <f t="shared" si="1"/>
        <v>0.22053392551111539</v>
      </c>
      <c r="J4" s="210">
        <f t="shared" si="1"/>
        <v>0.22053392551111539</v>
      </c>
      <c r="K4" s="208"/>
      <c r="L4" s="208"/>
    </row>
    <row r="5" spans="1:13" x14ac:dyDescent="0.25">
      <c r="E5" s="28"/>
      <c r="F5" s="79"/>
      <c r="G5" s="67"/>
      <c r="H5" s="85"/>
      <c r="I5" s="67"/>
      <c r="J5" s="67"/>
    </row>
    <row r="6" spans="1:13" x14ac:dyDescent="0.25">
      <c r="B6" s="4" t="s">
        <v>13</v>
      </c>
      <c r="E6" s="28"/>
      <c r="F6" s="4">
        <f>E9</f>
        <v>1593.7560000000001</v>
      </c>
      <c r="G6" s="4">
        <f t="shared" ref="G6:J6" si="2">F9</f>
        <v>1746.2707159370223</v>
      </c>
      <c r="H6" s="4">
        <f t="shared" si="2"/>
        <v>1930.6697206503491</v>
      </c>
      <c r="I6" s="4">
        <f t="shared" si="2"/>
        <v>2148.4389112854269</v>
      </c>
      <c r="J6" s="4">
        <f t="shared" si="2"/>
        <v>2401.8437646437933</v>
      </c>
    </row>
    <row r="7" spans="1:13" x14ac:dyDescent="0.25">
      <c r="B7" s="4" t="s">
        <v>14</v>
      </c>
      <c r="C7" s="12"/>
      <c r="D7" s="12"/>
      <c r="E7" s="131"/>
      <c r="F7" s="4">
        <f>F3*IncState!F13</f>
        <v>503.99198292391549</v>
      </c>
      <c r="G7" s="4">
        <f>G3*IncState!G13</f>
        <v>569.51094070402439</v>
      </c>
      <c r="H7" s="4">
        <f>H3*IncState!H13</f>
        <v>643.54736299554759</v>
      </c>
      <c r="I7" s="4">
        <f>I3*IncState!I13</f>
        <v>727.20852018496873</v>
      </c>
      <c r="J7" s="4">
        <f>J3*IncState!J13</f>
        <v>821.74562780901442</v>
      </c>
    </row>
    <row r="8" spans="1:13" x14ac:dyDescent="0.25">
      <c r="B8" s="4" t="s">
        <v>15</v>
      </c>
      <c r="E8" s="28"/>
      <c r="F8" s="4">
        <f>F4*F6</f>
        <v>351.47726698689326</v>
      </c>
      <c r="G8" s="4">
        <f t="shared" ref="G8:J8" si="3">G4*G6</f>
        <v>385.11193599069742</v>
      </c>
      <c r="H8" s="4">
        <f t="shared" si="3"/>
        <v>425.77817236047002</v>
      </c>
      <c r="I8" s="4">
        <f t="shared" si="3"/>
        <v>473.80366682660218</v>
      </c>
      <c r="J8" s="4">
        <f t="shared" si="3"/>
        <v>529.68803388129129</v>
      </c>
    </row>
    <row r="9" spans="1:13" x14ac:dyDescent="0.25">
      <c r="B9" s="4" t="s">
        <v>16</v>
      </c>
      <c r="E9" s="28">
        <f>BalSheet!E18</f>
        <v>1593.7560000000001</v>
      </c>
      <c r="F9" s="4">
        <f>F6+F7-F8</f>
        <v>1746.2707159370223</v>
      </c>
      <c r="G9" s="4">
        <f t="shared" ref="G9:J9" si="4">G6+G7-G8</f>
        <v>1930.6697206503491</v>
      </c>
      <c r="H9" s="4">
        <f t="shared" si="4"/>
        <v>2148.4389112854269</v>
      </c>
      <c r="I9" s="4">
        <f t="shared" si="4"/>
        <v>2401.8437646437933</v>
      </c>
      <c r="J9" s="4">
        <f t="shared" si="4"/>
        <v>2693.9013585715165</v>
      </c>
    </row>
    <row r="10" spans="1:13" x14ac:dyDescent="0.25">
      <c r="A10" s="21" t="s">
        <v>17</v>
      </c>
      <c r="B10" s="43"/>
      <c r="C10" s="244">
        <f t="shared" ref="C10:J10" si="5">C2</f>
        <v>2022</v>
      </c>
      <c r="D10" s="244">
        <f t="shared" si="5"/>
        <v>2023</v>
      </c>
      <c r="E10" s="244">
        <f t="shared" si="5"/>
        <v>2024</v>
      </c>
      <c r="F10" s="244">
        <f t="shared" si="5"/>
        <v>2025</v>
      </c>
      <c r="G10" s="244">
        <f t="shared" si="5"/>
        <v>2026</v>
      </c>
      <c r="H10" s="244">
        <f t="shared" si="5"/>
        <v>2027</v>
      </c>
      <c r="I10" s="244">
        <f t="shared" si="5"/>
        <v>2028</v>
      </c>
      <c r="J10" s="244">
        <f t="shared" si="5"/>
        <v>2029</v>
      </c>
      <c r="K10" s="203"/>
      <c r="L10" s="203"/>
    </row>
    <row r="11" spans="1:13" x14ac:dyDescent="0.25">
      <c r="B11" s="4" t="s">
        <v>18</v>
      </c>
      <c r="E11" s="28"/>
      <c r="F11" s="267">
        <f>Assumptions!F31</f>
        <v>0</v>
      </c>
      <c r="G11" s="267">
        <f>Assumptions!G31</f>
        <v>0</v>
      </c>
      <c r="H11" s="267">
        <f>Assumptions!H31</f>
        <v>0</v>
      </c>
      <c r="I11" s="267">
        <f>Assumptions!I31</f>
        <v>0</v>
      </c>
      <c r="J11" s="267">
        <f>Assumptions!J31</f>
        <v>0</v>
      </c>
      <c r="K11" s="209"/>
      <c r="L11" s="209"/>
    </row>
    <row r="12" spans="1:13" x14ac:dyDescent="0.25">
      <c r="E12" s="28"/>
      <c r="F12" s="79"/>
      <c r="G12" s="67"/>
      <c r="H12" s="85"/>
      <c r="I12" s="67"/>
      <c r="J12" s="67"/>
    </row>
    <row r="13" spans="1:13" x14ac:dyDescent="0.25">
      <c r="B13" s="4" t="s">
        <v>19</v>
      </c>
      <c r="E13" s="28"/>
      <c r="F13" s="4">
        <f>E16</f>
        <v>24743.566999999999</v>
      </c>
      <c r="G13" s="4">
        <f t="shared" ref="G13:J13" si="6">F16</f>
        <v>35185.694657103835</v>
      </c>
      <c r="H13" s="4">
        <f t="shared" si="6"/>
        <v>46985.298909631172</v>
      </c>
      <c r="I13" s="4">
        <f t="shared" si="6"/>
        <v>60318.85171498706</v>
      </c>
      <c r="J13" s="4">
        <f t="shared" si="6"/>
        <v>75385.766385039213</v>
      </c>
    </row>
    <row r="14" spans="1:13" x14ac:dyDescent="0.25">
      <c r="B14" s="4" t="s">
        <v>20</v>
      </c>
      <c r="E14" s="28"/>
      <c r="F14" s="4">
        <f>IncState!F28</f>
        <v>10442.127657103836</v>
      </c>
      <c r="G14" s="4">
        <f>IncState!G28</f>
        <v>11799.604252527337</v>
      </c>
      <c r="H14" s="4">
        <f>IncState!H28</f>
        <v>13333.552805355888</v>
      </c>
      <c r="I14" s="4">
        <f>IncState!I28</f>
        <v>15066.914670052152</v>
      </c>
      <c r="J14" s="4">
        <f>IncState!J28</f>
        <v>17025.613577158932</v>
      </c>
    </row>
    <row r="15" spans="1:13" x14ac:dyDescent="0.25">
      <c r="B15" s="4" t="s">
        <v>21</v>
      </c>
      <c r="E15" s="28"/>
      <c r="F15" s="4">
        <f>F11</f>
        <v>0</v>
      </c>
      <c r="G15" s="4">
        <f t="shared" ref="G15:J15" si="7">G11</f>
        <v>0</v>
      </c>
      <c r="H15" s="4">
        <f t="shared" si="7"/>
        <v>0</v>
      </c>
      <c r="I15" s="4">
        <f t="shared" si="7"/>
        <v>0</v>
      </c>
      <c r="J15" s="4">
        <f t="shared" si="7"/>
        <v>0</v>
      </c>
    </row>
    <row r="16" spans="1:13" x14ac:dyDescent="0.25">
      <c r="B16" s="4" t="s">
        <v>22</v>
      </c>
      <c r="E16" s="28">
        <f>BalSheet!E34</f>
        <v>24743.566999999999</v>
      </c>
      <c r="F16" s="4">
        <f>SUM(F13:F15)</f>
        <v>35185.694657103835</v>
      </c>
      <c r="G16" s="4">
        <f t="shared" ref="G16:J16" si="8">SUM(G13:G15)</f>
        <v>46985.298909631172</v>
      </c>
      <c r="H16" s="4">
        <f t="shared" si="8"/>
        <v>60318.85171498706</v>
      </c>
      <c r="I16" s="4">
        <f t="shared" si="8"/>
        <v>75385.766385039213</v>
      </c>
      <c r="J16" s="4">
        <f t="shared" si="8"/>
        <v>92411.379962198145</v>
      </c>
    </row>
    <row r="17" spans="1:12" x14ac:dyDescent="0.25">
      <c r="A17" s="21" t="s">
        <v>23</v>
      </c>
      <c r="B17" s="43"/>
      <c r="C17" s="244">
        <f>C10</f>
        <v>2022</v>
      </c>
      <c r="D17" s="244">
        <f t="shared" ref="D17:J17" si="9">D10</f>
        <v>2023</v>
      </c>
      <c r="E17" s="244">
        <f t="shared" si="9"/>
        <v>2024</v>
      </c>
      <c r="F17" s="244">
        <f t="shared" si="9"/>
        <v>2025</v>
      </c>
      <c r="G17" s="244">
        <f t="shared" si="9"/>
        <v>2026</v>
      </c>
      <c r="H17" s="244">
        <f t="shared" si="9"/>
        <v>2027</v>
      </c>
      <c r="I17" s="244">
        <f t="shared" si="9"/>
        <v>2028</v>
      </c>
      <c r="J17" s="244">
        <f t="shared" si="9"/>
        <v>2029</v>
      </c>
      <c r="K17" s="203"/>
      <c r="L17" s="203"/>
    </row>
    <row r="18" spans="1:12" x14ac:dyDescent="0.25">
      <c r="A18" s="88"/>
      <c r="B18" s="180" t="s">
        <v>147</v>
      </c>
      <c r="C18" s="203"/>
      <c r="D18" s="203"/>
      <c r="E18" s="224">
        <f>BalSheet!E13</f>
        <v>1950.0483000000002</v>
      </c>
      <c r="F18" s="288">
        <f>BalSheet!F13</f>
        <v>2236.0039621475512</v>
      </c>
      <c r="G18" s="288">
        <f>BalSheet!G13</f>
        <v>2526.6844772267323</v>
      </c>
      <c r="H18" s="288">
        <f>BalSheet!H13</f>
        <v>2855.1534592662083</v>
      </c>
      <c r="I18" s="288">
        <f>BalSheet!I13</f>
        <v>3226.3234089708149</v>
      </c>
      <c r="J18" s="288">
        <f>BalSheet!J13</f>
        <v>3645.7454521370196</v>
      </c>
      <c r="K18" s="203"/>
      <c r="L18" s="203"/>
    </row>
    <row r="19" spans="1:12" x14ac:dyDescent="0.25">
      <c r="B19" s="4" t="s">
        <v>64</v>
      </c>
      <c r="C19" s="97"/>
      <c r="D19" s="97"/>
      <c r="E19" s="98">
        <f>BalSheet!E15</f>
        <v>3516.64</v>
      </c>
      <c r="F19" s="289">
        <f>BalSheet!F15</f>
        <v>4032.321134531162</v>
      </c>
      <c r="G19" s="289">
        <f>BalSheet!G15</f>
        <v>4556.5228820202119</v>
      </c>
      <c r="H19" s="289">
        <f>BalSheet!H15</f>
        <v>5148.87085668284</v>
      </c>
      <c r="I19" s="289">
        <f>BalSheet!I15</f>
        <v>5818.2240680516088</v>
      </c>
      <c r="J19" s="289">
        <f>BalSheet!J15</f>
        <v>6574.5931968983159</v>
      </c>
      <c r="K19" s="97"/>
      <c r="L19" s="97"/>
    </row>
    <row r="20" spans="1:12" x14ac:dyDescent="0.25">
      <c r="B20" s="4" t="s">
        <v>151</v>
      </c>
      <c r="C20" s="97"/>
      <c r="D20" s="97"/>
      <c r="E20" s="98">
        <f>BalSheet!E26</f>
        <v>3056.453</v>
      </c>
      <c r="F20" s="289">
        <f>BalSheet!F26</f>
        <v>3504.6521761116228</v>
      </c>
      <c r="G20" s="289">
        <f>BalSheet!G26</f>
        <v>3960.2569590061321</v>
      </c>
      <c r="H20" s="289">
        <f>BalSheet!H26</f>
        <v>4475.0903636769299</v>
      </c>
      <c r="I20" s="289">
        <f>BalSheet!I26</f>
        <v>5056.8521109549301</v>
      </c>
      <c r="J20" s="289">
        <f>BalSheet!J26</f>
        <v>5714.2428853790689</v>
      </c>
      <c r="K20" s="97"/>
      <c r="L20" s="97"/>
    </row>
    <row r="21" spans="1:12" x14ac:dyDescent="0.25">
      <c r="B21" s="4" t="s">
        <v>70</v>
      </c>
      <c r="C21" s="97"/>
      <c r="D21" s="97"/>
      <c r="E21" s="98">
        <f>BalSheet!E27</f>
        <v>5914.4939999999997</v>
      </c>
      <c r="F21" s="289">
        <f>BalSheet!F27</f>
        <v>6781.7971575872862</v>
      </c>
      <c r="G21" s="289">
        <f>BalSheet!G27</f>
        <v>7663.4307880736305</v>
      </c>
      <c r="H21" s="289">
        <f>BalSheet!H27</f>
        <v>8659.6767905232045</v>
      </c>
      <c r="I21" s="289">
        <f>BalSheet!I27</f>
        <v>9785.4347732912192</v>
      </c>
      <c r="J21" s="289">
        <f>BalSheet!J27</f>
        <v>11057.541293819075</v>
      </c>
      <c r="K21" s="97"/>
      <c r="L21" s="97"/>
    </row>
    <row r="22" spans="1:12" x14ac:dyDescent="0.25">
      <c r="A22" s="11" t="s">
        <v>118</v>
      </c>
      <c r="B22" s="17" t="s">
        <v>23</v>
      </c>
      <c r="C22" s="18"/>
      <c r="D22" s="18"/>
      <c r="E22" s="18">
        <f>SUM(E18:E19)-SUM(E20:E21)</f>
        <v>-3504.2587000000003</v>
      </c>
      <c r="F22" s="18">
        <f>SUM(F18:F19)-SUM(F20:F21)</f>
        <v>-4018.1242370201962</v>
      </c>
      <c r="G22" s="18">
        <f t="shared" ref="G22:J22" si="10">SUM(G18:G19)-SUM(G20:G21)</f>
        <v>-4540.4803878328185</v>
      </c>
      <c r="H22" s="18">
        <f t="shared" si="10"/>
        <v>-5130.7428382510852</v>
      </c>
      <c r="I22" s="18">
        <f t="shared" si="10"/>
        <v>-5797.7394072237257</v>
      </c>
      <c r="J22" s="18">
        <f t="shared" si="10"/>
        <v>-6551.4455301628095</v>
      </c>
      <c r="K22" s="11"/>
      <c r="L22" s="11"/>
    </row>
    <row r="23" spans="1:12" s="11" customFormat="1" x14ac:dyDescent="0.25">
      <c r="A23" s="25"/>
      <c r="B23" s="11" t="s">
        <v>140</v>
      </c>
      <c r="F23" s="11">
        <f>E22-F22</f>
        <v>513.86553702019592</v>
      </c>
      <c r="G23" s="11">
        <f t="shared" ref="G23:J23" si="11">F22-G22</f>
        <v>522.35615081262222</v>
      </c>
      <c r="H23" s="11">
        <f t="shared" si="11"/>
        <v>590.26245041826678</v>
      </c>
      <c r="I23" s="11">
        <f t="shared" si="11"/>
        <v>666.99656897264049</v>
      </c>
      <c r="J23" s="11">
        <f t="shared" si="11"/>
        <v>753.7061229390838</v>
      </c>
    </row>
    <row r="24" spans="1:12" x14ac:dyDescent="0.25">
      <c r="B24" s="67"/>
      <c r="C24" s="67"/>
      <c r="D24" s="67"/>
      <c r="E24" s="67"/>
      <c r="F24" s="67"/>
      <c r="G24" s="67"/>
      <c r="H24" s="85"/>
      <c r="I24" s="67"/>
      <c r="J24" s="67"/>
    </row>
    <row r="25" spans="1:12" x14ac:dyDescent="0.25">
      <c r="H25" s="6"/>
      <c r="I25" s="4"/>
      <c r="J25" s="4"/>
    </row>
    <row r="26" spans="1:12" x14ac:dyDescent="0.25">
      <c r="H26" s="6"/>
      <c r="I26" s="4"/>
      <c r="J26" s="4"/>
    </row>
    <row r="27" spans="1:12" x14ac:dyDescent="0.25">
      <c r="H27" s="6"/>
      <c r="I27" s="4"/>
      <c r="J27" s="4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F31" sqref="F31:J3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66" t="str">
        <f>CoName</f>
        <v>Netflix Inc.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/>
      <c r="L1" s="42"/>
    </row>
    <row r="2" spans="1:13" s="2" customFormat="1" x14ac:dyDescent="0.25">
      <c r="A2" s="16" t="s">
        <v>10</v>
      </c>
      <c r="B2" s="202"/>
      <c r="C2" s="107">
        <v>44926</v>
      </c>
      <c r="D2" s="107">
        <v>45291</v>
      </c>
      <c r="E2" s="107">
        <v>45657</v>
      </c>
      <c r="F2" s="107">
        <v>46022</v>
      </c>
      <c r="G2" s="107">
        <v>46387</v>
      </c>
      <c r="H2" s="107">
        <v>46752</v>
      </c>
      <c r="I2" s="107">
        <v>47118</v>
      </c>
      <c r="J2" s="107">
        <v>47483</v>
      </c>
      <c r="K2" s="211"/>
      <c r="L2" s="211"/>
    </row>
    <row r="3" spans="1:13" s="2" customFormat="1" x14ac:dyDescent="0.25">
      <c r="A3" s="88"/>
      <c r="B3" s="11"/>
      <c r="C3" s="203"/>
      <c r="D3" s="203"/>
      <c r="E3" s="203"/>
      <c r="F3" s="203"/>
      <c r="G3" s="203"/>
      <c r="H3" s="203"/>
      <c r="I3" s="203"/>
      <c r="J3" s="203"/>
      <c r="K3" s="211"/>
      <c r="L3" s="211"/>
    </row>
    <row r="4" spans="1:13" s="2" customFormat="1" x14ac:dyDescent="0.25">
      <c r="A4" s="11"/>
      <c r="B4" s="4" t="s">
        <v>24</v>
      </c>
      <c r="C4" s="31"/>
      <c r="D4" s="57"/>
      <c r="E4" s="61"/>
      <c r="F4" s="111">
        <f>Assumptions!F20</f>
        <v>0.05</v>
      </c>
      <c r="G4" s="111">
        <f>Assumptions!G20</f>
        <v>0.05</v>
      </c>
      <c r="H4" s="111">
        <f>Assumptions!H20</f>
        <v>0.05</v>
      </c>
      <c r="I4" s="111">
        <f>Assumptions!I20</f>
        <v>0.05</v>
      </c>
      <c r="J4" s="111">
        <f>Assumptions!J20</f>
        <v>0.05</v>
      </c>
      <c r="K4" s="30"/>
      <c r="L4" s="30"/>
    </row>
    <row r="5" spans="1:13" s="2" customFormat="1" x14ac:dyDescent="0.25">
      <c r="A5" s="11"/>
      <c r="B5" s="4" t="s">
        <v>25</v>
      </c>
      <c r="C5" s="31"/>
      <c r="D5" s="58"/>
      <c r="E5" s="62"/>
      <c r="F5" s="111">
        <f>Assumptions!F21</f>
        <v>4.3999999999999997E-2</v>
      </c>
      <c r="G5" s="111">
        <f>Assumptions!G21</f>
        <v>4.3999999999999997E-2</v>
      </c>
      <c r="H5" s="111">
        <f>Assumptions!H21</f>
        <v>4.3999999999999997E-2</v>
      </c>
      <c r="I5" s="111">
        <f>Assumptions!I21</f>
        <v>4.3999999999999997E-2</v>
      </c>
      <c r="J5" s="111">
        <f>Assumptions!J21</f>
        <v>4.3999999999999997E-2</v>
      </c>
      <c r="K5" s="30"/>
      <c r="L5" s="30"/>
    </row>
    <row r="6" spans="1:13" s="2" customFormat="1" x14ac:dyDescent="0.25">
      <c r="A6" s="11"/>
      <c r="B6" s="4" t="s">
        <v>26</v>
      </c>
      <c r="C6" s="31"/>
      <c r="D6" s="57"/>
      <c r="E6" s="61"/>
      <c r="F6" s="111">
        <f>Assumptions!F22</f>
        <v>3.4947184852537977E-2</v>
      </c>
      <c r="G6" s="111">
        <f>Assumptions!G22</f>
        <v>3.4947184852537977E-2</v>
      </c>
      <c r="H6" s="111">
        <f>Assumptions!H22</f>
        <v>3.4947184852537977E-2</v>
      </c>
      <c r="I6" s="111">
        <f>Assumptions!I22</f>
        <v>3.4947184852537977E-2</v>
      </c>
      <c r="J6" s="111">
        <f>Assumptions!J22</f>
        <v>3.4947184852537977E-2</v>
      </c>
      <c r="K6" s="30"/>
      <c r="L6" s="30"/>
    </row>
    <row r="7" spans="1:13" s="2" customFormat="1" x14ac:dyDescent="0.25">
      <c r="A7" s="11"/>
      <c r="B7" s="4"/>
      <c r="C7" s="31"/>
      <c r="D7" s="31"/>
      <c r="E7" s="31"/>
      <c r="F7" s="109"/>
      <c r="G7" s="109"/>
      <c r="H7" s="109"/>
      <c r="I7" s="110"/>
      <c r="J7" s="110"/>
      <c r="K7" s="212"/>
      <c r="L7" s="212"/>
    </row>
    <row r="8" spans="1:13" s="2" customFormat="1" x14ac:dyDescent="0.25">
      <c r="A8" s="11"/>
      <c r="B8" s="4" t="s">
        <v>27</v>
      </c>
      <c r="C8" s="31"/>
      <c r="D8" s="59"/>
      <c r="E8" s="63"/>
      <c r="F8" s="112">
        <f>Assumptions!F24</f>
        <v>0</v>
      </c>
      <c r="G8" s="112">
        <f>Assumptions!G24</f>
        <v>0</v>
      </c>
      <c r="H8" s="112">
        <f>Assumptions!H24</f>
        <v>0</v>
      </c>
      <c r="I8" s="112">
        <f>Assumptions!I24</f>
        <v>0</v>
      </c>
      <c r="J8" s="112">
        <f>Assumptions!J24</f>
        <v>0</v>
      </c>
      <c r="K8" s="213"/>
      <c r="L8" s="213"/>
    </row>
    <row r="9" spans="1:13" s="2" customFormat="1" x14ac:dyDescent="0.25">
      <c r="A9" s="11"/>
      <c r="B9" s="4" t="s">
        <v>28</v>
      </c>
      <c r="C9" s="31"/>
      <c r="D9" s="59"/>
      <c r="E9" s="63"/>
      <c r="F9" s="112">
        <f>Assumptions!F25</f>
        <v>0</v>
      </c>
      <c r="G9" s="112">
        <f>Assumptions!G25</f>
        <v>0</v>
      </c>
      <c r="H9" s="112">
        <f>Assumptions!H25</f>
        <v>0</v>
      </c>
      <c r="I9" s="112">
        <f>Assumptions!I25</f>
        <v>0</v>
      </c>
      <c r="J9" s="112">
        <f>Assumptions!J25</f>
        <v>0</v>
      </c>
      <c r="K9" s="213"/>
      <c r="L9" s="213"/>
    </row>
    <row r="10" spans="1:13" s="2" customFormat="1" ht="18.75" x14ac:dyDescent="0.3">
      <c r="A10" s="34"/>
      <c r="B10" s="3"/>
      <c r="C10" s="54"/>
      <c r="D10" s="54"/>
      <c r="E10" s="54"/>
      <c r="F10" s="108"/>
      <c r="G10" s="108"/>
      <c r="H10" s="108"/>
      <c r="I10" s="108"/>
      <c r="J10" s="108"/>
      <c r="K10" s="54"/>
      <c r="L10" s="54"/>
    </row>
    <row r="11" spans="1:13" x14ac:dyDescent="0.25">
      <c r="A11" s="21" t="s">
        <v>29</v>
      </c>
      <c r="B11" s="55"/>
      <c r="C11" s="156">
        <f>C2</f>
        <v>44926</v>
      </c>
      <c r="D11" s="156">
        <f t="shared" ref="D11:J11" si="0">D2</f>
        <v>45291</v>
      </c>
      <c r="E11" s="156">
        <f t="shared" si="0"/>
        <v>45657</v>
      </c>
      <c r="F11" s="156">
        <f t="shared" si="0"/>
        <v>46022</v>
      </c>
      <c r="G11" s="156">
        <f t="shared" si="0"/>
        <v>46387</v>
      </c>
      <c r="H11" s="156">
        <f t="shared" si="0"/>
        <v>46752</v>
      </c>
      <c r="I11" s="156">
        <f t="shared" si="0"/>
        <v>47118</v>
      </c>
      <c r="J11" s="156">
        <f t="shared" si="0"/>
        <v>47483</v>
      </c>
      <c r="K11" s="214"/>
      <c r="L11" s="214"/>
      <c r="M11" s="48"/>
    </row>
    <row r="12" spans="1:13" x14ac:dyDescent="0.25">
      <c r="B12" s="4" t="s">
        <v>30</v>
      </c>
      <c r="E12" s="28"/>
      <c r="F12" s="4" t="s">
        <v>200</v>
      </c>
      <c r="I12" s="4"/>
      <c r="J12" s="4"/>
      <c r="M12" s="48"/>
    </row>
    <row r="13" spans="1:13" x14ac:dyDescent="0.25">
      <c r="B13" s="4" t="s">
        <v>31</v>
      </c>
      <c r="E13" s="29"/>
      <c r="I13" s="4"/>
      <c r="J13" s="4"/>
      <c r="M13" s="48"/>
    </row>
    <row r="14" spans="1:13" x14ac:dyDescent="0.25">
      <c r="B14" s="4" t="s">
        <v>32</v>
      </c>
      <c r="E14" s="28"/>
      <c r="I14" s="4"/>
      <c r="J14" s="4"/>
      <c r="M14" s="48"/>
    </row>
    <row r="15" spans="1:13" x14ac:dyDescent="0.25">
      <c r="E15" s="28"/>
      <c r="I15" s="4"/>
      <c r="J15" s="4"/>
      <c r="M15" s="48"/>
    </row>
    <row r="16" spans="1:13" x14ac:dyDescent="0.25">
      <c r="A16" s="273" t="s">
        <v>33</v>
      </c>
      <c r="B16" s="20"/>
      <c r="C16" s="56">
        <f t="shared" ref="C16:J16" si="1">C11</f>
        <v>44926</v>
      </c>
      <c r="D16" s="56">
        <f t="shared" si="1"/>
        <v>45291</v>
      </c>
      <c r="E16" s="56">
        <f t="shared" si="1"/>
        <v>45657</v>
      </c>
      <c r="F16" s="56">
        <f t="shared" si="1"/>
        <v>46022</v>
      </c>
      <c r="G16" s="56">
        <f t="shared" si="1"/>
        <v>46387</v>
      </c>
      <c r="H16" s="56">
        <f t="shared" si="1"/>
        <v>46752</v>
      </c>
      <c r="I16" s="56">
        <f t="shared" si="1"/>
        <v>47118</v>
      </c>
      <c r="J16" s="56">
        <f t="shared" si="1"/>
        <v>47483</v>
      </c>
      <c r="K16" s="211"/>
      <c r="L16" s="211"/>
      <c r="M16" s="48"/>
    </row>
    <row r="17" spans="1:13" x14ac:dyDescent="0.25">
      <c r="B17" s="4" t="s">
        <v>19</v>
      </c>
      <c r="E17" s="28"/>
      <c r="F17" s="4">
        <f>E20</f>
        <v>13798.351000000001</v>
      </c>
      <c r="G17" s="4">
        <f t="shared" ref="G17:J17" si="2">F20</f>
        <v>13798.351000000001</v>
      </c>
      <c r="H17" s="4">
        <f t="shared" si="2"/>
        <v>13798.351000000001</v>
      </c>
      <c r="I17" s="4">
        <f t="shared" si="2"/>
        <v>13798.351000000001</v>
      </c>
      <c r="J17" s="4">
        <f t="shared" si="2"/>
        <v>13798.351000000001</v>
      </c>
      <c r="M17" s="48"/>
    </row>
    <row r="18" spans="1:13" x14ac:dyDescent="0.25">
      <c r="B18" s="4" t="s">
        <v>34</v>
      </c>
      <c r="E18" s="28"/>
      <c r="F18" s="4">
        <f>F8</f>
        <v>0</v>
      </c>
      <c r="G18" s="4">
        <f t="shared" ref="G18:J18" si="3">G8</f>
        <v>0</v>
      </c>
      <c r="H18" s="4">
        <f t="shared" si="3"/>
        <v>0</v>
      </c>
      <c r="I18" s="4">
        <f t="shared" si="3"/>
        <v>0</v>
      </c>
      <c r="J18" s="4">
        <f t="shared" si="3"/>
        <v>0</v>
      </c>
      <c r="M18" s="48"/>
    </row>
    <row r="19" spans="1:13" x14ac:dyDescent="0.25">
      <c r="B19" s="4" t="s">
        <v>35</v>
      </c>
      <c r="E19" s="28"/>
      <c r="F19" s="4">
        <f>F9</f>
        <v>0</v>
      </c>
      <c r="G19" s="4">
        <f t="shared" ref="G19:J19" si="4">G9</f>
        <v>0</v>
      </c>
      <c r="H19" s="4">
        <f t="shared" si="4"/>
        <v>0</v>
      </c>
      <c r="I19" s="4">
        <f t="shared" si="4"/>
        <v>0</v>
      </c>
      <c r="J19" s="4">
        <f t="shared" si="4"/>
        <v>0</v>
      </c>
    </row>
    <row r="20" spans="1:13" x14ac:dyDescent="0.25">
      <c r="B20" s="4" t="s">
        <v>22</v>
      </c>
      <c r="C20" s="10"/>
      <c r="E20" s="28">
        <f>BalSheet!E30</f>
        <v>13798.351000000001</v>
      </c>
      <c r="F20" s="4">
        <f>SUM(F17:F19)</f>
        <v>13798.351000000001</v>
      </c>
      <c r="G20" s="4">
        <f t="shared" ref="G20:J20" si="5">SUM(G17:G19)</f>
        <v>13798.351000000001</v>
      </c>
      <c r="H20" s="4">
        <f t="shared" si="5"/>
        <v>13798.351000000001</v>
      </c>
      <c r="I20" s="4">
        <f t="shared" si="5"/>
        <v>13798.351000000001</v>
      </c>
      <c r="J20" s="4">
        <f t="shared" si="5"/>
        <v>13798.351000000001</v>
      </c>
    </row>
    <row r="21" spans="1:13" x14ac:dyDescent="0.25">
      <c r="B21" s="4" t="s">
        <v>31</v>
      </c>
      <c r="D21" s="49"/>
      <c r="E21" s="28"/>
      <c r="F21" s="8">
        <f>F5</f>
        <v>4.3999999999999997E-2</v>
      </c>
      <c r="G21" s="8">
        <f t="shared" ref="G21:J21" si="6">G5</f>
        <v>4.3999999999999997E-2</v>
      </c>
      <c r="H21" s="8">
        <f t="shared" si="6"/>
        <v>4.3999999999999997E-2</v>
      </c>
      <c r="I21" s="8">
        <f t="shared" si="6"/>
        <v>4.3999999999999997E-2</v>
      </c>
      <c r="J21" s="8">
        <f t="shared" si="6"/>
        <v>4.3999999999999997E-2</v>
      </c>
    </row>
    <row r="22" spans="1:13" x14ac:dyDescent="0.25">
      <c r="B22" s="4" t="s">
        <v>32</v>
      </c>
      <c r="E22" s="28"/>
      <c r="F22" s="4">
        <f>F20*F21</f>
        <v>607.12744399999997</v>
      </c>
      <c r="G22" s="4">
        <f t="shared" ref="G22:J22" si="7">G20*G21</f>
        <v>607.12744399999997</v>
      </c>
      <c r="H22" s="4">
        <f t="shared" si="7"/>
        <v>607.12744399999997</v>
      </c>
      <c r="I22" s="4">
        <f t="shared" si="7"/>
        <v>607.12744399999997</v>
      </c>
      <c r="J22" s="4">
        <f t="shared" si="7"/>
        <v>607.12744399999997</v>
      </c>
    </row>
    <row r="23" spans="1:13" x14ac:dyDescent="0.25">
      <c r="E23" s="28"/>
      <c r="I23" s="4"/>
      <c r="J23" s="4"/>
    </row>
    <row r="24" spans="1:13" x14ac:dyDescent="0.25">
      <c r="A24" s="21" t="s">
        <v>36</v>
      </c>
      <c r="B24" s="43"/>
      <c r="C24" s="56">
        <f>C16</f>
        <v>44926</v>
      </c>
      <c r="D24" s="56">
        <f t="shared" ref="D24:J24" si="8">D16</f>
        <v>45291</v>
      </c>
      <c r="E24" s="56">
        <f t="shared" si="8"/>
        <v>45657</v>
      </c>
      <c r="F24" s="56">
        <f t="shared" si="8"/>
        <v>46022</v>
      </c>
      <c r="G24" s="56">
        <f t="shared" si="8"/>
        <v>46387</v>
      </c>
      <c r="H24" s="56">
        <f t="shared" si="8"/>
        <v>46752</v>
      </c>
      <c r="I24" s="56">
        <f t="shared" si="8"/>
        <v>47118</v>
      </c>
      <c r="J24" s="56">
        <f t="shared" si="8"/>
        <v>47483</v>
      </c>
      <c r="K24" s="211"/>
      <c r="L24" s="211"/>
    </row>
    <row r="25" spans="1:13" x14ac:dyDescent="0.25">
      <c r="A25" s="7"/>
      <c r="B25" s="4" t="s">
        <v>29</v>
      </c>
      <c r="E25" s="28"/>
      <c r="F25" s="4" t="s">
        <v>200</v>
      </c>
      <c r="G25" s="4" t="s">
        <v>200</v>
      </c>
      <c r="H25" s="4" t="s">
        <v>200</v>
      </c>
      <c r="I25" s="4" t="s">
        <v>200</v>
      </c>
      <c r="J25" s="4" t="s">
        <v>200</v>
      </c>
    </row>
    <row r="26" spans="1:13" x14ac:dyDescent="0.25">
      <c r="A26" s="7"/>
      <c r="B26" s="4" t="s">
        <v>37</v>
      </c>
      <c r="E26" s="28"/>
      <c r="F26" s="4">
        <f>F20</f>
        <v>13798.351000000001</v>
      </c>
      <c r="G26" s="4">
        <f t="shared" ref="G26:J26" si="9">G20</f>
        <v>13798.351000000001</v>
      </c>
      <c r="H26" s="4">
        <f t="shared" si="9"/>
        <v>13798.351000000001</v>
      </c>
      <c r="I26" s="4">
        <f t="shared" si="9"/>
        <v>13798.351000000001</v>
      </c>
      <c r="J26" s="4">
        <f t="shared" si="9"/>
        <v>13798.351000000001</v>
      </c>
    </row>
    <row r="27" spans="1:13" x14ac:dyDescent="0.25">
      <c r="A27" s="7"/>
      <c r="B27" s="11" t="s">
        <v>38</v>
      </c>
      <c r="D27" s="11"/>
      <c r="E27" s="25"/>
      <c r="F27" s="11">
        <f>F26</f>
        <v>13798.351000000001</v>
      </c>
      <c r="G27" s="11">
        <f t="shared" ref="G27:J27" si="10">G26</f>
        <v>13798.351000000001</v>
      </c>
      <c r="H27" s="11">
        <f t="shared" si="10"/>
        <v>13798.351000000001</v>
      </c>
      <c r="I27" s="11">
        <f t="shared" si="10"/>
        <v>13798.351000000001</v>
      </c>
      <c r="J27" s="11">
        <f t="shared" si="10"/>
        <v>13798.351000000001</v>
      </c>
      <c r="K27" s="11"/>
      <c r="L27" s="11"/>
    </row>
    <row r="28" spans="1:13" x14ac:dyDescent="0.25">
      <c r="A28" s="7"/>
      <c r="B28" s="4" t="s">
        <v>39</v>
      </c>
      <c r="E28" s="28"/>
      <c r="F28" s="4">
        <f>F22</f>
        <v>607.12744399999997</v>
      </c>
      <c r="G28" s="4">
        <f t="shared" ref="G28:J28" si="11">G22</f>
        <v>607.12744399999997</v>
      </c>
      <c r="H28" s="4">
        <f t="shared" si="11"/>
        <v>607.12744399999997</v>
      </c>
      <c r="I28" s="4">
        <f t="shared" si="11"/>
        <v>607.12744399999997</v>
      </c>
      <c r="J28" s="4">
        <f t="shared" si="11"/>
        <v>607.12744399999997</v>
      </c>
    </row>
    <row r="29" spans="1:13" x14ac:dyDescent="0.25">
      <c r="A29" s="7"/>
      <c r="E29" s="28"/>
      <c r="I29" s="4"/>
      <c r="J29" s="4"/>
    </row>
    <row r="30" spans="1:13" x14ac:dyDescent="0.25">
      <c r="A30" s="21" t="s">
        <v>40</v>
      </c>
      <c r="B30" s="43"/>
      <c r="C30" s="56">
        <f>C11</f>
        <v>44926</v>
      </c>
      <c r="D30" s="56">
        <f t="shared" ref="D30:J30" si="12">D11</f>
        <v>45291</v>
      </c>
      <c r="E30" s="56">
        <f t="shared" si="12"/>
        <v>45657</v>
      </c>
      <c r="F30" s="56">
        <f t="shared" si="12"/>
        <v>46022</v>
      </c>
      <c r="G30" s="56">
        <f t="shared" si="12"/>
        <v>46387</v>
      </c>
      <c r="H30" s="56">
        <f t="shared" si="12"/>
        <v>46752</v>
      </c>
      <c r="I30" s="56">
        <f t="shared" si="12"/>
        <v>47118</v>
      </c>
      <c r="J30" s="56">
        <f t="shared" si="12"/>
        <v>47483</v>
      </c>
      <c r="K30" s="211"/>
      <c r="L30" s="211"/>
    </row>
    <row r="31" spans="1:13" x14ac:dyDescent="0.25">
      <c r="A31" s="7"/>
      <c r="B31" s="4" t="s">
        <v>157</v>
      </c>
      <c r="E31" s="28"/>
      <c r="F31" s="4">
        <f>BalSheet!F14</f>
        <v>31638.850811683755</v>
      </c>
      <c r="G31" s="4">
        <f>BalSheet!G14</f>
        <v>58757.335772664963</v>
      </c>
      <c r="H31" s="4">
        <f>BalSheet!H14</f>
        <v>87402.628253264716</v>
      </c>
      <c r="I31" s="4">
        <f>BalSheet!I14</f>
        <v>117775.2858784017</v>
      </c>
      <c r="J31" s="4">
        <f>BalSheet!J14</f>
        <v>150101.48167517374</v>
      </c>
    </row>
    <row r="32" spans="1:13" x14ac:dyDescent="0.25">
      <c r="B32" s="4" t="s">
        <v>31</v>
      </c>
      <c r="D32" s="49"/>
      <c r="E32" s="24"/>
      <c r="F32" s="5">
        <f>F4</f>
        <v>0.05</v>
      </c>
      <c r="G32" s="5">
        <f t="shared" ref="G32:J32" si="13">G4</f>
        <v>0.05</v>
      </c>
      <c r="H32" s="5">
        <f t="shared" si="13"/>
        <v>0.05</v>
      </c>
      <c r="I32" s="5">
        <f t="shared" si="13"/>
        <v>0.05</v>
      </c>
      <c r="J32" s="5">
        <f t="shared" si="13"/>
        <v>0.05</v>
      </c>
      <c r="K32" s="179"/>
      <c r="L32" s="179"/>
    </row>
    <row r="33" spans="2:10" x14ac:dyDescent="0.25">
      <c r="B33" s="4" t="s">
        <v>40</v>
      </c>
      <c r="E33" s="28"/>
      <c r="F33" s="4">
        <f>F31*F32</f>
        <v>1581.9425405841878</v>
      </c>
      <c r="G33" s="4">
        <f t="shared" ref="G33:J33" si="14">G31*G32</f>
        <v>2937.8667886332482</v>
      </c>
      <c r="H33" s="4">
        <f t="shared" si="14"/>
        <v>4370.131412663236</v>
      </c>
      <c r="I33" s="4">
        <f t="shared" si="14"/>
        <v>5888.764293920085</v>
      </c>
      <c r="J33" s="4">
        <f t="shared" si="14"/>
        <v>7505.0740837586873</v>
      </c>
    </row>
    <row r="34" spans="2:10" x14ac:dyDescent="0.25">
      <c r="E34" s="28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36"/>
  <sheetViews>
    <sheetView showGridLines="0" zoomScaleNormal="100" workbookViewId="0">
      <selection activeCell="F13" sqref="F1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0" width="11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66" t="str">
        <f>CoName</f>
        <v>Netflix Inc.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/>
      <c r="L1" s="42"/>
    </row>
    <row r="2" spans="1:12" x14ac:dyDescent="0.25">
      <c r="A2" s="16" t="s">
        <v>10</v>
      </c>
      <c r="B2" s="15"/>
      <c r="C2" s="265">
        <v>44926</v>
      </c>
      <c r="D2" s="265">
        <v>45291</v>
      </c>
      <c r="E2" s="265">
        <v>45657</v>
      </c>
      <c r="F2" s="107">
        <v>46022</v>
      </c>
      <c r="G2" s="107">
        <v>46387</v>
      </c>
      <c r="H2" s="107">
        <v>46752</v>
      </c>
      <c r="I2" s="107">
        <v>47118</v>
      </c>
      <c r="J2" s="107">
        <v>47483</v>
      </c>
    </row>
    <row r="3" spans="1:12" x14ac:dyDescent="0.25">
      <c r="A3" s="88"/>
      <c r="C3" s="99"/>
      <c r="D3" s="99"/>
      <c r="E3" s="99"/>
    </row>
    <row r="4" spans="1:12" x14ac:dyDescent="0.25">
      <c r="B4" s="31" t="s">
        <v>42</v>
      </c>
      <c r="C4" s="32"/>
      <c r="D4" s="32"/>
      <c r="E4" s="33"/>
      <c r="F4" s="183">
        <f>Assumptions!F10</f>
        <v>0.14664029713907656</v>
      </c>
      <c r="G4" s="183">
        <f>Assumptions!G10</f>
        <v>0.12999999999999967</v>
      </c>
      <c r="H4" s="183">
        <f>Assumptions!H10</f>
        <v>0.13000000000000012</v>
      </c>
      <c r="I4" s="183">
        <f>Assumptions!I10</f>
        <v>0.12999999999999989</v>
      </c>
      <c r="J4" s="183">
        <f>Assumptions!J10</f>
        <v>0.12999999999999967</v>
      </c>
      <c r="K4" s="216"/>
      <c r="L4" s="216"/>
    </row>
    <row r="5" spans="1:12" x14ac:dyDescent="0.25">
      <c r="B5" s="31" t="s">
        <v>43</v>
      </c>
      <c r="C5" s="32"/>
      <c r="D5" s="32"/>
      <c r="E5" s="32"/>
      <c r="F5" s="183">
        <f>Assumptions!F11</f>
        <v>0.53943443349582676</v>
      </c>
      <c r="G5" s="183">
        <f>Assumptions!G11</f>
        <v>0.53943443349582676</v>
      </c>
      <c r="H5" s="183">
        <f>Assumptions!H11</f>
        <v>0.53943443349582676</v>
      </c>
      <c r="I5" s="183">
        <f>Assumptions!I11</f>
        <v>0.53943443349582676</v>
      </c>
      <c r="J5" s="183">
        <f>Assumptions!J11</f>
        <v>0.53943443349582676</v>
      </c>
      <c r="K5" s="216"/>
      <c r="L5" s="216"/>
    </row>
    <row r="6" spans="1:12" x14ac:dyDescent="0.25">
      <c r="B6" s="31" t="s">
        <v>44</v>
      </c>
      <c r="C6" s="32"/>
      <c r="D6" s="32"/>
      <c r="E6" s="32"/>
      <c r="F6" s="183">
        <f>Assumptions!F12</f>
        <v>0.19345387496299452</v>
      </c>
      <c r="G6" s="183">
        <f>Assumptions!G12</f>
        <v>0.19345387496299452</v>
      </c>
      <c r="H6" s="183">
        <f>Assumptions!H12</f>
        <v>0.19345387496299452</v>
      </c>
      <c r="I6" s="183">
        <f>Assumptions!I12</f>
        <v>0.19345387496299452</v>
      </c>
      <c r="J6" s="183">
        <f>Assumptions!J12</f>
        <v>0.19345387496299452</v>
      </c>
      <c r="K6" s="216"/>
      <c r="L6" s="216"/>
    </row>
    <row r="7" spans="1:12" x14ac:dyDescent="0.25">
      <c r="A7" s="88"/>
      <c r="B7" s="4" t="s">
        <v>45</v>
      </c>
      <c r="C7" s="31"/>
      <c r="D7" s="31"/>
      <c r="E7" s="31"/>
      <c r="F7" s="184">
        <f>Assumptions!F13</f>
        <v>15301.517</v>
      </c>
      <c r="G7" s="184">
        <f>Assumptions!G13</f>
        <v>15301.517</v>
      </c>
      <c r="H7" s="184">
        <f>Assumptions!H13</f>
        <v>15301.517</v>
      </c>
      <c r="I7" s="184">
        <f>Assumptions!I13</f>
        <v>15301.517</v>
      </c>
      <c r="J7" s="184">
        <f>Assumptions!J13</f>
        <v>15301.517</v>
      </c>
      <c r="K7" s="217"/>
      <c r="L7" s="217"/>
    </row>
    <row r="8" spans="1:12" x14ac:dyDescent="0.25">
      <c r="B8" s="31" t="s">
        <v>46</v>
      </c>
      <c r="C8" s="44"/>
      <c r="D8" s="44"/>
      <c r="E8" s="44"/>
      <c r="F8" s="183">
        <f>Assumptions!F14</f>
        <v>0.12583475429668109</v>
      </c>
      <c r="G8" s="183">
        <f>Assumptions!G14</f>
        <v>0.12583475429668109</v>
      </c>
      <c r="H8" s="183">
        <f>Assumptions!H14</f>
        <v>0.12583475429668109</v>
      </c>
      <c r="I8" s="183">
        <f>Assumptions!I14</f>
        <v>0.12583475429668109</v>
      </c>
      <c r="J8" s="183">
        <f>Assumptions!J14</f>
        <v>0.12583475429668109</v>
      </c>
      <c r="K8" s="216"/>
      <c r="L8" s="216"/>
    </row>
    <row r="9" spans="1:12" x14ac:dyDescent="0.25">
      <c r="B9" s="4" t="s">
        <v>47</v>
      </c>
      <c r="C9" s="31"/>
      <c r="D9" s="31"/>
      <c r="E9" s="40"/>
      <c r="F9" s="185">
        <f>Assumptions!F15</f>
        <v>429.51900000000001</v>
      </c>
      <c r="G9" s="185">
        <f>Assumptions!G15</f>
        <v>429.51900000000001</v>
      </c>
      <c r="H9" s="185">
        <f>Assumptions!H15</f>
        <v>429.51900000000001</v>
      </c>
      <c r="I9" s="185">
        <f>Assumptions!I15</f>
        <v>429.51900000000001</v>
      </c>
      <c r="J9" s="185">
        <f>Assumptions!J15</f>
        <v>429.51900000000001</v>
      </c>
      <c r="K9" s="218"/>
      <c r="L9" s="218"/>
    </row>
    <row r="10" spans="1:12" x14ac:dyDescent="0.25">
      <c r="B10" s="4" t="s">
        <v>48</v>
      </c>
      <c r="C10" s="31"/>
      <c r="D10" s="31"/>
      <c r="E10" s="40"/>
      <c r="F10" s="185">
        <f>Assumptions!F16</f>
        <v>439.26100000000002</v>
      </c>
      <c r="G10" s="185">
        <f>Assumptions!G16</f>
        <v>439.26100000000002</v>
      </c>
      <c r="H10" s="185">
        <f>Assumptions!H16</f>
        <v>439.26100000000002</v>
      </c>
      <c r="I10" s="185">
        <f>Assumptions!I16</f>
        <v>439.26100000000002</v>
      </c>
      <c r="J10" s="185">
        <f>Assumptions!J16</f>
        <v>439.26100000000002</v>
      </c>
      <c r="K10" s="218"/>
      <c r="L10" s="218"/>
    </row>
    <row r="11" spans="1:12" x14ac:dyDescent="0.25"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4.85" customHeight="1" x14ac:dyDescent="0.25">
      <c r="A12" s="186" t="s">
        <v>41</v>
      </c>
      <c r="B12" s="187"/>
      <c r="C12" s="156">
        <f>C30</f>
        <v>44926</v>
      </c>
      <c r="D12" s="156">
        <f t="shared" ref="D12:J12" si="0">D30</f>
        <v>45291</v>
      </c>
      <c r="E12" s="156">
        <f t="shared" si="0"/>
        <v>45657</v>
      </c>
      <c r="F12" s="156">
        <f t="shared" si="0"/>
        <v>46022</v>
      </c>
      <c r="G12" s="156">
        <f t="shared" si="0"/>
        <v>46022</v>
      </c>
      <c r="H12" s="156">
        <f t="shared" si="0"/>
        <v>46022</v>
      </c>
      <c r="I12" s="156">
        <f t="shared" si="0"/>
        <v>46022</v>
      </c>
      <c r="J12" s="156">
        <f t="shared" si="0"/>
        <v>46022</v>
      </c>
      <c r="K12" s="214"/>
      <c r="L12" s="214"/>
    </row>
    <row r="13" spans="1:12" x14ac:dyDescent="0.25">
      <c r="B13" s="4" t="s">
        <v>49</v>
      </c>
      <c r="C13" s="97">
        <v>31615.55</v>
      </c>
      <c r="D13" s="127">
        <v>33723.296999999999</v>
      </c>
      <c r="E13" s="23">
        <v>39000.966</v>
      </c>
      <c r="F13" s="4">
        <f>E13*(1+F4)</f>
        <v>44720.079242951026</v>
      </c>
      <c r="G13" s="4">
        <f t="shared" ref="G13:J13" si="1">F13*(1+G4)</f>
        <v>50533.689544534645</v>
      </c>
      <c r="H13" s="4">
        <f t="shared" si="1"/>
        <v>57103.069185324159</v>
      </c>
      <c r="I13" s="4">
        <f t="shared" si="1"/>
        <v>64526.46817941629</v>
      </c>
      <c r="J13" s="4">
        <f t="shared" si="1"/>
        <v>72914.909042740386</v>
      </c>
    </row>
    <row r="14" spans="1:12" x14ac:dyDescent="0.25">
      <c r="B14" s="4" t="s">
        <v>146</v>
      </c>
      <c r="C14" s="127">
        <v>19168.285</v>
      </c>
      <c r="D14" s="127">
        <v>19715.367999999999</v>
      </c>
      <c r="E14" s="23">
        <v>21038.464</v>
      </c>
      <c r="F14" s="181">
        <f>F13*F5</f>
        <v>24123.550612309769</v>
      </c>
      <c r="G14" s="181">
        <f t="shared" ref="G14:J14" si="2">G13*G5</f>
        <v>27259.61219191003</v>
      </c>
      <c r="H14" s="181">
        <f t="shared" si="2"/>
        <v>30803.361776858339</v>
      </c>
      <c r="I14" s="181">
        <f t="shared" si="2"/>
        <v>34807.798807849918</v>
      </c>
      <c r="J14" s="181">
        <f t="shared" si="2"/>
        <v>39332.812652870394</v>
      </c>
      <c r="K14" s="215"/>
      <c r="L14" s="215"/>
    </row>
    <row r="15" spans="1:12" x14ac:dyDescent="0.25">
      <c r="B15" s="4" t="s">
        <v>50</v>
      </c>
      <c r="C15" s="127">
        <f>2530.502+2711.041+1572.891</f>
        <v>6814.4339999999993</v>
      </c>
      <c r="D15" s="127">
        <f>2657.883+2675.758+1720.285</f>
        <v>7053.9259999999995</v>
      </c>
      <c r="E15" s="23">
        <f>2917.554+2925.295+1702.039</f>
        <v>7544.8879999999999</v>
      </c>
      <c r="F15" s="181">
        <f>F13*F6</f>
        <v>8651.2726182010538</v>
      </c>
      <c r="G15" s="181">
        <f t="shared" ref="G15:J15" si="3">G13*G6</f>
        <v>9775.9380585671879</v>
      </c>
      <c r="H15" s="181">
        <f t="shared" si="3"/>
        <v>11046.810006180925</v>
      </c>
      <c r="I15" s="181">
        <f t="shared" si="3"/>
        <v>12482.895306984443</v>
      </c>
      <c r="J15" s="181">
        <f t="shared" si="3"/>
        <v>14105.671696892417</v>
      </c>
      <c r="K15" s="215"/>
      <c r="L15" s="215"/>
    </row>
    <row r="16" spans="1:12" s="11" customFormat="1" x14ac:dyDescent="0.25">
      <c r="A16" s="11" t="s">
        <v>118</v>
      </c>
      <c r="B16" s="17" t="s">
        <v>53</v>
      </c>
      <c r="C16" s="18">
        <f>C13-SUM(C14:C15)</f>
        <v>5632.8310000000019</v>
      </c>
      <c r="D16" s="18">
        <f>D13-SUM(D14:D15)</f>
        <v>6954.0030000000006</v>
      </c>
      <c r="E16" s="18">
        <f>E13-SUM(E14:E15)</f>
        <v>10417.614000000001</v>
      </c>
      <c r="F16" s="18">
        <f>F13-SUM(F14:F15)</f>
        <v>11945.256012440201</v>
      </c>
      <c r="G16" s="18">
        <f t="shared" ref="G16:J16" si="4">G13-SUM(G14:G15)</f>
        <v>13498.13929405743</v>
      </c>
      <c r="H16" s="18">
        <f t="shared" si="4"/>
        <v>15252.897402284892</v>
      </c>
      <c r="I16" s="18">
        <f t="shared" si="4"/>
        <v>17235.774064581929</v>
      </c>
      <c r="J16" s="18">
        <f t="shared" si="4"/>
        <v>19476.424692977576</v>
      </c>
    </row>
    <row r="17" spans="1:12" s="11" customFormat="1" x14ac:dyDescent="0.25">
      <c r="E17" s="36"/>
    </row>
    <row r="18" spans="1:12" s="11" customFormat="1" x14ac:dyDescent="0.25">
      <c r="B18" s="4" t="s">
        <v>15</v>
      </c>
      <c r="C18" s="128">
        <v>336.68299999999999</v>
      </c>
      <c r="D18" s="128">
        <v>356.947</v>
      </c>
      <c r="E18" s="26">
        <v>328.91399999999999</v>
      </c>
      <c r="F18" s="4">
        <f>Calcs!F8</f>
        <v>351.47726698689326</v>
      </c>
      <c r="G18" s="4">
        <f>Calcs!G8</f>
        <v>385.11193599069742</v>
      </c>
      <c r="H18" s="4">
        <f>Calcs!H8</f>
        <v>425.77817236047002</v>
      </c>
      <c r="I18" s="4">
        <f>Calcs!I8</f>
        <v>473.80366682660218</v>
      </c>
      <c r="J18" s="4">
        <f>Calcs!J8</f>
        <v>529.68803388129129</v>
      </c>
      <c r="K18" s="4"/>
      <c r="L18" s="4"/>
    </row>
    <row r="19" spans="1:12" s="11" customFormat="1" x14ac:dyDescent="0.25">
      <c r="B19" s="4" t="s">
        <v>52</v>
      </c>
      <c r="C19" s="97">
        <v>14026.132</v>
      </c>
      <c r="D19" s="97">
        <v>14197.437</v>
      </c>
      <c r="E19" s="129">
        <v>15301.517</v>
      </c>
      <c r="F19" s="4">
        <f>F7</f>
        <v>15301.517</v>
      </c>
      <c r="G19" s="4">
        <f t="shared" ref="G19:J19" si="5">G7</f>
        <v>15301.517</v>
      </c>
      <c r="H19" s="4">
        <f t="shared" si="5"/>
        <v>15301.517</v>
      </c>
      <c r="I19" s="4">
        <f t="shared" si="5"/>
        <v>15301.517</v>
      </c>
      <c r="J19" s="4">
        <f t="shared" si="5"/>
        <v>15301.517</v>
      </c>
      <c r="K19" s="4"/>
      <c r="L19" s="4"/>
    </row>
    <row r="20" spans="1:12" s="132" customFormat="1" x14ac:dyDescent="0.25">
      <c r="A20" s="132" t="s">
        <v>118</v>
      </c>
      <c r="B20" s="133" t="s">
        <v>51</v>
      </c>
      <c r="C20" s="134">
        <f>SUM(C16,C18:C19)</f>
        <v>19995.646000000001</v>
      </c>
      <c r="D20" s="134">
        <f t="shared" ref="D20:F20" si="6">SUM(D16,D18:D19)</f>
        <v>21508.387000000002</v>
      </c>
      <c r="E20" s="134">
        <f t="shared" si="6"/>
        <v>26048.045000000002</v>
      </c>
      <c r="F20" s="134">
        <f t="shared" si="6"/>
        <v>27598.250279427091</v>
      </c>
      <c r="G20" s="134">
        <f t="shared" ref="G20" si="7">SUM(G16,G18:G19)</f>
        <v>29184.768230048125</v>
      </c>
      <c r="H20" s="134">
        <f t="shared" ref="H20" si="8">SUM(H16,H18:H19)</f>
        <v>30980.192574645363</v>
      </c>
      <c r="I20" s="134">
        <f t="shared" ref="I20" si="9">SUM(I16,I18:I19)</f>
        <v>33011.094731408535</v>
      </c>
      <c r="J20" s="134">
        <f t="shared" ref="J20" si="10">SUM(J16,J18:J19)</f>
        <v>35307.629726858868</v>
      </c>
    </row>
    <row r="21" spans="1:12" s="11" customFormat="1" x14ac:dyDescent="0.25">
      <c r="C21" s="13"/>
      <c r="D21" s="4"/>
      <c r="E21" s="37"/>
      <c r="F21" s="4"/>
      <c r="G21" s="4"/>
      <c r="H21" s="4"/>
      <c r="I21" s="4"/>
      <c r="J21" s="4"/>
      <c r="K21" s="13"/>
      <c r="L21" s="13"/>
    </row>
    <row r="22" spans="1:12" s="11" customFormat="1" x14ac:dyDescent="0.25">
      <c r="B22" s="4" t="s">
        <v>40</v>
      </c>
      <c r="C22" s="9">
        <v>337.31</v>
      </c>
      <c r="D22" s="9">
        <v>-48.771999999999998</v>
      </c>
      <c r="E22" s="46">
        <v>266.77600000000001</v>
      </c>
      <c r="F22" s="9">
        <f>IF(circ=1,Debt!F33,0)</f>
        <v>0</v>
      </c>
      <c r="G22" s="9">
        <f>IF(circ=1,Debt!G33,0)</f>
        <v>0</v>
      </c>
      <c r="H22" s="9">
        <f>IF(circ=1,Debt!H33,0)</f>
        <v>0</v>
      </c>
      <c r="I22" s="9">
        <f>IF(circ=1,Debt!I33,0)</f>
        <v>0</v>
      </c>
      <c r="J22" s="9">
        <f>IF(circ=1,Debt!J33,0)</f>
        <v>0</v>
      </c>
      <c r="K22" s="190"/>
      <c r="L22" s="190"/>
    </row>
    <row r="23" spans="1:12" x14ac:dyDescent="0.25">
      <c r="B23" s="4" t="s">
        <v>32</v>
      </c>
      <c r="C23" s="9">
        <v>-706.21199999999999</v>
      </c>
      <c r="D23" s="9">
        <v>-699.82600000000002</v>
      </c>
      <c r="E23" s="46">
        <v>-718.73299999999995</v>
      </c>
      <c r="F23" s="9">
        <f>IF(circ=1,Debt!F28,0)</f>
        <v>0</v>
      </c>
      <c r="G23" s="9">
        <f>IF(circ=1,Debt!G28,0)</f>
        <v>0</v>
      </c>
      <c r="H23" s="9">
        <f>IF(circ=1,Debt!H28,0)</f>
        <v>0</v>
      </c>
      <c r="I23" s="9">
        <f>IF(circ=1,Debt!I28,0)</f>
        <v>0</v>
      </c>
      <c r="J23" s="9">
        <f>IF(circ=1,Debt!J28,0)</f>
        <v>0</v>
      </c>
      <c r="K23" s="190"/>
      <c r="L23" s="190"/>
    </row>
    <row r="24" spans="1:12" x14ac:dyDescent="0.25">
      <c r="C24" s="10"/>
      <c r="D24" s="10"/>
      <c r="E24" s="23"/>
      <c r="H24" s="4"/>
    </row>
    <row r="25" spans="1:12" s="11" customFormat="1" x14ac:dyDescent="0.25">
      <c r="A25" s="11" t="s">
        <v>118</v>
      </c>
      <c r="B25" s="17" t="s">
        <v>78</v>
      </c>
      <c r="C25" s="18">
        <f>C16+SUM(C22:C23)</f>
        <v>5263.9290000000019</v>
      </c>
      <c r="D25" s="18">
        <f>D16+SUM(D22:D23)</f>
        <v>6205.4050000000007</v>
      </c>
      <c r="E25" s="18">
        <f>E16+SUM(E22:E23)</f>
        <v>9965.6570000000011</v>
      </c>
      <c r="F25" s="18">
        <f>F16+SUM(F22:F23)</f>
        <v>11945.256012440201</v>
      </c>
      <c r="G25" s="18">
        <f t="shared" ref="G25:J25" si="11">G16+SUM(G22:G23)</f>
        <v>13498.13929405743</v>
      </c>
      <c r="H25" s="18">
        <f t="shared" si="11"/>
        <v>15252.897402284892</v>
      </c>
      <c r="I25" s="18">
        <f t="shared" si="11"/>
        <v>17235.774064581929</v>
      </c>
      <c r="J25" s="18">
        <f t="shared" si="11"/>
        <v>19476.424692977576</v>
      </c>
    </row>
    <row r="26" spans="1:12" x14ac:dyDescent="0.25">
      <c r="E26" s="38"/>
      <c r="H26" s="4"/>
    </row>
    <row r="27" spans="1:12" x14ac:dyDescent="0.25">
      <c r="B27" s="4" t="s">
        <v>54</v>
      </c>
      <c r="C27" s="136">
        <v>772.005</v>
      </c>
      <c r="D27" s="4">
        <v>797.41499999999996</v>
      </c>
      <c r="E27" s="60">
        <v>1254.0260000000001</v>
      </c>
      <c r="F27" s="4">
        <f>F25*F8</f>
        <v>1503.1283553363651</v>
      </c>
      <c r="G27" s="4">
        <f t="shared" ref="G27:J27" si="12">G25*G8</f>
        <v>1698.5350415300929</v>
      </c>
      <c r="H27" s="4">
        <f t="shared" si="12"/>
        <v>1919.3445969290046</v>
      </c>
      <c r="I27" s="4">
        <f t="shared" si="12"/>
        <v>2168.8593945297753</v>
      </c>
      <c r="J27" s="4">
        <f t="shared" si="12"/>
        <v>2450.8111158186457</v>
      </c>
    </row>
    <row r="28" spans="1:12" s="11" customFormat="1" x14ac:dyDescent="0.25">
      <c r="A28" s="11" t="s">
        <v>118</v>
      </c>
      <c r="B28" s="17" t="s">
        <v>55</v>
      </c>
      <c r="C28" s="18">
        <f>C25-C27</f>
        <v>4491.9240000000018</v>
      </c>
      <c r="D28" s="18">
        <f t="shared" ref="D28:F28" si="13">D25-D27</f>
        <v>5407.9900000000007</v>
      </c>
      <c r="E28" s="18">
        <f t="shared" si="13"/>
        <v>8711.6310000000012</v>
      </c>
      <c r="F28" s="18">
        <f t="shared" si="13"/>
        <v>10442.127657103836</v>
      </c>
      <c r="G28" s="18">
        <f t="shared" ref="G28:J28" si="14">G25-G27</f>
        <v>11799.604252527337</v>
      </c>
      <c r="H28" s="18">
        <f t="shared" si="14"/>
        <v>13333.552805355888</v>
      </c>
      <c r="I28" s="18">
        <f t="shared" si="14"/>
        <v>15066.914670052152</v>
      </c>
      <c r="J28" s="18">
        <f t="shared" si="14"/>
        <v>17025.613577158932</v>
      </c>
    </row>
    <row r="29" spans="1:12" x14ac:dyDescent="0.25">
      <c r="B29" s="11"/>
      <c r="C29" s="11"/>
      <c r="D29" s="11"/>
      <c r="E29" s="36"/>
      <c r="F29" s="11"/>
      <c r="G29" s="11"/>
      <c r="H29" s="11"/>
      <c r="I29" s="11"/>
      <c r="J29" s="11"/>
      <c r="K29" s="11"/>
      <c r="L29" s="11"/>
    </row>
    <row r="30" spans="1:12" x14ac:dyDescent="0.25">
      <c r="A30" s="21" t="s">
        <v>56</v>
      </c>
      <c r="B30" s="20"/>
      <c r="C30" s="56">
        <v>44926</v>
      </c>
      <c r="D30" s="56">
        <v>45291</v>
      </c>
      <c r="E30" s="56">
        <v>45657</v>
      </c>
      <c r="F30" s="56">
        <v>46022</v>
      </c>
      <c r="G30" s="56">
        <v>46022</v>
      </c>
      <c r="H30" s="56">
        <v>46022</v>
      </c>
      <c r="I30" s="56">
        <v>46022</v>
      </c>
      <c r="J30" s="56">
        <v>46022</v>
      </c>
      <c r="K30" s="211"/>
      <c r="L30" s="211"/>
    </row>
    <row r="31" spans="1:12" x14ac:dyDescent="0.25">
      <c r="B31" s="4" t="s">
        <v>47</v>
      </c>
      <c r="C31" s="10">
        <v>444.69799999999998</v>
      </c>
      <c r="D31" s="10">
        <v>441.57100000000003</v>
      </c>
      <c r="E31" s="23">
        <v>429.51900000000001</v>
      </c>
      <c r="F31" s="182">
        <f>F9</f>
        <v>429.51900000000001</v>
      </c>
      <c r="G31" s="182">
        <f t="shared" ref="G31:J31" si="15">G9</f>
        <v>429.51900000000001</v>
      </c>
      <c r="H31" s="182">
        <f t="shared" si="15"/>
        <v>429.51900000000001</v>
      </c>
      <c r="I31" s="182">
        <f t="shared" si="15"/>
        <v>429.51900000000001</v>
      </c>
      <c r="J31" s="182">
        <f t="shared" si="15"/>
        <v>429.51900000000001</v>
      </c>
      <c r="K31" s="215"/>
      <c r="L31" s="215"/>
    </row>
    <row r="32" spans="1:12" x14ac:dyDescent="0.25">
      <c r="B32" s="4" t="s">
        <v>48</v>
      </c>
      <c r="C32" s="10">
        <v>451.29</v>
      </c>
      <c r="D32" s="10">
        <v>449.49799999999999</v>
      </c>
      <c r="E32" s="23">
        <v>439.26100000000002</v>
      </c>
      <c r="F32" s="182">
        <f>F10</f>
        <v>439.26100000000002</v>
      </c>
      <c r="G32" s="182">
        <f t="shared" ref="G32:J32" si="16">G10</f>
        <v>439.26100000000002</v>
      </c>
      <c r="H32" s="182">
        <f t="shared" si="16"/>
        <v>439.26100000000002</v>
      </c>
      <c r="I32" s="182">
        <f t="shared" si="16"/>
        <v>439.26100000000002</v>
      </c>
      <c r="J32" s="182">
        <f t="shared" si="16"/>
        <v>439.26100000000002</v>
      </c>
      <c r="K32" s="215"/>
      <c r="L32" s="215"/>
    </row>
    <row r="33" spans="1:12" x14ac:dyDescent="0.25">
      <c r="B33" s="4" t="s">
        <v>57</v>
      </c>
      <c r="C33" s="189">
        <f>C28/C31</f>
        <v>10.101066341652093</v>
      </c>
      <c r="D33" s="189">
        <f t="shared" ref="D33:E33" si="17">D28/D31</f>
        <v>12.247158441111397</v>
      </c>
      <c r="E33" s="286">
        <f t="shared" si="17"/>
        <v>20.282294846095287</v>
      </c>
      <c r="F33" s="287">
        <f t="shared" ref="F33:J33" si="18">F28/F31</f>
        <v>24.311212442531847</v>
      </c>
      <c r="G33" s="287">
        <f t="shared" si="18"/>
        <v>27.47167006006099</v>
      </c>
      <c r="H33" s="287">
        <f t="shared" si="18"/>
        <v>31.042987167868915</v>
      </c>
      <c r="I33" s="287">
        <f t="shared" si="18"/>
        <v>35.078575499691873</v>
      </c>
      <c r="J33" s="287">
        <f t="shared" si="18"/>
        <v>39.638790314651814</v>
      </c>
      <c r="K33" s="215"/>
      <c r="L33" s="215"/>
    </row>
    <row r="34" spans="1:12" s="11" customFormat="1" x14ac:dyDescent="0.25">
      <c r="A34" s="11" t="s">
        <v>118</v>
      </c>
      <c r="B34" s="17" t="s">
        <v>58</v>
      </c>
      <c r="C34" s="188">
        <f>C28/C32</f>
        <v>9.9535199095925044</v>
      </c>
      <c r="D34" s="188">
        <f t="shared" ref="D34:E34" si="19">D28/D32</f>
        <v>12.031177001899898</v>
      </c>
      <c r="E34" s="188">
        <f t="shared" si="19"/>
        <v>19.832470899988845</v>
      </c>
      <c r="F34" s="188">
        <f t="shared" ref="F34:J34" si="20">F28/F32</f>
        <v>23.772034524129925</v>
      </c>
      <c r="G34" s="188">
        <f t="shared" si="20"/>
        <v>26.86239901226682</v>
      </c>
      <c r="H34" s="188">
        <f t="shared" si="20"/>
        <v>30.354510883861504</v>
      </c>
      <c r="I34" s="188">
        <f t="shared" si="20"/>
        <v>34.300597298763492</v>
      </c>
      <c r="J34" s="188">
        <f t="shared" si="20"/>
        <v>38.759674947602747</v>
      </c>
      <c r="K34" s="219"/>
      <c r="L34" s="219"/>
    </row>
    <row r="35" spans="1:12" x14ac:dyDescent="0.25">
      <c r="C35" s="14"/>
      <c r="D35" s="14"/>
      <c r="E35" s="39"/>
      <c r="F35" s="14"/>
      <c r="G35" s="14"/>
      <c r="H35" s="14"/>
      <c r="I35" s="14"/>
      <c r="J35" s="14"/>
    </row>
    <row r="36" spans="1:12" x14ac:dyDescent="0.25">
      <c r="D36" s="14"/>
      <c r="E36" s="14"/>
      <c r="F36" s="14"/>
    </row>
  </sheetData>
  <conditionalFormatting sqref="F4:L10">
    <cfRule type="expression" dxfId="1" priority="39">
      <formula>$E$9&gt;1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0"/>
  <sheetViews>
    <sheetView showGridLines="0" zoomScaleNormal="100" workbookViewId="0">
      <selection activeCell="H13" sqref="H13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66" t="str">
        <f>CoName</f>
        <v>Netflix Inc.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/>
      <c r="L1" s="42"/>
    </row>
    <row r="2" spans="1:12" x14ac:dyDescent="0.25">
      <c r="A2" s="16" t="s">
        <v>10</v>
      </c>
      <c r="B2" s="65"/>
      <c r="C2" s="114">
        <v>44926</v>
      </c>
      <c r="D2" s="114">
        <v>45291</v>
      </c>
      <c r="E2" s="114">
        <v>45657</v>
      </c>
      <c r="F2" s="114">
        <v>46022</v>
      </c>
      <c r="G2" s="114">
        <v>46387</v>
      </c>
      <c r="H2" s="114">
        <v>46752</v>
      </c>
      <c r="I2" s="114">
        <v>47118</v>
      </c>
      <c r="J2" s="114">
        <v>47483</v>
      </c>
      <c r="K2" s="220"/>
      <c r="L2" s="220"/>
    </row>
    <row r="3" spans="1:12" x14ac:dyDescent="0.25">
      <c r="K3" s="6"/>
      <c r="L3" s="6"/>
    </row>
    <row r="4" spans="1:12" x14ac:dyDescent="0.25">
      <c r="B4" s="4" t="s">
        <v>131</v>
      </c>
      <c r="C4" s="44"/>
      <c r="D4" s="44"/>
      <c r="E4" s="45"/>
      <c r="F4" s="102">
        <f>Assumptions!F35</f>
        <v>0.05</v>
      </c>
      <c r="G4" s="102">
        <f>F4</f>
        <v>0.05</v>
      </c>
      <c r="H4" s="102">
        <f t="shared" ref="H4:J4" si="0">G4</f>
        <v>0.05</v>
      </c>
      <c r="I4" s="102">
        <f t="shared" si="0"/>
        <v>0.05</v>
      </c>
      <c r="J4" s="102">
        <f t="shared" si="0"/>
        <v>0.05</v>
      </c>
      <c r="K4" s="178"/>
      <c r="L4" s="178"/>
    </row>
    <row r="5" spans="1:12" x14ac:dyDescent="0.25">
      <c r="B5" s="4" t="s">
        <v>60</v>
      </c>
      <c r="C5" s="44"/>
      <c r="D5" s="44"/>
      <c r="E5" s="45"/>
      <c r="F5" s="102">
        <f>Assumptions!F36</f>
        <v>9.0168023017686269E-2</v>
      </c>
      <c r="G5" s="102">
        <f>Assumptions!G36</f>
        <v>9.0168023017686269E-2</v>
      </c>
      <c r="H5" s="102">
        <f>Assumptions!H36</f>
        <v>9.0168023017686269E-2</v>
      </c>
      <c r="I5" s="102">
        <f>Assumptions!I36</f>
        <v>9.0168023017686269E-2</v>
      </c>
      <c r="J5" s="102">
        <f>Assumptions!J36</f>
        <v>9.0168023017686269E-2</v>
      </c>
      <c r="K5" s="178"/>
      <c r="L5" s="178"/>
    </row>
    <row r="6" spans="1:12" x14ac:dyDescent="0.25">
      <c r="B6" s="4" t="s">
        <v>61</v>
      </c>
      <c r="C6" s="44"/>
      <c r="D6" s="44"/>
      <c r="E6" s="45"/>
      <c r="F6" s="102">
        <f>Assumptions!F37</f>
        <v>0.16624657450792374</v>
      </c>
      <c r="G6" s="102">
        <f>Assumptions!G37</f>
        <v>0.16624657450792374</v>
      </c>
      <c r="H6" s="102">
        <f>Assumptions!H37</f>
        <v>0.16624657450792374</v>
      </c>
      <c r="I6" s="102">
        <f>Assumptions!I37</f>
        <v>0.16624657450792374</v>
      </c>
      <c r="J6" s="102">
        <f>Assumptions!J37</f>
        <v>0.16624657450792374</v>
      </c>
      <c r="K6" s="178"/>
      <c r="L6" s="178"/>
    </row>
    <row r="7" spans="1:12" x14ac:dyDescent="0.25">
      <c r="C7" s="31"/>
      <c r="D7" s="31"/>
      <c r="E7" s="31"/>
      <c r="F7" s="103"/>
      <c r="G7" s="103"/>
      <c r="H7" s="103"/>
      <c r="I7" s="103"/>
      <c r="J7" s="103"/>
      <c r="K7" s="178"/>
      <c r="L7" s="178"/>
    </row>
    <row r="8" spans="1:12" x14ac:dyDescent="0.25">
      <c r="B8" s="4" t="s">
        <v>142</v>
      </c>
      <c r="C8" s="44"/>
      <c r="D8" s="44"/>
      <c r="E8" s="45"/>
      <c r="F8" s="102">
        <f>Assumptions!F41</f>
        <v>0.14527928464739631</v>
      </c>
      <c r="G8" s="102">
        <f>Assumptions!G41</f>
        <v>0.14527928464739631</v>
      </c>
      <c r="H8" s="102">
        <f>Assumptions!H41</f>
        <v>0.14527928464739631</v>
      </c>
      <c r="I8" s="102">
        <f>Assumptions!I41</f>
        <v>0.14527928464739631</v>
      </c>
      <c r="J8" s="102">
        <f>Assumptions!J41</f>
        <v>0.14527928464739631</v>
      </c>
      <c r="K8" s="178"/>
      <c r="L8" s="178"/>
    </row>
    <row r="9" spans="1:12" x14ac:dyDescent="0.25">
      <c r="B9" s="4" t="s">
        <v>62</v>
      </c>
      <c r="C9" s="44"/>
      <c r="D9" s="44"/>
      <c r="E9" s="27"/>
      <c r="F9" s="102">
        <f>Assumptions!F42</f>
        <v>0.15164993605543001</v>
      </c>
      <c r="G9" s="102">
        <f>Assumptions!G42</f>
        <v>0.15164993605543001</v>
      </c>
      <c r="H9" s="102">
        <f>Assumptions!H42</f>
        <v>0.15164993605543001</v>
      </c>
      <c r="I9" s="102">
        <f>Assumptions!I42</f>
        <v>0.15164993605543001</v>
      </c>
      <c r="J9" s="102">
        <f>Assumptions!J42</f>
        <v>0.15164993605543001</v>
      </c>
      <c r="K9" s="178"/>
      <c r="L9" s="178"/>
    </row>
    <row r="10" spans="1:12" x14ac:dyDescent="0.25">
      <c r="B10" s="4" t="s">
        <v>63</v>
      </c>
      <c r="C10" s="44"/>
      <c r="D10" s="44"/>
      <c r="E10" s="45"/>
      <c r="F10" s="268">
        <f>Assumptions!F43</f>
        <v>0.11110124810754689</v>
      </c>
      <c r="G10" s="268">
        <f>Assumptions!G43</f>
        <v>0.11110124810754689</v>
      </c>
      <c r="H10" s="268">
        <f>Assumptions!H43</f>
        <v>0.11110124810754689</v>
      </c>
      <c r="I10" s="268">
        <f>Assumptions!I43</f>
        <v>0.11110124810754689</v>
      </c>
      <c r="J10" s="268">
        <f>Assumptions!J43</f>
        <v>0.11110124810754689</v>
      </c>
      <c r="K10" s="178"/>
      <c r="L10" s="178"/>
    </row>
    <row r="11" spans="1:12" x14ac:dyDescent="0.25">
      <c r="C11" s="44"/>
      <c r="D11" s="44"/>
      <c r="E11" s="44"/>
      <c r="F11" s="103"/>
      <c r="G11" s="103"/>
      <c r="H11" s="103"/>
      <c r="I11" s="103"/>
      <c r="J11" s="103"/>
      <c r="K11" s="178"/>
      <c r="L11" s="178"/>
    </row>
    <row r="12" spans="1:12" ht="15" customHeight="1" x14ac:dyDescent="0.25">
      <c r="A12" s="186" t="s">
        <v>59</v>
      </c>
      <c r="B12" s="187"/>
      <c r="C12" s="156">
        <f>C2</f>
        <v>44926</v>
      </c>
      <c r="D12" s="156">
        <f>D2</f>
        <v>45291</v>
      </c>
      <c r="E12" s="156">
        <f>E2</f>
        <v>45657</v>
      </c>
      <c r="F12" s="156">
        <f>F2</f>
        <v>46022</v>
      </c>
      <c r="G12" s="156">
        <f>G2</f>
        <v>46387</v>
      </c>
      <c r="H12" s="156">
        <f>H2</f>
        <v>46752</v>
      </c>
      <c r="I12" s="156">
        <f>I2</f>
        <v>47118</v>
      </c>
      <c r="J12" s="156">
        <f>J2</f>
        <v>47483</v>
      </c>
      <c r="K12" s="214"/>
      <c r="L12" s="214"/>
    </row>
    <row r="13" spans="1:12" x14ac:dyDescent="0.25">
      <c r="B13" s="4" t="s">
        <v>147</v>
      </c>
      <c r="C13" s="193">
        <f>5%*IncState!C13</f>
        <v>1580.7775000000001</v>
      </c>
      <c r="D13" s="193">
        <f>5%*IncState!D13</f>
        <v>1686.1648500000001</v>
      </c>
      <c r="E13" s="194">
        <f>5%*IncState!E13</f>
        <v>1950.0483000000002</v>
      </c>
      <c r="F13" s="4">
        <f>F4*IncState!F13</f>
        <v>2236.0039621475512</v>
      </c>
      <c r="G13" s="4">
        <f>G4*IncState!G13</f>
        <v>2526.6844772267323</v>
      </c>
      <c r="H13" s="4">
        <f>H4*IncState!H13</f>
        <v>2855.1534592662083</v>
      </c>
      <c r="I13" s="4">
        <f>I4*IncState!I13</f>
        <v>3226.3234089708149</v>
      </c>
      <c r="J13" s="4">
        <f>J4*IncState!J13</f>
        <v>3645.7454521370196</v>
      </c>
    </row>
    <row r="14" spans="1:12" x14ac:dyDescent="0.25">
      <c r="B14" s="4" t="s">
        <v>148</v>
      </c>
      <c r="C14" s="193">
        <f>5147.176+911.276-C13</f>
        <v>4477.6745000000001</v>
      </c>
      <c r="D14" s="193">
        <f>7116.913+20.973-D13</f>
        <v>5451.7211499999994</v>
      </c>
      <c r="E14" s="194">
        <f>7804.733+1779.006-E13</f>
        <v>7633.6906999999992</v>
      </c>
      <c r="F14" s="290">
        <f>MAX(CashFlow!F22,0)</f>
        <v>31638.850811683755</v>
      </c>
      <c r="G14" s="290">
        <f>MAX(CashFlow!G22,0)</f>
        <v>58757.335772664963</v>
      </c>
      <c r="H14" s="290">
        <f>MAX(CashFlow!H22,0)</f>
        <v>87402.628253264716</v>
      </c>
      <c r="I14" s="290">
        <f>MAX(CashFlow!I22,0)</f>
        <v>117775.2858784017</v>
      </c>
      <c r="J14" s="290">
        <f>MAX(CashFlow!J22,0)</f>
        <v>150101.48167517374</v>
      </c>
    </row>
    <row r="15" spans="1:12" x14ac:dyDescent="0.25">
      <c r="B15" s="4" t="s">
        <v>64</v>
      </c>
      <c r="C15" s="195">
        <v>3208.0210000000002</v>
      </c>
      <c r="D15" s="195">
        <v>2780.2469999999998</v>
      </c>
      <c r="E15" s="196">
        <v>3516.64</v>
      </c>
      <c r="F15" s="4">
        <f>F5*IncState!F13</f>
        <v>4032.321134531162</v>
      </c>
      <c r="G15" s="4">
        <f>G5*IncState!G13</f>
        <v>4556.5228820202119</v>
      </c>
      <c r="H15" s="4">
        <f>H5*IncState!H13</f>
        <v>5148.87085668284</v>
      </c>
      <c r="I15" s="4">
        <f>I5*IncState!I13</f>
        <v>5818.2240680516088</v>
      </c>
      <c r="J15" s="4">
        <f>J5*IncState!J13</f>
        <v>6574.5931968983159</v>
      </c>
    </row>
    <row r="16" spans="1:12" s="11" customFormat="1" x14ac:dyDescent="0.25">
      <c r="B16" s="11" t="s">
        <v>65</v>
      </c>
      <c r="C16" s="11">
        <f>SUM(C13:C15)</f>
        <v>9266.473</v>
      </c>
      <c r="D16" s="11">
        <f>SUM(D13:D15)</f>
        <v>9918.1329999999998</v>
      </c>
      <c r="E16" s="25">
        <f>SUM(E13:E15)</f>
        <v>13100.378999999999</v>
      </c>
      <c r="F16" s="11">
        <f>SUM(F13:F15)</f>
        <v>37907.175908362471</v>
      </c>
      <c r="G16" s="11">
        <f t="shared" ref="G16:J16" si="1">SUM(G13:G15)</f>
        <v>65840.543131911909</v>
      </c>
      <c r="H16" s="11">
        <f t="shared" si="1"/>
        <v>95406.652569213766</v>
      </c>
      <c r="I16" s="11">
        <f t="shared" si="1"/>
        <v>126819.83335542413</v>
      </c>
      <c r="J16" s="11">
        <f t="shared" si="1"/>
        <v>160321.82032420908</v>
      </c>
    </row>
    <row r="17" spans="1:12" x14ac:dyDescent="0.25">
      <c r="A17" s="7"/>
      <c r="E17" s="28"/>
      <c r="I17" s="4"/>
      <c r="J17" s="4"/>
    </row>
    <row r="18" spans="1:12" x14ac:dyDescent="0.25">
      <c r="B18" s="4" t="s">
        <v>66</v>
      </c>
      <c r="C18" s="195">
        <v>1398.2570000000001</v>
      </c>
      <c r="D18" s="195">
        <v>1491.444</v>
      </c>
      <c r="E18" s="196">
        <v>1593.7560000000001</v>
      </c>
      <c r="F18" s="4">
        <f>Calcs!F9</f>
        <v>1746.2707159370223</v>
      </c>
      <c r="G18" s="4">
        <f>Calcs!G9</f>
        <v>1930.6697206503491</v>
      </c>
      <c r="H18" s="4">
        <f>Calcs!H9</f>
        <v>2148.4389112854269</v>
      </c>
      <c r="I18" s="4">
        <f>Calcs!I9</f>
        <v>2401.8437646437933</v>
      </c>
      <c r="J18" s="4">
        <f>Calcs!J9</f>
        <v>2693.9013585715165</v>
      </c>
    </row>
    <row r="19" spans="1:12" x14ac:dyDescent="0.25">
      <c r="B19" s="4" t="s">
        <v>149</v>
      </c>
      <c r="C19" s="195">
        <v>32736.713</v>
      </c>
      <c r="D19" s="195">
        <v>31658.056</v>
      </c>
      <c r="E19" s="196">
        <v>32452.462</v>
      </c>
      <c r="F19" s="135">
        <f>E19-IncState!F19</f>
        <v>17150.945</v>
      </c>
      <c r="G19" s="135">
        <f>F19-IncState!G19</f>
        <v>1849.4279999999999</v>
      </c>
      <c r="H19" s="135">
        <f>G19-IncState!H19</f>
        <v>-13452.089</v>
      </c>
      <c r="I19" s="135">
        <f>H19-IncState!I19</f>
        <v>-28753.606</v>
      </c>
      <c r="J19" s="135">
        <f>I19-IncState!J19</f>
        <v>-44055.123</v>
      </c>
      <c r="K19" s="135"/>
      <c r="L19" s="135"/>
    </row>
    <row r="20" spans="1:12" x14ac:dyDescent="0.25">
      <c r="B20" s="4" t="s">
        <v>150</v>
      </c>
      <c r="C20" s="195">
        <v>5193.3249999999998</v>
      </c>
      <c r="D20" s="195">
        <v>5664.3590000000004</v>
      </c>
      <c r="E20" s="196">
        <v>6483.777</v>
      </c>
      <c r="F20" s="4">
        <f>F6*IncState!F13</f>
        <v>7434.5599858635114</v>
      </c>
      <c r="G20" s="4">
        <f>G6*IncState!G13</f>
        <v>8401.0527840257655</v>
      </c>
      <c r="H20" s="4">
        <f>H6*IncState!H13</f>
        <v>9493.1896459491163</v>
      </c>
      <c r="I20" s="4">
        <f>I6*IncState!I13</f>
        <v>10727.3042999225</v>
      </c>
      <c r="J20" s="4">
        <f>J6*IncState!J13</f>
        <v>12121.853858912422</v>
      </c>
    </row>
    <row r="21" spans="1:12" s="11" customFormat="1" x14ac:dyDescent="0.25">
      <c r="B21" s="11" t="s">
        <v>67</v>
      </c>
      <c r="C21" s="11">
        <f>SUM(C18:C20)</f>
        <v>39328.294999999998</v>
      </c>
      <c r="D21" s="11">
        <f>SUM(D18:D20)</f>
        <v>38813.858999999997</v>
      </c>
      <c r="E21" s="25">
        <f>SUM(E18:E20)</f>
        <v>40529.995000000003</v>
      </c>
      <c r="F21" s="11">
        <f>SUM(F18:F20)</f>
        <v>26331.775701800532</v>
      </c>
      <c r="G21" s="11">
        <f t="shared" ref="G21:J21" si="2">SUM(G18:G20)</f>
        <v>12181.150504676114</v>
      </c>
      <c r="H21" s="11">
        <f t="shared" si="2"/>
        <v>-1810.4604427654576</v>
      </c>
      <c r="I21" s="11">
        <f t="shared" si="2"/>
        <v>-15624.457935433707</v>
      </c>
      <c r="J21" s="11">
        <f t="shared" si="2"/>
        <v>-29239.367782516063</v>
      </c>
    </row>
    <row r="22" spans="1:12" x14ac:dyDescent="0.25">
      <c r="E22" s="28"/>
      <c r="I22" s="4"/>
      <c r="J22" s="4"/>
    </row>
    <row r="23" spans="1:12" s="11" customFormat="1" x14ac:dyDescent="0.25">
      <c r="A23" s="11" t="s">
        <v>118</v>
      </c>
      <c r="B23" s="17" t="s">
        <v>68</v>
      </c>
      <c r="C23" s="18">
        <f>SUM(C21,C16)</f>
        <v>48594.767999999996</v>
      </c>
      <c r="D23" s="18">
        <f>SUM(D21,D16)</f>
        <v>48731.991999999998</v>
      </c>
      <c r="E23" s="18">
        <f>SUM(E21,E16)</f>
        <v>53630.374000000003</v>
      </c>
      <c r="F23" s="18">
        <f>SUM(F21,F16)</f>
        <v>64238.951610163</v>
      </c>
      <c r="G23" s="18">
        <f t="shared" ref="G23:J23" si="3">SUM(G21,G16)</f>
        <v>78021.693636588025</v>
      </c>
      <c r="H23" s="18">
        <f t="shared" si="3"/>
        <v>93596.19212644831</v>
      </c>
      <c r="I23" s="18">
        <f t="shared" si="3"/>
        <v>111195.37541999042</v>
      </c>
      <c r="J23" s="18">
        <f t="shared" si="3"/>
        <v>131082.45254169303</v>
      </c>
    </row>
    <row r="24" spans="1:12" x14ac:dyDescent="0.25">
      <c r="A24" s="11"/>
      <c r="E24" s="28"/>
      <c r="I24" s="4"/>
      <c r="J24" s="4"/>
      <c r="K24" s="6"/>
      <c r="L24" s="6"/>
    </row>
    <row r="25" spans="1:12" x14ac:dyDescent="0.25">
      <c r="B25" s="4" t="s">
        <v>69</v>
      </c>
      <c r="C25" s="9">
        <v>0</v>
      </c>
      <c r="D25" s="9">
        <v>399.84399999999999</v>
      </c>
      <c r="E25" s="46">
        <v>1784.453</v>
      </c>
      <c r="F25" s="290">
        <f>MIN(CashFlow!F22,0)</f>
        <v>0</v>
      </c>
      <c r="G25" s="290">
        <f>MIN(CashFlow!G22,0)</f>
        <v>0</v>
      </c>
      <c r="H25" s="290">
        <f>MIN(CashFlow!H22,0)</f>
        <v>0</v>
      </c>
      <c r="I25" s="290">
        <f>MIN(CashFlow!I22,0)</f>
        <v>0</v>
      </c>
      <c r="J25" s="290">
        <f>MIN(CashFlow!J22,0)</f>
        <v>0</v>
      </c>
    </row>
    <row r="26" spans="1:12" x14ac:dyDescent="0.25">
      <c r="B26" s="4" t="s">
        <v>141</v>
      </c>
      <c r="C26" s="195">
        <f>671.513+1514.65</f>
        <v>2186.163</v>
      </c>
      <c r="D26" s="9">
        <f>747.412+1803.96</f>
        <v>2551.3720000000003</v>
      </c>
      <c r="E26" s="46">
        <f>899.909+2156.544</f>
        <v>3056.453</v>
      </c>
      <c r="F26" s="4">
        <f>F8*IncState!F14</f>
        <v>3504.6521761116228</v>
      </c>
      <c r="G26" s="4">
        <f>G8*IncState!G14</f>
        <v>3960.2569590061321</v>
      </c>
      <c r="H26" s="4">
        <f>H8*IncState!H14</f>
        <v>4475.0903636769299</v>
      </c>
      <c r="I26" s="4">
        <f>I8*IncState!I14</f>
        <v>5056.8521109549301</v>
      </c>
      <c r="J26" s="4">
        <f>J8*IncState!J14</f>
        <v>5714.2428853790689</v>
      </c>
    </row>
    <row r="27" spans="1:12" x14ac:dyDescent="0.25">
      <c r="B27" s="4" t="s">
        <v>70</v>
      </c>
      <c r="C27" s="195">
        <f>7930.974-C26</f>
        <v>5744.8109999999997</v>
      </c>
      <c r="D27" s="190">
        <f>8860.655-SUM(D25:D26)</f>
        <v>5909.4390000000003</v>
      </c>
      <c r="E27" s="46">
        <f>10755.4-SUM(E25:E26)</f>
        <v>5914.4939999999997</v>
      </c>
      <c r="F27" s="4">
        <f>F9*IncState!F13</f>
        <v>6781.7971575872862</v>
      </c>
      <c r="G27" s="4">
        <f>G9*IncState!G13</f>
        <v>7663.4307880736305</v>
      </c>
      <c r="H27" s="4">
        <f>H9*IncState!H13</f>
        <v>8659.6767905232045</v>
      </c>
      <c r="I27" s="4">
        <f>I9*IncState!I13</f>
        <v>9785.4347732912192</v>
      </c>
      <c r="J27" s="4">
        <f>J9*IncState!J13</f>
        <v>11057.541293819075</v>
      </c>
    </row>
    <row r="28" spans="1:12" s="11" customFormat="1" x14ac:dyDescent="0.25">
      <c r="B28" s="11" t="s">
        <v>71</v>
      </c>
      <c r="C28" s="11">
        <f t="shared" ref="C28:E28" si="4">SUM(C25:C27)</f>
        <v>7930.9740000000002</v>
      </c>
      <c r="D28" s="11">
        <f t="shared" si="4"/>
        <v>8860.6550000000007</v>
      </c>
      <c r="E28" s="25">
        <f t="shared" si="4"/>
        <v>10755.4</v>
      </c>
      <c r="F28" s="11">
        <f>SUM(F25:F27)</f>
        <v>10286.449333698909</v>
      </c>
      <c r="G28" s="11">
        <f t="shared" ref="G28:J28" si="5">SUM(G25:G27)</f>
        <v>11623.687747079763</v>
      </c>
      <c r="H28" s="11">
        <f t="shared" si="5"/>
        <v>13134.767154200134</v>
      </c>
      <c r="I28" s="11">
        <f t="shared" si="5"/>
        <v>14842.28688424615</v>
      </c>
      <c r="J28" s="11">
        <f t="shared" si="5"/>
        <v>16771.784179198145</v>
      </c>
    </row>
    <row r="29" spans="1:12" x14ac:dyDescent="0.25">
      <c r="B29" s="11"/>
      <c r="E29" s="28"/>
      <c r="I29" s="4"/>
      <c r="J29" s="4"/>
    </row>
    <row r="30" spans="1:12" x14ac:dyDescent="0.25">
      <c r="B30" s="4" t="s">
        <v>72</v>
      </c>
      <c r="C30" s="195">
        <v>14353.075999999999</v>
      </c>
      <c r="D30" s="9">
        <v>14143.416999999999</v>
      </c>
      <c r="E30" s="46">
        <v>13798.351000000001</v>
      </c>
      <c r="F30" s="4">
        <f>E30-SUM(Debt!F8:F9)</f>
        <v>13798.351000000001</v>
      </c>
      <c r="G30" s="4">
        <f>F30-SUM(Debt!G8:G9)</f>
        <v>13798.351000000001</v>
      </c>
      <c r="H30" s="4">
        <f>G30-SUM(Debt!H8:H9)</f>
        <v>13798.351000000001</v>
      </c>
      <c r="I30" s="4">
        <f>H30-SUM(Debt!I8:I9)</f>
        <v>13798.351000000001</v>
      </c>
      <c r="J30" s="4">
        <f>I30-SUM(Debt!J8:J9)</f>
        <v>13798.351000000001</v>
      </c>
    </row>
    <row r="31" spans="1:12" x14ac:dyDescent="0.25">
      <c r="B31" s="4" t="s">
        <v>73</v>
      </c>
      <c r="C31" s="195">
        <f>27817.367-C30-C28</f>
        <v>5533.3169999999991</v>
      </c>
      <c r="D31" s="9">
        <f>28143.679-D30-D28</f>
        <v>5139.607</v>
      </c>
      <c r="E31" s="46">
        <f>28886.807-E30-E28</f>
        <v>4333.0560000000005</v>
      </c>
      <c r="F31" s="4">
        <f>F10*IncState!F13</f>
        <v>4968.4566193602595</v>
      </c>
      <c r="G31" s="4">
        <f>G10*IncState!G13</f>
        <v>5614.3559798770921</v>
      </c>
      <c r="H31" s="4">
        <f>H10*IncState!H13</f>
        <v>6344.2222572611145</v>
      </c>
      <c r="I31" s="4">
        <f>I10*IncState!I13</f>
        <v>7168.9711507050588</v>
      </c>
      <c r="J31" s="4">
        <f>J10*IncState!J13</f>
        <v>8100.9374002967133</v>
      </c>
    </row>
    <row r="32" spans="1:12" x14ac:dyDescent="0.25">
      <c r="B32" s="11" t="s">
        <v>74</v>
      </c>
      <c r="C32" s="11">
        <f t="shared" ref="C32:E32" si="6">SUM(C30:C31)</f>
        <v>19886.392999999996</v>
      </c>
      <c r="D32" s="11">
        <f t="shared" si="6"/>
        <v>19283.023999999998</v>
      </c>
      <c r="E32" s="25">
        <f t="shared" si="6"/>
        <v>18131.406999999999</v>
      </c>
      <c r="F32" s="11">
        <f>SUM(F30:F31)</f>
        <v>18766.807619360261</v>
      </c>
      <c r="G32" s="11">
        <f t="shared" ref="G32:J32" si="7">SUM(G30:G31)</f>
        <v>19412.706979877094</v>
      </c>
      <c r="H32" s="11">
        <f t="shared" si="7"/>
        <v>20142.573257261116</v>
      </c>
      <c r="I32" s="11">
        <f t="shared" si="7"/>
        <v>20967.322150705058</v>
      </c>
      <c r="J32" s="11">
        <f t="shared" si="7"/>
        <v>21899.288400296715</v>
      </c>
      <c r="K32" s="11"/>
      <c r="L32" s="11"/>
    </row>
    <row r="33" spans="1:12" x14ac:dyDescent="0.25">
      <c r="E33" s="28"/>
      <c r="I33" s="4"/>
      <c r="J33" s="4"/>
    </row>
    <row r="34" spans="1:12" x14ac:dyDescent="0.25">
      <c r="B34" s="4" t="s">
        <v>17</v>
      </c>
      <c r="C34" s="197">
        <v>20777.401000000002</v>
      </c>
      <c r="D34" s="197">
        <v>20588.312999999998</v>
      </c>
      <c r="E34" s="225">
        <v>24743.566999999999</v>
      </c>
      <c r="F34" s="4">
        <f>Calcs!F16</f>
        <v>35185.694657103835</v>
      </c>
      <c r="G34" s="4">
        <f>Calcs!G16</f>
        <v>46985.298909631172</v>
      </c>
      <c r="H34" s="4">
        <f>Calcs!H16</f>
        <v>60318.85171498706</v>
      </c>
      <c r="I34" s="4">
        <f>Calcs!I16</f>
        <v>75385.766385039213</v>
      </c>
      <c r="J34" s="4">
        <f>Calcs!J16</f>
        <v>92411.379962198145</v>
      </c>
    </row>
    <row r="35" spans="1:12" s="11" customFormat="1" x14ac:dyDescent="0.25">
      <c r="A35" s="11" t="s">
        <v>118</v>
      </c>
      <c r="B35" s="17" t="s">
        <v>75</v>
      </c>
      <c r="C35" s="18">
        <f>SUM(C34,C32,C28)</f>
        <v>48594.767999999996</v>
      </c>
      <c r="D35" s="18">
        <f>SUM(D34,D32,D28)</f>
        <v>48731.991999999998</v>
      </c>
      <c r="E35" s="18">
        <f t="shared" ref="E35:F35" si="8">SUM(E34,E32,E28)</f>
        <v>53630.374000000003</v>
      </c>
      <c r="F35" s="18">
        <f t="shared" si="8"/>
        <v>64238.951610163007</v>
      </c>
      <c r="G35" s="18">
        <f t="shared" ref="G35:J35" si="9">SUM(G34,G32,G28)</f>
        <v>78021.693636588025</v>
      </c>
      <c r="H35" s="18">
        <f t="shared" si="9"/>
        <v>93596.19212644831</v>
      </c>
      <c r="I35" s="18">
        <f t="shared" si="9"/>
        <v>111195.37541999042</v>
      </c>
      <c r="J35" s="18">
        <f t="shared" si="9"/>
        <v>131082.452541693</v>
      </c>
    </row>
    <row r="36" spans="1:12" x14ac:dyDescent="0.25">
      <c r="E36" s="28"/>
      <c r="I36" s="4"/>
      <c r="J36" s="4"/>
      <c r="K36" s="6"/>
      <c r="L36" s="6"/>
    </row>
    <row r="37" spans="1:12" x14ac:dyDescent="0.25">
      <c r="A37" s="4" t="s">
        <v>118</v>
      </c>
      <c r="B37" s="11" t="s">
        <v>76</v>
      </c>
      <c r="C37" s="47">
        <f>C35-C23</f>
        <v>0</v>
      </c>
      <c r="D37" s="47">
        <f t="shared" ref="D37:J37" si="10">D35-D23</f>
        <v>0</v>
      </c>
      <c r="E37" s="157">
        <f t="shared" si="10"/>
        <v>0</v>
      </c>
      <c r="F37" s="47">
        <f t="shared" si="10"/>
        <v>0</v>
      </c>
      <c r="G37" s="47">
        <f t="shared" ref="G37:J37" si="11">G35-G23</f>
        <v>0</v>
      </c>
      <c r="H37" s="47">
        <f t="shared" si="11"/>
        <v>0</v>
      </c>
      <c r="I37" s="47">
        <f t="shared" si="11"/>
        <v>0</v>
      </c>
      <c r="J37" s="47">
        <f t="shared" si="11"/>
        <v>0</v>
      </c>
      <c r="K37" s="47"/>
      <c r="L37" s="47"/>
    </row>
    <row r="38" spans="1:12" x14ac:dyDescent="0.25">
      <c r="I38" s="4"/>
      <c r="J38" s="4"/>
    </row>
    <row r="39" spans="1:12" x14ac:dyDescent="0.25">
      <c r="H39" s="6"/>
    </row>
    <row r="40" spans="1:12" x14ac:dyDescent="0.25">
      <c r="H40" s="6"/>
    </row>
    <row r="41" spans="1:12" x14ac:dyDescent="0.25">
      <c r="H41" s="6"/>
    </row>
    <row r="42" spans="1:12" x14ac:dyDescent="0.25">
      <c r="H42" s="6"/>
    </row>
    <row r="43" spans="1:12" x14ac:dyDescent="0.25">
      <c r="H43" s="6"/>
    </row>
    <row r="44" spans="1:12" x14ac:dyDescent="0.25">
      <c r="H44" s="6"/>
    </row>
    <row r="45" spans="1:12" x14ac:dyDescent="0.25">
      <c r="H45" s="6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</sheetData>
  <conditionalFormatting sqref="F4:L11">
    <cfRule type="expression" dxfId="0" priority="37">
      <formula>$E$10&gt;1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2"/>
  <sheetViews>
    <sheetView showGridLines="0" zoomScaleNormal="100" workbookViewId="0">
      <selection activeCell="F22" sqref="F22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66" t="str">
        <f>CoName</f>
        <v>Netflix Inc.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/>
      <c r="L1" s="42"/>
    </row>
    <row r="2" spans="1:12" s="2" customFormat="1" x14ac:dyDescent="0.25">
      <c r="A2" s="186" t="s">
        <v>77</v>
      </c>
      <c r="B2" s="187"/>
      <c r="C2" s="191">
        <v>2022</v>
      </c>
      <c r="D2" s="191">
        <f>C2+1</f>
        <v>2023</v>
      </c>
      <c r="E2" s="191">
        <f t="shared" ref="E2:J2" si="0">D2+1</f>
        <v>2024</v>
      </c>
      <c r="F2" s="191">
        <f t="shared" si="0"/>
        <v>2025</v>
      </c>
      <c r="G2" s="191">
        <f t="shared" si="0"/>
        <v>2026</v>
      </c>
      <c r="H2" s="191">
        <f t="shared" si="0"/>
        <v>2027</v>
      </c>
      <c r="I2" s="191">
        <f t="shared" si="0"/>
        <v>2028</v>
      </c>
      <c r="J2" s="191">
        <f t="shared" si="0"/>
        <v>2029</v>
      </c>
      <c r="K2" s="214"/>
      <c r="L2" s="214"/>
    </row>
    <row r="3" spans="1:12" x14ac:dyDescent="0.25">
      <c r="B3" s="4" t="s">
        <v>145</v>
      </c>
      <c r="F3" s="4">
        <f>IncState!F28</f>
        <v>10442.127657103836</v>
      </c>
      <c r="G3" s="4">
        <f>IncState!G28</f>
        <v>11799.604252527337</v>
      </c>
      <c r="H3" s="4">
        <f>IncState!H28</f>
        <v>13333.552805355888</v>
      </c>
      <c r="I3" s="4">
        <f>IncState!I28</f>
        <v>15066.914670052152</v>
      </c>
      <c r="J3" s="4">
        <f>IncState!J28</f>
        <v>17025.613577158932</v>
      </c>
    </row>
    <row r="4" spans="1:12" x14ac:dyDescent="0.25">
      <c r="B4" s="4" t="s">
        <v>15</v>
      </c>
      <c r="F4" s="4">
        <f>IncState!F18</f>
        <v>351.47726698689326</v>
      </c>
      <c r="G4" s="4">
        <f>IncState!G18</f>
        <v>385.11193599069742</v>
      </c>
      <c r="H4" s="4">
        <f>IncState!H18</f>
        <v>425.77817236047002</v>
      </c>
      <c r="I4" s="4">
        <f>IncState!I18</f>
        <v>473.80366682660218</v>
      </c>
      <c r="J4" s="4">
        <f>IncState!J18</f>
        <v>529.68803388129129</v>
      </c>
    </row>
    <row r="5" spans="1:12" x14ac:dyDescent="0.25">
      <c r="B5" s="4" t="s">
        <v>52</v>
      </c>
      <c r="F5" s="4">
        <f>IncState!F19</f>
        <v>15301.517</v>
      </c>
      <c r="G5" s="4">
        <f>IncState!G19</f>
        <v>15301.517</v>
      </c>
      <c r="H5" s="4">
        <f>IncState!H19</f>
        <v>15301.517</v>
      </c>
      <c r="I5" s="4">
        <f>IncState!I19</f>
        <v>15301.517</v>
      </c>
      <c r="J5" s="4">
        <f>IncState!J19</f>
        <v>15301.517</v>
      </c>
    </row>
    <row r="6" spans="1:12" x14ac:dyDescent="0.25">
      <c r="B6" s="4" t="s">
        <v>188</v>
      </c>
      <c r="F6" s="4">
        <f>Calcs!F23</f>
        <v>513.86553702019592</v>
      </c>
      <c r="G6" s="4">
        <f>Calcs!G23</f>
        <v>522.35615081262222</v>
      </c>
      <c r="H6" s="4">
        <f>Calcs!H23</f>
        <v>590.26245041826678</v>
      </c>
      <c r="I6" s="4">
        <f>Calcs!I23</f>
        <v>666.99656897264049</v>
      </c>
      <c r="J6" s="4">
        <f>Calcs!J23</f>
        <v>753.7061229390838</v>
      </c>
    </row>
    <row r="7" spans="1:12" x14ac:dyDescent="0.25">
      <c r="B7" s="4" t="s">
        <v>189</v>
      </c>
      <c r="F7" s="4">
        <f>BalSheet!E20-BalSheet!F20</f>
        <v>-950.78298586351139</v>
      </c>
      <c r="G7" s="4">
        <f>BalSheet!F20-BalSheet!G20</f>
        <v>-966.49279816225408</v>
      </c>
      <c r="H7" s="4">
        <f>BalSheet!G20-BalSheet!H20</f>
        <v>-1092.1368619233508</v>
      </c>
      <c r="I7" s="4">
        <f>BalSheet!H20-BalSheet!I20</f>
        <v>-1234.1146539733836</v>
      </c>
      <c r="J7" s="4">
        <f>BalSheet!I20-BalSheet!J20</f>
        <v>-1394.5495589899219</v>
      </c>
    </row>
    <row r="8" spans="1:12" x14ac:dyDescent="0.25">
      <c r="B8" s="4" t="s">
        <v>190</v>
      </c>
      <c r="F8" s="4">
        <f>BalSheet!F31-BalSheet!E31</f>
        <v>635.40061936025904</v>
      </c>
      <c r="G8" s="4">
        <f>BalSheet!G31-BalSheet!F31</f>
        <v>645.89936051683253</v>
      </c>
      <c r="H8" s="4">
        <f>BalSheet!H31-BalSheet!G31</f>
        <v>729.8662773840224</v>
      </c>
      <c r="I8" s="4">
        <f>BalSheet!I31-BalSheet!H31</f>
        <v>824.74889344394433</v>
      </c>
      <c r="J8" s="4">
        <f>BalSheet!J31-BalSheet!I31</f>
        <v>931.96624959165456</v>
      </c>
    </row>
    <row r="9" spans="1:12" s="11" customFormat="1" x14ac:dyDescent="0.25">
      <c r="B9" s="11" t="s">
        <v>191</v>
      </c>
      <c r="F9" s="11">
        <f>SUM(F3:F8)</f>
        <v>26293.605094607672</v>
      </c>
      <c r="G9" s="11">
        <f t="shared" ref="G9:J9" si="1">SUM(G3:G8)</f>
        <v>27687.995901685234</v>
      </c>
      <c r="H9" s="11">
        <f t="shared" si="1"/>
        <v>29288.839843595299</v>
      </c>
      <c r="I9" s="11">
        <f t="shared" si="1"/>
        <v>31099.866145321954</v>
      </c>
      <c r="J9" s="11">
        <f t="shared" si="1"/>
        <v>33147.94142458104</v>
      </c>
    </row>
    <row r="10" spans="1:12" x14ac:dyDescent="0.25">
      <c r="I10" s="4"/>
      <c r="J10" s="4"/>
    </row>
    <row r="11" spans="1:12" x14ac:dyDescent="0.25">
      <c r="B11" s="4" t="s">
        <v>14</v>
      </c>
      <c r="F11" s="4">
        <f>Calcs!F7</f>
        <v>503.99198292391549</v>
      </c>
      <c r="G11" s="4">
        <f>Calcs!G7</f>
        <v>569.51094070402439</v>
      </c>
      <c r="H11" s="4">
        <f>Calcs!H7</f>
        <v>643.54736299554759</v>
      </c>
      <c r="I11" s="4">
        <f>Calcs!I7</f>
        <v>727.20852018496873</v>
      </c>
      <c r="J11" s="4">
        <f>Calcs!J7</f>
        <v>821.74562780901442</v>
      </c>
    </row>
    <row r="12" spans="1:12" s="11" customFormat="1" x14ac:dyDescent="0.25">
      <c r="B12" s="11" t="s">
        <v>192</v>
      </c>
      <c r="F12" s="11">
        <f>-F11</f>
        <v>-503.99198292391549</v>
      </c>
      <c r="G12" s="11">
        <f t="shared" ref="G12:J12" si="2">-G11</f>
        <v>-569.51094070402439</v>
      </c>
      <c r="H12" s="11">
        <f t="shared" si="2"/>
        <v>-643.54736299554759</v>
      </c>
      <c r="I12" s="11">
        <f t="shared" si="2"/>
        <v>-727.20852018496873</v>
      </c>
      <c r="J12" s="11">
        <f t="shared" si="2"/>
        <v>-821.74562780901442</v>
      </c>
    </row>
    <row r="13" spans="1:12" x14ac:dyDescent="0.25">
      <c r="I13" s="4"/>
      <c r="J13" s="4"/>
    </row>
    <row r="14" spans="1:12" x14ac:dyDescent="0.25">
      <c r="B14" s="4" t="s">
        <v>193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</row>
    <row r="15" spans="1:12" x14ac:dyDescent="0.25">
      <c r="B15" s="4" t="s">
        <v>194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</row>
    <row r="16" spans="1:12" s="11" customFormat="1" x14ac:dyDescent="0.25">
      <c r="B16" s="11" t="s">
        <v>195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</row>
    <row r="17" spans="2:10" x14ac:dyDescent="0.25">
      <c r="I17" s="4"/>
      <c r="J17" s="4"/>
    </row>
    <row r="18" spans="2:10" x14ac:dyDescent="0.25">
      <c r="B18" s="4" t="s">
        <v>196</v>
      </c>
      <c r="F18" s="4">
        <f>SUM(F16,F12,F9)</f>
        <v>25789.613111683757</v>
      </c>
      <c r="G18" s="4">
        <f t="shared" ref="G18:J18" si="3">SUM(G16,G12,G9)</f>
        <v>27118.484960981208</v>
      </c>
      <c r="H18" s="4">
        <f t="shared" si="3"/>
        <v>28645.29248059975</v>
      </c>
      <c r="I18" s="4">
        <f t="shared" si="3"/>
        <v>30372.657625136984</v>
      </c>
      <c r="J18" s="4">
        <f t="shared" si="3"/>
        <v>32326.195796772026</v>
      </c>
    </row>
    <row r="19" spans="2:10" x14ac:dyDescent="0.25">
      <c r="I19" s="4"/>
      <c r="J19" s="4"/>
    </row>
    <row r="20" spans="2:10" x14ac:dyDescent="0.25">
      <c r="B20" s="4" t="s">
        <v>197</v>
      </c>
      <c r="F20" s="4">
        <f>BalSheet!E14</f>
        <v>7633.6906999999992</v>
      </c>
      <c r="G20" s="4">
        <f>BalSheet!F14</f>
        <v>31638.850811683755</v>
      </c>
      <c r="H20" s="4">
        <f>BalSheet!G14</f>
        <v>58757.335772664963</v>
      </c>
      <c r="I20" s="4">
        <f>BalSheet!H14</f>
        <v>87402.628253264716</v>
      </c>
      <c r="J20" s="4">
        <f>BalSheet!I14</f>
        <v>117775.2858784017</v>
      </c>
    </row>
    <row r="21" spans="2:10" x14ac:dyDescent="0.25">
      <c r="B21" s="4" t="s">
        <v>198</v>
      </c>
      <c r="F21" s="4">
        <f>F18</f>
        <v>25789.613111683757</v>
      </c>
      <c r="G21" s="4">
        <f t="shared" ref="G21:J21" si="4">G18</f>
        <v>27118.484960981208</v>
      </c>
      <c r="H21" s="4">
        <f t="shared" si="4"/>
        <v>28645.29248059975</v>
      </c>
      <c r="I21" s="4">
        <f t="shared" si="4"/>
        <v>30372.657625136984</v>
      </c>
      <c r="J21" s="4">
        <f t="shared" si="4"/>
        <v>32326.195796772026</v>
      </c>
    </row>
    <row r="22" spans="2:10" x14ac:dyDescent="0.25">
      <c r="B22" s="4" t="s">
        <v>199</v>
      </c>
      <c r="F22" s="4">
        <f>SUM(F20:F21)-BalSheet!E25</f>
        <v>31638.850811683755</v>
      </c>
      <c r="G22" s="4">
        <f>SUM(G20:G21)-BalSheet!F25</f>
        <v>58757.335772664963</v>
      </c>
      <c r="H22" s="4">
        <f>SUM(H20:H21)-BalSheet!G25</f>
        <v>87402.628253264716</v>
      </c>
      <c r="I22" s="4">
        <f>SUM(I20:I21)-BalSheet!H25</f>
        <v>117775.2858784017</v>
      </c>
      <c r="J22" s="4">
        <f>SUM(J20:J21)-BalSheet!I25</f>
        <v>150101.48167517374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C1" sqref="C1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66" t="str">
        <f>CoName</f>
        <v>Netflix Inc.</v>
      </c>
      <c r="B1" s="3"/>
      <c r="C1" s="42" t="s">
        <v>0</v>
      </c>
      <c r="D1" s="42" t="s">
        <v>0</v>
      </c>
      <c r="E1" s="42" t="s">
        <v>0</v>
      </c>
      <c r="F1" s="42" t="s">
        <v>1</v>
      </c>
      <c r="G1" s="42" t="s">
        <v>1</v>
      </c>
      <c r="H1" s="42" t="s">
        <v>1</v>
      </c>
      <c r="I1" s="42" t="s">
        <v>1</v>
      </c>
      <c r="J1" s="42" t="s">
        <v>1</v>
      </c>
      <c r="K1" s="42"/>
      <c r="L1" s="42"/>
    </row>
    <row r="2" spans="1:12" s="2" customFormat="1" ht="16.350000000000001" customHeight="1" x14ac:dyDescent="0.25">
      <c r="A2" s="186" t="s">
        <v>80</v>
      </c>
      <c r="B2" s="187"/>
      <c r="C2" s="191">
        <v>2022</v>
      </c>
      <c r="D2" s="191">
        <f>C2+1</f>
        <v>2023</v>
      </c>
      <c r="E2" s="191">
        <f t="shared" ref="E2:J2" si="0">D2+1</f>
        <v>2024</v>
      </c>
      <c r="F2" s="191">
        <f t="shared" si="0"/>
        <v>2025</v>
      </c>
      <c r="G2" s="191">
        <f t="shared" si="0"/>
        <v>2026</v>
      </c>
      <c r="H2" s="191">
        <f t="shared" si="0"/>
        <v>2027</v>
      </c>
      <c r="I2" s="191">
        <f t="shared" si="0"/>
        <v>2028</v>
      </c>
      <c r="J2" s="191">
        <f t="shared" si="0"/>
        <v>2029</v>
      </c>
      <c r="K2" s="214"/>
      <c r="L2" s="214"/>
    </row>
    <row r="3" spans="1:12" x14ac:dyDescent="0.25">
      <c r="A3" s="11" t="s">
        <v>118</v>
      </c>
      <c r="B3" s="4" t="s">
        <v>81</v>
      </c>
      <c r="D3" s="245"/>
      <c r="E3" s="24"/>
      <c r="F3" s="246">
        <f>IncState!F13</f>
        <v>44720.079242951026</v>
      </c>
      <c r="G3" s="246">
        <f>IncState!G13</f>
        <v>50533.689544534645</v>
      </c>
      <c r="H3" s="246">
        <f>IncState!H13</f>
        <v>57103.069185324159</v>
      </c>
      <c r="I3" s="246">
        <f>IncState!I13</f>
        <v>64526.46817941629</v>
      </c>
      <c r="J3" s="246">
        <f>IncState!J13</f>
        <v>72914.909042740386</v>
      </c>
      <c r="K3" s="222"/>
      <c r="L3" s="222"/>
    </row>
    <row r="4" spans="1:12" x14ac:dyDescent="0.25">
      <c r="B4" s="4" t="s">
        <v>53</v>
      </c>
      <c r="E4" s="28"/>
      <c r="F4" s="4">
        <f>IncState!F16</f>
        <v>11945.256012440201</v>
      </c>
      <c r="G4" s="4">
        <f>IncState!G16</f>
        <v>13498.13929405743</v>
      </c>
      <c r="H4" s="4">
        <f>IncState!H16</f>
        <v>15252.897402284892</v>
      </c>
      <c r="I4" s="4">
        <f>IncState!I16</f>
        <v>17235.774064581929</v>
      </c>
      <c r="J4" s="4">
        <f>IncState!J16</f>
        <v>19476.424692977576</v>
      </c>
    </row>
    <row r="5" spans="1:12" x14ac:dyDescent="0.25">
      <c r="B5" s="31" t="s">
        <v>86</v>
      </c>
      <c r="C5" s="31"/>
      <c r="D5" s="31"/>
      <c r="E5" s="40"/>
      <c r="F5" s="44">
        <f>IncState!F8</f>
        <v>0.12583475429668109</v>
      </c>
      <c r="G5" s="44">
        <f>IncState!G8</f>
        <v>0.12583475429668109</v>
      </c>
      <c r="H5" s="44">
        <f>IncState!H8</f>
        <v>0.12583475429668109</v>
      </c>
      <c r="I5" s="44">
        <f>IncState!I8</f>
        <v>0.12583475429668109</v>
      </c>
      <c r="J5" s="44">
        <f>IncState!J8</f>
        <v>0.12583475429668109</v>
      </c>
      <c r="K5" s="44"/>
      <c r="L5" s="44"/>
    </row>
    <row r="6" spans="1:12" x14ac:dyDescent="0.25">
      <c r="C6" s="5"/>
      <c r="D6" s="5"/>
      <c r="E6" s="24"/>
      <c r="F6" s="5"/>
      <c r="G6" s="5"/>
      <c r="H6" s="5"/>
      <c r="I6" s="5"/>
      <c r="J6" s="5"/>
      <c r="K6" s="179"/>
      <c r="L6" s="179"/>
    </row>
    <row r="7" spans="1:12" x14ac:dyDescent="0.25">
      <c r="A7" s="25" t="s">
        <v>118</v>
      </c>
      <c r="B7" s="22" t="s">
        <v>82</v>
      </c>
      <c r="C7" s="122"/>
      <c r="D7" s="122"/>
      <c r="E7" s="122"/>
      <c r="F7" s="137">
        <f t="shared" ref="F7:J7" si="1">F4*(1-F5)</f>
        <v>10442.127657103836</v>
      </c>
      <c r="G7" s="137">
        <f t="shared" ref="G7:J7" si="2">G4*(1-G5)</f>
        <v>11799.604252527337</v>
      </c>
      <c r="H7" s="137">
        <f t="shared" si="2"/>
        <v>13333.552805355886</v>
      </c>
      <c r="I7" s="137">
        <f t="shared" si="2"/>
        <v>15066.914670052152</v>
      </c>
      <c r="J7" s="171">
        <f t="shared" si="2"/>
        <v>17025.613577158929</v>
      </c>
      <c r="K7" s="222"/>
      <c r="L7" s="222"/>
    </row>
    <row r="8" spans="1:12" x14ac:dyDescent="0.25">
      <c r="B8" s="4" t="s">
        <v>15</v>
      </c>
      <c r="C8" s="122"/>
      <c r="D8" s="122"/>
      <c r="E8" s="123"/>
      <c r="F8" s="138">
        <f>CashFlow!F4</f>
        <v>351.47726698689326</v>
      </c>
      <c r="G8" s="138">
        <f>CashFlow!G4</f>
        <v>385.11193599069742</v>
      </c>
      <c r="H8" s="138">
        <f>CashFlow!H4</f>
        <v>425.77817236047002</v>
      </c>
      <c r="I8" s="138">
        <f>CashFlow!I4</f>
        <v>473.80366682660218</v>
      </c>
      <c r="J8" s="138">
        <f>CashFlow!J4</f>
        <v>529.68803388129129</v>
      </c>
      <c r="K8" s="221"/>
      <c r="L8" s="221"/>
    </row>
    <row r="9" spans="1:12" x14ac:dyDescent="0.25">
      <c r="B9" s="4" t="s">
        <v>52</v>
      </c>
      <c r="C9" s="5"/>
      <c r="D9" s="5"/>
      <c r="E9" s="24"/>
      <c r="F9" s="192">
        <f>CashFlow!F5</f>
        <v>15301.517</v>
      </c>
      <c r="G9" s="192">
        <f>CashFlow!G5</f>
        <v>15301.517</v>
      </c>
      <c r="H9" s="192">
        <f>CashFlow!H5</f>
        <v>15301.517</v>
      </c>
      <c r="I9" s="192">
        <f>CashFlow!I5</f>
        <v>15301.517</v>
      </c>
      <c r="J9" s="192">
        <f>CashFlow!J5</f>
        <v>15301.517</v>
      </c>
      <c r="K9" s="221"/>
      <c r="L9" s="221"/>
    </row>
    <row r="10" spans="1:12" x14ac:dyDescent="0.25">
      <c r="B10" s="4" t="s">
        <v>83</v>
      </c>
      <c r="C10" s="5"/>
      <c r="D10" s="5"/>
      <c r="E10" s="24"/>
      <c r="F10" s="192">
        <f>CashFlow!F6</f>
        <v>513.86553702019592</v>
      </c>
      <c r="G10" s="192">
        <f>CashFlow!G6</f>
        <v>522.35615081262222</v>
      </c>
      <c r="H10" s="192">
        <f>CashFlow!H6</f>
        <v>590.26245041826678</v>
      </c>
      <c r="I10" s="192">
        <f>CashFlow!I6</f>
        <v>666.99656897264049</v>
      </c>
      <c r="J10" s="192">
        <f>CashFlow!J6</f>
        <v>753.7061229390838</v>
      </c>
      <c r="K10" s="221"/>
      <c r="L10" s="221"/>
    </row>
    <row r="11" spans="1:12" x14ac:dyDescent="0.25">
      <c r="B11" s="4" t="s">
        <v>152</v>
      </c>
      <c r="C11" s="5"/>
      <c r="D11" s="5"/>
      <c r="E11" s="24"/>
      <c r="F11" s="192">
        <f>CashFlow!F7</f>
        <v>-950.78298586351139</v>
      </c>
      <c r="G11" s="192">
        <f>CashFlow!G7</f>
        <v>-966.49279816225408</v>
      </c>
      <c r="H11" s="192">
        <f>CashFlow!H7</f>
        <v>-1092.1368619233508</v>
      </c>
      <c r="I11" s="192">
        <f>CashFlow!I7</f>
        <v>-1234.1146539733836</v>
      </c>
      <c r="J11" s="192">
        <f>CashFlow!J7</f>
        <v>-1394.5495589899219</v>
      </c>
      <c r="K11" s="221"/>
      <c r="L11" s="221"/>
    </row>
    <row r="12" spans="1:12" x14ac:dyDescent="0.25">
      <c r="B12" s="4" t="s">
        <v>153</v>
      </c>
      <c r="E12" s="28"/>
      <c r="F12" s="192">
        <f>CashFlow!F8</f>
        <v>635.40061936025904</v>
      </c>
      <c r="G12" s="192">
        <f>CashFlow!G8</f>
        <v>645.89936051683253</v>
      </c>
      <c r="H12" s="192">
        <f>CashFlow!H8</f>
        <v>729.8662773840224</v>
      </c>
      <c r="I12" s="192">
        <f>CashFlow!I8</f>
        <v>824.74889344394433</v>
      </c>
      <c r="J12" s="192">
        <f>CashFlow!J8</f>
        <v>931.96624959165456</v>
      </c>
      <c r="K12" s="221"/>
      <c r="L12" s="221"/>
    </row>
    <row r="13" spans="1:12" x14ac:dyDescent="0.25">
      <c r="B13" s="4" t="s">
        <v>84</v>
      </c>
      <c r="E13" s="28"/>
      <c r="F13" s="135">
        <f>CashFlow!F12</f>
        <v>-503.99198292391549</v>
      </c>
      <c r="G13" s="135">
        <f>CashFlow!G12</f>
        <v>-569.51094070402439</v>
      </c>
      <c r="H13" s="135">
        <f>CashFlow!H12</f>
        <v>-643.54736299554759</v>
      </c>
      <c r="I13" s="135">
        <f>CashFlow!I12</f>
        <v>-727.20852018496873</v>
      </c>
      <c r="J13" s="135">
        <f>CashFlow!J12</f>
        <v>-821.74562780901442</v>
      </c>
      <c r="K13" s="135"/>
      <c r="L13" s="135"/>
    </row>
    <row r="14" spans="1:12" x14ac:dyDescent="0.25">
      <c r="E14" s="64"/>
      <c r="F14" s="139"/>
      <c r="G14" s="139"/>
      <c r="H14" s="139"/>
      <c r="I14" s="139"/>
      <c r="J14" s="139"/>
      <c r="K14" s="139"/>
      <c r="L14" s="139"/>
    </row>
    <row r="15" spans="1:12" s="11" customFormat="1" x14ac:dyDescent="0.25">
      <c r="A15" s="25" t="s">
        <v>118</v>
      </c>
      <c r="B15" s="35" t="s">
        <v>85</v>
      </c>
      <c r="C15" s="35"/>
      <c r="D15" s="35"/>
      <c r="E15" s="35"/>
      <c r="F15" s="35">
        <f>SUM(F7:F13)</f>
        <v>25789.613111683757</v>
      </c>
      <c r="G15" s="35">
        <f t="shared" ref="G15:J15" si="3">SUM(G7:G13)</f>
        <v>27118.484960981208</v>
      </c>
      <c r="H15" s="35">
        <f t="shared" si="3"/>
        <v>28645.292480599746</v>
      </c>
      <c r="I15" s="35">
        <f t="shared" si="3"/>
        <v>30372.657625136984</v>
      </c>
      <c r="J15" s="19">
        <f t="shared" si="3"/>
        <v>32326.195796772019</v>
      </c>
    </row>
    <row r="16" spans="1:12" x14ac:dyDescent="0.25">
      <c r="B16" s="67"/>
      <c r="C16" s="67"/>
      <c r="D16" s="67"/>
      <c r="E16" s="67"/>
      <c r="F16" s="67"/>
      <c r="G16" s="67"/>
      <c r="H16" s="67"/>
      <c r="I16" s="85"/>
      <c r="J16" s="85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B13" sqref="B13:E14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66" t="str">
        <f>CoName</f>
        <v>Netflix Inc.</v>
      </c>
    </row>
    <row r="2" spans="1:13" x14ac:dyDescent="0.25">
      <c r="G2" s="149"/>
    </row>
    <row r="3" spans="1:13" x14ac:dyDescent="0.25">
      <c r="A3" s="28" t="s">
        <v>118</v>
      </c>
      <c r="B3" s="168" t="s">
        <v>94</v>
      </c>
      <c r="C3" s="169"/>
      <c r="D3" s="169"/>
      <c r="E3" s="170"/>
      <c r="F3" s="11"/>
      <c r="G3" s="78" t="s">
        <v>102</v>
      </c>
      <c r="H3" s="78" t="s">
        <v>97</v>
      </c>
      <c r="I3" s="78" t="s">
        <v>98</v>
      </c>
      <c r="J3" s="78" t="s">
        <v>99</v>
      </c>
      <c r="K3" s="78" t="s">
        <v>100</v>
      </c>
      <c r="L3" s="78" t="s">
        <v>105</v>
      </c>
      <c r="M3" s="78" t="s">
        <v>101</v>
      </c>
    </row>
    <row r="4" spans="1:13" x14ac:dyDescent="0.25">
      <c r="A4" s="28"/>
      <c r="B4" s="269" t="s">
        <v>154</v>
      </c>
      <c r="C4" s="68"/>
      <c r="D4" s="73"/>
      <c r="E4" s="270">
        <f>Assumptions!F14</f>
        <v>0.12583475429668109</v>
      </c>
      <c r="G4" s="141" t="s">
        <v>202</v>
      </c>
      <c r="H4" s="142">
        <v>1.21</v>
      </c>
      <c r="I4" s="81">
        <f>14168+346</f>
        <v>14514</v>
      </c>
      <c r="J4" s="82">
        <v>16550</v>
      </c>
      <c r="K4" s="144">
        <f>I4/J4</f>
        <v>0.87697885196374625</v>
      </c>
      <c r="L4" s="158">
        <f>E4</f>
        <v>0.12583475429668109</v>
      </c>
      <c r="M4" s="145">
        <f>H4/((1+K4*(1-L4)))</f>
        <v>0.68492203378614069</v>
      </c>
    </row>
    <row r="5" spans="1:13" x14ac:dyDescent="0.25">
      <c r="A5" s="28"/>
      <c r="B5" s="68" t="s">
        <v>87</v>
      </c>
      <c r="C5" s="68"/>
      <c r="D5" s="73"/>
      <c r="E5" s="140">
        <v>0.04</v>
      </c>
      <c r="G5" s="141" t="s">
        <v>201</v>
      </c>
      <c r="H5" s="142">
        <v>1.49</v>
      </c>
      <c r="I5" s="81">
        <f>5732+36531</f>
        <v>42263</v>
      </c>
      <c r="J5" s="82">
        <f>1800*110.88</f>
        <v>199584</v>
      </c>
      <c r="K5" s="144">
        <f t="shared" ref="K5:K7" si="0">I5/J5</f>
        <v>0.21175545133878468</v>
      </c>
      <c r="L5" s="158">
        <f>L4</f>
        <v>0.12583475429668109</v>
      </c>
      <c r="M5" s="145">
        <f t="shared" ref="M5:M7" si="1">H5/((1+K5*(1-L5)))</f>
        <v>1.2572680470341273</v>
      </c>
    </row>
    <row r="6" spans="1:13" x14ac:dyDescent="0.25">
      <c r="A6" s="28"/>
      <c r="B6" s="68" t="s">
        <v>88</v>
      </c>
      <c r="C6" s="68"/>
      <c r="D6" s="73"/>
      <c r="E6" s="140">
        <v>0.05</v>
      </c>
      <c r="G6" s="141" t="s">
        <v>203</v>
      </c>
      <c r="H6" s="143">
        <v>1.61</v>
      </c>
      <c r="I6" s="83">
        <f>139+33382</f>
        <v>33521</v>
      </c>
      <c r="J6" s="82">
        <f>22.59*2500</f>
        <v>56475</v>
      </c>
      <c r="K6" s="144">
        <f t="shared" si="0"/>
        <v>0.59355467020805663</v>
      </c>
      <c r="L6" s="158">
        <f t="shared" ref="L6:L7" si="2">L5</f>
        <v>0.12583475429668109</v>
      </c>
      <c r="M6" s="145">
        <f t="shared" si="1"/>
        <v>1.0600021358265976</v>
      </c>
    </row>
    <row r="7" spans="1:13" x14ac:dyDescent="0.25">
      <c r="A7" s="28"/>
      <c r="B7" s="68" t="s">
        <v>89</v>
      </c>
      <c r="C7" s="68"/>
      <c r="D7" s="73"/>
      <c r="E7" s="227">
        <f>M11</f>
        <v>0.88428330751536888</v>
      </c>
      <c r="G7" s="141" t="s">
        <v>204</v>
      </c>
      <c r="H7" s="143">
        <v>0.83</v>
      </c>
      <c r="I7" s="83">
        <f>5852+93211</f>
        <v>99063</v>
      </c>
      <c r="J7" s="84">
        <f>3600*27.41</f>
        <v>98676</v>
      </c>
      <c r="K7" s="144">
        <f t="shared" si="0"/>
        <v>1.0039219263042685</v>
      </c>
      <c r="L7" s="158">
        <f t="shared" si="2"/>
        <v>0.12583475429668109</v>
      </c>
      <c r="M7" s="145">
        <f t="shared" si="1"/>
        <v>0.44205517884019618</v>
      </c>
    </row>
    <row r="8" spans="1:13" x14ac:dyDescent="0.25">
      <c r="A8" s="28"/>
      <c r="B8" s="68" t="s">
        <v>90</v>
      </c>
      <c r="C8" s="68"/>
      <c r="D8" s="73"/>
      <c r="E8" s="140">
        <f>E5+E6*E7</f>
        <v>8.4214165375768452E-2</v>
      </c>
      <c r="L8" s="67"/>
    </row>
    <row r="9" spans="1:13" x14ac:dyDescent="0.25">
      <c r="A9" s="28"/>
      <c r="B9" s="69" t="s">
        <v>91</v>
      </c>
      <c r="C9" s="69"/>
      <c r="D9" s="74"/>
      <c r="E9" s="146">
        <f>1-E10</f>
        <v>0.96914954222526317</v>
      </c>
      <c r="G9" s="4" t="s">
        <v>103</v>
      </c>
      <c r="L9" s="28"/>
      <c r="M9" s="226">
        <f>AVERAGE(M4:M7)</f>
        <v>0.86106184887176551</v>
      </c>
    </row>
    <row r="10" spans="1:13" x14ac:dyDescent="0.25">
      <c r="A10" s="28"/>
      <c r="B10" s="70" t="s">
        <v>92</v>
      </c>
      <c r="C10" s="70"/>
      <c r="D10" s="75"/>
      <c r="E10" s="147">
        <f>MAIN!F8/MAIN!F6</f>
        <v>3.0850457774736821E-2</v>
      </c>
      <c r="M10" s="67"/>
    </row>
    <row r="11" spans="1:13" x14ac:dyDescent="0.25">
      <c r="A11" s="28"/>
      <c r="B11" s="167" t="s">
        <v>165</v>
      </c>
      <c r="C11" s="71"/>
      <c r="D11" s="76"/>
      <c r="E11" s="148">
        <v>0</v>
      </c>
      <c r="G11" s="4" t="s">
        <v>104</v>
      </c>
      <c r="L11" s="28"/>
      <c r="M11" s="226">
        <f>M9*(1+E10*(1-E4))</f>
        <v>0.88428330751536888</v>
      </c>
    </row>
    <row r="12" spans="1:13" x14ac:dyDescent="0.25">
      <c r="A12" s="28"/>
      <c r="B12" s="72" t="s">
        <v>93</v>
      </c>
      <c r="C12" s="72"/>
      <c r="D12" s="77"/>
      <c r="E12" s="148">
        <f>E11*(1-E4)</f>
        <v>0</v>
      </c>
      <c r="M12" s="67"/>
    </row>
    <row r="13" spans="1:13" s="11" customFormat="1" x14ac:dyDescent="0.25">
      <c r="A13" s="25" t="s">
        <v>118</v>
      </c>
      <c r="B13" s="168" t="s">
        <v>94</v>
      </c>
      <c r="C13" s="169"/>
      <c r="D13" s="170"/>
      <c r="E13" s="164">
        <f>WACC!E8*WACC!E9+WACC!E12*WACC!E10</f>
        <v>8.16161198228086E-2</v>
      </c>
      <c r="F13" s="4"/>
    </row>
    <row r="14" spans="1:13" s="11" customFormat="1" x14ac:dyDescent="0.25">
      <c r="A14" s="25"/>
      <c r="B14" s="78" t="s">
        <v>95</v>
      </c>
      <c r="C14" s="78"/>
      <c r="D14" s="115"/>
      <c r="E14" s="150">
        <v>2.5000000000000001E-2</v>
      </c>
      <c r="F14" s="4"/>
    </row>
    <row r="15" spans="1:13" x14ac:dyDescent="0.25">
      <c r="B15" s="67"/>
      <c r="C15" s="67"/>
      <c r="D15" s="67"/>
      <c r="E15" s="67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5"/>
  <sheetViews>
    <sheetView showGridLines="0" topLeftCell="C1" zoomScaleNormal="100" workbookViewId="0">
      <selection activeCell="I13" sqref="I13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3" width="12.7109375" style="4" customWidth="1"/>
    <col min="4" max="4" width="15.85546875" style="4" customWidth="1"/>
    <col min="5" max="5" width="10.42578125" style="4" customWidth="1"/>
    <col min="6" max="6" width="12.140625" style="4" customWidth="1"/>
    <col min="7" max="7" width="11.42578125" style="4" bestFit="1" customWidth="1"/>
    <col min="8" max="8" width="11.7109375" style="4" customWidth="1"/>
    <col min="9" max="12" width="9" style="4" customWidth="1"/>
    <col min="13" max="16384" width="9" style="4"/>
  </cols>
  <sheetData>
    <row r="1" spans="1:17" ht="19.5" x14ac:dyDescent="0.3">
      <c r="A1" s="266" t="str">
        <f>CoName</f>
        <v>Netflix Inc.</v>
      </c>
      <c r="B1" s="3"/>
      <c r="C1" s="3"/>
      <c r="D1" s="42" t="s">
        <v>1</v>
      </c>
      <c r="E1" s="42" t="s">
        <v>1</v>
      </c>
      <c r="F1" s="42" t="s">
        <v>1</v>
      </c>
      <c r="G1" s="42" t="s">
        <v>1</v>
      </c>
      <c r="H1" s="42" t="s">
        <v>1</v>
      </c>
      <c r="I1" s="42"/>
      <c r="J1" s="42"/>
      <c r="K1" s="42"/>
      <c r="L1" s="42"/>
      <c r="M1" s="42"/>
    </row>
    <row r="2" spans="1:17" x14ac:dyDescent="0.25">
      <c r="A2" s="78" t="s">
        <v>106</v>
      </c>
      <c r="B2" s="20"/>
      <c r="C2" s="43"/>
      <c r="D2" s="78">
        <v>0.5</v>
      </c>
      <c r="E2" s="78">
        <f>D2+1</f>
        <v>1.5</v>
      </c>
      <c r="F2" s="78">
        <f t="shared" ref="F2:H2" si="0">E2+1</f>
        <v>2.5</v>
      </c>
      <c r="G2" s="78">
        <f t="shared" si="0"/>
        <v>3.5</v>
      </c>
      <c r="H2" s="78">
        <f t="shared" si="0"/>
        <v>4.5</v>
      </c>
      <c r="I2" s="275"/>
      <c r="J2" s="275"/>
      <c r="K2" s="275"/>
      <c r="L2" s="165"/>
      <c r="M2" s="165"/>
      <c r="N2" s="165"/>
    </row>
    <row r="3" spans="1:17" x14ac:dyDescent="0.25">
      <c r="B3" s="4" t="s">
        <v>206</v>
      </c>
      <c r="D3" s="8">
        <f>1/(1+$M$3)^D2</f>
        <v>0.96153129638666202</v>
      </c>
      <c r="E3" s="8">
        <f>1/(1+$M$3)^E2</f>
        <v>0.88897648506216875</v>
      </c>
      <c r="F3" s="8">
        <f>1/(1+$M$3)^F2</f>
        <v>0.8218964832068163</v>
      </c>
      <c r="G3" s="8">
        <f>1/(1+$M$3)^G2</f>
        <v>0.75987817502337152</v>
      </c>
      <c r="H3" s="8">
        <f>1/(1+$M$3)^H2</f>
        <v>0.70253961742716575</v>
      </c>
      <c r="J3" s="168" t="s">
        <v>94</v>
      </c>
      <c r="K3" s="169"/>
      <c r="L3" s="170"/>
      <c r="M3" s="164">
        <f>WACC!E13</f>
        <v>8.16161198228086E-2</v>
      </c>
    </row>
    <row r="4" spans="1:17" x14ac:dyDescent="0.25">
      <c r="B4" s="4" t="s">
        <v>205</v>
      </c>
      <c r="D4" s="4">
        <f>D3*'Free Cash Flow'!F15</f>
        <v>24797.520128587741</v>
      </c>
      <c r="E4" s="4">
        <f>E3*'Free Cash Flow'!G15</f>
        <v>24107.695440824358</v>
      </c>
      <c r="F4" s="4">
        <f>F3*'Free Cash Flow'!H15</f>
        <v>23543.465150235592</v>
      </c>
      <c r="G4" s="4">
        <f>G3*'Free Cash Flow'!I15</f>
        <v>23079.519646798781</v>
      </c>
      <c r="H4" s="4">
        <f>H3*'Free Cash Flow'!J15</f>
        <v>22710.43322793987</v>
      </c>
      <c r="J4" s="78" t="s">
        <v>95</v>
      </c>
      <c r="K4" s="78"/>
      <c r="L4" s="115"/>
      <c r="M4" s="150">
        <v>2.5000000000000001E-2</v>
      </c>
    </row>
    <row r="5" spans="1:17" x14ac:dyDescent="0.25">
      <c r="G5" s="149"/>
      <c r="H5" s="4">
        <f>((H4*(1+M4)))/(M3-M4)</f>
        <v>411158.41444966733</v>
      </c>
    </row>
    <row r="6" spans="1:17" x14ac:dyDescent="0.25">
      <c r="A6" s="78" t="s">
        <v>107</v>
      </c>
      <c r="B6" s="20"/>
      <c r="C6" s="43"/>
      <c r="D6" s="87"/>
      <c r="E6" s="78" t="s">
        <v>159</v>
      </c>
      <c r="F6" s="20"/>
      <c r="G6" s="43"/>
      <c r="H6" s="87" t="s">
        <v>155</v>
      </c>
    </row>
    <row r="7" spans="1:17" x14ac:dyDescent="0.25">
      <c r="B7" s="4" t="s">
        <v>108</v>
      </c>
      <c r="C7" s="4">
        <f>SUM(D4:H4)</f>
        <v>118238.63359438635</v>
      </c>
      <c r="E7" s="4" t="s">
        <v>108</v>
      </c>
      <c r="G7" s="4">
        <f>C7</f>
        <v>118238.63359438635</v>
      </c>
      <c r="I7" s="176"/>
      <c r="J7" s="176"/>
      <c r="K7" s="176" t="s">
        <v>207</v>
      </c>
      <c r="L7" s="176"/>
      <c r="N7" s="176"/>
      <c r="O7" s="176"/>
      <c r="P7" s="176" t="s">
        <v>208</v>
      </c>
      <c r="Q7" s="176"/>
    </row>
    <row r="8" spans="1:17" x14ac:dyDescent="0.25">
      <c r="B8" s="4" t="s">
        <v>109</v>
      </c>
      <c r="C8" s="4">
        <f>H5*H3</f>
        <v>288855.07518942934</v>
      </c>
      <c r="E8" s="4" t="s">
        <v>160</v>
      </c>
      <c r="G8" s="4">
        <f>G10*IncState!J20*'DCF Model'!H3</f>
        <v>285257.59982652572</v>
      </c>
      <c r="I8" s="176">
        <f>C18</f>
        <v>926.08056138691609</v>
      </c>
      <c r="J8" s="236">
        <f>K8-E23</f>
        <v>2.2500000000000003E-2</v>
      </c>
      <c r="K8" s="236">
        <v>2.5000000000000001E-2</v>
      </c>
      <c r="L8" s="236">
        <f>K8+E23</f>
        <v>2.75E-2</v>
      </c>
      <c r="N8" s="176">
        <f>G18</f>
        <v>917.79219245485319</v>
      </c>
      <c r="O8" s="233">
        <f>P8-1</f>
        <v>10.5</v>
      </c>
      <c r="P8" s="233">
        <v>11.5</v>
      </c>
      <c r="Q8" s="233">
        <f>P8+1</f>
        <v>12.5</v>
      </c>
    </row>
    <row r="9" spans="1:17" x14ac:dyDescent="0.25">
      <c r="B9" s="4" t="s">
        <v>110</v>
      </c>
      <c r="C9" s="4">
        <f>SUM(C7:C8)</f>
        <v>407093.70878381567</v>
      </c>
      <c r="E9" s="4" t="s">
        <v>110</v>
      </c>
      <c r="G9" s="4">
        <f>SUM(G7:G8)</f>
        <v>403496.23342091206</v>
      </c>
      <c r="I9" s="236">
        <f>I10+$E$22</f>
        <v>9.1616119822808609E-2</v>
      </c>
      <c r="J9" s="291">
        <f t="dataTable" ref="J9:L13" dt2D="1" dtr="1" r1="M4" r2="M3"/>
        <v>755.09800233025624</v>
      </c>
      <c r="K9" s="231">
        <v>775.15415606380316</v>
      </c>
      <c r="L9" s="291">
        <v>796.77435904026845</v>
      </c>
      <c r="N9" s="236">
        <f t="shared" ref="N9:N10" si="1">I9</f>
        <v>9.1616119822808609E-2</v>
      </c>
      <c r="O9" s="291">
        <f t="dataTable" ref="O9:Q13" dt2D="1" dtr="1" r1="G10" r2="M3" ca="1"/>
        <v>830.23415640908718</v>
      </c>
      <c r="P9" s="231">
        <v>885.06501899491946</v>
      </c>
      <c r="Q9" s="291">
        <v>939.89588158075162</v>
      </c>
    </row>
    <row r="10" spans="1:17" x14ac:dyDescent="0.25">
      <c r="C10" s="86"/>
      <c r="E10" s="4" t="s">
        <v>111</v>
      </c>
      <c r="G10" s="86">
        <v>11.5</v>
      </c>
      <c r="I10" s="236">
        <f>I11+$E$22</f>
        <v>8.6616119822808604E-2</v>
      </c>
      <c r="J10" s="291">
        <v>819.90189180256584</v>
      </c>
      <c r="K10" s="231">
        <v>844.15096409247053</v>
      </c>
      <c r="L10" s="291">
        <v>870.45100592863366</v>
      </c>
      <c r="N10" s="236">
        <f t="shared" si="1"/>
        <v>8.6616119822808604E-2</v>
      </c>
      <c r="O10" s="291">
        <v>845.25476665589463</v>
      </c>
      <c r="P10" s="231">
        <v>901.23016123972423</v>
      </c>
      <c r="Q10" s="291">
        <v>957.2055558235536</v>
      </c>
    </row>
    <row r="11" spans="1:17" x14ac:dyDescent="0.25">
      <c r="I11" s="236">
        <v>8.16161198228086E-2</v>
      </c>
      <c r="J11" s="231">
        <v>896.38205405173801</v>
      </c>
      <c r="K11" s="231">
        <v>926.08056138691609</v>
      </c>
      <c r="L11" s="231">
        <v>958.52302998838798</v>
      </c>
      <c r="N11" s="236">
        <f>I11</f>
        <v>8.16161198228086E-2</v>
      </c>
      <c r="O11" s="231">
        <v>860.64293010615313</v>
      </c>
      <c r="P11" s="231">
        <v>917.79219245485319</v>
      </c>
      <c r="Q11" s="231">
        <v>974.94145480355337</v>
      </c>
    </row>
    <row r="12" spans="1:17" x14ac:dyDescent="0.25">
      <c r="B12" s="28" t="s">
        <v>112</v>
      </c>
      <c r="C12" s="38">
        <f>MAIN!F7</f>
        <v>9324.3919999999998</v>
      </c>
      <c r="E12" s="28" t="s">
        <v>112</v>
      </c>
      <c r="F12" s="161"/>
      <c r="G12" s="38">
        <f>C12</f>
        <v>9324.3919999999998</v>
      </c>
      <c r="I12" s="236">
        <f>I11-$E$22</f>
        <v>7.6616119822808595E-2</v>
      </c>
      <c r="J12" s="291">
        <v>987.82609092385724</v>
      </c>
      <c r="K12" s="231">
        <v>1024.755029509274</v>
      </c>
      <c r="L12" s="291">
        <v>1065.4433182549478</v>
      </c>
      <c r="N12" s="236">
        <f t="shared" ref="N12:N13" si="2">I12</f>
        <v>7.6616119822808595E-2</v>
      </c>
      <c r="O12" s="291">
        <v>876.40957673654088</v>
      </c>
      <c r="P12" s="231">
        <v>934.76293539499295</v>
      </c>
      <c r="Q12" s="291">
        <v>993.1162940534449</v>
      </c>
    </row>
    <row r="13" spans="1:17" x14ac:dyDescent="0.25">
      <c r="B13" s="28" t="s">
        <v>113</v>
      </c>
      <c r="C13" s="38">
        <f>MAIN!F8</f>
        <v>14463.02</v>
      </c>
      <c r="E13" s="28" t="s">
        <v>113</v>
      </c>
      <c r="F13" s="161"/>
      <c r="G13" s="38">
        <f t="shared" ref="G13:G14" si="3">C13</f>
        <v>14463.02</v>
      </c>
      <c r="I13" s="236">
        <f>I12-$E$22</f>
        <v>7.1616119822808591E-2</v>
      </c>
      <c r="J13" s="291">
        <v>1098.863880385479</v>
      </c>
      <c r="K13" s="231">
        <v>1145.6257405586625</v>
      </c>
      <c r="L13" s="291">
        <v>1197.6874616852801</v>
      </c>
      <c r="N13" s="236">
        <f t="shared" si="2"/>
        <v>7.1616119822808591E-2</v>
      </c>
      <c r="O13" s="291">
        <v>892.56601679265157</v>
      </c>
      <c r="P13" s="231">
        <v>952.15462458100433</v>
      </c>
      <c r="Q13" s="291">
        <v>1011.7432323693567</v>
      </c>
    </row>
    <row r="14" spans="1:17" x14ac:dyDescent="0.25">
      <c r="B14" s="28" t="s">
        <v>114</v>
      </c>
      <c r="C14" s="80">
        <v>0</v>
      </c>
      <c r="E14" s="4" t="s">
        <v>114</v>
      </c>
      <c r="F14" s="28"/>
      <c r="G14" s="38">
        <f t="shared" si="3"/>
        <v>0</v>
      </c>
      <c r="I14" s="176"/>
      <c r="J14" s="176"/>
      <c r="K14" s="176"/>
      <c r="L14" s="176"/>
      <c r="N14" s="176"/>
      <c r="O14" s="176"/>
      <c r="P14" s="176"/>
      <c r="Q14" s="176"/>
    </row>
    <row r="15" spans="1:17" x14ac:dyDescent="0.25">
      <c r="B15" s="4" t="s">
        <v>115</v>
      </c>
      <c r="C15" s="67">
        <f>C9+C12-C13</f>
        <v>401955.08078381565</v>
      </c>
      <c r="E15" s="4" t="s">
        <v>115</v>
      </c>
      <c r="G15" s="67">
        <f>G9+G12-G13</f>
        <v>398357.60542091203</v>
      </c>
      <c r="I15" s="176"/>
      <c r="J15" s="176"/>
      <c r="K15" s="176" t="s">
        <v>166</v>
      </c>
      <c r="L15" s="176"/>
      <c r="N15" s="176"/>
      <c r="O15" s="176"/>
      <c r="P15" s="176" t="s">
        <v>166</v>
      </c>
      <c r="Q15" s="176"/>
    </row>
    <row r="16" spans="1:17" x14ac:dyDescent="0.25">
      <c r="I16" s="176"/>
      <c r="J16" s="176"/>
      <c r="K16" s="231">
        <f>AVERAGE(J9:L13)</f>
        <v>944.18116973350266</v>
      </c>
      <c r="L16" s="176"/>
      <c r="N16" s="176"/>
      <c r="O16" s="176"/>
      <c r="P16" s="231">
        <f>AVERAGE(O9:Q13)</f>
        <v>918.20098653309879</v>
      </c>
      <c r="Q16" s="176"/>
    </row>
    <row r="17" spans="1:17" x14ac:dyDescent="0.25">
      <c r="B17" s="4" t="s">
        <v>116</v>
      </c>
      <c r="C17" s="4">
        <v>434.03899999999999</v>
      </c>
      <c r="E17" s="4" t="s">
        <v>116</v>
      </c>
      <c r="G17" s="4">
        <f>C17</f>
        <v>434.03899999999999</v>
      </c>
    </row>
    <row r="18" spans="1:17" x14ac:dyDescent="0.25">
      <c r="A18" s="4" t="s">
        <v>118</v>
      </c>
      <c r="B18" s="151" t="s">
        <v>117</v>
      </c>
      <c r="C18" s="163">
        <f>C15/C17</f>
        <v>926.08056138691609</v>
      </c>
      <c r="E18" s="151" t="s">
        <v>117</v>
      </c>
      <c r="F18" s="161"/>
      <c r="G18" s="163">
        <f>G15/G17</f>
        <v>917.79219245485319</v>
      </c>
    </row>
    <row r="19" spans="1:17" x14ac:dyDescent="0.25">
      <c r="C19" s="22"/>
    </row>
    <row r="20" spans="1:17" x14ac:dyDescent="0.25">
      <c r="A20" s="118" t="s">
        <v>136</v>
      </c>
      <c r="B20" s="20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223"/>
    </row>
    <row r="21" spans="1:17" x14ac:dyDescent="0.25">
      <c r="B21" s="119"/>
      <c r="C21" s="119"/>
      <c r="D21" s="119"/>
      <c r="E21" s="119"/>
      <c r="F21" s="119"/>
      <c r="G21" s="119"/>
      <c r="H21" s="119"/>
      <c r="I21" s="119"/>
    </row>
    <row r="22" spans="1:17" x14ac:dyDescent="0.25">
      <c r="B22" s="119"/>
      <c r="C22" s="119" t="s">
        <v>137</v>
      </c>
      <c r="D22" s="119"/>
      <c r="E22" s="120">
        <v>5.0000000000000001E-3</v>
      </c>
      <c r="F22" s="119"/>
      <c r="G22" s="119"/>
      <c r="J22" s="119" t="s">
        <v>137</v>
      </c>
      <c r="K22" s="119"/>
      <c r="L22" s="120">
        <v>5.0000000000000001E-3</v>
      </c>
    </row>
    <row r="23" spans="1:17" x14ac:dyDescent="0.25">
      <c r="B23" s="119"/>
      <c r="C23" s="119" t="s">
        <v>138</v>
      </c>
      <c r="D23" s="119"/>
      <c r="E23" s="152">
        <v>2.5000000000000001E-3</v>
      </c>
      <c r="F23" s="119"/>
      <c r="G23" s="119"/>
      <c r="J23" s="119" t="s">
        <v>158</v>
      </c>
      <c r="K23" s="119"/>
      <c r="L23" s="160">
        <v>1</v>
      </c>
    </row>
    <row r="24" spans="1:17" x14ac:dyDescent="0.25">
      <c r="B24" s="119"/>
      <c r="C24" s="119"/>
      <c r="D24" s="119"/>
      <c r="E24" s="174"/>
      <c r="F24" s="119"/>
      <c r="G24" s="119"/>
      <c r="J24" s="119"/>
      <c r="K24" s="119"/>
      <c r="L24" s="173"/>
    </row>
    <row r="25" spans="1:17" x14ac:dyDescent="0.25">
      <c r="A25" s="155" t="s">
        <v>161</v>
      </c>
      <c r="B25" s="15"/>
      <c r="C25" s="153"/>
      <c r="D25" s="153"/>
      <c r="E25" s="154"/>
      <c r="F25" s="153"/>
      <c r="G25" s="153"/>
      <c r="H25" s="153"/>
      <c r="I25" s="153"/>
      <c r="J25" s="162"/>
      <c r="K25" s="15"/>
      <c r="L25" s="15"/>
      <c r="M25" s="15"/>
      <c r="N25" s="15"/>
      <c r="O25" s="15"/>
      <c r="P25" s="15"/>
    </row>
    <row r="26" spans="1:17" x14ac:dyDescent="0.25">
      <c r="B26" s="119"/>
      <c r="C26" s="119"/>
      <c r="D26" s="119"/>
      <c r="E26" s="119"/>
      <c r="F26" s="119"/>
      <c r="H26" s="119"/>
      <c r="I26" s="176"/>
      <c r="P26" s="176"/>
    </row>
    <row r="27" spans="1:17" x14ac:dyDescent="0.25">
      <c r="B27" s="165"/>
      <c r="C27" s="172"/>
      <c r="D27" s="119"/>
      <c r="E27" s="247"/>
      <c r="F27" s="248"/>
      <c r="G27" s="247"/>
      <c r="I27" s="119"/>
      <c r="J27" s="247"/>
    </row>
    <row r="28" spans="1:17" x14ac:dyDescent="0.25">
      <c r="B28" s="165"/>
      <c r="C28" s="249"/>
      <c r="E28" s="119"/>
      <c r="F28" s="250"/>
      <c r="G28" s="250"/>
      <c r="H28" s="250"/>
      <c r="I28" s="176"/>
      <c r="J28" s="176"/>
      <c r="N28" s="251"/>
      <c r="P28" s="176"/>
    </row>
    <row r="29" spans="1:17" x14ac:dyDescent="0.25">
      <c r="B29" s="165"/>
      <c r="C29" s="249"/>
      <c r="E29" s="252"/>
      <c r="F29" s="176"/>
      <c r="G29" s="176"/>
      <c r="H29" s="234"/>
      <c r="I29" s="234"/>
      <c r="J29" s="234"/>
      <c r="N29" s="253"/>
      <c r="O29" s="48"/>
      <c r="P29" s="48"/>
      <c r="Q29" s="48"/>
    </row>
    <row r="30" spans="1:17" x14ac:dyDescent="0.25">
      <c r="E30" s="229"/>
      <c r="F30" s="176"/>
      <c r="G30" s="254"/>
      <c r="H30" s="255"/>
      <c r="I30" s="255"/>
      <c r="J30" s="255"/>
      <c r="N30" s="256"/>
      <c r="O30" s="172"/>
      <c r="P30" s="172"/>
      <c r="Q30" s="172"/>
    </row>
    <row r="31" spans="1:17" x14ac:dyDescent="0.25">
      <c r="F31" s="234"/>
      <c r="G31" s="255"/>
      <c r="H31" s="235"/>
      <c r="I31" s="235"/>
      <c r="J31" s="235"/>
      <c r="K31" s="257"/>
      <c r="M31" s="48"/>
      <c r="N31" s="172"/>
      <c r="O31" s="86"/>
      <c r="P31" s="86"/>
      <c r="Q31" s="86"/>
    </row>
    <row r="32" spans="1:17" x14ac:dyDescent="0.25">
      <c r="F32" s="234"/>
      <c r="G32" s="255"/>
      <c r="H32" s="235"/>
      <c r="I32" s="235"/>
      <c r="J32" s="235"/>
      <c r="K32" s="257"/>
      <c r="M32" s="48"/>
      <c r="N32" s="172"/>
      <c r="O32" s="86"/>
      <c r="P32" s="86"/>
      <c r="Q32" s="86"/>
    </row>
    <row r="33" spans="2:17" x14ac:dyDescent="0.25">
      <c r="D33" s="48"/>
      <c r="E33" s="149"/>
      <c r="F33" s="234"/>
      <c r="G33" s="255"/>
      <c r="H33" s="235"/>
      <c r="I33" s="235"/>
      <c r="J33" s="235"/>
      <c r="K33" s="257"/>
      <c r="L33" s="149"/>
      <c r="M33" s="48"/>
      <c r="N33" s="172"/>
      <c r="O33" s="86"/>
      <c r="P33" s="86"/>
      <c r="Q33" s="86"/>
    </row>
    <row r="34" spans="2:17" x14ac:dyDescent="0.25">
      <c r="D34" s="48"/>
      <c r="E34" s="229"/>
      <c r="F34" s="234"/>
      <c r="G34" s="255"/>
      <c r="H34" s="235"/>
      <c r="I34" s="235"/>
      <c r="J34" s="235"/>
      <c r="K34" s="251"/>
      <c r="M34" s="48"/>
      <c r="N34" s="172"/>
      <c r="O34" s="86"/>
      <c r="P34" s="86"/>
      <c r="Q34" s="86"/>
    </row>
    <row r="35" spans="2:17" x14ac:dyDescent="0.25">
      <c r="D35" s="48"/>
      <c r="E35" s="229"/>
      <c r="F35" s="234"/>
      <c r="G35" s="255"/>
      <c r="H35" s="235"/>
      <c r="I35" s="235"/>
      <c r="J35" s="235"/>
      <c r="K35" s="251"/>
      <c r="M35" s="48"/>
      <c r="N35" s="172"/>
      <c r="O35" s="86"/>
      <c r="P35" s="86"/>
      <c r="Q35" s="86"/>
    </row>
    <row r="36" spans="2:17" x14ac:dyDescent="0.25">
      <c r="B36" s="258"/>
      <c r="C36" s="258"/>
      <c r="D36" s="258"/>
      <c r="E36" s="259"/>
      <c r="F36" s="260"/>
      <c r="G36" s="259"/>
    </row>
    <row r="37" spans="2:17" x14ac:dyDescent="0.25">
      <c r="B37" s="119"/>
      <c r="C37" s="119"/>
      <c r="D37" s="119"/>
      <c r="E37" s="119"/>
      <c r="F37" s="248"/>
      <c r="G37" s="248"/>
      <c r="H37" s="248"/>
      <c r="I37" s="176"/>
      <c r="J37" s="176"/>
      <c r="P37" s="176"/>
    </row>
    <row r="38" spans="2:17" x14ac:dyDescent="0.25">
      <c r="F38" s="236"/>
      <c r="G38" s="236"/>
      <c r="H38" s="234"/>
      <c r="I38" s="234"/>
      <c r="J38" s="234"/>
      <c r="M38" s="176"/>
      <c r="O38" s="86"/>
      <c r="P38" s="86"/>
      <c r="Q38" s="86"/>
    </row>
    <row r="39" spans="2:17" x14ac:dyDescent="0.25">
      <c r="E39" s="48"/>
      <c r="F39" s="233"/>
      <c r="G39" s="261"/>
      <c r="H39" s="255"/>
      <c r="I39" s="255"/>
      <c r="J39" s="255"/>
      <c r="L39" s="86"/>
      <c r="M39" s="86"/>
      <c r="N39" s="262"/>
      <c r="O39" s="175"/>
      <c r="P39" s="175"/>
      <c r="Q39" s="175"/>
    </row>
    <row r="40" spans="2:17" x14ac:dyDescent="0.25">
      <c r="E40" s="48"/>
      <c r="F40" s="234"/>
      <c r="G40" s="255"/>
      <c r="H40" s="233"/>
      <c r="I40" s="233"/>
      <c r="J40" s="233"/>
      <c r="K40" s="48"/>
      <c r="M40" s="48"/>
      <c r="N40" s="172"/>
      <c r="O40" s="263"/>
      <c r="P40" s="263"/>
      <c r="Q40" s="263"/>
    </row>
    <row r="41" spans="2:17" x14ac:dyDescent="0.25">
      <c r="D41" s="8"/>
      <c r="E41" s="48"/>
      <c r="F41" s="234"/>
      <c r="G41" s="255"/>
      <c r="H41" s="233"/>
      <c r="I41" s="233"/>
      <c r="J41" s="233"/>
      <c r="K41" s="8"/>
      <c r="L41" s="48"/>
      <c r="M41" s="48"/>
      <c r="N41" s="172"/>
      <c r="O41" s="263"/>
      <c r="P41" s="263"/>
      <c r="Q41" s="263"/>
    </row>
    <row r="42" spans="2:17" x14ac:dyDescent="0.25">
      <c r="D42" s="8"/>
      <c r="E42" s="149"/>
      <c r="F42" s="234"/>
      <c r="G42" s="255"/>
      <c r="H42" s="233"/>
      <c r="I42" s="233"/>
      <c r="J42" s="233"/>
      <c r="K42" s="8"/>
      <c r="L42" s="149"/>
      <c r="M42" s="48"/>
      <c r="N42" s="172"/>
      <c r="O42" s="263"/>
      <c r="P42" s="263"/>
      <c r="Q42" s="263"/>
    </row>
    <row r="43" spans="2:17" x14ac:dyDescent="0.25">
      <c r="D43" s="8"/>
      <c r="E43" s="48"/>
      <c r="F43" s="234"/>
      <c r="G43" s="255"/>
      <c r="H43" s="233"/>
      <c r="I43" s="233"/>
      <c r="J43" s="233"/>
      <c r="K43" s="8"/>
      <c r="L43" s="48"/>
      <c r="M43" s="48"/>
      <c r="N43" s="172"/>
      <c r="O43" s="263"/>
      <c r="P43" s="263"/>
      <c r="Q43" s="263"/>
    </row>
    <row r="44" spans="2:17" x14ac:dyDescent="0.25">
      <c r="D44" s="8"/>
      <c r="E44" s="8"/>
      <c r="F44" s="234"/>
      <c r="G44" s="255"/>
      <c r="H44" s="233"/>
      <c r="I44" s="233"/>
      <c r="J44" s="233"/>
      <c r="K44" s="8"/>
      <c r="L44" s="48"/>
      <c r="M44" s="48"/>
      <c r="N44" s="172"/>
      <c r="O44" s="263"/>
      <c r="P44" s="263"/>
      <c r="Q44" s="263"/>
    </row>
    <row r="45" spans="2:17" x14ac:dyDescent="0.25">
      <c r="D45" s="8"/>
      <c r="E45" s="8"/>
      <c r="F45" s="86"/>
      <c r="G45" s="86"/>
      <c r="H45" s="86"/>
      <c r="J45" s="8"/>
      <c r="K45" s="8"/>
      <c r="L45" s="48"/>
      <c r="M45" s="48"/>
      <c r="N45" s="48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B163E-8FD9-4F0C-B1E1-F38F6A6548CE}">
  <ds:schemaRefs>
    <ds:schemaRef ds:uri="http://www.w3.org/XML/1998/namespace"/>
    <ds:schemaRef ds:uri="http://schemas.microsoft.com/office/2006/documentManagement/types"/>
    <ds:schemaRef ds:uri="88a26cf8-717e-46a4-ac0d-03f11284dc6b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Assumptions</vt:lpstr>
      <vt:lpstr>Revenue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2025-11-10T04:56:51Z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