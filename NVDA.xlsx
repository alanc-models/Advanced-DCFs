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6e034dd60452fc8/Documents/"/>
    </mc:Choice>
  </mc:AlternateContent>
  <xr:revisionPtr revIDLastSave="765" documentId="8_{5A55AD80-235E-41E8-A269-00977627F973}" xr6:coauthVersionLast="47" xr6:coauthVersionMax="47" xr10:uidLastSave="{19593B05-9C20-4701-9A38-9BCAF60C94D4}"/>
  <bookViews>
    <workbookView xWindow="-105" yWindow="0" windowWidth="19410" windowHeight="21705" tabRatio="808" xr2:uid="{00000000-000D-0000-FFFF-FFFF00000000}"/>
  </bookViews>
  <sheets>
    <sheet name="MAIN" sheetId="3" r:id="rId1"/>
    <sheet name="Revenue" sheetId="32" r:id="rId2"/>
    <sheet name="Assumptions" sheetId="13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3" l="1"/>
  <c r="E7" i="11"/>
  <c r="H5" i="11"/>
  <c r="H6" i="11"/>
  <c r="H7" i="11"/>
  <c r="H4" i="11"/>
  <c r="U17" i="12"/>
  <c r="S12" i="12"/>
  <c r="V9" i="12"/>
  <c r="T9" i="12"/>
  <c r="J6" i="13"/>
  <c r="K6" i="13" s="1"/>
  <c r="L6" i="13" s="1"/>
  <c r="M6" i="13" s="1"/>
  <c r="N6" i="13" s="1"/>
  <c r="O6" i="13" s="1"/>
  <c r="P17" i="12"/>
  <c r="N13" i="12"/>
  <c r="S13" i="12" s="1"/>
  <c r="N11" i="12"/>
  <c r="S11" i="12" s="1"/>
  <c r="O9" i="12"/>
  <c r="Q9" i="12"/>
  <c r="C17" i="12"/>
  <c r="G17" i="12" s="1"/>
  <c r="C13" i="12"/>
  <c r="G13" i="12" s="1"/>
  <c r="C12" i="12"/>
  <c r="G12" i="12" s="1"/>
  <c r="I7" i="11"/>
  <c r="J7" i="11"/>
  <c r="K7" i="11" s="1"/>
  <c r="I6" i="11"/>
  <c r="J6" i="11"/>
  <c r="I5" i="11"/>
  <c r="K5" i="11" s="1"/>
  <c r="J5" i="11"/>
  <c r="K6" i="11"/>
  <c r="K4" i="11"/>
  <c r="J4" i="11"/>
  <c r="I4" i="11"/>
  <c r="E4" i="11"/>
  <c r="G5" i="10"/>
  <c r="H5" i="10"/>
  <c r="I5" i="10"/>
  <c r="J5" i="10"/>
  <c r="K5" i="10"/>
  <c r="L5" i="10"/>
  <c r="M5" i="10"/>
  <c r="N5" i="10"/>
  <c r="O5" i="10"/>
  <c r="G9" i="10"/>
  <c r="H9" i="10"/>
  <c r="I9" i="10"/>
  <c r="J9" i="10"/>
  <c r="K9" i="10"/>
  <c r="L9" i="10"/>
  <c r="M9" i="10"/>
  <c r="N9" i="10"/>
  <c r="O9" i="10"/>
  <c r="F9" i="10"/>
  <c r="F8" i="10"/>
  <c r="F5" i="10"/>
  <c r="G5" i="9"/>
  <c r="H5" i="9"/>
  <c r="I5" i="9"/>
  <c r="J5" i="9"/>
  <c r="K5" i="9"/>
  <c r="L5" i="9"/>
  <c r="M5" i="9"/>
  <c r="N5" i="9"/>
  <c r="O5" i="9"/>
  <c r="G14" i="9"/>
  <c r="H14" i="9"/>
  <c r="I14" i="9"/>
  <c r="J14" i="9"/>
  <c r="K14" i="9"/>
  <c r="L14" i="9"/>
  <c r="L17" i="9" s="1"/>
  <c r="M14" i="9"/>
  <c r="M17" i="9" s="1"/>
  <c r="N14" i="9"/>
  <c r="N17" i="9" s="1"/>
  <c r="O14" i="9"/>
  <c r="O17" i="9" s="1"/>
  <c r="G15" i="9"/>
  <c r="G17" i="9" s="1"/>
  <c r="H15" i="9"/>
  <c r="H17" i="9" s="1"/>
  <c r="I15" i="9"/>
  <c r="I17" i="9" s="1"/>
  <c r="J15" i="9"/>
  <c r="J17" i="9" s="1"/>
  <c r="K15" i="9"/>
  <c r="K17" i="9" s="1"/>
  <c r="L15" i="9"/>
  <c r="M15" i="9"/>
  <c r="N15" i="9"/>
  <c r="O15" i="9"/>
  <c r="G16" i="9"/>
  <c r="H16" i="9"/>
  <c r="I16" i="9"/>
  <c r="J16" i="9"/>
  <c r="K16" i="9"/>
  <c r="L16" i="9"/>
  <c r="M16" i="9"/>
  <c r="N16" i="9"/>
  <c r="O16" i="9"/>
  <c r="G23" i="8"/>
  <c r="H23" i="8" s="1"/>
  <c r="I23" i="8" s="1"/>
  <c r="J23" i="8" s="1"/>
  <c r="K23" i="8" s="1"/>
  <c r="L23" i="8" s="1"/>
  <c r="M23" i="8" s="1"/>
  <c r="N23" i="8" s="1"/>
  <c r="O23" i="8" s="1"/>
  <c r="G34" i="8"/>
  <c r="H34" i="8"/>
  <c r="I34" i="8"/>
  <c r="J34" i="8"/>
  <c r="K34" i="8"/>
  <c r="L34" i="8"/>
  <c r="M34" i="8"/>
  <c r="N34" i="8"/>
  <c r="O34" i="8"/>
  <c r="G24" i="7"/>
  <c r="H24" i="7"/>
  <c r="I24" i="7"/>
  <c r="J24" i="7"/>
  <c r="K24" i="7"/>
  <c r="L24" i="7"/>
  <c r="M24" i="7"/>
  <c r="N24" i="7"/>
  <c r="O24" i="7"/>
  <c r="G27" i="7"/>
  <c r="H27" i="7"/>
  <c r="I27" i="7"/>
  <c r="J27" i="7"/>
  <c r="K27" i="7"/>
  <c r="L27" i="7"/>
  <c r="M27" i="7"/>
  <c r="N27" i="7"/>
  <c r="O27" i="7"/>
  <c r="G28" i="7"/>
  <c r="H28" i="7"/>
  <c r="I28" i="7"/>
  <c r="J28" i="7"/>
  <c r="K28" i="7"/>
  <c r="L28" i="7"/>
  <c r="M28" i="7"/>
  <c r="N28" i="7"/>
  <c r="O28" i="7"/>
  <c r="G30" i="7"/>
  <c r="H30" i="7"/>
  <c r="I30" i="7"/>
  <c r="J30" i="7"/>
  <c r="K30" i="7"/>
  <c r="L30" i="7"/>
  <c r="M30" i="7"/>
  <c r="N30" i="7"/>
  <c r="O30" i="7"/>
  <c r="G31" i="7"/>
  <c r="H31" i="7"/>
  <c r="I31" i="7"/>
  <c r="J31" i="7"/>
  <c r="K31" i="7"/>
  <c r="L31" i="7"/>
  <c r="M31" i="7"/>
  <c r="N31" i="7"/>
  <c r="O31" i="7"/>
  <c r="G37" i="7"/>
  <c r="H37" i="7"/>
  <c r="I37" i="7"/>
  <c r="J37" i="7"/>
  <c r="K37" i="7"/>
  <c r="L37" i="7"/>
  <c r="M37" i="7"/>
  <c r="N37" i="7"/>
  <c r="O37" i="7"/>
  <c r="G38" i="7"/>
  <c r="G15" i="5" s="1"/>
  <c r="H38" i="7"/>
  <c r="H15" i="5" s="1"/>
  <c r="I38" i="7"/>
  <c r="I15" i="5" s="1"/>
  <c r="J38" i="7"/>
  <c r="J15" i="5" s="1"/>
  <c r="K38" i="7"/>
  <c r="K15" i="5" s="1"/>
  <c r="L38" i="7"/>
  <c r="L15" i="5" s="1"/>
  <c r="M38" i="7"/>
  <c r="M15" i="5" s="1"/>
  <c r="N38" i="7"/>
  <c r="N15" i="5" s="1"/>
  <c r="O38" i="7"/>
  <c r="O15" i="5" s="1"/>
  <c r="G39" i="7"/>
  <c r="H39" i="7"/>
  <c r="I39" i="7"/>
  <c r="J39" i="7"/>
  <c r="K39" i="7"/>
  <c r="L39" i="7"/>
  <c r="M39" i="7"/>
  <c r="N39" i="7" s="1"/>
  <c r="O39" i="7" s="1"/>
  <c r="G40" i="7"/>
  <c r="H40" i="7"/>
  <c r="I40" i="7"/>
  <c r="J40" i="7"/>
  <c r="K40" i="7"/>
  <c r="L40" i="7"/>
  <c r="M40" i="7"/>
  <c r="N40" i="7"/>
  <c r="O40" i="7"/>
  <c r="G41" i="7"/>
  <c r="H41" i="7"/>
  <c r="I41" i="7"/>
  <c r="J41" i="7"/>
  <c r="K41" i="7"/>
  <c r="L41" i="7"/>
  <c r="M41" i="7"/>
  <c r="N41" i="7"/>
  <c r="O41" i="7"/>
  <c r="F31" i="7"/>
  <c r="F30" i="7"/>
  <c r="G17" i="6"/>
  <c r="G18" i="6"/>
  <c r="H18" i="6"/>
  <c r="I18" i="6"/>
  <c r="J18" i="6"/>
  <c r="K18" i="6"/>
  <c r="L18" i="6"/>
  <c r="M18" i="6"/>
  <c r="N18" i="6"/>
  <c r="O18" i="6"/>
  <c r="G19" i="6"/>
  <c r="H19" i="6"/>
  <c r="I19" i="6"/>
  <c r="J19" i="6"/>
  <c r="K19" i="6"/>
  <c r="L19" i="6"/>
  <c r="M19" i="6"/>
  <c r="N19" i="6"/>
  <c r="O19" i="6"/>
  <c r="G20" i="6"/>
  <c r="H17" i="6" s="1"/>
  <c r="H20" i="6" s="1"/>
  <c r="G21" i="6"/>
  <c r="H21" i="6"/>
  <c r="I21" i="6"/>
  <c r="J21" i="6"/>
  <c r="K21" i="6"/>
  <c r="L21" i="6"/>
  <c r="M21" i="6"/>
  <c r="N21" i="6"/>
  <c r="O21" i="6"/>
  <c r="G25" i="6"/>
  <c r="H25" i="6"/>
  <c r="I25" i="6"/>
  <c r="J25" i="6"/>
  <c r="K25" i="6"/>
  <c r="L25" i="6"/>
  <c r="M25" i="6"/>
  <c r="N25" i="6"/>
  <c r="O25" i="6"/>
  <c r="G26" i="6"/>
  <c r="G27" i="6" s="1"/>
  <c r="G32" i="6"/>
  <c r="H32" i="6"/>
  <c r="I32" i="6"/>
  <c r="J32" i="6"/>
  <c r="K32" i="6"/>
  <c r="L32" i="6"/>
  <c r="M32" i="6"/>
  <c r="N32" i="6"/>
  <c r="O32" i="6"/>
  <c r="G16" i="5"/>
  <c r="H16" i="5"/>
  <c r="I16" i="5"/>
  <c r="J16" i="5"/>
  <c r="K16" i="5"/>
  <c r="L16" i="5"/>
  <c r="M16" i="5"/>
  <c r="N16" i="5"/>
  <c r="O16" i="5"/>
  <c r="F17" i="9"/>
  <c r="F16" i="9"/>
  <c r="F15" i="9"/>
  <c r="F14" i="9"/>
  <c r="F34" i="8"/>
  <c r="E24" i="5"/>
  <c r="E23" i="5"/>
  <c r="E22" i="5"/>
  <c r="E21" i="5"/>
  <c r="E20" i="5"/>
  <c r="F5" i="9"/>
  <c r="F4" i="9"/>
  <c r="F15" i="5"/>
  <c r="F16" i="5"/>
  <c r="F13" i="5"/>
  <c r="E17" i="5"/>
  <c r="F32" i="6"/>
  <c r="F28" i="6"/>
  <c r="F27" i="6"/>
  <c r="F26" i="6"/>
  <c r="F25" i="6"/>
  <c r="F22" i="6"/>
  <c r="F21" i="6"/>
  <c r="F20" i="6"/>
  <c r="F19" i="6"/>
  <c r="F18" i="6"/>
  <c r="F17" i="6"/>
  <c r="E20" i="6"/>
  <c r="F23" i="8"/>
  <c r="F23" i="7"/>
  <c r="F34" i="13"/>
  <c r="F6" i="5"/>
  <c r="E9" i="5"/>
  <c r="G18" i="13"/>
  <c r="H18" i="13"/>
  <c r="I18" i="13"/>
  <c r="J18" i="13"/>
  <c r="K18" i="13"/>
  <c r="L18" i="13" s="1"/>
  <c r="M18" i="13" s="1"/>
  <c r="N18" i="13" s="1"/>
  <c r="O18" i="13" s="1"/>
  <c r="F18" i="13"/>
  <c r="F41" i="7"/>
  <c r="F40" i="7"/>
  <c r="F24" i="7"/>
  <c r="F28" i="7"/>
  <c r="F27" i="7"/>
  <c r="C55" i="13"/>
  <c r="C54" i="13"/>
  <c r="E53" i="13"/>
  <c r="D53" i="13"/>
  <c r="C53" i="13"/>
  <c r="C49" i="13"/>
  <c r="C48" i="13"/>
  <c r="E47" i="13"/>
  <c r="D47" i="13"/>
  <c r="C47" i="13"/>
  <c r="C46" i="13"/>
  <c r="C45" i="13"/>
  <c r="D34" i="13"/>
  <c r="E34" i="13"/>
  <c r="C33" i="13"/>
  <c r="C26" i="13"/>
  <c r="E20" i="13"/>
  <c r="D20" i="13"/>
  <c r="C20" i="13"/>
  <c r="E19" i="13"/>
  <c r="D19" i="13"/>
  <c r="C19" i="13"/>
  <c r="C17" i="13"/>
  <c r="C13" i="13"/>
  <c r="C12" i="13"/>
  <c r="C11" i="13"/>
  <c r="C35" i="8"/>
  <c r="C24" i="8"/>
  <c r="C23" i="8"/>
  <c r="C22" i="8"/>
  <c r="C19" i="8"/>
  <c r="C16" i="8"/>
  <c r="E35" i="8"/>
  <c r="D24" i="8"/>
  <c r="D23" i="8"/>
  <c r="D22" i="8"/>
  <c r="E24" i="8"/>
  <c r="E23" i="8"/>
  <c r="E22" i="8"/>
  <c r="D19" i="8"/>
  <c r="E19" i="8"/>
  <c r="C15" i="8"/>
  <c r="D38" i="7"/>
  <c r="C38" i="7"/>
  <c r="C43" i="7"/>
  <c r="C42" i="7"/>
  <c r="AC11" i="32"/>
  <c r="AC12" i="32" s="1"/>
  <c r="AC13" i="32" s="1"/>
  <c r="AC14" i="32" s="1"/>
  <c r="AD11" i="32"/>
  <c r="AD12" i="32"/>
  <c r="AD13" i="32" s="1"/>
  <c r="AD14" i="32" s="1"/>
  <c r="AB11" i="32"/>
  <c r="AB12" i="32" s="1"/>
  <c r="AB13" i="32" s="1"/>
  <c r="AB14" i="32" s="1"/>
  <c r="AA11" i="32"/>
  <c r="AA12" i="32" s="1"/>
  <c r="W11" i="32"/>
  <c r="X11" i="32"/>
  <c r="Y11" i="32"/>
  <c r="X10" i="32"/>
  <c r="Y10" i="32"/>
  <c r="W10" i="32"/>
  <c r="V11" i="32"/>
  <c r="V12" i="32" s="1"/>
  <c r="T10" i="32"/>
  <c r="T3" i="32" s="1"/>
  <c r="K3" i="32"/>
  <c r="K10" i="32" s="1"/>
  <c r="K4" i="32"/>
  <c r="K5" i="32"/>
  <c r="K6" i="32"/>
  <c r="K7" i="32"/>
  <c r="K11" i="32"/>
  <c r="K12" i="32"/>
  <c r="K13" i="32"/>
  <c r="K14" i="32"/>
  <c r="P7" i="32"/>
  <c r="P14" i="32" s="1"/>
  <c r="P6" i="32"/>
  <c r="P13" i="32" s="1"/>
  <c r="P5" i="32"/>
  <c r="P12" i="32" s="1"/>
  <c r="P4" i="32"/>
  <c r="P11" i="32" s="1"/>
  <c r="P3" i="32"/>
  <c r="P10" i="32" s="1"/>
  <c r="S3" i="32"/>
  <c r="H10" i="32"/>
  <c r="I10" i="32"/>
  <c r="J10" i="32"/>
  <c r="L10" i="32"/>
  <c r="M10" i="32"/>
  <c r="N10" i="32"/>
  <c r="O10" i="32"/>
  <c r="Q10" i="32"/>
  <c r="R10" i="32"/>
  <c r="H11" i="32"/>
  <c r="I11" i="32"/>
  <c r="J11" i="32"/>
  <c r="L11" i="32"/>
  <c r="M11" i="32"/>
  <c r="N11" i="32"/>
  <c r="O11" i="32"/>
  <c r="Q11" i="32"/>
  <c r="R11" i="32"/>
  <c r="H12" i="32"/>
  <c r="I12" i="32"/>
  <c r="J12" i="32"/>
  <c r="L12" i="32"/>
  <c r="M12" i="32"/>
  <c r="N12" i="32"/>
  <c r="O12" i="32"/>
  <c r="Q12" i="32"/>
  <c r="R12" i="32"/>
  <c r="H13" i="32"/>
  <c r="I13" i="32"/>
  <c r="J13" i="32"/>
  <c r="L13" i="32"/>
  <c r="M13" i="32"/>
  <c r="N13" i="32"/>
  <c r="O13" i="32"/>
  <c r="Q13" i="32"/>
  <c r="R13" i="32"/>
  <c r="H14" i="32"/>
  <c r="I14" i="32"/>
  <c r="J14" i="32"/>
  <c r="L14" i="32"/>
  <c r="M14" i="32"/>
  <c r="N14" i="32"/>
  <c r="O14" i="32"/>
  <c r="Q14" i="32"/>
  <c r="R14" i="32"/>
  <c r="G11" i="32"/>
  <c r="G12" i="32"/>
  <c r="G13" i="32"/>
  <c r="G14" i="32"/>
  <c r="G10" i="32"/>
  <c r="H8" i="32"/>
  <c r="G8" i="32"/>
  <c r="K8" i="32" s="1"/>
  <c r="F8" i="32"/>
  <c r="E8" i="32"/>
  <c r="D8" i="32"/>
  <c r="C8" i="32"/>
  <c r="J8" i="32"/>
  <c r="J9" i="32" s="1"/>
  <c r="L8" i="32"/>
  <c r="L9" i="32" s="1"/>
  <c r="M8" i="32"/>
  <c r="N8" i="32"/>
  <c r="O8" i="32"/>
  <c r="Q8" i="32"/>
  <c r="R8" i="32"/>
  <c r="R9" i="32" s="1"/>
  <c r="I8" i="32"/>
  <c r="A1" i="32"/>
  <c r="N10" i="12" l="1"/>
  <c r="S10" i="12" s="1"/>
  <c r="N14" i="12"/>
  <c r="S14" i="12" s="1"/>
  <c r="H26" i="6"/>
  <c r="H27" i="6" s="1"/>
  <c r="I17" i="6"/>
  <c r="I20" i="6" s="1"/>
  <c r="H22" i="6"/>
  <c r="H28" i="6" s="1"/>
  <c r="G22" i="6"/>
  <c r="G28" i="6" s="1"/>
  <c r="K9" i="32"/>
  <c r="D17" i="7"/>
  <c r="V13" i="32"/>
  <c r="W12" i="32"/>
  <c r="X12" i="32" s="1"/>
  <c r="Y12" i="32" s="1"/>
  <c r="P8" i="32"/>
  <c r="AA13" i="32"/>
  <c r="U3" i="32"/>
  <c r="U10" i="32" s="1"/>
  <c r="S14" i="32"/>
  <c r="T14" i="32" s="1"/>
  <c r="T7" i="32" s="1"/>
  <c r="S12" i="32"/>
  <c r="T12" i="32" s="1"/>
  <c r="T5" i="32" s="1"/>
  <c r="S11" i="32"/>
  <c r="T11" i="32" s="1"/>
  <c r="T4" i="32" s="1"/>
  <c r="I9" i="32"/>
  <c r="S13" i="32"/>
  <c r="T13" i="32" s="1"/>
  <c r="T6" i="32" s="1"/>
  <c r="Q9" i="32"/>
  <c r="O9" i="32"/>
  <c r="M9" i="32"/>
  <c r="S6" i="32"/>
  <c r="U6" i="32" s="1"/>
  <c r="U13" i="32" s="1"/>
  <c r="S4" i="32"/>
  <c r="H9" i="32"/>
  <c r="N9" i="32"/>
  <c r="G9" i="32"/>
  <c r="F7" i="3"/>
  <c r="N2" i="10"/>
  <c r="O2" i="10"/>
  <c r="N2" i="9"/>
  <c r="O2" i="9"/>
  <c r="N14" i="8"/>
  <c r="O14" i="8"/>
  <c r="N9" i="7"/>
  <c r="O9" i="7"/>
  <c r="N10" i="7"/>
  <c r="O10" i="7"/>
  <c r="N2" i="6"/>
  <c r="O2" i="6"/>
  <c r="N8" i="6"/>
  <c r="O8" i="6"/>
  <c r="N9" i="6"/>
  <c r="O9" i="6"/>
  <c r="N11" i="6"/>
  <c r="O11" i="6"/>
  <c r="N16" i="6"/>
  <c r="O16" i="6"/>
  <c r="N24" i="6"/>
  <c r="O24" i="6"/>
  <c r="N30" i="6"/>
  <c r="O30" i="6"/>
  <c r="N2" i="5"/>
  <c r="O2" i="5"/>
  <c r="N10" i="5"/>
  <c r="O10" i="5"/>
  <c r="N11" i="5"/>
  <c r="O11" i="5"/>
  <c r="N18" i="5"/>
  <c r="O18" i="5"/>
  <c r="N51" i="13"/>
  <c r="O51" i="13"/>
  <c r="D14" i="8"/>
  <c r="E14" i="8" s="1"/>
  <c r="F14" i="8" s="1"/>
  <c r="G14" i="8" s="1"/>
  <c r="H14" i="8" s="1"/>
  <c r="I14" i="8" s="1"/>
  <c r="J14" i="8" s="1"/>
  <c r="K14" i="8" s="1"/>
  <c r="L14" i="8" s="1"/>
  <c r="M14" i="8" s="1"/>
  <c r="D2" i="8"/>
  <c r="E2" i="8" s="1"/>
  <c r="F2" i="8" s="1"/>
  <c r="D2" i="7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D39" i="7"/>
  <c r="E39" i="7" s="1"/>
  <c r="F39" i="7" s="1"/>
  <c r="D16" i="7"/>
  <c r="E16" i="7" s="1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D2" i="6"/>
  <c r="E2" i="6" s="1"/>
  <c r="F2" i="6" s="1"/>
  <c r="G2" i="6" s="1"/>
  <c r="H2" i="6" s="1"/>
  <c r="I2" i="6" s="1"/>
  <c r="J2" i="6" s="1"/>
  <c r="K2" i="6" s="1"/>
  <c r="L2" i="6" s="1"/>
  <c r="M2" i="6" s="1"/>
  <c r="D30" i="6"/>
  <c r="E30" i="6" s="1"/>
  <c r="F30" i="6" s="1"/>
  <c r="G30" i="6" s="1"/>
  <c r="H30" i="6" s="1"/>
  <c r="I30" i="6" s="1"/>
  <c r="J30" i="6" s="1"/>
  <c r="K30" i="6" s="1"/>
  <c r="L30" i="6" s="1"/>
  <c r="M30" i="6" s="1"/>
  <c r="D24" i="6"/>
  <c r="E24" i="6" s="1"/>
  <c r="F24" i="6" s="1"/>
  <c r="G24" i="6" s="1"/>
  <c r="H24" i="6" s="1"/>
  <c r="I24" i="6" s="1"/>
  <c r="J24" i="6" s="1"/>
  <c r="K24" i="6" s="1"/>
  <c r="L24" i="6" s="1"/>
  <c r="M24" i="6" s="1"/>
  <c r="D16" i="6"/>
  <c r="E16" i="6" s="1"/>
  <c r="E11" i="6"/>
  <c r="F11" i="6"/>
  <c r="G11" i="6"/>
  <c r="H11" i="6"/>
  <c r="I11" i="6"/>
  <c r="J11" i="6"/>
  <c r="K11" i="6"/>
  <c r="L11" i="6"/>
  <c r="M11" i="6"/>
  <c r="D11" i="6"/>
  <c r="D51" i="13"/>
  <c r="E51" i="13" s="1"/>
  <c r="F51" i="13" s="1"/>
  <c r="G51" i="13" s="1"/>
  <c r="H51" i="13" s="1"/>
  <c r="I51" i="13" s="1"/>
  <c r="J51" i="13" s="1"/>
  <c r="K51" i="13" s="1"/>
  <c r="L51" i="13" s="1"/>
  <c r="M51" i="13" s="1"/>
  <c r="D43" i="13"/>
  <c r="E43" i="13" s="1"/>
  <c r="F43" i="13" s="1"/>
  <c r="G43" i="13" s="1"/>
  <c r="H43" i="13" s="1"/>
  <c r="I43" i="13" s="1"/>
  <c r="J43" i="13" s="1"/>
  <c r="K43" i="13" s="1"/>
  <c r="L43" i="13" s="1"/>
  <c r="M43" i="13" s="1"/>
  <c r="N43" i="13" s="1"/>
  <c r="O43" i="13" s="1"/>
  <c r="D37" i="13"/>
  <c r="E37" i="13" s="1"/>
  <c r="F37" i="13" s="1"/>
  <c r="G37" i="13" s="1"/>
  <c r="H37" i="13" s="1"/>
  <c r="I37" i="13" s="1"/>
  <c r="J37" i="13" s="1"/>
  <c r="K37" i="13" s="1"/>
  <c r="L37" i="13" s="1"/>
  <c r="M37" i="13" s="1"/>
  <c r="N37" i="13" s="1"/>
  <c r="O37" i="13" s="1"/>
  <c r="D31" i="13"/>
  <c r="E31" i="13" s="1"/>
  <c r="F31" i="13" s="1"/>
  <c r="G31" i="13" s="1"/>
  <c r="H31" i="13" s="1"/>
  <c r="I31" i="13" s="1"/>
  <c r="J31" i="13" s="1"/>
  <c r="K31" i="13" s="1"/>
  <c r="L31" i="13" s="1"/>
  <c r="M31" i="13" s="1"/>
  <c r="N31" i="13" s="1"/>
  <c r="O31" i="13" s="1"/>
  <c r="D22" i="13"/>
  <c r="E22" i="13" s="1"/>
  <c r="F22" i="13" s="1"/>
  <c r="G22" i="13" s="1"/>
  <c r="H22" i="13" s="1"/>
  <c r="I22" i="13" s="1"/>
  <c r="J22" i="13" s="1"/>
  <c r="K22" i="13" s="1"/>
  <c r="L22" i="13" s="1"/>
  <c r="M22" i="13" s="1"/>
  <c r="N22" i="13" s="1"/>
  <c r="O22" i="13" s="1"/>
  <c r="D2" i="13"/>
  <c r="E2" i="13" s="1"/>
  <c r="F2" i="13" s="1"/>
  <c r="G2" i="13" s="1"/>
  <c r="H2" i="13" s="1"/>
  <c r="I2" i="13" s="1"/>
  <c r="J2" i="13" s="1"/>
  <c r="K2" i="13" s="1"/>
  <c r="G9" i="7"/>
  <c r="H9" i="7"/>
  <c r="I9" i="7"/>
  <c r="J9" i="7"/>
  <c r="K9" i="7"/>
  <c r="L9" i="7"/>
  <c r="M9" i="7"/>
  <c r="G10" i="7"/>
  <c r="H10" i="7"/>
  <c r="I10" i="7"/>
  <c r="J10" i="7"/>
  <c r="K10" i="7"/>
  <c r="L10" i="7"/>
  <c r="M10" i="7"/>
  <c r="A1" i="10"/>
  <c r="C20" i="8"/>
  <c r="D25" i="8"/>
  <c r="C25" i="8"/>
  <c r="E25" i="8"/>
  <c r="E32" i="8"/>
  <c r="C32" i="8"/>
  <c r="D32" i="8"/>
  <c r="C36" i="8"/>
  <c r="D36" i="8"/>
  <c r="E36" i="8"/>
  <c r="C10" i="5"/>
  <c r="C18" i="5" s="1"/>
  <c r="D2" i="5"/>
  <c r="E2" i="5" s="1"/>
  <c r="F6" i="3"/>
  <c r="F14" i="13"/>
  <c r="F8" i="7" s="1"/>
  <c r="G17" i="13"/>
  <c r="F12" i="7"/>
  <c r="F37" i="7" s="1"/>
  <c r="F38" i="7" s="1"/>
  <c r="G34" i="13"/>
  <c r="H34" i="13" s="1"/>
  <c r="I34" i="13" s="1"/>
  <c r="J34" i="13" s="1"/>
  <c r="K34" i="13" s="1"/>
  <c r="L34" i="13" s="1"/>
  <c r="M34" i="13" s="1"/>
  <c r="N34" i="13" s="1"/>
  <c r="O34" i="13" s="1"/>
  <c r="F39" i="13"/>
  <c r="G39" i="13" s="1"/>
  <c r="H39" i="13" s="1"/>
  <c r="I39" i="13" s="1"/>
  <c r="J39" i="13" s="1"/>
  <c r="K39" i="13" s="1"/>
  <c r="L39" i="13" s="1"/>
  <c r="M39" i="13" s="1"/>
  <c r="N39" i="13" s="1"/>
  <c r="O39" i="13" s="1"/>
  <c r="K8" i="6"/>
  <c r="L8" i="6"/>
  <c r="M8" i="6"/>
  <c r="K9" i="6"/>
  <c r="L9" i="6"/>
  <c r="M9" i="6"/>
  <c r="K11" i="5"/>
  <c r="L11" i="5"/>
  <c r="M11" i="5"/>
  <c r="F25" i="13"/>
  <c r="G25" i="13" s="1"/>
  <c r="F24" i="13"/>
  <c r="F4" i="6" s="1"/>
  <c r="F6" i="6"/>
  <c r="F47" i="13"/>
  <c r="F6" i="8" s="1"/>
  <c r="D2" i="10"/>
  <c r="E2" i="10" s="1"/>
  <c r="F2" i="10" s="1"/>
  <c r="G2" i="10" s="1"/>
  <c r="H2" i="10" s="1"/>
  <c r="I2" i="10" s="1"/>
  <c r="J2" i="10" s="1"/>
  <c r="K2" i="10" s="1"/>
  <c r="L2" i="10" s="1"/>
  <c r="M2" i="10" s="1"/>
  <c r="D2" i="9"/>
  <c r="E2" i="9"/>
  <c r="F2" i="9"/>
  <c r="G2" i="9"/>
  <c r="H2" i="9"/>
  <c r="I2" i="9"/>
  <c r="J2" i="9"/>
  <c r="K2" i="9" s="1"/>
  <c r="L2" i="9" s="1"/>
  <c r="M2" i="9" s="1"/>
  <c r="F10" i="7"/>
  <c r="F53" i="13"/>
  <c r="F10" i="8" s="1"/>
  <c r="D21" i="7"/>
  <c r="D33" i="7" s="1"/>
  <c r="A1" i="3"/>
  <c r="A1" i="13"/>
  <c r="A1" i="5"/>
  <c r="A1" i="6"/>
  <c r="A1" i="7"/>
  <c r="A1" i="8"/>
  <c r="A1" i="9"/>
  <c r="A1" i="11"/>
  <c r="A1" i="12"/>
  <c r="C21" i="7"/>
  <c r="F8" i="6"/>
  <c r="F11" i="5"/>
  <c r="B21" i="5"/>
  <c r="B20" i="5"/>
  <c r="F9" i="6"/>
  <c r="G9" i="6"/>
  <c r="H9" i="6"/>
  <c r="I9" i="6"/>
  <c r="J9" i="6"/>
  <c r="J8" i="6"/>
  <c r="I8" i="6"/>
  <c r="H8" i="6"/>
  <c r="G8" i="6"/>
  <c r="J11" i="5"/>
  <c r="I11" i="5"/>
  <c r="H11" i="5"/>
  <c r="E2" i="12"/>
  <c r="F9" i="7"/>
  <c r="G11" i="5"/>
  <c r="F9" i="3" l="1"/>
  <c r="E10" i="11"/>
  <c r="E9" i="11" s="1"/>
  <c r="F2" i="12"/>
  <c r="I26" i="6"/>
  <c r="I27" i="6" s="1"/>
  <c r="J17" i="6"/>
  <c r="J20" i="6" s="1"/>
  <c r="I22" i="6"/>
  <c r="I28" i="6" s="1"/>
  <c r="D36" i="7"/>
  <c r="D17" i="13"/>
  <c r="U5" i="32"/>
  <c r="U12" i="32" s="1"/>
  <c r="V14" i="32"/>
  <c r="W14" i="32" s="1"/>
  <c r="X14" i="32" s="1"/>
  <c r="Y14" i="32" s="1"/>
  <c r="W13" i="32"/>
  <c r="X13" i="32" s="1"/>
  <c r="Y13" i="32" s="1"/>
  <c r="U4" i="32"/>
  <c r="U11" i="32" s="1"/>
  <c r="P9" i="32"/>
  <c r="E17" i="7"/>
  <c r="D54" i="13"/>
  <c r="D48" i="13"/>
  <c r="D11" i="13"/>
  <c r="D33" i="13"/>
  <c r="D55" i="13"/>
  <c r="D12" i="13"/>
  <c r="D49" i="13"/>
  <c r="D13" i="13"/>
  <c r="D46" i="13"/>
  <c r="D15" i="8"/>
  <c r="G47" i="13"/>
  <c r="H47" i="13" s="1"/>
  <c r="I47" i="13" s="1"/>
  <c r="C39" i="8"/>
  <c r="D39" i="8"/>
  <c r="C33" i="7"/>
  <c r="C36" i="7" s="1"/>
  <c r="D25" i="7"/>
  <c r="AA14" i="32"/>
  <c r="V6" i="32"/>
  <c r="AA6" i="32" s="1"/>
  <c r="V4" i="32"/>
  <c r="AA4" i="32" s="1"/>
  <c r="V5" i="32"/>
  <c r="AA5" i="32" s="1"/>
  <c r="V7" i="32"/>
  <c r="V3" i="32"/>
  <c r="AA3" i="32" s="1"/>
  <c r="S5" i="32"/>
  <c r="S7" i="32"/>
  <c r="U7" i="32" s="1"/>
  <c r="U14" i="32" s="1"/>
  <c r="G2" i="8"/>
  <c r="F16" i="6"/>
  <c r="G16" i="6" s="1"/>
  <c r="L2" i="13"/>
  <c r="F5" i="6"/>
  <c r="G11" i="7"/>
  <c r="H17" i="13"/>
  <c r="G5" i="6"/>
  <c r="H25" i="13"/>
  <c r="G26" i="13"/>
  <c r="G6" i="6" s="1"/>
  <c r="H12" i="7"/>
  <c r="G53" i="13"/>
  <c r="G14" i="13"/>
  <c r="G24" i="13"/>
  <c r="G4" i="6" s="1"/>
  <c r="D10" i="5"/>
  <c r="D18" i="5" s="1"/>
  <c r="E10" i="5"/>
  <c r="E18" i="5" s="1"/>
  <c r="F2" i="5"/>
  <c r="E39" i="8"/>
  <c r="C27" i="8"/>
  <c r="F4" i="5"/>
  <c r="C25" i="7"/>
  <c r="G2" i="12" l="1"/>
  <c r="J22" i="6"/>
  <c r="J28" i="6" s="1"/>
  <c r="J26" i="6"/>
  <c r="J27" i="6" s="1"/>
  <c r="K17" i="6"/>
  <c r="K20" i="6" s="1"/>
  <c r="D16" i="8"/>
  <c r="D26" i="13" s="1"/>
  <c r="D45" i="13"/>
  <c r="D20" i="8"/>
  <c r="D27" i="8" s="1"/>
  <c r="E49" i="13"/>
  <c r="F49" i="13" s="1"/>
  <c r="E46" i="13"/>
  <c r="F46" i="13" s="1"/>
  <c r="F5" i="8" s="1"/>
  <c r="E54" i="13"/>
  <c r="F54" i="13" s="1"/>
  <c r="E13" i="13"/>
  <c r="F13" i="13" s="1"/>
  <c r="G13" i="13" s="1"/>
  <c r="E12" i="13"/>
  <c r="F12" i="13" s="1"/>
  <c r="G12" i="13" s="1"/>
  <c r="E55" i="13"/>
  <c r="F55" i="13" s="1"/>
  <c r="F12" i="8" s="1"/>
  <c r="E15" i="8"/>
  <c r="E48" i="13"/>
  <c r="F48" i="13" s="1"/>
  <c r="E11" i="13"/>
  <c r="F11" i="13" s="1"/>
  <c r="G11" i="13" s="1"/>
  <c r="E33" i="13"/>
  <c r="F33" i="13" s="1"/>
  <c r="E21" i="7"/>
  <c r="E25" i="7" s="1"/>
  <c r="D42" i="7"/>
  <c r="D43" i="7"/>
  <c r="G4" i="5"/>
  <c r="H4" i="5" s="1"/>
  <c r="I4" i="5" s="1"/>
  <c r="J4" i="5" s="1"/>
  <c r="K4" i="5" s="1"/>
  <c r="L4" i="5" s="1"/>
  <c r="M4" i="5" s="1"/>
  <c r="N4" i="5" s="1"/>
  <c r="O4" i="5" s="1"/>
  <c r="F8" i="5"/>
  <c r="H6" i="8"/>
  <c r="G6" i="8"/>
  <c r="G12" i="7"/>
  <c r="C41" i="8"/>
  <c r="D41" i="8"/>
  <c r="AA7" i="32"/>
  <c r="W6" i="32"/>
  <c r="AB6" i="32" s="1"/>
  <c r="W7" i="32"/>
  <c r="W5" i="32"/>
  <c r="AB5" i="32" s="1"/>
  <c r="W4" i="32"/>
  <c r="AB4" i="32" s="1"/>
  <c r="W3" i="32"/>
  <c r="AB3" i="32" s="1"/>
  <c r="S8" i="32"/>
  <c r="S9" i="32" s="1"/>
  <c r="H2" i="8"/>
  <c r="H16" i="6"/>
  <c r="M2" i="13"/>
  <c r="N2" i="13" s="1"/>
  <c r="O2" i="13" s="1"/>
  <c r="H26" i="13"/>
  <c r="I26" i="13" s="1"/>
  <c r="H11" i="7"/>
  <c r="I17" i="13"/>
  <c r="H5" i="6"/>
  <c r="I25" i="13"/>
  <c r="H12" i="13"/>
  <c r="G6" i="7"/>
  <c r="H24" i="13"/>
  <c r="H4" i="6" s="1"/>
  <c r="H14" i="13"/>
  <c r="G8" i="7"/>
  <c r="G10" i="8"/>
  <c r="H53" i="13"/>
  <c r="G2" i="5"/>
  <c r="F10" i="5"/>
  <c r="F18" i="5" s="1"/>
  <c r="I6" i="8"/>
  <c r="J47" i="13"/>
  <c r="G49" i="13"/>
  <c r="F8" i="8"/>
  <c r="E33" i="7"/>
  <c r="F11" i="8"/>
  <c r="G54" i="13"/>
  <c r="H2" i="12" l="1"/>
  <c r="K26" i="6"/>
  <c r="K27" i="6" s="1"/>
  <c r="K22" i="6"/>
  <c r="K28" i="6" s="1"/>
  <c r="L17" i="6"/>
  <c r="L20" i="6" s="1"/>
  <c r="F3" i="5"/>
  <c r="G33" i="13"/>
  <c r="G55" i="13"/>
  <c r="E36" i="7"/>
  <c r="E17" i="13"/>
  <c r="F7" i="8"/>
  <c r="G48" i="13"/>
  <c r="E16" i="8"/>
  <c r="E45" i="13"/>
  <c r="F45" i="13" s="1"/>
  <c r="E19" i="5"/>
  <c r="E25" i="5" s="1"/>
  <c r="E20" i="8"/>
  <c r="E27" i="8" s="1"/>
  <c r="E41" i="8" s="1"/>
  <c r="F6" i="7"/>
  <c r="G46" i="13"/>
  <c r="I12" i="7"/>
  <c r="I24" i="13"/>
  <c r="AB7" i="32"/>
  <c r="AB8" i="32" s="1"/>
  <c r="AA8" i="32"/>
  <c r="Y6" i="32"/>
  <c r="AD6" i="32" s="1"/>
  <c r="X6" i="32"/>
  <c r="Z6" i="32" s="1"/>
  <c r="Z13" i="32" s="1"/>
  <c r="Y4" i="32"/>
  <c r="AD4" i="32" s="1"/>
  <c r="X4" i="32"/>
  <c r="AC4" i="32" s="1"/>
  <c r="Y5" i="32"/>
  <c r="AD5" i="32" s="1"/>
  <c r="X5" i="32"/>
  <c r="Y7" i="32"/>
  <c r="X7" i="32"/>
  <c r="Z7" i="32" s="1"/>
  <c r="Z14" i="32" s="1"/>
  <c r="Y3" i="32"/>
  <c r="AD3" i="32" s="1"/>
  <c r="X3" i="32"/>
  <c r="T8" i="32"/>
  <c r="I2" i="8"/>
  <c r="I16" i="6"/>
  <c r="H6" i="6"/>
  <c r="I11" i="7"/>
  <c r="J17" i="13"/>
  <c r="J25" i="13"/>
  <c r="I5" i="6"/>
  <c r="H10" i="8"/>
  <c r="I53" i="13"/>
  <c r="G5" i="7"/>
  <c r="H11" i="13"/>
  <c r="I14" i="13"/>
  <c r="H8" i="7"/>
  <c r="J12" i="7"/>
  <c r="H13" i="13"/>
  <c r="G7" i="7"/>
  <c r="I12" i="13"/>
  <c r="H6" i="7"/>
  <c r="H2" i="5"/>
  <c r="G10" i="5"/>
  <c r="G18" i="5" s="1"/>
  <c r="I4" i="6"/>
  <c r="J24" i="13"/>
  <c r="J26" i="13"/>
  <c r="I6" i="6"/>
  <c r="J6" i="8"/>
  <c r="K47" i="13"/>
  <c r="H54" i="13"/>
  <c r="G11" i="8"/>
  <c r="F5" i="7"/>
  <c r="H49" i="13"/>
  <c r="G8" i="8"/>
  <c r="H55" i="13"/>
  <c r="G12" i="8"/>
  <c r="F7" i="7"/>
  <c r="H46" i="13"/>
  <c r="G5" i="8"/>
  <c r="I2" i="12" l="1"/>
  <c r="M17" i="6"/>
  <c r="M20" i="6" s="1"/>
  <c r="L22" i="6"/>
  <c r="L28" i="6" s="1"/>
  <c r="L26" i="6"/>
  <c r="L27" i="6" s="1"/>
  <c r="E26" i="13"/>
  <c r="E32" i="6" s="1"/>
  <c r="E31" i="6"/>
  <c r="E33" i="6" s="1"/>
  <c r="F21" i="9"/>
  <c r="Z3" i="32"/>
  <c r="Z10" i="32" s="1"/>
  <c r="AC3" i="32"/>
  <c r="AE3" i="32" s="1"/>
  <c r="G3" i="5"/>
  <c r="H33" i="13"/>
  <c r="G7" i="8"/>
  <c r="H48" i="13"/>
  <c r="E43" i="7"/>
  <c r="E42" i="7"/>
  <c r="AC6" i="32"/>
  <c r="AE6" i="32" s="1"/>
  <c r="AE13" i="32" s="1"/>
  <c r="G45" i="13"/>
  <c r="H45" i="13" s="1"/>
  <c r="I45" i="13" s="1"/>
  <c r="J45" i="13" s="1"/>
  <c r="K45" i="13" s="1"/>
  <c r="L45" i="13" s="1"/>
  <c r="M45" i="13" s="1"/>
  <c r="N45" i="13" s="1"/>
  <c r="O45" i="13" s="1"/>
  <c r="F4" i="8"/>
  <c r="Z5" i="32"/>
  <c r="Z12" i="32" s="1"/>
  <c r="AC5" i="32"/>
  <c r="AE5" i="32" s="1"/>
  <c r="AE12" i="32" s="1"/>
  <c r="AE4" i="32"/>
  <c r="AD7" i="32"/>
  <c r="AD8" i="32" s="1"/>
  <c r="AC7" i="32"/>
  <c r="Z4" i="32"/>
  <c r="Z11" i="32" s="1"/>
  <c r="T9" i="32"/>
  <c r="U8" i="32"/>
  <c r="U9" i="32" s="1"/>
  <c r="F6" i="13" s="1"/>
  <c r="V8" i="32"/>
  <c r="AA9" i="32" s="1"/>
  <c r="J2" i="8"/>
  <c r="J16" i="6"/>
  <c r="J11" i="7"/>
  <c r="K17" i="13"/>
  <c r="K25" i="13"/>
  <c r="J5" i="6"/>
  <c r="J12" i="13"/>
  <c r="I6" i="7"/>
  <c r="I13" i="13"/>
  <c r="H7" i="7"/>
  <c r="K12" i="7"/>
  <c r="J14" i="13"/>
  <c r="I8" i="7"/>
  <c r="I11" i="13"/>
  <c r="H5" i="7"/>
  <c r="J53" i="13"/>
  <c r="I10" i="8"/>
  <c r="I2" i="5"/>
  <c r="H10" i="5"/>
  <c r="H18" i="5" s="1"/>
  <c r="J4" i="6"/>
  <c r="K24" i="13"/>
  <c r="J6" i="6"/>
  <c r="K26" i="13"/>
  <c r="L47" i="13"/>
  <c r="K6" i="8"/>
  <c r="F19" i="13"/>
  <c r="G19" i="13" s="1"/>
  <c r="H12" i="8"/>
  <c r="I55" i="13"/>
  <c r="I49" i="13"/>
  <c r="H8" i="8"/>
  <c r="I46" i="13"/>
  <c r="H5" i="8"/>
  <c r="L4" i="11"/>
  <c r="L5" i="11" s="1"/>
  <c r="L6" i="11" s="1"/>
  <c r="L7" i="11" s="1"/>
  <c r="I54" i="13"/>
  <c r="H11" i="8"/>
  <c r="J2" i="12" l="1"/>
  <c r="AE10" i="32"/>
  <c r="M22" i="6"/>
  <c r="M28" i="6" s="1"/>
  <c r="M26" i="6"/>
  <c r="M27" i="6" s="1"/>
  <c r="N17" i="6"/>
  <c r="N20" i="6" s="1"/>
  <c r="I48" i="13"/>
  <c r="H7" i="8"/>
  <c r="F7" i="13"/>
  <c r="F8" i="13"/>
  <c r="AE11" i="32"/>
  <c r="G4" i="8"/>
  <c r="H4" i="8" s="1"/>
  <c r="I33" i="13"/>
  <c r="H3" i="5"/>
  <c r="AE7" i="32"/>
  <c r="AE14" i="32" s="1"/>
  <c r="AC8" i="32"/>
  <c r="V9" i="32"/>
  <c r="W8" i="32"/>
  <c r="K2" i="8"/>
  <c r="K16" i="6"/>
  <c r="K11" i="7"/>
  <c r="L17" i="13"/>
  <c r="L25" i="13"/>
  <c r="K5" i="6"/>
  <c r="H19" i="13"/>
  <c r="G13" i="7"/>
  <c r="J10" i="8"/>
  <c r="K53" i="13"/>
  <c r="J11" i="13"/>
  <c r="I5" i="7"/>
  <c r="K14" i="13"/>
  <c r="J8" i="7"/>
  <c r="L12" i="7"/>
  <c r="I7" i="7"/>
  <c r="J13" i="13"/>
  <c r="K12" i="13"/>
  <c r="J6" i="7"/>
  <c r="J2" i="5"/>
  <c r="I10" i="5"/>
  <c r="I18" i="5" s="1"/>
  <c r="L24" i="13"/>
  <c r="K4" i="6"/>
  <c r="K6" i="6"/>
  <c r="L26" i="13"/>
  <c r="M47" i="13"/>
  <c r="L6" i="8"/>
  <c r="I4" i="8"/>
  <c r="F20" i="13"/>
  <c r="G20" i="13" s="1"/>
  <c r="I5" i="8"/>
  <c r="J46" i="13"/>
  <c r="J49" i="13"/>
  <c r="I8" i="8"/>
  <c r="I12" i="8"/>
  <c r="J55" i="13"/>
  <c r="J54" i="13"/>
  <c r="I11" i="8"/>
  <c r="F11" i="7"/>
  <c r="E12" i="11"/>
  <c r="F40" i="13"/>
  <c r="F13" i="7"/>
  <c r="K2" i="12" l="1"/>
  <c r="N26" i="6"/>
  <c r="N27" i="6" s="1"/>
  <c r="O17" i="6"/>
  <c r="O20" i="6" s="1"/>
  <c r="N22" i="6"/>
  <c r="N28" i="6" s="1"/>
  <c r="W9" i="32"/>
  <c r="AB9" i="32"/>
  <c r="J33" i="13"/>
  <c r="I3" i="5"/>
  <c r="J48" i="13"/>
  <c r="I7" i="8"/>
  <c r="M6" i="8"/>
  <c r="N47" i="13"/>
  <c r="M12" i="7"/>
  <c r="AE8" i="32"/>
  <c r="Y8" i="32"/>
  <c r="X8" i="32"/>
  <c r="X9" i="32" s="1"/>
  <c r="L2" i="8"/>
  <c r="L16" i="6"/>
  <c r="L11" i="7"/>
  <c r="M17" i="13"/>
  <c r="M25" i="13"/>
  <c r="L5" i="6"/>
  <c r="G14" i="7"/>
  <c r="H20" i="13"/>
  <c r="L12" i="13"/>
  <c r="K6" i="7"/>
  <c r="J7" i="7"/>
  <c r="K13" i="13"/>
  <c r="L53" i="13"/>
  <c r="K10" i="8"/>
  <c r="L14" i="13"/>
  <c r="K8" i="7"/>
  <c r="K11" i="13"/>
  <c r="J5" i="7"/>
  <c r="I19" i="13"/>
  <c r="H13" i="7"/>
  <c r="K2" i="5"/>
  <c r="J10" i="5"/>
  <c r="J18" i="5" s="1"/>
  <c r="L4" i="6"/>
  <c r="M24" i="13"/>
  <c r="M26" i="13"/>
  <c r="L6" i="6"/>
  <c r="K49" i="13"/>
  <c r="J8" i="8"/>
  <c r="G40" i="13"/>
  <c r="M4" i="11"/>
  <c r="J12" i="8"/>
  <c r="K55" i="13"/>
  <c r="K54" i="13"/>
  <c r="J11" i="8"/>
  <c r="J5" i="8"/>
  <c r="K46" i="13"/>
  <c r="F41" i="13"/>
  <c r="F14" i="7"/>
  <c r="J4" i="8"/>
  <c r="L2" i="12" l="1"/>
  <c r="O26" i="6"/>
  <c r="O27" i="6" s="1"/>
  <c r="O22" i="6"/>
  <c r="O28" i="6" s="1"/>
  <c r="AC9" i="32"/>
  <c r="Y9" i="32"/>
  <c r="AD9" i="32"/>
  <c r="J7" i="8"/>
  <c r="K48" i="13"/>
  <c r="K33" i="13"/>
  <c r="J3" i="5"/>
  <c r="N6" i="8"/>
  <c r="O47" i="13"/>
  <c r="O6" i="8" s="1"/>
  <c r="M4" i="6"/>
  <c r="N24" i="13"/>
  <c r="M6" i="6"/>
  <c r="N26" i="13"/>
  <c r="M5" i="6"/>
  <c r="N25" i="13"/>
  <c r="O12" i="7"/>
  <c r="N12" i="7"/>
  <c r="M11" i="7"/>
  <c r="N17" i="13"/>
  <c r="Z8" i="32"/>
  <c r="Z9" i="32" s="1"/>
  <c r="G6" i="13" s="1"/>
  <c r="M2" i="8"/>
  <c r="N2" i="8" s="1"/>
  <c r="O2" i="8" s="1"/>
  <c r="M16" i="6"/>
  <c r="H14" i="7"/>
  <c r="I20" i="13"/>
  <c r="J19" i="13"/>
  <c r="I13" i="7"/>
  <c r="L11" i="13"/>
  <c r="K5" i="7"/>
  <c r="M14" i="13"/>
  <c r="L8" i="7"/>
  <c r="M53" i="13"/>
  <c r="L10" i="8"/>
  <c r="K7" i="7"/>
  <c r="L13" i="13"/>
  <c r="M12" i="13"/>
  <c r="L6" i="7"/>
  <c r="L2" i="5"/>
  <c r="K10" i="5"/>
  <c r="K18" i="5" s="1"/>
  <c r="L46" i="13"/>
  <c r="K5" i="8"/>
  <c r="M5" i="11"/>
  <c r="H40" i="13"/>
  <c r="K12" i="8"/>
  <c r="L55" i="13"/>
  <c r="G41" i="13"/>
  <c r="K11" i="8"/>
  <c r="L54" i="13"/>
  <c r="K8" i="8"/>
  <c r="L49" i="13"/>
  <c r="K4" i="8"/>
  <c r="M2" i="12" l="1"/>
  <c r="G8" i="13"/>
  <c r="G7" i="13"/>
  <c r="G10" i="13"/>
  <c r="G4" i="7" s="1"/>
  <c r="K3" i="5"/>
  <c r="L33" i="13"/>
  <c r="K7" i="8"/>
  <c r="L48" i="13"/>
  <c r="AE9" i="32"/>
  <c r="H6" i="13" s="1"/>
  <c r="O24" i="13"/>
  <c r="O4" i="6" s="1"/>
  <c r="N4" i="6"/>
  <c r="M10" i="8"/>
  <c r="N53" i="13"/>
  <c r="N6" i="6"/>
  <c r="O26" i="13"/>
  <c r="O6" i="6" s="1"/>
  <c r="O25" i="13"/>
  <c r="O5" i="6" s="1"/>
  <c r="N5" i="6"/>
  <c r="O17" i="13"/>
  <c r="O11" i="7" s="1"/>
  <c r="N11" i="7"/>
  <c r="M8" i="7"/>
  <c r="N14" i="13"/>
  <c r="M6" i="7"/>
  <c r="N12" i="13"/>
  <c r="M13" i="13"/>
  <c r="L7" i="7"/>
  <c r="K19" i="13"/>
  <c r="J13" i="7"/>
  <c r="M11" i="13"/>
  <c r="L5" i="7"/>
  <c r="J20" i="13"/>
  <c r="I14" i="7"/>
  <c r="M2" i="5"/>
  <c r="M10" i="5" s="1"/>
  <c r="M18" i="5" s="1"/>
  <c r="L10" i="5"/>
  <c r="L18" i="5" s="1"/>
  <c r="H41" i="13"/>
  <c r="L5" i="8"/>
  <c r="M46" i="13"/>
  <c r="L4" i="8"/>
  <c r="M55" i="13"/>
  <c r="L12" i="8"/>
  <c r="L8" i="8"/>
  <c r="M49" i="13"/>
  <c r="M6" i="11"/>
  <c r="M7" i="11"/>
  <c r="M54" i="13"/>
  <c r="L11" i="8"/>
  <c r="I40" i="13"/>
  <c r="L7" i="8" l="1"/>
  <c r="M48" i="13"/>
  <c r="L3" i="5"/>
  <c r="M33" i="13"/>
  <c r="H7" i="13"/>
  <c r="H10" i="13"/>
  <c r="H4" i="7" s="1"/>
  <c r="H8" i="13"/>
  <c r="N10" i="8"/>
  <c r="O53" i="13"/>
  <c r="O10" i="8" s="1"/>
  <c r="M11" i="8"/>
  <c r="N54" i="13"/>
  <c r="M8" i="8"/>
  <c r="N49" i="13"/>
  <c r="M12" i="8"/>
  <c r="N55" i="13"/>
  <c r="M5" i="8"/>
  <c r="N46" i="13"/>
  <c r="O14" i="13"/>
  <c r="O8" i="7" s="1"/>
  <c r="N8" i="7"/>
  <c r="M7" i="7"/>
  <c r="N13" i="13"/>
  <c r="O12" i="13"/>
  <c r="O6" i="7" s="1"/>
  <c r="N6" i="7"/>
  <c r="M5" i="7"/>
  <c r="N11" i="13"/>
  <c r="K20" i="13"/>
  <c r="J14" i="7"/>
  <c r="L19" i="13"/>
  <c r="K13" i="7"/>
  <c r="M9" i="11"/>
  <c r="M11" i="11" s="1"/>
  <c r="M4" i="8"/>
  <c r="N4" i="8" s="1"/>
  <c r="O4" i="8" s="1"/>
  <c r="I41" i="13"/>
  <c r="J40" i="13"/>
  <c r="E8" i="11" l="1"/>
  <c r="E13" i="11" s="1"/>
  <c r="Q3" i="12" s="1"/>
  <c r="I7" i="13"/>
  <c r="I8" i="13"/>
  <c r="I10" i="13"/>
  <c r="I4" i="7" s="1"/>
  <c r="N33" i="13"/>
  <c r="M3" i="5"/>
  <c r="M7" i="8"/>
  <c r="N48" i="13"/>
  <c r="O55" i="13"/>
  <c r="O12" i="8" s="1"/>
  <c r="N12" i="8"/>
  <c r="O49" i="13"/>
  <c r="O8" i="8" s="1"/>
  <c r="N8" i="8"/>
  <c r="N5" i="8"/>
  <c r="O46" i="13"/>
  <c r="O5" i="8" s="1"/>
  <c r="N11" i="8"/>
  <c r="O54" i="13"/>
  <c r="O11" i="8" s="1"/>
  <c r="N7" i="7"/>
  <c r="O13" i="13"/>
  <c r="O7" i="7" s="1"/>
  <c r="O11" i="13"/>
  <c r="O5" i="7" s="1"/>
  <c r="N5" i="7"/>
  <c r="M19" i="13"/>
  <c r="L13" i="7"/>
  <c r="L20" i="13"/>
  <c r="K14" i="7"/>
  <c r="K40" i="13"/>
  <c r="J41" i="13"/>
  <c r="D3" i="12" l="1"/>
  <c r="E3" i="12"/>
  <c r="F3" i="12"/>
  <c r="G3" i="12"/>
  <c r="H3" i="12"/>
  <c r="I3" i="12"/>
  <c r="J3" i="12"/>
  <c r="K3" i="12"/>
  <c r="L3" i="12"/>
  <c r="M3" i="12"/>
  <c r="N3" i="5"/>
  <c r="O33" i="13"/>
  <c r="O3" i="5" s="1"/>
  <c r="O48" i="13"/>
  <c r="O7" i="8" s="1"/>
  <c r="N7" i="8"/>
  <c r="J10" i="13"/>
  <c r="J4" i="7" s="1"/>
  <c r="J7" i="13"/>
  <c r="J8" i="13"/>
  <c r="M13" i="7"/>
  <c r="N19" i="13"/>
  <c r="M20" i="13"/>
  <c r="L14" i="7"/>
  <c r="K41" i="13"/>
  <c r="L40" i="13"/>
  <c r="K8" i="13" l="1"/>
  <c r="K7" i="13"/>
  <c r="K10" i="13"/>
  <c r="K4" i="7" s="1"/>
  <c r="M14" i="7"/>
  <c r="N20" i="13"/>
  <c r="N40" i="13"/>
  <c r="O19" i="13"/>
  <c r="N13" i="7"/>
  <c r="M40" i="13"/>
  <c r="L41" i="13"/>
  <c r="L7" i="13" l="1"/>
  <c r="L10" i="13"/>
  <c r="L4" i="7" s="1"/>
  <c r="L8" i="13"/>
  <c r="O40" i="13"/>
  <c r="O13" i="7"/>
  <c r="N41" i="13"/>
  <c r="O20" i="13"/>
  <c r="N14" i="7"/>
  <c r="M41" i="13"/>
  <c r="M8" i="13" l="1"/>
  <c r="M7" i="13"/>
  <c r="M10" i="13"/>
  <c r="M4" i="7" s="1"/>
  <c r="O41" i="13"/>
  <c r="O14" i="7"/>
  <c r="N7" i="13" l="1"/>
  <c r="N10" i="13"/>
  <c r="N4" i="7" s="1"/>
  <c r="N8" i="13"/>
  <c r="O8" i="13" l="1"/>
  <c r="O7" i="13"/>
  <c r="O10" i="13"/>
  <c r="O4" i="7" s="1"/>
  <c r="F10" i="13" l="1"/>
  <c r="F4" i="7" l="1"/>
  <c r="F17" i="7" s="1"/>
  <c r="E38" i="7"/>
  <c r="G17" i="7" l="1"/>
  <c r="F3" i="10"/>
  <c r="F19" i="7"/>
  <c r="F20" i="7"/>
  <c r="F18" i="7"/>
  <c r="F21" i="7" s="1"/>
  <c r="F4" i="10" s="1"/>
  <c r="F7" i="10" s="1"/>
  <c r="F35" i="8"/>
  <c r="F17" i="8"/>
  <c r="F21" i="5" s="1"/>
  <c r="F31" i="8"/>
  <c r="F24" i="5" s="1"/>
  <c r="F24" i="8"/>
  <c r="F19" i="8"/>
  <c r="F22" i="5" s="1"/>
  <c r="F7" i="5"/>
  <c r="F15" i="8"/>
  <c r="F7" i="9" l="1"/>
  <c r="F11" i="10" s="1"/>
  <c r="H17" i="7"/>
  <c r="G18" i="7"/>
  <c r="G17" i="8"/>
  <c r="G21" i="5" s="1"/>
  <c r="G19" i="8"/>
  <c r="G22" i="5" s="1"/>
  <c r="G35" i="8"/>
  <c r="G3" i="10"/>
  <c r="G24" i="8"/>
  <c r="G15" i="8"/>
  <c r="G31" i="8"/>
  <c r="G24" i="5" s="1"/>
  <c r="G19" i="7"/>
  <c r="G7" i="5"/>
  <c r="G11" i="9" s="1"/>
  <c r="G12" i="9" s="1"/>
  <c r="G13" i="10" s="1"/>
  <c r="G20" i="7"/>
  <c r="F25" i="7"/>
  <c r="F33" i="7"/>
  <c r="F11" i="9"/>
  <c r="F12" i="9" s="1"/>
  <c r="F13" i="10" s="1"/>
  <c r="F9" i="5"/>
  <c r="F19" i="5"/>
  <c r="F8" i="9"/>
  <c r="F12" i="10" s="1"/>
  <c r="F36" i="8"/>
  <c r="F18" i="8"/>
  <c r="F20" i="5" s="1"/>
  <c r="F30" i="8"/>
  <c r="F23" i="5" s="1"/>
  <c r="F22" i="8" l="1"/>
  <c r="F25" i="8" s="1"/>
  <c r="G6" i="5"/>
  <c r="G19" i="5"/>
  <c r="G8" i="9"/>
  <c r="G12" i="10" s="1"/>
  <c r="G36" i="8"/>
  <c r="G21" i="7"/>
  <c r="G30" i="8"/>
  <c r="G23" i="5" s="1"/>
  <c r="G18" i="8"/>
  <c r="G20" i="5" s="1"/>
  <c r="G7" i="9"/>
  <c r="G11" i="10" s="1"/>
  <c r="H7" i="5"/>
  <c r="H11" i="9" s="1"/>
  <c r="H12" i="9" s="1"/>
  <c r="H13" i="10" s="1"/>
  <c r="I17" i="7"/>
  <c r="H18" i="7"/>
  <c r="H17" i="8"/>
  <c r="H21" i="5" s="1"/>
  <c r="H19" i="8"/>
  <c r="H22" i="5" s="1"/>
  <c r="H35" i="8"/>
  <c r="H3" i="10"/>
  <c r="H24" i="8"/>
  <c r="H31" i="8"/>
  <c r="H24" i="5" s="1"/>
  <c r="H19" i="7"/>
  <c r="H20" i="7"/>
  <c r="H15" i="8"/>
  <c r="F25" i="5"/>
  <c r="F26" i="5" s="1"/>
  <c r="F6" i="9" s="1"/>
  <c r="F10" i="10" s="1"/>
  <c r="F15" i="10" s="1"/>
  <c r="D4" i="12" s="1"/>
  <c r="F35" i="7"/>
  <c r="F36" i="7" s="1"/>
  <c r="H19" i="5" l="1"/>
  <c r="I19" i="8"/>
  <c r="I22" i="5" s="1"/>
  <c r="I15" i="8"/>
  <c r="I31" i="8"/>
  <c r="I24" i="5" s="1"/>
  <c r="I7" i="5"/>
  <c r="I11" i="9" s="1"/>
  <c r="I12" i="9" s="1"/>
  <c r="I13" i="10" s="1"/>
  <c r="J17" i="7"/>
  <c r="I18" i="7"/>
  <c r="I17" i="8"/>
  <c r="I21" i="5" s="1"/>
  <c r="I35" i="8"/>
  <c r="I3" i="10"/>
  <c r="I24" i="8"/>
  <c r="I7" i="9" s="1"/>
  <c r="I11" i="10" s="1"/>
  <c r="I19" i="7"/>
  <c r="I20" i="7"/>
  <c r="H30" i="8"/>
  <c r="H23" i="5" s="1"/>
  <c r="H18" i="8"/>
  <c r="H20" i="5" s="1"/>
  <c r="H8" i="9"/>
  <c r="H12" i="10" s="1"/>
  <c r="H36" i="8"/>
  <c r="G4" i="10"/>
  <c r="G7" i="10" s="1"/>
  <c r="G33" i="7"/>
  <c r="G25" i="5"/>
  <c r="G8" i="5"/>
  <c r="G23" i="7" s="1"/>
  <c r="G4" i="9" s="1"/>
  <c r="G8" i="10" s="1"/>
  <c r="H21" i="7"/>
  <c r="H7" i="9"/>
  <c r="H11" i="10" s="1"/>
  <c r="F43" i="7"/>
  <c r="F14" i="5"/>
  <c r="F17" i="5" s="1"/>
  <c r="F42" i="7"/>
  <c r="F3" i="9"/>
  <c r="F9" i="9" s="1"/>
  <c r="F19" i="9" s="1"/>
  <c r="F22" i="9" s="1"/>
  <c r="F23" i="9" s="1"/>
  <c r="G9" i="5" l="1"/>
  <c r="G22" i="8" s="1"/>
  <c r="G25" i="8" s="1"/>
  <c r="I21" i="7"/>
  <c r="I4" i="10" s="1"/>
  <c r="I7" i="10" s="1"/>
  <c r="H4" i="10"/>
  <c r="H7" i="10" s="1"/>
  <c r="H33" i="7"/>
  <c r="H35" i="7" s="1"/>
  <c r="H36" i="7" s="1"/>
  <c r="G25" i="7"/>
  <c r="I36" i="8"/>
  <c r="I8" i="9"/>
  <c r="I12" i="10" s="1"/>
  <c r="G35" i="7"/>
  <c r="G36" i="7" s="1"/>
  <c r="J19" i="8"/>
  <c r="J22" i="5" s="1"/>
  <c r="J15" i="8"/>
  <c r="J31" i="8"/>
  <c r="J24" i="5" s="1"/>
  <c r="J7" i="5"/>
  <c r="J11" i="9" s="1"/>
  <c r="J12" i="9" s="1"/>
  <c r="J13" i="10" s="1"/>
  <c r="K17" i="7"/>
  <c r="J18" i="7"/>
  <c r="J35" i="8"/>
  <c r="J3" i="10"/>
  <c r="J24" i="8"/>
  <c r="J7" i="9" s="1"/>
  <c r="J11" i="10" s="1"/>
  <c r="J19" i="7"/>
  <c r="J20" i="7"/>
  <c r="J17" i="8"/>
  <c r="J21" i="5" s="1"/>
  <c r="I19" i="5"/>
  <c r="G26" i="5"/>
  <c r="G6" i="9" s="1"/>
  <c r="G10" i="10" s="1"/>
  <c r="G15" i="10" s="1"/>
  <c r="E4" i="12" s="1"/>
  <c r="I18" i="8"/>
  <c r="I20" i="5" s="1"/>
  <c r="I30" i="8"/>
  <c r="I23" i="5" s="1"/>
  <c r="H25" i="5"/>
  <c r="H26" i="5" s="1"/>
  <c r="H6" i="9" s="1"/>
  <c r="H10" i="10" s="1"/>
  <c r="F38" i="8"/>
  <c r="G13" i="5"/>
  <c r="F29" i="8"/>
  <c r="F32" i="8" s="1"/>
  <c r="F39" i="8" s="1"/>
  <c r="F16" i="8"/>
  <c r="G21" i="9" s="1"/>
  <c r="H6" i="5" l="1"/>
  <c r="I33" i="7"/>
  <c r="I35" i="7" s="1"/>
  <c r="I36" i="7" s="1"/>
  <c r="I3" i="9" s="1"/>
  <c r="G43" i="7"/>
  <c r="G42" i="7"/>
  <c r="G14" i="5"/>
  <c r="G17" i="5" s="1"/>
  <c r="G38" i="8" s="1"/>
  <c r="G3" i="9"/>
  <c r="G9" i="9" s="1"/>
  <c r="G19" i="9" s="1"/>
  <c r="G22" i="9" s="1"/>
  <c r="G23" i="9" s="1"/>
  <c r="I25" i="5"/>
  <c r="I26" i="5" s="1"/>
  <c r="I6" i="9" s="1"/>
  <c r="I10" i="10" s="1"/>
  <c r="J18" i="8"/>
  <c r="J20" i="5" s="1"/>
  <c r="J30" i="8"/>
  <c r="J23" i="5" s="1"/>
  <c r="J36" i="8"/>
  <c r="J8" i="9"/>
  <c r="J12" i="10" s="1"/>
  <c r="L17" i="7"/>
  <c r="K15" i="8"/>
  <c r="K31" i="8"/>
  <c r="K24" i="5" s="1"/>
  <c r="K7" i="5"/>
  <c r="K11" i="9" s="1"/>
  <c r="K12" i="9" s="1"/>
  <c r="K13" i="10" s="1"/>
  <c r="K18" i="7"/>
  <c r="K19" i="8"/>
  <c r="K22" i="5" s="1"/>
  <c r="K35" i="8"/>
  <c r="K3" i="10"/>
  <c r="K24" i="8"/>
  <c r="K19" i="7"/>
  <c r="K20" i="7"/>
  <c r="K17" i="8"/>
  <c r="K21" i="5" s="1"/>
  <c r="J21" i="7"/>
  <c r="H8" i="5"/>
  <c r="H23" i="7" s="1"/>
  <c r="J19" i="5"/>
  <c r="H43" i="7"/>
  <c r="H42" i="7"/>
  <c r="H14" i="5"/>
  <c r="H3" i="9"/>
  <c r="I42" i="7"/>
  <c r="I14" i="5"/>
  <c r="F31" i="6"/>
  <c r="F33" i="6" s="1"/>
  <c r="F20" i="8"/>
  <c r="F27" i="8" s="1"/>
  <c r="F41" i="8" s="1"/>
  <c r="I43" i="7" l="1"/>
  <c r="H9" i="5"/>
  <c r="H13" i="5"/>
  <c r="H17" i="5" s="1"/>
  <c r="H38" i="8" s="1"/>
  <c r="J25" i="5"/>
  <c r="I6" i="5"/>
  <c r="H22" i="8"/>
  <c r="H25" i="8" s="1"/>
  <c r="K19" i="5"/>
  <c r="K30" i="8"/>
  <c r="K23" i="5" s="1"/>
  <c r="K18" i="8"/>
  <c r="K20" i="5" s="1"/>
  <c r="J4" i="10"/>
  <c r="J7" i="10" s="1"/>
  <c r="J33" i="7"/>
  <c r="J35" i="7" s="1"/>
  <c r="J36" i="7" s="1"/>
  <c r="K21" i="7"/>
  <c r="K36" i="8"/>
  <c r="K8" i="9"/>
  <c r="K12" i="10" s="1"/>
  <c r="J26" i="5"/>
  <c r="J6" i="9" s="1"/>
  <c r="J10" i="10" s="1"/>
  <c r="H25" i="7"/>
  <c r="H4" i="9"/>
  <c r="H8" i="10" s="1"/>
  <c r="H15" i="10" s="1"/>
  <c r="F4" i="12" s="1"/>
  <c r="L15" i="8"/>
  <c r="L31" i="8"/>
  <c r="L24" i="5" s="1"/>
  <c r="L19" i="8"/>
  <c r="L22" i="5" s="1"/>
  <c r="L35" i="8"/>
  <c r="L3" i="10"/>
  <c r="L24" i="8"/>
  <c r="L17" i="8"/>
  <c r="L21" i="5" s="1"/>
  <c r="L18" i="7"/>
  <c r="L7" i="5"/>
  <c r="L11" i="9" s="1"/>
  <c r="L12" i="9" s="1"/>
  <c r="L13" i="10" s="1"/>
  <c r="M17" i="7"/>
  <c r="L19" i="7"/>
  <c r="L20" i="7"/>
  <c r="K7" i="9"/>
  <c r="K11" i="10" s="1"/>
  <c r="G29" i="8"/>
  <c r="G32" i="8" s="1"/>
  <c r="G39" i="8" s="1"/>
  <c r="G16" i="8"/>
  <c r="I13" i="5" l="1"/>
  <c r="I17" i="5" s="1"/>
  <c r="K4" i="10"/>
  <c r="K7" i="10" s="1"/>
  <c r="K33" i="7"/>
  <c r="K35" i="7" s="1"/>
  <c r="K36" i="7" s="1"/>
  <c r="L8" i="9"/>
  <c r="L12" i="10" s="1"/>
  <c r="L36" i="8"/>
  <c r="M15" i="8"/>
  <c r="M31" i="8"/>
  <c r="M24" i="5" s="1"/>
  <c r="M19" i="8"/>
  <c r="M22" i="5" s="1"/>
  <c r="M35" i="8"/>
  <c r="M3" i="10"/>
  <c r="M24" i="8"/>
  <c r="M17" i="8"/>
  <c r="M21" i="5" s="1"/>
  <c r="M20" i="7"/>
  <c r="M18" i="7"/>
  <c r="M19" i="7"/>
  <c r="M7" i="5"/>
  <c r="M11" i="9" s="1"/>
  <c r="M12" i="9" s="1"/>
  <c r="M13" i="10" s="1"/>
  <c r="N17" i="7"/>
  <c r="L19" i="5"/>
  <c r="H9" i="9"/>
  <c r="H19" i="9" s="1"/>
  <c r="H22" i="9" s="1"/>
  <c r="K25" i="5"/>
  <c r="L7" i="9"/>
  <c r="L11" i="10" s="1"/>
  <c r="L21" i="7"/>
  <c r="L30" i="8"/>
  <c r="L23" i="5" s="1"/>
  <c r="L18" i="8"/>
  <c r="L20" i="5" s="1"/>
  <c r="G31" i="6"/>
  <c r="G33" i="6" s="1"/>
  <c r="H21" i="9"/>
  <c r="H23" i="9" s="1"/>
  <c r="G20" i="8"/>
  <c r="G27" i="8" s="1"/>
  <c r="G41" i="8" s="1"/>
  <c r="J43" i="7"/>
  <c r="J42" i="7"/>
  <c r="J14" i="5"/>
  <c r="J3" i="9"/>
  <c r="I8" i="5"/>
  <c r="I23" i="7" s="1"/>
  <c r="J13" i="5"/>
  <c r="I38" i="8"/>
  <c r="I9" i="5" l="1"/>
  <c r="L25" i="5"/>
  <c r="J17" i="5"/>
  <c r="H16" i="8"/>
  <c r="H29" i="8"/>
  <c r="H32" i="8" s="1"/>
  <c r="H39" i="8" s="1"/>
  <c r="L4" i="10"/>
  <c r="L7" i="10" s="1"/>
  <c r="L33" i="7"/>
  <c r="L35" i="7" s="1"/>
  <c r="L36" i="7" s="1"/>
  <c r="M21" i="7"/>
  <c r="M30" i="8"/>
  <c r="M23" i="5" s="1"/>
  <c r="M18" i="8"/>
  <c r="M20" i="5" s="1"/>
  <c r="L26" i="5"/>
  <c r="L6" i="9" s="1"/>
  <c r="L10" i="10" s="1"/>
  <c r="K26" i="5"/>
  <c r="K6" i="9" s="1"/>
  <c r="K10" i="10" s="1"/>
  <c r="M8" i="9"/>
  <c r="M12" i="10" s="1"/>
  <c r="M36" i="8"/>
  <c r="M19" i="5"/>
  <c r="J6" i="5"/>
  <c r="I22" i="8"/>
  <c r="I25" i="8" s="1"/>
  <c r="K42" i="7"/>
  <c r="K43" i="7"/>
  <c r="K14" i="5"/>
  <c r="K3" i="9"/>
  <c r="M7" i="9"/>
  <c r="M11" i="10" s="1"/>
  <c r="N19" i="8"/>
  <c r="N22" i="5" s="1"/>
  <c r="N15" i="8"/>
  <c r="N31" i="8"/>
  <c r="N24" i="5" s="1"/>
  <c r="N24" i="8"/>
  <c r="N7" i="9" s="1"/>
  <c r="N11" i="10" s="1"/>
  <c r="N35" i="8"/>
  <c r="N3" i="10"/>
  <c r="N17" i="8"/>
  <c r="N21" i="5" s="1"/>
  <c r="N20" i="7"/>
  <c r="O17" i="7"/>
  <c r="N7" i="5"/>
  <c r="N11" i="9" s="1"/>
  <c r="N12" i="9" s="1"/>
  <c r="N13" i="10" s="1"/>
  <c r="N18" i="7"/>
  <c r="N19" i="7"/>
  <c r="I25" i="7"/>
  <c r="I4" i="9"/>
  <c r="K13" i="5"/>
  <c r="J38" i="8"/>
  <c r="N8" i="9" l="1"/>
  <c r="N12" i="10" s="1"/>
  <c r="N36" i="8"/>
  <c r="J8" i="5"/>
  <c r="J23" i="7" s="1"/>
  <c r="N21" i="7"/>
  <c r="N19" i="5"/>
  <c r="K17" i="5"/>
  <c r="K38" i="8" s="1"/>
  <c r="I8" i="10"/>
  <c r="I15" i="10" s="1"/>
  <c r="G4" i="12" s="1"/>
  <c r="I9" i="9"/>
  <c r="I19" i="9" s="1"/>
  <c r="I22" i="9" s="1"/>
  <c r="N30" i="8"/>
  <c r="N23" i="5" s="1"/>
  <c r="N18" i="8"/>
  <c r="N20" i="5" s="1"/>
  <c r="M25" i="5"/>
  <c r="M4" i="10"/>
  <c r="M7" i="10" s="1"/>
  <c r="M33" i="7"/>
  <c r="M35" i="7" s="1"/>
  <c r="M36" i="7" s="1"/>
  <c r="L14" i="5"/>
  <c r="L43" i="7"/>
  <c r="L42" i="7"/>
  <c r="L3" i="9"/>
  <c r="O19" i="8"/>
  <c r="O22" i="5" s="1"/>
  <c r="O15" i="8"/>
  <c r="O31" i="8"/>
  <c r="O24" i="5" s="1"/>
  <c r="O3" i="10"/>
  <c r="O24" i="8"/>
  <c r="O7" i="9" s="1"/>
  <c r="O11" i="10" s="1"/>
  <c r="O35" i="8"/>
  <c r="O17" i="8"/>
  <c r="O21" i="5" s="1"/>
  <c r="O20" i="7"/>
  <c r="O18" i="7"/>
  <c r="O7" i="5"/>
  <c r="O11" i="9" s="1"/>
  <c r="O12" i="9" s="1"/>
  <c r="O13" i="10" s="1"/>
  <c r="O19" i="7"/>
  <c r="I21" i="9"/>
  <c r="H31" i="6"/>
  <c r="H33" i="6" s="1"/>
  <c r="H20" i="8"/>
  <c r="H27" i="8" s="1"/>
  <c r="H41" i="8" s="1"/>
  <c r="J9" i="5" l="1"/>
  <c r="N25" i="5"/>
  <c r="N26" i="5" s="1"/>
  <c r="N6" i="9" s="1"/>
  <c r="N10" i="10" s="1"/>
  <c r="N4" i="10"/>
  <c r="N7" i="10" s="1"/>
  <c r="N33" i="7"/>
  <c r="M26" i="5"/>
  <c r="M6" i="9" s="1"/>
  <c r="M10" i="10" s="1"/>
  <c r="L13" i="5"/>
  <c r="L17" i="5" s="1"/>
  <c r="I23" i="9"/>
  <c r="O8" i="9"/>
  <c r="O12" i="10" s="1"/>
  <c r="O36" i="8"/>
  <c r="O19" i="5"/>
  <c r="M14" i="5"/>
  <c r="M43" i="7"/>
  <c r="M42" i="7"/>
  <c r="M3" i="9"/>
  <c r="K6" i="5"/>
  <c r="J22" i="8"/>
  <c r="J25" i="8" s="1"/>
  <c r="J25" i="7"/>
  <c r="J4" i="9"/>
  <c r="O21" i="7"/>
  <c r="O18" i="8"/>
  <c r="O20" i="5" s="1"/>
  <c r="O30" i="8"/>
  <c r="O23" i="5" s="1"/>
  <c r="M13" i="5"/>
  <c r="M17" i="5" s="1"/>
  <c r="L38" i="8"/>
  <c r="O25" i="5" l="1"/>
  <c r="I29" i="8"/>
  <c r="I32" i="8" s="1"/>
  <c r="I39" i="8" s="1"/>
  <c r="I16" i="8"/>
  <c r="K8" i="5"/>
  <c r="K23" i="7" s="1"/>
  <c r="K9" i="5"/>
  <c r="N35" i="7"/>
  <c r="N36" i="7" s="1"/>
  <c r="O4" i="10"/>
  <c r="O7" i="10" s="1"/>
  <c r="O33" i="7"/>
  <c r="O35" i="7" s="1"/>
  <c r="O36" i="7" s="1"/>
  <c r="J8" i="10"/>
  <c r="J15" i="10" s="1"/>
  <c r="H4" i="12" s="1"/>
  <c r="J9" i="9"/>
  <c r="J19" i="9" s="1"/>
  <c r="J22" i="9" s="1"/>
  <c r="O26" i="5"/>
  <c r="O6" i="9" s="1"/>
  <c r="O10" i="10" s="1"/>
  <c r="N13" i="5"/>
  <c r="M38" i="8"/>
  <c r="N42" i="7" l="1"/>
  <c r="N14" i="5"/>
  <c r="N17" i="5" s="1"/>
  <c r="N43" i="7"/>
  <c r="N3" i="9"/>
  <c r="O14" i="5"/>
  <c r="O43" i="7"/>
  <c r="O3" i="9"/>
  <c r="O42" i="7"/>
  <c r="J21" i="9"/>
  <c r="J23" i="9" s="1"/>
  <c r="I31" i="6"/>
  <c r="I33" i="6" s="1"/>
  <c r="I20" i="8"/>
  <c r="I27" i="8" s="1"/>
  <c r="I41" i="8" s="1"/>
  <c r="K25" i="7"/>
  <c r="K4" i="9"/>
  <c r="L6" i="5"/>
  <c r="K22" i="8"/>
  <c r="K25" i="8" s="1"/>
  <c r="O13" i="5" l="1"/>
  <c r="O17" i="5" s="1"/>
  <c r="O38" i="8" s="1"/>
  <c r="N38" i="8"/>
  <c r="L8" i="5"/>
  <c r="L23" i="7" s="1"/>
  <c r="K8" i="10"/>
  <c r="K15" i="10" s="1"/>
  <c r="I4" i="12" s="1"/>
  <c r="K9" i="9"/>
  <c r="K19" i="9" s="1"/>
  <c r="K22" i="9" s="1"/>
  <c r="J29" i="8"/>
  <c r="J32" i="8" s="1"/>
  <c r="J39" i="8" s="1"/>
  <c r="J16" i="8"/>
  <c r="J31" i="6" l="1"/>
  <c r="J33" i="6" s="1"/>
  <c r="K21" i="9"/>
  <c r="K23" i="9" s="1"/>
  <c r="J20" i="8"/>
  <c r="J27" i="8" s="1"/>
  <c r="J41" i="8" s="1"/>
  <c r="L25" i="7"/>
  <c r="L4" i="9"/>
  <c r="L9" i="5"/>
  <c r="L8" i="10" l="1"/>
  <c r="L15" i="10" s="1"/>
  <c r="J4" i="12" s="1"/>
  <c r="L9" i="9"/>
  <c r="L19" i="9" s="1"/>
  <c r="L22" i="9" s="1"/>
  <c r="M6" i="5"/>
  <c r="L22" i="8"/>
  <c r="L25" i="8" s="1"/>
  <c r="K16" i="8"/>
  <c r="K29" i="8"/>
  <c r="K32" i="8" s="1"/>
  <c r="K39" i="8" s="1"/>
  <c r="K31" i="6" l="1"/>
  <c r="K33" i="6" s="1"/>
  <c r="L21" i="9"/>
  <c r="L23" i="9" s="1"/>
  <c r="K20" i="8"/>
  <c r="K27" i="8" s="1"/>
  <c r="K41" i="8" s="1"/>
  <c r="M8" i="5"/>
  <c r="M23" i="7" s="1"/>
  <c r="M9" i="5" l="1"/>
  <c r="N6" i="5"/>
  <c r="M22" i="8"/>
  <c r="M25" i="8" s="1"/>
  <c r="L29" i="8"/>
  <c r="L32" i="8" s="1"/>
  <c r="L39" i="8" s="1"/>
  <c r="L16" i="8"/>
  <c r="M25" i="7"/>
  <c r="M4" i="9"/>
  <c r="L31" i="6" l="1"/>
  <c r="L33" i="6" s="1"/>
  <c r="M21" i="9"/>
  <c r="L20" i="8"/>
  <c r="L27" i="8" s="1"/>
  <c r="M8" i="10"/>
  <c r="M15" i="10" s="1"/>
  <c r="K4" i="12" s="1"/>
  <c r="M9" i="9"/>
  <c r="M19" i="9" s="1"/>
  <c r="M22" i="9" s="1"/>
  <c r="L41" i="8"/>
  <c r="N8" i="5"/>
  <c r="N23" i="7" s="1"/>
  <c r="N9" i="5" l="1"/>
  <c r="N25" i="7"/>
  <c r="N4" i="9"/>
  <c r="M23" i="9"/>
  <c r="O6" i="5"/>
  <c r="N22" i="8"/>
  <c r="N25" i="8" s="1"/>
  <c r="M29" i="8" l="1"/>
  <c r="M32" i="8" s="1"/>
  <c r="M39" i="8" s="1"/>
  <c r="M16" i="8"/>
  <c r="O8" i="5"/>
  <c r="O23" i="7" s="1"/>
  <c r="N8" i="10"/>
  <c r="N15" i="10" s="1"/>
  <c r="L4" i="12" s="1"/>
  <c r="N9" i="9"/>
  <c r="N19" i="9" s="1"/>
  <c r="N22" i="9" s="1"/>
  <c r="O9" i="5" l="1"/>
  <c r="O22" i="8" s="1"/>
  <c r="O25" i="8" s="1"/>
  <c r="N21" i="9"/>
  <c r="N23" i="9" s="1"/>
  <c r="M31" i="6"/>
  <c r="M33" i="6" s="1"/>
  <c r="M20" i="8"/>
  <c r="M27" i="8" s="1"/>
  <c r="O25" i="7"/>
  <c r="G8" i="12" s="1"/>
  <c r="O4" i="9"/>
  <c r="M41" i="8"/>
  <c r="O8" i="10" l="1"/>
  <c r="O15" i="10" s="1"/>
  <c r="M4" i="12" s="1"/>
  <c r="O9" i="9"/>
  <c r="O19" i="9" s="1"/>
  <c r="O22" i="9" s="1"/>
  <c r="N16" i="8"/>
  <c r="N29" i="8"/>
  <c r="N32" i="8" s="1"/>
  <c r="N39" i="8" s="1"/>
  <c r="O21" i="9" l="1"/>
  <c r="O23" i="9" s="1"/>
  <c r="N31" i="6"/>
  <c r="N33" i="6" s="1"/>
  <c r="N20" i="8"/>
  <c r="N27" i="8" s="1"/>
  <c r="N41" i="8" s="1"/>
  <c r="M5" i="12"/>
  <c r="C8" i="12" s="1"/>
  <c r="C7" i="12"/>
  <c r="C9" i="12" l="1"/>
  <c r="C15" i="12" s="1"/>
  <c r="C18" i="12" s="1"/>
  <c r="G7" i="12"/>
  <c r="G9" i="12" s="1"/>
  <c r="G15" i="12" s="1"/>
  <c r="G18" i="12" s="1"/>
  <c r="O29" i="8"/>
  <c r="O32" i="8" s="1"/>
  <c r="O39" i="8" s="1"/>
  <c r="O16" i="8"/>
  <c r="N9" i="12" l="1"/>
  <c r="J5" i="3"/>
  <c r="J6" i="3" s="1"/>
  <c r="S9" i="12"/>
  <c r="I5" i="3"/>
  <c r="O31" i="6"/>
  <c r="O33" i="6" s="1"/>
  <c r="O20" i="8"/>
  <c r="O27" i="8" s="1"/>
  <c r="O41" i="8" s="1"/>
  <c r="I6" i="3" l="1"/>
  <c r="K5" i="3"/>
  <c r="K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<sst xmlns="http://schemas.openxmlformats.org/spreadsheetml/2006/main" count="436" uniqueCount="245">
  <si>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</si>
  <si>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</si>
  <si>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</si>
  <si>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</si>
  <si>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</si>
  <si>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</si>
  <si>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</si>
  <si>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</si>
  <si>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</si>
  <si>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</si>
  <si>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</si>
  <si>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</si>
  <si>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</si>
  <si>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</si>
  <si>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</si>
  <si>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</si>
  <si>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</si>
  <si>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</si>
  <si>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</si>
  <si>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</si>
  <si>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</si>
  <si>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Dividends paid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</si>
  <si>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</si>
  <si>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</si>
  <si>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</si>
  <si>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</si>
  <si>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</si>
  <si>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</si>
  <si>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</si>
  <si>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</si>
  <si>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</si>
  <si>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</si>
  <si>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</si>
  <si>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</si>
  <si>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</si>
  <si>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</si>
  <si>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</si>
  <si>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</si>
  <si>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</si>
  <si>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</si>
  <si>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</si>
  <si>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</si>
  <si>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</si>
  <si>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</si>
  <si>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</si>
  <si>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</si>
  <si>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</si>
  <si>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</si>
  <si>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</si>
  <si>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</si>
  <si>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</si>
  <si>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</si>
  <si>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</si>
  <si>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</si>
  <si>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</si>
  <si>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</si>
  <si>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</si>
  <si>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</si>
  <si>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</si>
  <si>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</si>
  <si>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Dividends</t>
  </si>
  <si>
    <t>Shareholder information</t>
  </si>
  <si>
    <t>Basic earnings per share</t>
  </si>
  <si>
    <t>Diluted earnings per share</t>
  </si>
  <si>
    <t>Balance sheet</t>
  </si>
  <si>
    <t>Inventories % of COGS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</si>
  <si>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</si>
  <si>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</si>
  <si>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</si>
  <si>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</si>
  <si>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</si>
  <si>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Inventories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</si>
  <si>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</si>
  <si>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</si>
  <si>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</si>
  <si>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</si>
  <si>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</si>
  <si>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</si>
  <si>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</si>
  <si>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</si>
  <si>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</si>
  <si>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</si>
  <si>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</si>
  <si>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</si>
  <si>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</si>
  <si>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</si>
  <si>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</si>
  <si>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</si>
  <si>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</si>
  <si>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</si>
  <si>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</si>
  <si>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</si>
  <si>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</si>
  <si>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</si>
  <si>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</si>
  <si>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</si>
  <si>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</si>
  <si>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</si>
  <si>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</si>
  <si>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</si>
  <si>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</si>
  <si>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</si>
  <si>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</si>
  <si>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</si>
  <si>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</si>
  <si>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</si>
  <si>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</si>
  <si>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</si>
  <si>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</si>
  <si>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</si>
  <si>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</si>
  <si>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</si>
  <si>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</si>
  <si>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</si>
  <si>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</si>
  <si>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</si>
  <si>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</si>
  <si>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</si>
  <si>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</si>
  <si>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</si>
  <si>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</si>
  <si>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</si>
  <si>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</si>
  <si>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</si>
  <si>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</si>
  <si>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</si>
  <si>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</si>
  <si>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</si>
  <si>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</si>
  <si>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</si>
  <si>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</si>
  <si>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Dividend payout ratio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</si>
  <si>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</si>
  <si>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</si>
  <si>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</si>
  <si>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</si>
  <si>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</si>
  <si>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</si>
  <si>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</si>
  <si>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</si>
  <si>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</si>
  <si>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</si>
  <si>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Dividend Payout Rate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</si>
  <si>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</si>
  <si>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</si>
  <si>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</si>
  <si>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</si>
  <si>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</si>
  <si>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</si>
  <si>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</si>
  <si>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</si>
  <si>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</si>
  <si>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</si>
  <si>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</si>
  <si>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</si>
  <si>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</si>
  <si>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</si>
  <si>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</si>
  <si>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</si>
  <si>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</si>
  <si>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</si>
  <si>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</si>
  <si>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</si>
  <si>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</si>
  <si>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</si>
  <si>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</si>
  <si>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</si>
  <si>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</si>
  <si>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</si>
  <si>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</si>
  <si>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</si>
  <si>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</si>
  <si>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</si>
  <si>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</si>
  <si>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</si>
  <si>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DCF tables</t>
  </si>
  <si>
    <t>Diluted s/o</t>
  </si>
  <si>
    <t>Cash</t>
  </si>
  <si>
    <t>Implied Price</t>
  </si>
  <si>
    <t>Difference</t>
  </si>
  <si>
    <t>R&amp;D</t>
  </si>
  <si>
    <t>R&amp;D % of sales</t>
  </si>
  <si>
    <t>Dividend payout rate</t>
  </si>
  <si>
    <t>Cost of debt</t>
  </si>
  <si>
    <t>Perpetuity</t>
  </si>
  <si>
    <t>Terminal Mult</t>
  </si>
  <si>
    <t>Model Details</t>
  </si>
  <si>
    <t>Operating Case One</t>
  </si>
  <si>
    <t>NVIDIA Corp.</t>
  </si>
  <si>
    <t>Revenue segments</t>
  </si>
  <si>
    <t>Data Center</t>
  </si>
  <si>
    <t>Gaming</t>
  </si>
  <si>
    <t>Professional Visualization</t>
  </si>
  <si>
    <t>Auto</t>
  </si>
  <si>
    <t>OEM &amp; Other</t>
  </si>
  <si>
    <t>TOTAL REVENUES</t>
  </si>
  <si>
    <t>%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</si>
  <si>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</si>
  <si>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</si>
  <si>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</si>
  <si>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</si>
  <si>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</si>
  <si>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</si>
  <si>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</si>
  <si>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</si>
  <si>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</si>
  <si>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</si>
  <si>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</si>
  <si>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</si>
  <si>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</si>
  <si>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</si>
  <si>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Q326</t>
  </si>
  <si>
    <t>Q426</t>
  </si>
  <si>
    <t>Revenues y/y</t>
  </si>
  <si>
    <t>Q127</t>
  </si>
  <si>
    <t>Q227</t>
  </si>
  <si>
    <t>Q327</t>
  </si>
  <si>
    <t>Q427</t>
  </si>
  <si>
    <t>Q128</t>
  </si>
  <si>
    <t>Q228</t>
  </si>
  <si>
    <t>Q328</t>
  </si>
  <si>
    <t>Q428</t>
  </si>
  <si>
    <t>NO REVOLVER</t>
  </si>
  <si>
    <t>(inc) / dec In OWC</t>
  </si>
  <si>
    <t>(inc) / dec in LT assets</t>
  </si>
  <si>
    <t>inc / (dec) in LT liabilities</t>
  </si>
  <si>
    <t>Cash Flow From Operations</t>
  </si>
  <si>
    <t>Cash Flow From Investing</t>
  </si>
  <si>
    <t>Dividends Paid</t>
  </si>
  <si>
    <t>Share issuances</t>
  </si>
  <si>
    <t>Debt Issuances</t>
  </si>
  <si>
    <t>Cash Flow From Financing</t>
  </si>
  <si>
    <t>Net changes in cash</t>
  </si>
  <si>
    <t>Beginning Cash</t>
  </si>
  <si>
    <t>Changes</t>
  </si>
  <si>
    <t>Ending Cash</t>
  </si>
  <si>
    <t>INTC</t>
  </si>
  <si>
    <t>AMD</t>
  </si>
  <si>
    <t>TSM</t>
  </si>
  <si>
    <t>ASML</t>
  </si>
  <si>
    <t>Discount Factor</t>
  </si>
  <si>
    <t>PV FCF</t>
  </si>
  <si>
    <t>LTGR</t>
  </si>
  <si>
    <t>Average</t>
  </si>
  <si>
    <t>Exit Mult.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</si>
</sst>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</numFmts>
  <fonts count="7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sz val="8"/>
      <name val="Arial"/>
      <family val="2"/>
    </font>
    <font>
      <b/>
      <i/>
      <sz val="11"/>
      <color rgb="FF34A853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290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45" fillId="0" borderId="14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66" fontId="38" fillId="0" borderId="18" xfId="58" applyFont="1" applyBorder="1"/>
    <xf numFmtId="173" fontId="39" fillId="0" borderId="18" xfId="0" applyNumberFormat="1" applyFont="1" applyBorder="1"/>
    <xf numFmtId="167" fontId="39" fillId="0" borderId="18" xfId="0" applyFont="1" applyBorder="1"/>
    <xf numFmtId="169" fontId="39" fillId="0" borderId="18" xfId="4" applyFont="1" applyFill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0" borderId="1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39" fillId="39" borderId="14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55" fillId="0" borderId="0" xfId="0" applyFont="1"/>
    <xf numFmtId="167" fontId="55" fillId="0" borderId="18" xfId="0" applyFont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77" fontId="56" fillId="33" borderId="1" xfId="3" applyNumberFormat="1" applyFont="1"/>
    <xf numFmtId="167" fontId="33" fillId="35" borderId="0" xfId="0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67" fontId="33" fillId="34" borderId="17" xfId="0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6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45" fillId="0" borderId="13" xfId="0" applyNumberFormat="1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66" fontId="39" fillId="35" borderId="0" xfId="59" applyFont="1" applyFill="1" applyProtection="1"/>
    <xf numFmtId="172" fontId="37" fillId="35" borderId="0" xfId="3" applyNumberFormat="1" applyFont="1" applyFill="1" applyBorder="1" applyProtection="1"/>
    <xf numFmtId="166" fontId="33" fillId="35" borderId="0" xfId="59" applyFont="1" applyFill="1" applyProtection="1"/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67" fontId="39" fillId="35" borderId="15" xfId="0" applyFont="1" applyFill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0" fontId="35" fillId="0" borderId="0" xfId="0" applyNumberFormat="1" applyFont="1"/>
    <xf numFmtId="176" fontId="37" fillId="0" borderId="15" xfId="3" applyNumberFormat="1" applyFont="1" applyFill="1" applyBorder="1" applyProtection="1"/>
    <xf numFmtId="172" fontId="37" fillId="0" borderId="15" xfId="3" applyNumberFormat="1" applyFont="1" applyFill="1" applyBorder="1" applyProtection="1"/>
    <xf numFmtId="176" fontId="35" fillId="0" borderId="0" xfId="0" applyNumberFormat="1" applyFont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6" fillId="0" borderId="0" xfId="3" applyNumberFormat="1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0" fontId="33" fillId="34" borderId="0" xfId="52" applyNumberFormat="1" applyFont="1" applyFill="1" applyBorder="1" applyAlignment="1">
      <alignment horizontal="right" vertical="center"/>
    </xf>
    <xf numFmtId="179" fontId="39" fillId="0" borderId="0" xfId="4" applyNumberFormat="1" applyFont="1" applyBorder="1"/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69" fontId="40" fillId="0" borderId="0" xfId="4" applyFont="1" applyBorder="1"/>
    <xf numFmtId="178" fontId="33" fillId="34" borderId="0" xfId="0" applyNumberFormat="1" applyFont="1" applyFill="1"/>
    <xf numFmtId="175" fontId="33" fillId="0" borderId="0" xfId="52" applyNumberFormat="1" applyFont="1" applyFill="1" applyBorder="1" applyAlignment="1">
      <alignment horizontal="right" vertical="center"/>
    </xf>
    <xf numFmtId="167" fontId="45" fillId="35" borderId="0" xfId="0" applyFont="1" applyFill="1"/>
    <xf numFmtId="175" fontId="33" fillId="0" borderId="0" xfId="0" applyNumberFormat="1" applyFont="1"/>
    <xf numFmtId="175" fontId="59" fillId="0" borderId="0" xfId="3" applyNumberFormat="1" applyFont="1" applyFill="1" applyBorder="1"/>
    <xf numFmtId="0" fontId="59" fillId="0" borderId="0" xfId="3" applyNumberFormat="1" applyFont="1" applyFill="1" applyBorder="1"/>
    <xf numFmtId="173" fontId="56" fillId="40" borderId="1" xfId="0" applyNumberFormat="1" applyFont="1" applyFill="1" applyBorder="1"/>
    <xf numFmtId="0" fontId="33" fillId="0" borderId="0" xfId="0" applyNumberFormat="1" applyFont="1"/>
    <xf numFmtId="167" fontId="30" fillId="40" borderId="1" xfId="0" applyFont="1" applyFill="1" applyBorder="1"/>
    <xf numFmtId="166" fontId="60" fillId="0" borderId="0" xfId="59" applyFont="1" applyProtection="1"/>
    <xf numFmtId="179" fontId="37" fillId="0" borderId="18" xfId="0" applyNumberFormat="1" applyFont="1" applyBorder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0" fontId="39" fillId="0" borderId="0" xfId="4" applyNumberFormat="1" applyFont="1" applyFill="1" applyBorder="1" applyAlignment="1" applyProtection="1">
      <alignment horizontal="right"/>
    </xf>
    <xf numFmtId="181" fontId="37" fillId="33" borderId="1" xfId="3" applyNumberFormat="1" applyFont="1" applyAlignment="1">
      <alignment horizontal="center"/>
    </xf>
    <xf numFmtId="10" fontId="68" fillId="33" borderId="1" xfId="3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82" fontId="65" fillId="33" borderId="14" xfId="3" applyNumberFormat="1" applyFont="1" applyBorder="1" applyAlignment="1">
      <alignment horizontal="center"/>
    </xf>
    <xf numFmtId="182" fontId="65" fillId="33" borderId="1" xfId="3" applyNumberFormat="1" applyFont="1" applyAlignment="1">
      <alignment horizontal="center"/>
    </xf>
    <xf numFmtId="1" fontId="28" fillId="0" borderId="0" xfId="0" applyNumberFormat="1" applyFont="1"/>
    <xf numFmtId="166" fontId="5" fillId="0" borderId="0" xfId="0" applyNumberFormat="1" applyFont="1" applyAlignment="1">
      <alignment horizontal="right"/>
    </xf>
    <xf numFmtId="173" fontId="28" fillId="0" borderId="0" xfId="0" applyNumberFormat="1" applyFont="1"/>
    <xf numFmtId="175" fontId="5" fillId="0" borderId="0" xfId="0" applyNumberFormat="1" applyFont="1"/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7" fontId="39" fillId="0" borderId="0" xfId="4" applyNumberFormat="1" applyFont="1" applyBorder="1"/>
    <xf numFmtId="166" fontId="39" fillId="0" borderId="0" xfId="59" applyFont="1" applyAlignment="1" applyProtection="1">
      <alignment horizontal="centerContinuous"/>
    </xf>
    <xf numFmtId="166" fontId="39" fillId="0" borderId="0" xfId="59" applyFont="1" applyAlignment="1" applyProtection="1">
      <alignment horizontal="center"/>
    </xf>
    <xf numFmtId="10" fontId="33" fillId="0" borderId="0" xfId="0" applyNumberFormat="1" applyFont="1"/>
    <xf numFmtId="10" fontId="39" fillId="0" borderId="0" xfId="59" applyNumberFormat="1" applyFont="1" applyAlignment="1" applyProtection="1">
      <alignment horizontal="center"/>
    </xf>
    <xf numFmtId="10" fontId="39" fillId="0" borderId="0" xfId="59" applyNumberFormat="1" applyFont="1" applyProtection="1"/>
    <xf numFmtId="179" fontId="39" fillId="0" borderId="0" xfId="59" applyNumberFormat="1" applyFont="1" applyAlignment="1" applyProtection="1">
      <alignment horizontal="right"/>
    </xf>
    <xf numFmtId="176" fontId="39" fillId="0" borderId="0" xfId="59" applyNumberFormat="1" applyFont="1" applyAlignment="1" applyProtection="1">
      <alignment horizontal="right"/>
    </xf>
    <xf numFmtId="167" fontId="35" fillId="0" borderId="0" xfId="0" applyFont="1" applyAlignment="1">
      <alignment horizontal="center"/>
    </xf>
    <xf numFmtId="10" fontId="35" fillId="0" borderId="0" xfId="0" applyNumberFormat="1" applyFont="1" applyAlignment="1">
      <alignment horizontal="center"/>
    </xf>
    <xf numFmtId="176" fontId="35" fillId="0" borderId="0" xfId="59" applyNumberFormat="1" applyFont="1" applyAlignment="1" applyProtection="1">
      <alignment horizontal="right"/>
    </xf>
    <xf numFmtId="10" fontId="39" fillId="0" borderId="0" xfId="59" applyNumberFormat="1" applyFont="1" applyAlignment="1" applyProtection="1">
      <alignment horizontal="right"/>
    </xf>
    <xf numFmtId="172" fontId="39" fillId="0" borderId="0" xfId="59" applyNumberFormat="1" applyFont="1" applyProtection="1"/>
    <xf numFmtId="40" fontId="39" fillId="0" borderId="0" xfId="59" applyNumberFormat="1" applyFont="1" applyProtection="1"/>
    <xf numFmtId="40" fontId="45" fillId="0" borderId="0" xfId="59" applyNumberFormat="1" applyFont="1" applyProtection="1"/>
    <xf numFmtId="176" fontId="35" fillId="0" borderId="0" xfId="0" applyNumberFormat="1" applyFont="1" applyAlignment="1">
      <alignment horizontal="center"/>
    </xf>
    <xf numFmtId="180" fontId="35" fillId="0" borderId="0" xfId="0" applyNumberFormat="1" applyFont="1"/>
    <xf numFmtId="5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73" fontId="56" fillId="40" borderId="16" xfId="0" applyNumberFormat="1" applyFont="1" applyFill="1" applyBorder="1"/>
    <xf numFmtId="167" fontId="69" fillId="0" borderId="0" xfId="0" applyFont="1"/>
    <xf numFmtId="167" fontId="57" fillId="40" borderId="1" xfId="0" applyFont="1" applyFill="1" applyBorder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8" fillId="0" borderId="0" xfId="0" applyNumberFormat="1" applyFont="1"/>
    <xf numFmtId="166" fontId="33" fillId="34" borderId="0" xfId="54" applyNumberFormat="1" applyFont="1" applyFill="1" applyBorder="1"/>
    <xf numFmtId="1" fontId="33" fillId="35" borderId="0" xfId="0" applyNumberFormat="1" applyFont="1" applyFill="1"/>
    <xf numFmtId="1" fontId="33" fillId="35" borderId="0" xfId="52" applyNumberFormat="1" applyFont="1" applyFill="1" applyBorder="1" applyAlignment="1">
      <alignment horizontal="right" vertical="center"/>
    </xf>
    <xf numFmtId="1" fontId="33" fillId="35" borderId="0" xfId="0" applyNumberFormat="1" applyFont="1" applyFill="1" applyAlignment="1">
      <alignment horizontal="right"/>
    </xf>
    <xf numFmtId="1" fontId="33" fillId="34" borderId="0" xfId="0" applyNumberFormat="1" applyFont="1" applyFill="1" applyAlignment="1">
      <alignment horizontal="right"/>
    </xf>
    <xf numFmtId="37" fontId="39" fillId="0" borderId="0" xfId="0" applyNumberFormat="1" applyFont="1"/>
    <xf numFmtId="37" fontId="45" fillId="0" borderId="0" xfId="0" applyNumberFormat="1" applyFont="1"/>
    <xf numFmtId="167" fontId="39" fillId="0" borderId="0" xfId="0" applyFont="1" applyBorder="1"/>
    <xf numFmtId="173" fontId="39" fillId="0" borderId="15" xfId="0" applyNumberFormat="1" applyFont="1" applyBorder="1"/>
    <xf numFmtId="173" fontId="39" fillId="0" borderId="0" xfId="0" applyNumberFormat="1" applyFont="1" applyBorder="1"/>
    <xf numFmtId="173" fontId="37" fillId="43" borderId="15" xfId="0" applyNumberFormat="1" applyFont="1" applyFill="1" applyBorder="1"/>
    <xf numFmtId="37" fontId="39" fillId="0" borderId="18" xfId="0" applyNumberFormat="1" applyFont="1" applyBorder="1"/>
    <xf numFmtId="37" fontId="45" fillId="0" borderId="18" xfId="0" applyNumberFormat="1" applyFont="1" applyBorder="1"/>
    <xf numFmtId="173" fontId="37" fillId="43" borderId="16" xfId="0" applyNumberFormat="1" applyFont="1" applyFill="1" applyBorder="1"/>
    <xf numFmtId="173" fontId="37" fillId="43" borderId="18" xfId="0" applyNumberFormat="1" applyFont="1" applyFill="1" applyBorder="1"/>
    <xf numFmtId="173" fontId="37" fillId="43" borderId="0" xfId="0" applyNumberFormat="1" applyFont="1" applyFill="1" applyBorder="1"/>
    <xf numFmtId="173" fontId="39" fillId="0" borderId="24" xfId="0" applyNumberFormat="1" applyFont="1" applyBorder="1"/>
    <xf numFmtId="178" fontId="33" fillId="42" borderId="0" xfId="0" applyNumberFormat="1" applyFont="1" applyFill="1"/>
    <xf numFmtId="178" fontId="33" fillId="42" borderId="0" xfId="0" applyNumberFormat="1" applyFont="1" applyFill="1" applyAlignment="1">
      <alignment horizontal="right"/>
    </xf>
    <xf numFmtId="178" fontId="33" fillId="42" borderId="18" xfId="0" applyNumberFormat="1" applyFont="1" applyFill="1" applyBorder="1" applyAlignment="1">
      <alignment horizontal="right"/>
    </xf>
    <xf numFmtId="178" fontId="33" fillId="0" borderId="0" xfId="0" applyNumberFormat="1" applyFont="1" applyFill="1"/>
    <xf numFmtId="9" fontId="39" fillId="0" borderId="18" xfId="0" applyNumberFormat="1" applyFont="1" applyBorder="1"/>
    <xf numFmtId="173" fontId="39" fillId="0" borderId="21" xfId="0" applyNumberFormat="1" applyFont="1" applyBorder="1"/>
    <xf numFmtId="2" fontId="38" fillId="0" borderId="0" xfId="57" applyNumberFormat="1" applyFont="1" applyBorder="1"/>
    <xf numFmtId="2" fontId="38" fillId="0" borderId="16" xfId="57" applyNumberFormat="1" applyFont="1" applyBorder="1"/>
    <xf numFmtId="39" fontId="38" fillId="0" borderId="17" xfId="57" applyNumberFormat="1" applyFont="1" applyBorder="1"/>
    <xf numFmtId="2" fontId="39" fillId="0" borderId="0" xfId="0" applyNumberFormat="1" applyFont="1"/>
    <xf numFmtId="2" fontId="56" fillId="33" borderId="1" xfId="3" applyNumberFormat="1" applyFont="1"/>
    <xf numFmtId="2" fontId="45" fillId="0" borderId="0" xfId="0" applyNumberFormat="1" applyFont="1"/>
    <xf numFmtId="2" fontId="39" fillId="0" borderId="18" xfId="0" applyNumberFormat="1" applyFont="1" applyBorder="1"/>
    <xf numFmtId="2" fontId="67" fillId="33" borderId="1" xfId="3" applyNumberFormat="1" applyFont="1"/>
    <xf numFmtId="39" fontId="38" fillId="0" borderId="24" xfId="57" applyNumberFormat="1" applyFont="1" applyBorder="1"/>
    <xf numFmtId="179" fontId="37" fillId="0" borderId="0" xfId="0" applyNumberFormat="1" applyFont="1" applyBorder="1"/>
    <xf numFmtId="167" fontId="37" fillId="0" borderId="0" xfId="0" applyFont="1" applyBorder="1"/>
    <xf numFmtId="167" fontId="39" fillId="0" borderId="0" xfId="0" applyFont="1" applyFill="1"/>
    <xf numFmtId="166" fontId="39" fillId="0" borderId="0" xfId="57" applyFont="1" applyFill="1"/>
    <xf numFmtId="180" fontId="39" fillId="0" borderId="0" xfId="0" applyNumberFormat="1" applyFont="1" applyAlignment="1">
      <alignment horizontal="center"/>
    </xf>
    <xf numFmtId="180" fontId="45" fillId="0" borderId="0" xfId="0" applyNumberFormat="1" applyFont="1" applyAlignment="1">
      <alignment horizontal="center"/>
    </xf>
    <xf numFmtId="10" fontId="71" fillId="33" borderId="1" xfId="3" applyNumberFormat="1" applyFont="1" applyAlignment="1">
      <alignment horizontal="center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4335"/>
      <color rgb="FF34A853"/>
      <color rgb="FF0000FF"/>
      <color rgb="FF4472C4"/>
      <color rgb="FF44546A"/>
      <color rgb="FF5F6368"/>
      <color rgb="FFFBBC05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tabSelected="1" topLeftCell="D1" zoomScaleNormal="100" workbookViewId="0">
      <selection activeCell="I6" sqref="I6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18.140625" style="4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0" width="15.7109375" style="4" customWidth="1"/>
    <col min="11" max="11" width="17.42578125" style="4" bestFit="1" customWidth="1"/>
    <col min="12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50" customFormat="1" ht="19.5" x14ac:dyDescent="0.3">
      <c r="A1" s="244" t="str">
        <f>CoName</f>
        <v>NVIDIA Corp.</v>
      </c>
      <c r="B1" s="2"/>
      <c r="C1" s="2"/>
      <c r="D1" s="154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s="15" customFormat="1" x14ac:dyDescent="0.25">
      <c r="A2" s="65" t="s">
        <v>186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4" spans="1:15" x14ac:dyDescent="0.25">
      <c r="B4" s="4" t="s">
        <v>3</v>
      </c>
      <c r="C4" s="52" t="s">
        <v>188</v>
      </c>
      <c r="E4" s="4" t="s">
        <v>170</v>
      </c>
      <c r="F4" s="209">
        <v>192.31</v>
      </c>
      <c r="H4" s="171" t="s">
        <v>187</v>
      </c>
      <c r="I4" s="170" t="s">
        <v>185</v>
      </c>
      <c r="J4" s="170" t="s">
        <v>184</v>
      </c>
      <c r="K4" s="170" t="s">
        <v>243</v>
      </c>
    </row>
    <row r="5" spans="1:15" x14ac:dyDescent="0.25">
      <c r="B5" s="4" t="s">
        <v>4</v>
      </c>
      <c r="C5" s="53">
        <v>247.43</v>
      </c>
      <c r="E5" s="4" t="s">
        <v>176</v>
      </c>
      <c r="F5" s="161">
        <v>24300</v>
      </c>
      <c r="H5" s="170" t="s">
        <v>178</v>
      </c>
      <c r="I5" s="216">
        <f>'DCF Model'!G18</f>
        <v>195.49000164896404</v>
      </c>
      <c r="J5" s="215">
        <f>'DCF Model'!C18</f>
        <v>167.18468970902347</v>
      </c>
      <c r="K5" s="215">
        <f>AVERAGE(I5:J5)</f>
        <v>181.33734567899376</v>
      </c>
    </row>
    <row r="6" spans="1:15" x14ac:dyDescent="0.25">
      <c r="B6" s="4" t="s">
        <v>5</v>
      </c>
      <c r="C6" s="52" t="s">
        <v>9</v>
      </c>
      <c r="E6" s="4" t="s">
        <v>104</v>
      </c>
      <c r="F6" s="161">
        <f>F5*F4</f>
        <v>4673133</v>
      </c>
      <c r="H6" s="170" t="s">
        <v>179</v>
      </c>
      <c r="I6" s="289">
        <f>I5/$F$4-1</f>
        <v>1.6535810144891361E-2</v>
      </c>
      <c r="J6" s="210">
        <f>J5/$F$4-1</f>
        <v>-0.13065004571252936</v>
      </c>
      <c r="K6" s="210">
        <f>K5/$F$4-1</f>
        <v>-5.7057117783819056E-2</v>
      </c>
    </row>
    <row r="7" spans="1:15" x14ac:dyDescent="0.25">
      <c r="B7" s="4" t="s">
        <v>6</v>
      </c>
      <c r="C7" s="52" t="s">
        <v>8</v>
      </c>
      <c r="E7" s="4" t="s">
        <v>177</v>
      </c>
      <c r="F7" s="52">
        <f>11639+45152</f>
        <v>56791</v>
      </c>
    </row>
    <row r="8" spans="1:15" x14ac:dyDescent="0.25">
      <c r="B8" s="4" t="s">
        <v>2</v>
      </c>
      <c r="C8" s="52" t="s">
        <v>87</v>
      </c>
      <c r="E8" s="4" t="s">
        <v>147</v>
      </c>
      <c r="F8" s="52">
        <v>8466</v>
      </c>
    </row>
    <row r="9" spans="1:15" x14ac:dyDescent="0.25">
      <c r="B9" s="4" t="s">
        <v>7</v>
      </c>
      <c r="C9" s="52">
        <v>0</v>
      </c>
      <c r="E9" s="4" t="s">
        <v>118</v>
      </c>
      <c r="F9" s="52">
        <f>F6-F7+F8</f>
        <v>4624808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AE15"/>
  <sheetViews>
    <sheetView showGridLines="0" workbookViewId="0">
      <pane xSplit="2" ySplit="2" topLeftCell="T3" activePane="bottomRight" state="frozen"/>
      <selection pane="topRight" activeCell="C1" sqref="C1"/>
      <selection pane="bottomLeft" activeCell="A3" sqref="A3"/>
      <selection pane="bottomRight" activeCell="AE11" sqref="AE11"/>
    </sheetView>
  </sheetViews>
  <sheetFormatPr defaultColWidth="11.7109375" defaultRowHeight="15" x14ac:dyDescent="0.25"/>
  <cols>
    <col min="1" max="1" width="2" style="4" bestFit="1" customWidth="1"/>
    <col min="2" max="2" width="24.28515625" style="4" bestFit="1" customWidth="1"/>
    <col min="3" max="6" width="11.7109375" style="4" hidden="1" customWidth="1"/>
    <col min="7" max="16384" width="11.7109375" style="4"/>
  </cols>
  <sheetData>
    <row r="1" spans="1:31" ht="19.5" x14ac:dyDescent="0.3">
      <c r="A1" s="244" t="str">
        <f>CoName</f>
        <v>NVIDIA Corp.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31" s="271" customFormat="1" x14ac:dyDescent="0.25">
      <c r="A2" s="268" t="s">
        <v>189</v>
      </c>
      <c r="B2" s="268"/>
      <c r="C2" s="269" t="s">
        <v>197</v>
      </c>
      <c r="D2" s="269" t="s">
        <v>198</v>
      </c>
      <c r="E2" s="269" t="s">
        <v>199</v>
      </c>
      <c r="F2" s="269" t="s">
        <v>200</v>
      </c>
      <c r="G2" s="269" t="s">
        <v>201</v>
      </c>
      <c r="H2" s="269" t="s">
        <v>202</v>
      </c>
      <c r="I2" s="269" t="s">
        <v>203</v>
      </c>
      <c r="J2" s="269" t="s">
        <v>204</v>
      </c>
      <c r="K2" s="270">
        <v>2024</v>
      </c>
      <c r="L2" s="269" t="s">
        <v>205</v>
      </c>
      <c r="M2" s="269" t="s">
        <v>206</v>
      </c>
      <c r="N2" s="269" t="s">
        <v>207</v>
      </c>
      <c r="O2" s="269" t="s">
        <v>208</v>
      </c>
      <c r="P2" s="269">
        <v>2025</v>
      </c>
      <c r="Q2" s="269" t="s">
        <v>209</v>
      </c>
      <c r="R2" s="269" t="s">
        <v>210</v>
      </c>
      <c r="S2" s="269" t="s">
        <v>211</v>
      </c>
      <c r="T2" s="269" t="s">
        <v>212</v>
      </c>
      <c r="U2" s="269">
        <v>2026</v>
      </c>
      <c r="V2" s="269" t="s">
        <v>214</v>
      </c>
      <c r="W2" s="269" t="s">
        <v>215</v>
      </c>
      <c r="X2" s="269" t="s">
        <v>216</v>
      </c>
      <c r="Y2" s="270" t="s">
        <v>217</v>
      </c>
      <c r="Z2" s="269">
        <v>2027</v>
      </c>
      <c r="AA2" s="269" t="s">
        <v>218</v>
      </c>
      <c r="AB2" s="269" t="s">
        <v>219</v>
      </c>
      <c r="AC2" s="269" t="s">
        <v>220</v>
      </c>
      <c r="AD2" s="269" t="s">
        <v>221</v>
      </c>
      <c r="AE2" s="269">
        <v>2028</v>
      </c>
    </row>
    <row r="3" spans="1:31" s="256" customFormat="1" x14ac:dyDescent="0.25">
      <c r="B3" s="256" t="s">
        <v>190</v>
      </c>
      <c r="C3" s="256">
        <v>3750</v>
      </c>
      <c r="D3" s="256">
        <v>3806</v>
      </c>
      <c r="E3" s="256">
        <v>3833</v>
      </c>
      <c r="F3" s="256">
        <v>3616</v>
      </c>
      <c r="G3" s="256">
        <v>4284</v>
      </c>
      <c r="H3" s="256">
        <v>10323</v>
      </c>
      <c r="I3" s="256">
        <v>14514</v>
      </c>
      <c r="J3" s="262">
        <v>18404</v>
      </c>
      <c r="K3" s="262">
        <f>SUM(G3:J3)</f>
        <v>47525</v>
      </c>
      <c r="L3" s="256">
        <v>22563</v>
      </c>
      <c r="M3" s="256">
        <v>26272</v>
      </c>
      <c r="N3" s="256">
        <v>30771</v>
      </c>
      <c r="O3" s="262">
        <v>35580</v>
      </c>
      <c r="P3" s="262">
        <f>SUM(L3:O3)</f>
        <v>115186</v>
      </c>
      <c r="Q3" s="256">
        <v>39112</v>
      </c>
      <c r="R3" s="256">
        <v>41096</v>
      </c>
      <c r="S3" s="256">
        <f>N3*(1+S10)</f>
        <v>47695.05</v>
      </c>
      <c r="T3" s="262">
        <f>O3*(1+T10)</f>
        <v>55149</v>
      </c>
      <c r="U3" s="262">
        <f>SUM(Q3:T3)</f>
        <v>183052.05</v>
      </c>
      <c r="V3" s="256">
        <f t="shared" ref="V3:Y7" si="0">Q3*(1+V10)</f>
        <v>58355.103999999999</v>
      </c>
      <c r="W3" s="256">
        <f t="shared" si="0"/>
        <v>59260.432000000001</v>
      </c>
      <c r="X3" s="256">
        <f t="shared" si="0"/>
        <v>66391.509600000005</v>
      </c>
      <c r="Y3" s="262">
        <f t="shared" si="0"/>
        <v>74009.957999999999</v>
      </c>
      <c r="Z3" s="262">
        <f>SUM(V3:Y3)</f>
        <v>258017.0036</v>
      </c>
      <c r="AA3" s="256">
        <f t="shared" ref="AA3:AA7" si="1">V3*(1+AA10)</f>
        <v>75453.14947199999</v>
      </c>
      <c r="AB3" s="256">
        <f t="shared" ref="AB3:AB7" si="2">W3*(1+AB10)</f>
        <v>75379.269503999996</v>
      </c>
      <c r="AC3" s="256">
        <f t="shared" ref="AC3:AC7" si="3">X3*(1+AC10)</f>
        <v>81661.556808000008</v>
      </c>
      <c r="AD3" s="262">
        <f t="shared" ref="AD3:AD7" si="4">Y3*(1+AD10)</f>
        <v>88811.949599999993</v>
      </c>
      <c r="AE3" s="262">
        <f>SUM(AA3:AD3)</f>
        <v>321305.925384</v>
      </c>
    </row>
    <row r="4" spans="1:31" s="256" customFormat="1" x14ac:dyDescent="0.25">
      <c r="B4" s="256" t="s">
        <v>191</v>
      </c>
      <c r="C4" s="256">
        <v>3620</v>
      </c>
      <c r="D4" s="256">
        <v>2042</v>
      </c>
      <c r="E4" s="256">
        <v>1574</v>
      </c>
      <c r="F4" s="256">
        <v>1831</v>
      </c>
      <c r="G4" s="256">
        <v>2240</v>
      </c>
      <c r="H4" s="256">
        <v>2486</v>
      </c>
      <c r="I4" s="256">
        <v>2856</v>
      </c>
      <c r="J4" s="262">
        <v>2865</v>
      </c>
      <c r="K4" s="262">
        <f t="shared" ref="K4:K8" si="5">SUM(G4:J4)</f>
        <v>10447</v>
      </c>
      <c r="L4" s="256">
        <v>2647</v>
      </c>
      <c r="M4" s="256">
        <v>2880</v>
      </c>
      <c r="N4" s="256">
        <v>3279</v>
      </c>
      <c r="O4" s="262">
        <v>2544</v>
      </c>
      <c r="P4" s="262">
        <f t="shared" ref="P4:P8" si="6">SUM(L4:O4)</f>
        <v>11350</v>
      </c>
      <c r="Q4" s="256">
        <v>3763</v>
      </c>
      <c r="R4" s="256">
        <v>4287</v>
      </c>
      <c r="S4" s="256">
        <f t="shared" ref="S4:T7" si="7">N4*(1+S11)</f>
        <v>4771.1926231346806</v>
      </c>
      <c r="T4" s="262">
        <f t="shared" si="7"/>
        <v>3701.7121174914996</v>
      </c>
      <c r="U4" s="262">
        <f t="shared" ref="U4:U8" si="8">SUM(Q4:T4)</f>
        <v>16522.904740626182</v>
      </c>
      <c r="V4" s="256">
        <f t="shared" si="0"/>
        <v>5614.3959999999997</v>
      </c>
      <c r="W4" s="256">
        <f t="shared" si="0"/>
        <v>6181.8539999999994</v>
      </c>
      <c r="X4" s="256">
        <f t="shared" si="0"/>
        <v>6641.5001314034753</v>
      </c>
      <c r="Y4" s="262">
        <f t="shared" si="0"/>
        <v>4967.6976616735928</v>
      </c>
      <c r="Z4" s="262">
        <f t="shared" ref="Z4:Z8" si="9">SUM(V4:Y4)</f>
        <v>23405.447793077066</v>
      </c>
      <c r="AA4" s="256">
        <f t="shared" si="1"/>
        <v>7259.4140279999992</v>
      </c>
      <c r="AB4" s="256">
        <f t="shared" si="2"/>
        <v>7863.3182879999995</v>
      </c>
      <c r="AC4" s="256">
        <f t="shared" si="3"/>
        <v>8169.0451616262744</v>
      </c>
      <c r="AD4" s="262">
        <f t="shared" si="4"/>
        <v>5961.2371940083112</v>
      </c>
      <c r="AE4" s="262">
        <f t="shared" ref="AE4:AE8" si="10">SUM(AA4:AD4)</f>
        <v>29253.014671634584</v>
      </c>
    </row>
    <row r="5" spans="1:31" s="256" customFormat="1" x14ac:dyDescent="0.25">
      <c r="B5" s="256" t="s">
        <v>192</v>
      </c>
      <c r="C5" s="256">
        <v>622</v>
      </c>
      <c r="D5" s="256">
        <v>496</v>
      </c>
      <c r="E5" s="256">
        <v>200</v>
      </c>
      <c r="F5" s="256">
        <v>226</v>
      </c>
      <c r="G5" s="256">
        <v>295</v>
      </c>
      <c r="H5" s="256">
        <v>379</v>
      </c>
      <c r="I5" s="256">
        <v>416</v>
      </c>
      <c r="J5" s="262">
        <v>463</v>
      </c>
      <c r="K5" s="262">
        <f t="shared" si="5"/>
        <v>1553</v>
      </c>
      <c r="L5" s="256">
        <v>427</v>
      </c>
      <c r="M5" s="256">
        <v>454</v>
      </c>
      <c r="N5" s="256">
        <v>486</v>
      </c>
      <c r="O5" s="262">
        <v>511</v>
      </c>
      <c r="P5" s="262">
        <f t="shared" si="6"/>
        <v>1878</v>
      </c>
      <c r="Q5" s="256">
        <v>509</v>
      </c>
      <c r="R5" s="256">
        <v>601</v>
      </c>
      <c r="S5" s="256">
        <f t="shared" si="7"/>
        <v>611.34572212650505</v>
      </c>
      <c r="T5" s="262">
        <f t="shared" si="7"/>
        <v>642.79354733877381</v>
      </c>
      <c r="U5" s="262">
        <f t="shared" si="8"/>
        <v>2364.1392694652786</v>
      </c>
      <c r="V5" s="256">
        <f t="shared" si="0"/>
        <v>759.428</v>
      </c>
      <c r="W5" s="256">
        <f t="shared" si="0"/>
        <v>866.64199999999994</v>
      </c>
      <c r="X5" s="256">
        <f t="shared" si="0"/>
        <v>850.99324520009498</v>
      </c>
      <c r="Y5" s="262">
        <f t="shared" si="0"/>
        <v>862.62894052863453</v>
      </c>
      <c r="Z5" s="262">
        <f t="shared" si="9"/>
        <v>3339.6921857287298</v>
      </c>
      <c r="AA5" s="256">
        <f t="shared" si="1"/>
        <v>981.94040399999994</v>
      </c>
      <c r="AB5" s="256">
        <f t="shared" si="2"/>
        <v>1102.368624</v>
      </c>
      <c r="AC5" s="256">
        <f t="shared" si="3"/>
        <v>1046.7216915961169</v>
      </c>
      <c r="AD5" s="262">
        <f t="shared" si="4"/>
        <v>1035.1547286343614</v>
      </c>
      <c r="AE5" s="262">
        <f t="shared" si="10"/>
        <v>4166.185448230478</v>
      </c>
    </row>
    <row r="6" spans="1:31" s="256" customFormat="1" x14ac:dyDescent="0.25">
      <c r="B6" s="256" t="s">
        <v>193</v>
      </c>
      <c r="C6" s="256">
        <v>138</v>
      </c>
      <c r="D6" s="256">
        <v>220</v>
      </c>
      <c r="E6" s="256">
        <v>251</v>
      </c>
      <c r="F6" s="256">
        <v>294</v>
      </c>
      <c r="G6" s="256">
        <v>296</v>
      </c>
      <c r="H6" s="256">
        <v>253</v>
      </c>
      <c r="I6" s="256">
        <v>261</v>
      </c>
      <c r="J6" s="262">
        <v>281</v>
      </c>
      <c r="K6" s="262">
        <f t="shared" si="5"/>
        <v>1091</v>
      </c>
      <c r="L6" s="256">
        <v>329</v>
      </c>
      <c r="M6" s="256">
        <v>346</v>
      </c>
      <c r="N6" s="256">
        <v>449</v>
      </c>
      <c r="O6" s="262">
        <v>570</v>
      </c>
      <c r="P6" s="262">
        <f t="shared" si="6"/>
        <v>1694</v>
      </c>
      <c r="Q6" s="256">
        <v>567</v>
      </c>
      <c r="R6" s="256">
        <v>586</v>
      </c>
      <c r="S6" s="256">
        <f t="shared" si="7"/>
        <v>767.12679867175007</v>
      </c>
      <c r="T6" s="262">
        <f t="shared" si="7"/>
        <v>973.85807403763374</v>
      </c>
      <c r="U6" s="262">
        <f t="shared" si="8"/>
        <v>2893.984872709384</v>
      </c>
      <c r="V6" s="256">
        <f t="shared" si="0"/>
        <v>845.96399999999994</v>
      </c>
      <c r="W6" s="256">
        <f t="shared" si="0"/>
        <v>845.01199999999994</v>
      </c>
      <c r="X6" s="256">
        <f t="shared" si="0"/>
        <v>1067.8405037510761</v>
      </c>
      <c r="Y6" s="262">
        <f t="shared" si="0"/>
        <v>1306.9175353585047</v>
      </c>
      <c r="Z6" s="262">
        <f t="shared" si="9"/>
        <v>4065.7340391095809</v>
      </c>
      <c r="AA6" s="256">
        <f t="shared" si="1"/>
        <v>1093.8314519999999</v>
      </c>
      <c r="AB6" s="256">
        <f t="shared" si="2"/>
        <v>1074.855264</v>
      </c>
      <c r="AC6" s="256">
        <f t="shared" si="3"/>
        <v>1313.4438196138235</v>
      </c>
      <c r="AD6" s="262">
        <f t="shared" si="4"/>
        <v>1568.3010424302056</v>
      </c>
      <c r="AE6" s="262">
        <f t="shared" si="10"/>
        <v>5050.4315780440293</v>
      </c>
    </row>
    <row r="7" spans="1:31" s="256" customFormat="1" x14ac:dyDescent="0.25">
      <c r="B7" s="256" t="s">
        <v>194</v>
      </c>
      <c r="C7" s="256">
        <v>158</v>
      </c>
      <c r="D7" s="256">
        <v>140</v>
      </c>
      <c r="E7" s="256">
        <v>73</v>
      </c>
      <c r="F7" s="256">
        <v>84</v>
      </c>
      <c r="G7" s="256">
        <v>77</v>
      </c>
      <c r="H7" s="256">
        <v>66</v>
      </c>
      <c r="I7" s="256">
        <v>73</v>
      </c>
      <c r="J7" s="262">
        <v>90</v>
      </c>
      <c r="K7" s="262">
        <f t="shared" si="5"/>
        <v>306</v>
      </c>
      <c r="L7" s="256">
        <v>78</v>
      </c>
      <c r="M7" s="256">
        <v>88</v>
      </c>
      <c r="N7" s="256">
        <v>97</v>
      </c>
      <c r="O7" s="262">
        <v>126</v>
      </c>
      <c r="P7" s="262">
        <f t="shared" si="6"/>
        <v>389</v>
      </c>
      <c r="Q7" s="256">
        <v>111</v>
      </c>
      <c r="R7" s="256">
        <v>173</v>
      </c>
      <c r="S7" s="256">
        <f t="shared" si="7"/>
        <v>164.36582167832168</v>
      </c>
      <c r="T7" s="262">
        <f t="shared" si="7"/>
        <v>213.50611888111888</v>
      </c>
      <c r="U7" s="262">
        <f t="shared" si="8"/>
        <v>661.87194055944065</v>
      </c>
      <c r="V7" s="256">
        <f t="shared" si="0"/>
        <v>165.61199999999999</v>
      </c>
      <c r="W7" s="256">
        <f t="shared" si="0"/>
        <v>249.46599999999998</v>
      </c>
      <c r="X7" s="256">
        <f t="shared" si="0"/>
        <v>228.79722377622377</v>
      </c>
      <c r="Y7" s="262">
        <f t="shared" si="0"/>
        <v>286.52521153846158</v>
      </c>
      <c r="Z7" s="262">
        <f t="shared" si="9"/>
        <v>930.4004353146853</v>
      </c>
      <c r="AA7" s="256">
        <f t="shared" si="1"/>
        <v>214.13631599999999</v>
      </c>
      <c r="AB7" s="256">
        <f t="shared" si="2"/>
        <v>317.32075199999997</v>
      </c>
      <c r="AC7" s="256">
        <f t="shared" si="3"/>
        <v>281.42058524475522</v>
      </c>
      <c r="AD7" s="262">
        <f t="shared" si="4"/>
        <v>343.83025384615388</v>
      </c>
      <c r="AE7" s="262">
        <f t="shared" si="10"/>
        <v>1156.707907090909</v>
      </c>
    </row>
    <row r="8" spans="1:31" s="257" customFormat="1" x14ac:dyDescent="0.25">
      <c r="A8" s="257" t="s">
        <v>126</v>
      </c>
      <c r="B8" s="257" t="s">
        <v>195</v>
      </c>
      <c r="C8" s="257">
        <f t="shared" ref="C8:H8" si="11">SUM(C3:C7)</f>
        <v>8288</v>
      </c>
      <c r="D8" s="257">
        <f t="shared" si="11"/>
        <v>6704</v>
      </c>
      <c r="E8" s="257">
        <f t="shared" si="11"/>
        <v>5931</v>
      </c>
      <c r="F8" s="257">
        <f t="shared" si="11"/>
        <v>6051</v>
      </c>
      <c r="G8" s="257">
        <f t="shared" si="11"/>
        <v>7192</v>
      </c>
      <c r="H8" s="257">
        <f t="shared" si="11"/>
        <v>13507</v>
      </c>
      <c r="I8" s="257">
        <f>SUM(I3:I7)</f>
        <v>18120</v>
      </c>
      <c r="J8" s="263">
        <f t="shared" ref="J8:R8" si="12">SUM(J3:J7)</f>
        <v>22103</v>
      </c>
      <c r="K8" s="263">
        <f t="shared" si="5"/>
        <v>60922</v>
      </c>
      <c r="L8" s="257">
        <f t="shared" si="12"/>
        <v>26044</v>
      </c>
      <c r="M8" s="257">
        <f t="shared" si="12"/>
        <v>30040</v>
      </c>
      <c r="N8" s="257">
        <f t="shared" si="12"/>
        <v>35082</v>
      </c>
      <c r="O8" s="263">
        <f t="shared" si="12"/>
        <v>39331</v>
      </c>
      <c r="P8" s="263">
        <f t="shared" si="6"/>
        <v>130497</v>
      </c>
      <c r="Q8" s="257">
        <f t="shared" si="12"/>
        <v>44062</v>
      </c>
      <c r="R8" s="257">
        <f t="shared" si="12"/>
        <v>46743</v>
      </c>
      <c r="S8" s="257">
        <f t="shared" ref="S8" si="13">SUM(S3:S7)</f>
        <v>54009.080965611261</v>
      </c>
      <c r="T8" s="263">
        <f t="shared" ref="T8" si="14">SUM(T3:T7)</f>
        <v>60680.869857749029</v>
      </c>
      <c r="U8" s="263">
        <f t="shared" si="8"/>
        <v>205494.9508233603</v>
      </c>
      <c r="V8" s="257">
        <f t="shared" ref="V8" si="15">SUM(V3:V7)</f>
        <v>65740.503999999986</v>
      </c>
      <c r="W8" s="257">
        <f t="shared" ref="W8" si="16">SUM(W3:W7)</f>
        <v>67403.406000000003</v>
      </c>
      <c r="X8" s="257">
        <f t="shared" ref="X8" si="17">SUM(X3:X7)</f>
        <v>75180.640704130885</v>
      </c>
      <c r="Y8" s="263">
        <f t="shared" ref="Y8" si="18">SUM(Y3:Y7)</f>
        <v>81433.727349099194</v>
      </c>
      <c r="Z8" s="263">
        <f t="shared" si="9"/>
        <v>289758.27805323002</v>
      </c>
      <c r="AA8" s="257">
        <f t="shared" ref="AA8" si="19">SUM(AA3:AA7)</f>
        <v>85002.471671999985</v>
      </c>
      <c r="AB8" s="257">
        <f t="shared" ref="AB8" si="20">SUM(AB3:AB7)</f>
        <v>85737.132431999984</v>
      </c>
      <c r="AC8" s="257">
        <f t="shared" ref="AC8" si="21">SUM(AC3:AC7)</f>
        <v>92472.188066080969</v>
      </c>
      <c r="AD8" s="263">
        <f t="shared" ref="AD8" si="22">SUM(AD3:AD7)</f>
        <v>97720.472818919021</v>
      </c>
      <c r="AE8" s="263">
        <f t="shared" si="10"/>
        <v>360932.26498899993</v>
      </c>
    </row>
    <row r="9" spans="1:31" s="260" customFormat="1" x14ac:dyDescent="0.25">
      <c r="A9" s="8" t="s">
        <v>196</v>
      </c>
      <c r="B9" s="8" t="s">
        <v>213</v>
      </c>
      <c r="C9" s="8"/>
      <c r="D9" s="8"/>
      <c r="E9" s="8"/>
      <c r="F9" s="8"/>
      <c r="G9" s="8">
        <f>G8/C8-1</f>
        <v>-0.13223938223938225</v>
      </c>
      <c r="H9" s="8">
        <f t="shared" ref="H9:J9" si="23">H8/D8-1</f>
        <v>1.0147673031026252</v>
      </c>
      <c r="I9" s="8">
        <f t="shared" si="23"/>
        <v>2.0551340414769852</v>
      </c>
      <c r="J9" s="27">
        <f t="shared" si="23"/>
        <v>2.6527846636919516</v>
      </c>
      <c r="K9" s="272">
        <f>K8/(SUM(C8:F8)-1)</f>
        <v>2.2586289993697402</v>
      </c>
      <c r="L9" s="8">
        <f>L8/G8-1</f>
        <v>2.6212458286985538</v>
      </c>
      <c r="M9" s="8">
        <f>M8/H8-1</f>
        <v>1.2240319834160065</v>
      </c>
      <c r="N9" s="8">
        <f>N8/I8-1</f>
        <v>0.93609271523178816</v>
      </c>
      <c r="O9" s="27">
        <f>O8/J8-1</f>
        <v>0.77944170474596208</v>
      </c>
      <c r="P9" s="272">
        <f>P8/K8-1</f>
        <v>1.1420340763599355</v>
      </c>
      <c r="Q9" s="8">
        <f>Q8/L8-1</f>
        <v>0.69182921210259551</v>
      </c>
      <c r="R9" s="267">
        <f>R8/M8-1</f>
        <v>0.5560252996005326</v>
      </c>
      <c r="S9" s="260">
        <f t="shared" ref="S9" si="24">S8/N8-1</f>
        <v>0.53950974760878112</v>
      </c>
      <c r="T9" s="27">
        <f t="shared" ref="T9" si="25">T8/O8-1</f>
        <v>0.54282550298108445</v>
      </c>
      <c r="U9" s="272">
        <f>U8/P8-1</f>
        <v>0.57471015290282756</v>
      </c>
      <c r="V9" s="260">
        <f t="shared" ref="V9" si="26">V8/Q8-1</f>
        <v>0.49199999999999977</v>
      </c>
      <c r="W9" s="260">
        <f t="shared" ref="W9" si="27">W8/R8-1</f>
        <v>0.44199999999999995</v>
      </c>
      <c r="X9" s="260">
        <f t="shared" ref="X9" si="28">X8/S8-1</f>
        <v>0.39200000000000013</v>
      </c>
      <c r="Y9" s="27">
        <f t="shared" ref="Y9" si="29">Y8/T8-1</f>
        <v>0.34199999999999986</v>
      </c>
      <c r="Z9" s="272">
        <f>Z8/U8-1</f>
        <v>0.41005059682610367</v>
      </c>
      <c r="AA9" s="260">
        <f t="shared" ref="AA9" si="30">AA8/V8-1</f>
        <v>0.29300000000000015</v>
      </c>
      <c r="AB9" s="260">
        <f t="shared" ref="AB9" si="31">AB8/W8-1</f>
        <v>0.2719999999999998</v>
      </c>
      <c r="AC9" s="260">
        <f t="shared" ref="AC9" si="32">AC8/X8-1</f>
        <v>0.22999999999999976</v>
      </c>
      <c r="AD9" s="27">
        <f t="shared" ref="AD9" si="33">AD8/Y8-1</f>
        <v>0.19999999999999996</v>
      </c>
      <c r="AE9" s="272">
        <f>AE8/Z8-1</f>
        <v>0.24563228154846684</v>
      </c>
    </row>
    <row r="10" spans="1:31" s="258" customFormat="1" x14ac:dyDescent="0.25">
      <c r="A10" s="66" t="s">
        <v>196</v>
      </c>
      <c r="B10" s="66" t="s">
        <v>190</v>
      </c>
      <c r="C10" s="66"/>
      <c r="D10" s="66"/>
      <c r="E10" s="66"/>
      <c r="F10" s="66"/>
      <c r="G10" s="259">
        <f>G3/C3-1</f>
        <v>0.14240000000000008</v>
      </c>
      <c r="H10" s="259">
        <f t="shared" ref="H10:J14" si="34">H3/D3-1</f>
        <v>1.712296374146085</v>
      </c>
      <c r="I10" s="259">
        <f t="shared" si="34"/>
        <v>2.7865901382728935</v>
      </c>
      <c r="J10" s="37">
        <f t="shared" si="34"/>
        <v>4.0896017699115044</v>
      </c>
      <c r="K10" s="37">
        <f>K3/SUM(C3:F3)-1</f>
        <v>2.1672775741419525</v>
      </c>
      <c r="L10" s="259">
        <f>L3/G3-1</f>
        <v>4.2668067226890756</v>
      </c>
      <c r="M10" s="259">
        <f>M3/H3-1</f>
        <v>1.5449966095127388</v>
      </c>
      <c r="N10" s="259">
        <f>N3/I3-1</f>
        <v>1.1200909466721787</v>
      </c>
      <c r="O10" s="37">
        <f>O3/J3-1</f>
        <v>0.93327537491849588</v>
      </c>
      <c r="P10" s="37">
        <f>P3/K3-1</f>
        <v>1.4236927932667016</v>
      </c>
      <c r="Q10" s="259">
        <f>Q3/L3-1</f>
        <v>0.73345743030625354</v>
      </c>
      <c r="R10" s="259">
        <f>R3/M3-1</f>
        <v>0.56425091352009749</v>
      </c>
      <c r="S10" s="261">
        <v>0.55000000000000004</v>
      </c>
      <c r="T10" s="264">
        <f>S10</f>
        <v>0.55000000000000004</v>
      </c>
      <c r="U10" s="37">
        <f>U3/P3-1</f>
        <v>0.58918661990172416</v>
      </c>
      <c r="V10" s="261">
        <v>0.49199999999999999</v>
      </c>
      <c r="W10" s="261">
        <f>V10-0.05</f>
        <v>0.442</v>
      </c>
      <c r="X10" s="261">
        <f t="shared" ref="X10:Y10" si="35">W10-0.05</f>
        <v>0.39200000000000002</v>
      </c>
      <c r="Y10" s="264">
        <f t="shared" si="35"/>
        <v>0.34200000000000003</v>
      </c>
      <c r="Z10" s="37">
        <f>Z3/U3-1</f>
        <v>0.40952807466510222</v>
      </c>
      <c r="AA10" s="261">
        <v>0.29299999999999998</v>
      </c>
      <c r="AB10" s="261">
        <v>0.27200000000000002</v>
      </c>
      <c r="AC10" s="261">
        <v>0.23</v>
      </c>
      <c r="AD10" s="264">
        <v>0.2</v>
      </c>
      <c r="AE10" s="37">
        <f>AE3/Z3-1</f>
        <v>0.24528973246319796</v>
      </c>
    </row>
    <row r="11" spans="1:31" x14ac:dyDescent="0.25">
      <c r="A11" s="4" t="s">
        <v>196</v>
      </c>
      <c r="B11" s="4" t="s">
        <v>191</v>
      </c>
      <c r="G11" s="260">
        <f t="shared" ref="G11:G14" si="36">G4/C4-1</f>
        <v>-0.38121546961325969</v>
      </c>
      <c r="H11" s="260">
        <f t="shared" si="34"/>
        <v>0.21743388834475996</v>
      </c>
      <c r="I11" s="260">
        <f t="shared" si="34"/>
        <v>0.81448538754764921</v>
      </c>
      <c r="J11" s="27">
        <f t="shared" si="34"/>
        <v>0.5647187329328236</v>
      </c>
      <c r="K11" s="27">
        <f t="shared" ref="K11:K14" si="37">K4/SUM(C4:F4)-1</f>
        <v>0.15220028675416342</v>
      </c>
      <c r="L11" s="260">
        <f>L4/G4-1</f>
        <v>0.18169642857142865</v>
      </c>
      <c r="M11" s="260">
        <f>M4/H4-1</f>
        <v>0.15848753016894612</v>
      </c>
      <c r="N11" s="260">
        <f>N4/I4-1</f>
        <v>0.14810924369747891</v>
      </c>
      <c r="O11" s="27">
        <f>O4/J4-1</f>
        <v>-0.11204188481675392</v>
      </c>
      <c r="P11" s="273">
        <f t="shared" ref="P11:P14" si="38">P4/K4-1</f>
        <v>8.643629750167503E-2</v>
      </c>
      <c r="Q11" s="260">
        <f>Q4/L4-1</f>
        <v>0.42160936909709101</v>
      </c>
      <c r="R11" s="260">
        <f>R4/M4-1</f>
        <v>0.48854166666666665</v>
      </c>
      <c r="S11" s="266">
        <f t="shared" ref="S11:S14" si="39">AVERAGE(Q11:R11)</f>
        <v>0.45507551788187883</v>
      </c>
      <c r="T11" s="265">
        <f>S11</f>
        <v>0.45507551788187883</v>
      </c>
      <c r="U11" s="273">
        <f t="shared" ref="U11:U14" si="40">U4/P4-1</f>
        <v>0.4557625322137604</v>
      </c>
      <c r="V11" s="266">
        <f>V10</f>
        <v>0.49199999999999999</v>
      </c>
      <c r="W11" s="266">
        <f t="shared" ref="W11:Y11" si="41">V11-0.05</f>
        <v>0.442</v>
      </c>
      <c r="X11" s="266">
        <f t="shared" si="41"/>
        <v>0.39200000000000002</v>
      </c>
      <c r="Y11" s="265">
        <f t="shared" si="41"/>
        <v>0.34200000000000003</v>
      </c>
      <c r="Z11" s="27">
        <f t="shared" ref="Z11:Z14" si="42">Z4/U4-1</f>
        <v>0.41654558689842403</v>
      </c>
      <c r="AA11" s="266">
        <f>AA10</f>
        <v>0.29299999999999998</v>
      </c>
      <c r="AB11" s="266">
        <f>AB10</f>
        <v>0.27200000000000002</v>
      </c>
      <c r="AC11" s="266">
        <f t="shared" ref="AC11:AD14" si="43">AC10</f>
        <v>0.23</v>
      </c>
      <c r="AD11" s="265">
        <f t="shared" si="43"/>
        <v>0.2</v>
      </c>
      <c r="AE11" s="27">
        <f t="shared" ref="AE11:AE14" si="44">AE4/Z4-1</f>
        <v>0.24983785528286839</v>
      </c>
    </row>
    <row r="12" spans="1:31" x14ac:dyDescent="0.25">
      <c r="A12" s="4" t="s">
        <v>196</v>
      </c>
      <c r="B12" s="4" t="s">
        <v>192</v>
      </c>
      <c r="G12" s="260">
        <f t="shared" si="36"/>
        <v>-0.52572347266881025</v>
      </c>
      <c r="H12" s="260">
        <f t="shared" si="34"/>
        <v>-0.23588709677419351</v>
      </c>
      <c r="I12" s="260">
        <f t="shared" si="34"/>
        <v>1.08</v>
      </c>
      <c r="J12" s="27">
        <f t="shared" si="34"/>
        <v>1.0486725663716814</v>
      </c>
      <c r="K12" s="27">
        <f t="shared" si="37"/>
        <v>5.8290155440414715E-3</v>
      </c>
      <c r="L12" s="260">
        <f>L5/G5-1</f>
        <v>0.44745762711864412</v>
      </c>
      <c r="M12" s="260">
        <f>M5/H5-1</f>
        <v>0.19788918205804751</v>
      </c>
      <c r="N12" s="260">
        <f>N5/I5-1</f>
        <v>0.16826923076923084</v>
      </c>
      <c r="O12" s="27">
        <f>O5/J5-1</f>
        <v>0.10367170626349886</v>
      </c>
      <c r="P12" s="273">
        <f t="shared" si="38"/>
        <v>0.20927237604636195</v>
      </c>
      <c r="Q12" s="260">
        <f>Q5/L5-1</f>
        <v>0.19203747072599531</v>
      </c>
      <c r="R12" s="260">
        <f>R5/M5-1</f>
        <v>0.32378854625550657</v>
      </c>
      <c r="S12" s="266">
        <f t="shared" si="39"/>
        <v>0.25791300849075094</v>
      </c>
      <c r="T12" s="265">
        <f t="shared" ref="T12:T14" si="45">S12</f>
        <v>0.25791300849075094</v>
      </c>
      <c r="U12" s="273">
        <f t="shared" si="40"/>
        <v>0.25886010088672973</v>
      </c>
      <c r="V12" s="266">
        <f t="shared" ref="V12:V14" si="46">V11</f>
        <v>0.49199999999999999</v>
      </c>
      <c r="W12" s="266">
        <f t="shared" ref="W12:Y12" si="47">V12-0.05</f>
        <v>0.442</v>
      </c>
      <c r="X12" s="266">
        <f t="shared" si="47"/>
        <v>0.39200000000000002</v>
      </c>
      <c r="Y12" s="265">
        <f t="shared" si="47"/>
        <v>0.34200000000000003</v>
      </c>
      <c r="Z12" s="27">
        <f t="shared" si="42"/>
        <v>0.41264612828164804</v>
      </c>
      <c r="AA12" s="266">
        <f t="shared" ref="AA12:AA14" si="48">AA11</f>
        <v>0.29299999999999998</v>
      </c>
      <c r="AB12" s="266">
        <f t="shared" ref="AB12:AB14" si="49">AB11</f>
        <v>0.27200000000000002</v>
      </c>
      <c r="AC12" s="266">
        <f t="shared" si="43"/>
        <v>0.23</v>
      </c>
      <c r="AD12" s="265">
        <f t="shared" si="43"/>
        <v>0.2</v>
      </c>
      <c r="AE12" s="27">
        <f t="shared" si="44"/>
        <v>0.24747587997287401</v>
      </c>
    </row>
    <row r="13" spans="1:31" x14ac:dyDescent="0.25">
      <c r="A13" s="4" t="s">
        <v>196</v>
      </c>
      <c r="B13" s="4" t="s">
        <v>193</v>
      </c>
      <c r="G13" s="260">
        <f t="shared" si="36"/>
        <v>1.1449275362318843</v>
      </c>
      <c r="H13" s="260">
        <f t="shared" si="34"/>
        <v>0.14999999999999991</v>
      </c>
      <c r="I13" s="260">
        <f t="shared" si="34"/>
        <v>3.9840637450199168E-2</v>
      </c>
      <c r="J13" s="27">
        <f t="shared" si="34"/>
        <v>-4.4217687074829981E-2</v>
      </c>
      <c r="K13" s="27">
        <f t="shared" si="37"/>
        <v>0.20819490586932443</v>
      </c>
      <c r="L13" s="260">
        <f>L6/G6-1</f>
        <v>0.1114864864864864</v>
      </c>
      <c r="M13" s="260">
        <f>M6/H6-1</f>
        <v>0.36758893280632421</v>
      </c>
      <c r="N13" s="260">
        <f>N6/I6-1</f>
        <v>0.72030651340996177</v>
      </c>
      <c r="O13" s="27">
        <f>O6/J6-1</f>
        <v>1.0284697508896796</v>
      </c>
      <c r="P13" s="273">
        <f t="shared" si="38"/>
        <v>0.55270394133822176</v>
      </c>
      <c r="Q13" s="260">
        <f>Q6/L6-1</f>
        <v>0.72340425531914887</v>
      </c>
      <c r="R13" s="260">
        <f>R6/M6-1</f>
        <v>0.69364161849710992</v>
      </c>
      <c r="S13" s="266">
        <f t="shared" si="39"/>
        <v>0.7085229369081294</v>
      </c>
      <c r="T13" s="265">
        <f t="shared" si="45"/>
        <v>0.7085229369081294</v>
      </c>
      <c r="U13" s="273">
        <f t="shared" si="40"/>
        <v>0.70837359664072252</v>
      </c>
      <c r="V13" s="266">
        <f t="shared" si="46"/>
        <v>0.49199999999999999</v>
      </c>
      <c r="W13" s="266">
        <f t="shared" ref="W13:Y13" si="50">V13-0.05</f>
        <v>0.442</v>
      </c>
      <c r="X13" s="266">
        <f t="shared" si="50"/>
        <v>0.39200000000000002</v>
      </c>
      <c r="Y13" s="265">
        <f t="shared" si="50"/>
        <v>0.34200000000000003</v>
      </c>
      <c r="Z13" s="27">
        <f t="shared" si="42"/>
        <v>0.4048912547712078</v>
      </c>
      <c r="AA13" s="266">
        <f t="shared" si="48"/>
        <v>0.29299999999999998</v>
      </c>
      <c r="AB13" s="266">
        <f t="shared" si="49"/>
        <v>0.27200000000000002</v>
      </c>
      <c r="AC13" s="266">
        <f t="shared" si="43"/>
        <v>0.23</v>
      </c>
      <c r="AD13" s="265">
        <f t="shared" si="43"/>
        <v>0.2</v>
      </c>
      <c r="AE13" s="27">
        <f t="shared" si="44"/>
        <v>0.2421942826221124</v>
      </c>
    </row>
    <row r="14" spans="1:31" x14ac:dyDescent="0.25">
      <c r="A14" s="4" t="s">
        <v>196</v>
      </c>
      <c r="B14" s="4" t="s">
        <v>194</v>
      </c>
      <c r="G14" s="260">
        <f t="shared" si="36"/>
        <v>-0.51265822784810133</v>
      </c>
      <c r="H14" s="260">
        <f t="shared" si="34"/>
        <v>-0.52857142857142858</v>
      </c>
      <c r="I14" s="260">
        <f t="shared" si="34"/>
        <v>0</v>
      </c>
      <c r="J14" s="27">
        <f t="shared" si="34"/>
        <v>7.1428571428571397E-2</v>
      </c>
      <c r="K14" s="27">
        <f t="shared" si="37"/>
        <v>-0.32747252747252742</v>
      </c>
      <c r="L14" s="260">
        <f>L7/G7-1</f>
        <v>1.298701298701288E-2</v>
      </c>
      <c r="M14" s="260">
        <f>M7/H7-1</f>
        <v>0.33333333333333326</v>
      </c>
      <c r="N14" s="260">
        <f>N7/I7-1</f>
        <v>0.32876712328767121</v>
      </c>
      <c r="O14" s="27">
        <f>O7/J7-1</f>
        <v>0.39999999999999991</v>
      </c>
      <c r="P14" s="273">
        <f t="shared" si="38"/>
        <v>0.2712418300653594</v>
      </c>
      <c r="Q14" s="260">
        <f>Q7/L7-1</f>
        <v>0.42307692307692313</v>
      </c>
      <c r="R14" s="260">
        <f>R7/M7-1</f>
        <v>0.96590909090909083</v>
      </c>
      <c r="S14" s="266">
        <f t="shared" si="39"/>
        <v>0.69449300699300698</v>
      </c>
      <c r="T14" s="265">
        <f t="shared" si="45"/>
        <v>0.69449300699300698</v>
      </c>
      <c r="U14" s="273">
        <f t="shared" si="40"/>
        <v>0.70147028421450042</v>
      </c>
      <c r="V14" s="266">
        <f t="shared" si="46"/>
        <v>0.49199999999999999</v>
      </c>
      <c r="W14" s="266">
        <f t="shared" ref="W14:Y14" si="51">V14-0.05</f>
        <v>0.442</v>
      </c>
      <c r="X14" s="266">
        <f t="shared" si="51"/>
        <v>0.39200000000000002</v>
      </c>
      <c r="Y14" s="265">
        <f t="shared" si="51"/>
        <v>0.34200000000000003</v>
      </c>
      <c r="Z14" s="27">
        <f t="shared" si="42"/>
        <v>0.40571064929610645</v>
      </c>
      <c r="AA14" s="266">
        <f t="shared" si="48"/>
        <v>0.29299999999999998</v>
      </c>
      <c r="AB14" s="266">
        <f t="shared" si="49"/>
        <v>0.27200000000000002</v>
      </c>
      <c r="AC14" s="266">
        <f t="shared" si="43"/>
        <v>0.23</v>
      </c>
      <c r="AD14" s="265">
        <f t="shared" si="43"/>
        <v>0.2</v>
      </c>
      <c r="AE14" s="27">
        <f t="shared" si="44"/>
        <v>0.24323663573919196</v>
      </c>
    </row>
    <row r="15" spans="1:31" x14ac:dyDescent="0.2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</row>
  </sheetData>
  <phoneticPr fontId="7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W58"/>
  <sheetViews>
    <sheetView showGridLines="0" topLeftCell="B1" zoomScaleNormal="100" workbookViewId="0">
      <selection activeCell="D4" sqref="D4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5" width="11.7109375" style="4" customWidth="1"/>
    <col min="16" max="23" width="11.42578125" style="4" customWidth="1"/>
    <col min="24" max="16384" width="9" style="4"/>
  </cols>
  <sheetData>
    <row r="1" spans="1:23" ht="19.5" x14ac:dyDescent="0.3">
      <c r="A1" s="244" t="str">
        <f>CoName</f>
        <v>NVIDIA Corp.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  <c r="N1" s="42" t="s">
        <v>1</v>
      </c>
      <c r="O1" s="42" t="s">
        <v>1</v>
      </c>
    </row>
    <row r="2" spans="1:23" x14ac:dyDescent="0.25">
      <c r="A2" s="64" t="s">
        <v>126</v>
      </c>
      <c r="B2" s="107" t="s">
        <v>127</v>
      </c>
      <c r="C2" s="252">
        <v>2023</v>
      </c>
      <c r="D2" s="252">
        <f>C2+1</f>
        <v>2024</v>
      </c>
      <c r="E2" s="252">
        <f t="shared" ref="E2:M2" si="0">D2+1</f>
        <v>2025</v>
      </c>
      <c r="F2" s="252">
        <f t="shared" si="0"/>
        <v>2026</v>
      </c>
      <c r="G2" s="252">
        <f t="shared" si="0"/>
        <v>2027</v>
      </c>
      <c r="H2" s="252">
        <f t="shared" si="0"/>
        <v>2028</v>
      </c>
      <c r="I2" s="252">
        <f t="shared" si="0"/>
        <v>2029</v>
      </c>
      <c r="J2" s="252">
        <f t="shared" si="0"/>
        <v>2030</v>
      </c>
      <c r="K2" s="252">
        <f t="shared" si="0"/>
        <v>2031</v>
      </c>
      <c r="L2" s="252">
        <f t="shared" si="0"/>
        <v>2032</v>
      </c>
      <c r="M2" s="252">
        <f t="shared" si="0"/>
        <v>2033</v>
      </c>
      <c r="N2" s="252">
        <f>M2+1</f>
        <v>2034</v>
      </c>
      <c r="O2" s="252">
        <f>N2+1</f>
        <v>2035</v>
      </c>
    </row>
    <row r="3" spans="1:23" x14ac:dyDescent="0.25">
      <c r="A3" s="86"/>
      <c r="B3" s="160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</row>
    <row r="4" spans="1:23" x14ac:dyDescent="0.25">
      <c r="B4" s="94" t="s">
        <v>134</v>
      </c>
      <c r="C4"/>
      <c r="D4" s="249">
        <v>1</v>
      </c>
      <c r="E4"/>
      <c r="F4"/>
      <c r="G4" s="89"/>
      <c r="H4" s="89"/>
      <c r="I4" s="89"/>
      <c r="J4" s="89"/>
      <c r="K4" s="89"/>
      <c r="L4" s="89"/>
      <c r="M4" s="89"/>
      <c r="N4" s="89"/>
      <c r="O4" s="89"/>
      <c r="P4" s="217"/>
      <c r="Q4" s="218"/>
      <c r="R4" s="218"/>
    </row>
    <row r="5" spans="1:23" x14ac:dyDescent="0.25">
      <c r="B5" s="88"/>
      <c r="C5" s="90"/>
      <c r="D5" s="113" t="s">
        <v>128</v>
      </c>
      <c r="E5" s="91"/>
      <c r="P5" s="219"/>
      <c r="Q5" s="220"/>
      <c r="R5" s="220"/>
    </row>
    <row r="6" spans="1:23" x14ac:dyDescent="0.25">
      <c r="B6" s="92" t="s">
        <v>135</v>
      </c>
      <c r="D6" s="101">
        <v>0</v>
      </c>
      <c r="E6" s="93"/>
      <c r="F6" s="101">
        <f>Revenue!U9</f>
        <v>0.57471015290282756</v>
      </c>
      <c r="G6" s="101">
        <f>Revenue!Z9</f>
        <v>0.41005059682610367</v>
      </c>
      <c r="H6" s="101">
        <f>Revenue!AE9</f>
        <v>0.24563228154846684</v>
      </c>
      <c r="I6" s="101">
        <f>H6-0.025</f>
        <v>0.22063228154846684</v>
      </c>
      <c r="J6" s="101">
        <f>I6</f>
        <v>0.22063228154846684</v>
      </c>
      <c r="K6" s="101">
        <f t="shared" ref="K6:O6" si="1">J6</f>
        <v>0.22063228154846684</v>
      </c>
      <c r="L6" s="101">
        <f t="shared" si="1"/>
        <v>0.22063228154846684</v>
      </c>
      <c r="M6" s="101">
        <f t="shared" si="1"/>
        <v>0.22063228154846684</v>
      </c>
      <c r="N6" s="101">
        <f t="shared" si="1"/>
        <v>0.22063228154846684</v>
      </c>
      <c r="O6" s="101">
        <f t="shared" si="1"/>
        <v>0.22063228154846684</v>
      </c>
      <c r="P6" s="172"/>
      <c r="Q6" s="221"/>
      <c r="R6" s="221"/>
      <c r="S6" s="221"/>
      <c r="T6" s="221"/>
      <c r="U6" s="221"/>
      <c r="V6" s="221"/>
      <c r="W6" s="221"/>
    </row>
    <row r="7" spans="1:23" x14ac:dyDescent="0.25">
      <c r="B7" s="4" t="s">
        <v>130</v>
      </c>
      <c r="D7" s="101">
        <v>2.5000000000000001E-2</v>
      </c>
      <c r="E7" s="93"/>
      <c r="F7" s="101">
        <f>F6+$D$7</f>
        <v>0.59971015290282759</v>
      </c>
      <c r="G7" s="101">
        <f t="shared" ref="G7:O7" si="2">G6+$D$7</f>
        <v>0.4350505968261037</v>
      </c>
      <c r="H7" s="101">
        <f t="shared" si="2"/>
        <v>0.27063228154846686</v>
      </c>
      <c r="I7" s="101">
        <f t="shared" si="2"/>
        <v>0.24563228154846684</v>
      </c>
      <c r="J7" s="101">
        <f t="shared" si="2"/>
        <v>0.24563228154846684</v>
      </c>
      <c r="K7" s="101">
        <f t="shared" si="2"/>
        <v>0.24563228154846684</v>
      </c>
      <c r="L7" s="101">
        <f t="shared" si="2"/>
        <v>0.24563228154846684</v>
      </c>
      <c r="M7" s="101">
        <f t="shared" si="2"/>
        <v>0.24563228154846684</v>
      </c>
      <c r="N7" s="101">
        <f t="shared" si="2"/>
        <v>0.24563228154846684</v>
      </c>
      <c r="O7" s="101">
        <f t="shared" si="2"/>
        <v>0.24563228154846684</v>
      </c>
      <c r="P7" s="172"/>
      <c r="Q7" s="172"/>
      <c r="R7" s="172"/>
      <c r="S7" s="172"/>
      <c r="T7" s="172"/>
      <c r="U7" s="172"/>
      <c r="V7" s="172"/>
      <c r="W7" s="172"/>
    </row>
    <row r="8" spans="1:23" x14ac:dyDescent="0.25">
      <c r="B8" s="4" t="s">
        <v>129</v>
      </c>
      <c r="D8" s="101">
        <v>-0.05</v>
      </c>
      <c r="E8" s="93"/>
      <c r="F8" s="101">
        <f>F6+$D$8</f>
        <v>0.52471015290282752</v>
      </c>
      <c r="G8" s="101">
        <f t="shared" ref="G8:O8" si="3">G6+$D$8</f>
        <v>0.36005059682610369</v>
      </c>
      <c r="H8" s="101">
        <f t="shared" si="3"/>
        <v>0.19563228154846685</v>
      </c>
      <c r="I8" s="101">
        <f t="shared" si="3"/>
        <v>0.17063228154846682</v>
      </c>
      <c r="J8" s="101">
        <f t="shared" si="3"/>
        <v>0.17063228154846682</v>
      </c>
      <c r="K8" s="101">
        <f t="shared" si="3"/>
        <v>0.17063228154846682</v>
      </c>
      <c r="L8" s="101">
        <f t="shared" si="3"/>
        <v>0.17063228154846682</v>
      </c>
      <c r="M8" s="101">
        <f t="shared" si="3"/>
        <v>0.17063228154846682</v>
      </c>
      <c r="N8" s="101">
        <f t="shared" si="3"/>
        <v>0.17063228154846682</v>
      </c>
      <c r="O8" s="101">
        <f t="shared" si="3"/>
        <v>0.17063228154846682</v>
      </c>
    </row>
    <row r="9" spans="1:23" x14ac:dyDescent="0.25">
      <c r="P9" s="172"/>
      <c r="Q9" s="172"/>
    </row>
    <row r="10" spans="1:23" x14ac:dyDescent="0.25">
      <c r="B10" s="118" t="s">
        <v>152</v>
      </c>
      <c r="C10" s="190"/>
      <c r="D10" s="190"/>
      <c r="E10" s="191"/>
      <c r="F10" s="105">
        <f>CHOOSE(ScenarioREV,F6,F7,F8)</f>
        <v>0.57471015290282756</v>
      </c>
      <c r="G10" s="105">
        <f t="shared" ref="G10:M10" si="4">CHOOSE(ScenarioREV,G6,G7,G8)</f>
        <v>0.41005059682610367</v>
      </c>
      <c r="H10" s="105">
        <f t="shared" si="4"/>
        <v>0.24563228154846684</v>
      </c>
      <c r="I10" s="105">
        <f t="shared" si="4"/>
        <v>0.22063228154846684</v>
      </c>
      <c r="J10" s="105">
        <f t="shared" si="4"/>
        <v>0.22063228154846684</v>
      </c>
      <c r="K10" s="105">
        <f t="shared" si="4"/>
        <v>0.22063228154846684</v>
      </c>
      <c r="L10" s="105">
        <f t="shared" si="4"/>
        <v>0.22063228154846684</v>
      </c>
      <c r="M10" s="105">
        <f t="shared" si="4"/>
        <v>0.22063228154846684</v>
      </c>
      <c r="N10" s="105">
        <f>CHOOSE(ScenarioREV,N6,N7,N8)</f>
        <v>0.22063228154846684</v>
      </c>
      <c r="O10" s="105">
        <f>CHOOSE(ScenarioREV,O6,O7,O8)</f>
        <v>0.22063228154846684</v>
      </c>
      <c r="P10" s="172"/>
      <c r="Q10" s="172"/>
    </row>
    <row r="11" spans="1:23" x14ac:dyDescent="0.25">
      <c r="B11" s="4" t="s">
        <v>136</v>
      </c>
      <c r="C11" s="8">
        <f>IncState!C18/IncState!C17</f>
        <v>0.43071105509008673</v>
      </c>
      <c r="D11" s="8">
        <f>IncState!D18/IncState!D17</f>
        <v>0.27282426709563046</v>
      </c>
      <c r="E11" s="8">
        <f>IncState!E18/IncState!E17</f>
        <v>0.25011302941830083</v>
      </c>
      <c r="F11" s="101">
        <f>E11</f>
        <v>0.25011302941830083</v>
      </c>
      <c r="G11" s="101">
        <f t="shared" ref="G11:M11" si="5">F11</f>
        <v>0.25011302941830083</v>
      </c>
      <c r="H11" s="101">
        <f t="shared" si="5"/>
        <v>0.25011302941830083</v>
      </c>
      <c r="I11" s="101">
        <f t="shared" si="5"/>
        <v>0.25011302941830083</v>
      </c>
      <c r="J11" s="101">
        <f t="shared" si="5"/>
        <v>0.25011302941830083</v>
      </c>
      <c r="K11" s="101">
        <f t="shared" si="5"/>
        <v>0.25011302941830083</v>
      </c>
      <c r="L11" s="101">
        <f t="shared" si="5"/>
        <v>0.25011302941830083</v>
      </c>
      <c r="M11" s="101">
        <f t="shared" si="5"/>
        <v>0.25011302941830083</v>
      </c>
      <c r="N11" s="101">
        <f t="shared" ref="N11:O14" si="6">M11</f>
        <v>0.25011302941830083</v>
      </c>
      <c r="O11" s="101">
        <f t="shared" si="6"/>
        <v>0.25011302941830083</v>
      </c>
      <c r="P11" s="172"/>
      <c r="Q11" s="172"/>
    </row>
    <row r="12" spans="1:23" x14ac:dyDescent="0.25">
      <c r="B12" s="4" t="s">
        <v>181</v>
      </c>
      <c r="C12" s="8">
        <f>IncState!C19/IncState!C17</f>
        <v>0.27207681471046191</v>
      </c>
      <c r="D12" s="8">
        <f>IncState!D19/IncState!D17</f>
        <v>0.14239519385443683</v>
      </c>
      <c r="E12" s="8">
        <f>IncState!E19/IncState!E17</f>
        <v>9.8960129351632606E-2</v>
      </c>
      <c r="F12" s="101">
        <f>E12</f>
        <v>9.8960129351632606E-2</v>
      </c>
      <c r="G12" s="101">
        <f t="shared" ref="G12:M12" si="7">F12</f>
        <v>9.8960129351632606E-2</v>
      </c>
      <c r="H12" s="101">
        <f t="shared" si="7"/>
        <v>9.8960129351632606E-2</v>
      </c>
      <c r="I12" s="101">
        <f t="shared" si="7"/>
        <v>9.8960129351632606E-2</v>
      </c>
      <c r="J12" s="101">
        <f t="shared" si="7"/>
        <v>9.8960129351632606E-2</v>
      </c>
      <c r="K12" s="101">
        <f t="shared" si="7"/>
        <v>9.8960129351632606E-2</v>
      </c>
      <c r="L12" s="101">
        <f t="shared" si="7"/>
        <v>9.8960129351632606E-2</v>
      </c>
      <c r="M12" s="101">
        <f t="shared" si="7"/>
        <v>9.8960129351632606E-2</v>
      </c>
      <c r="N12" s="101">
        <f t="shared" si="6"/>
        <v>9.8960129351632606E-2</v>
      </c>
      <c r="O12" s="101">
        <f t="shared" si="6"/>
        <v>9.8960129351632606E-2</v>
      </c>
      <c r="P12" s="172"/>
      <c r="Q12" s="172"/>
    </row>
    <row r="13" spans="1:23" x14ac:dyDescent="0.25">
      <c r="B13" s="4" t="s">
        <v>45</v>
      </c>
      <c r="C13" s="8">
        <f>IncState!C20/IncState!C17</f>
        <v>9.0457477570994288E-2</v>
      </c>
      <c r="D13" s="8">
        <f>IncState!D20/IncState!D17</f>
        <v>4.3563901382095135E-2</v>
      </c>
      <c r="E13" s="8">
        <f>IncState!E20/IncState!E17</f>
        <v>2.6751572833091947E-2</v>
      </c>
      <c r="F13" s="101">
        <f>E13</f>
        <v>2.6751572833091947E-2</v>
      </c>
      <c r="G13" s="101">
        <f t="shared" ref="G13:M13" si="8">F13</f>
        <v>2.6751572833091947E-2</v>
      </c>
      <c r="H13" s="101">
        <f t="shared" si="8"/>
        <v>2.6751572833091947E-2</v>
      </c>
      <c r="I13" s="101">
        <f t="shared" si="8"/>
        <v>2.6751572833091947E-2</v>
      </c>
      <c r="J13" s="101">
        <f t="shared" si="8"/>
        <v>2.6751572833091947E-2</v>
      </c>
      <c r="K13" s="101">
        <f t="shared" si="8"/>
        <v>2.6751572833091947E-2</v>
      </c>
      <c r="L13" s="101">
        <f t="shared" si="8"/>
        <v>2.6751572833091947E-2</v>
      </c>
      <c r="M13" s="101">
        <f t="shared" si="8"/>
        <v>2.6751572833091947E-2</v>
      </c>
      <c r="N13" s="101">
        <f t="shared" si="6"/>
        <v>2.6751572833091947E-2</v>
      </c>
      <c r="O13" s="101">
        <f t="shared" si="6"/>
        <v>2.6751572833091947E-2</v>
      </c>
    </row>
    <row r="14" spans="1:23" x14ac:dyDescent="0.25">
      <c r="B14" s="4" t="s">
        <v>138</v>
      </c>
      <c r="C14" s="4">
        <v>0</v>
      </c>
      <c r="D14" s="4">
        <v>0</v>
      </c>
      <c r="E14" s="4">
        <v>0</v>
      </c>
      <c r="F14" s="102">
        <f>E14</f>
        <v>0</v>
      </c>
      <c r="G14" s="102">
        <f t="shared" ref="G14:M14" si="9">F14</f>
        <v>0</v>
      </c>
      <c r="H14" s="102">
        <f t="shared" si="9"/>
        <v>0</v>
      </c>
      <c r="I14" s="102">
        <f t="shared" si="9"/>
        <v>0</v>
      </c>
      <c r="J14" s="102">
        <f t="shared" si="9"/>
        <v>0</v>
      </c>
      <c r="K14" s="102">
        <f t="shared" si="9"/>
        <v>0</v>
      </c>
      <c r="L14" s="102">
        <f t="shared" si="9"/>
        <v>0</v>
      </c>
      <c r="M14" s="102">
        <f t="shared" si="9"/>
        <v>0</v>
      </c>
      <c r="N14" s="102">
        <f t="shared" si="6"/>
        <v>0</v>
      </c>
      <c r="O14" s="102">
        <f t="shared" si="6"/>
        <v>0</v>
      </c>
    </row>
    <row r="15" spans="1:23" x14ac:dyDescent="0.25">
      <c r="B15" s="4" t="s">
        <v>139</v>
      </c>
      <c r="C15" s="4">
        <v>0</v>
      </c>
      <c r="D15" s="4">
        <v>0</v>
      </c>
      <c r="E15" s="4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</row>
    <row r="16" spans="1:23" x14ac:dyDescent="0.25">
      <c r="B16" s="4" t="s">
        <v>141</v>
      </c>
      <c r="C16" s="4">
        <v>0</v>
      </c>
      <c r="D16" s="4">
        <v>0</v>
      </c>
      <c r="E16" s="4">
        <v>0</v>
      </c>
      <c r="F16" s="102">
        <v>0</v>
      </c>
      <c r="G16" s="102">
        <v>0</v>
      </c>
      <c r="H16" s="102">
        <v>0</v>
      </c>
      <c r="I16" s="102">
        <v>0</v>
      </c>
      <c r="J16" s="102">
        <v>0</v>
      </c>
      <c r="K16" s="102">
        <v>0</v>
      </c>
      <c r="L16" s="102">
        <v>0</v>
      </c>
      <c r="M16" s="102">
        <v>0</v>
      </c>
      <c r="N16" s="102">
        <v>0</v>
      </c>
      <c r="O16" s="102">
        <v>0</v>
      </c>
    </row>
    <row r="17" spans="1:15" x14ac:dyDescent="0.25">
      <c r="B17" s="4" t="s">
        <v>48</v>
      </c>
      <c r="C17" s="8">
        <f>IncState!C35/IncState!C33</f>
        <v>-4.4726142071274816E-2</v>
      </c>
      <c r="D17" s="8">
        <f>IncState!D35/IncState!D33</f>
        <v>0.1199952687917677</v>
      </c>
      <c r="E17" s="8">
        <f>IncState!E35/IncState!E33</f>
        <v>0.13264941803727417</v>
      </c>
      <c r="F17" s="101">
        <v>0.16500000000000001</v>
      </c>
      <c r="G17" s="101">
        <f t="shared" ref="G17:M17" si="10">F17</f>
        <v>0.16500000000000001</v>
      </c>
      <c r="H17" s="101">
        <f t="shared" si="10"/>
        <v>0.16500000000000001</v>
      </c>
      <c r="I17" s="101">
        <f t="shared" si="10"/>
        <v>0.16500000000000001</v>
      </c>
      <c r="J17" s="101">
        <f t="shared" si="10"/>
        <v>0.16500000000000001</v>
      </c>
      <c r="K17" s="101">
        <f t="shared" si="10"/>
        <v>0.16500000000000001</v>
      </c>
      <c r="L17" s="101">
        <f t="shared" si="10"/>
        <v>0.16500000000000001</v>
      </c>
      <c r="M17" s="101">
        <f t="shared" si="10"/>
        <v>0.16500000000000001</v>
      </c>
      <c r="N17" s="101">
        <f t="shared" ref="N17:O20" si="11">M17</f>
        <v>0.16500000000000001</v>
      </c>
      <c r="O17" s="101">
        <f t="shared" si="11"/>
        <v>0.16500000000000001</v>
      </c>
    </row>
    <row r="18" spans="1:15" s="277" customFormat="1" x14ac:dyDescent="0.25">
      <c r="B18" s="277" t="s">
        <v>142</v>
      </c>
      <c r="C18" s="277">
        <v>1.6E-2</v>
      </c>
      <c r="D18" s="277">
        <v>1.6E-2</v>
      </c>
      <c r="E18" s="277">
        <v>1.6E-2</v>
      </c>
      <c r="F18" s="278">
        <f>E18+0.005</f>
        <v>2.1000000000000001E-2</v>
      </c>
      <c r="G18" s="278">
        <f t="shared" ref="G18:O18" si="12">F18+0.005</f>
        <v>2.6000000000000002E-2</v>
      </c>
      <c r="H18" s="278">
        <f t="shared" si="12"/>
        <v>3.1000000000000003E-2</v>
      </c>
      <c r="I18" s="278">
        <f t="shared" si="12"/>
        <v>3.6000000000000004E-2</v>
      </c>
      <c r="J18" s="278">
        <f t="shared" si="12"/>
        <v>4.1000000000000002E-2</v>
      </c>
      <c r="K18" s="278">
        <f t="shared" si="12"/>
        <v>4.5999999999999999E-2</v>
      </c>
      <c r="L18" s="278">
        <f t="shared" si="12"/>
        <v>5.0999999999999997E-2</v>
      </c>
      <c r="M18" s="278">
        <f t="shared" si="12"/>
        <v>5.5999999999999994E-2</v>
      </c>
      <c r="N18" s="278">
        <f t="shared" si="12"/>
        <v>6.0999999999999992E-2</v>
      </c>
      <c r="O18" s="278">
        <f t="shared" si="12"/>
        <v>6.5999999999999989E-2</v>
      </c>
    </row>
    <row r="19" spans="1:15" x14ac:dyDescent="0.25">
      <c r="B19" s="4" t="s">
        <v>49</v>
      </c>
      <c r="C19" s="4">
        <f>IncState!C40</f>
        <v>24870</v>
      </c>
      <c r="D19" s="4">
        <f>IncState!D40</f>
        <v>24690</v>
      </c>
      <c r="E19" s="4">
        <f>IncState!E40</f>
        <v>24555</v>
      </c>
      <c r="F19" s="102">
        <f>E19</f>
        <v>24555</v>
      </c>
      <c r="G19" s="102">
        <f t="shared" ref="G19:M19" si="13">F19</f>
        <v>24555</v>
      </c>
      <c r="H19" s="102">
        <f t="shared" si="13"/>
        <v>24555</v>
      </c>
      <c r="I19" s="102">
        <f t="shared" si="13"/>
        <v>24555</v>
      </c>
      <c r="J19" s="102">
        <f t="shared" si="13"/>
        <v>24555</v>
      </c>
      <c r="K19" s="102">
        <f t="shared" si="13"/>
        <v>24555</v>
      </c>
      <c r="L19" s="102">
        <f t="shared" si="13"/>
        <v>24555</v>
      </c>
      <c r="M19" s="102">
        <f t="shared" si="13"/>
        <v>24555</v>
      </c>
      <c r="N19" s="102">
        <f t="shared" si="11"/>
        <v>24555</v>
      </c>
      <c r="O19" s="102">
        <f t="shared" si="11"/>
        <v>24555</v>
      </c>
    </row>
    <row r="20" spans="1:15" x14ac:dyDescent="0.25">
      <c r="B20" s="4" t="s">
        <v>50</v>
      </c>
      <c r="C20" s="4">
        <f>IncState!C41</f>
        <v>25070</v>
      </c>
      <c r="D20" s="4">
        <f>IncState!D41</f>
        <v>24940</v>
      </c>
      <c r="E20" s="4">
        <f>IncState!E41</f>
        <v>24804</v>
      </c>
      <c r="F20" s="102">
        <f>E20</f>
        <v>24804</v>
      </c>
      <c r="G20" s="102">
        <f t="shared" ref="G20:M20" si="14">F20</f>
        <v>24804</v>
      </c>
      <c r="H20" s="102">
        <f t="shared" si="14"/>
        <v>24804</v>
      </c>
      <c r="I20" s="102">
        <f t="shared" si="14"/>
        <v>24804</v>
      </c>
      <c r="J20" s="102">
        <f t="shared" si="14"/>
        <v>24804</v>
      </c>
      <c r="K20" s="102">
        <f t="shared" si="14"/>
        <v>24804</v>
      </c>
      <c r="L20" s="102">
        <f t="shared" si="14"/>
        <v>24804</v>
      </c>
      <c r="M20" s="102">
        <f t="shared" si="14"/>
        <v>24804</v>
      </c>
      <c r="N20" s="102">
        <f t="shared" si="11"/>
        <v>24804</v>
      </c>
      <c r="O20" s="102">
        <f t="shared" si="11"/>
        <v>24804</v>
      </c>
    </row>
    <row r="21" spans="1:15" x14ac:dyDescent="0.25">
      <c r="F21" s="104"/>
      <c r="G21" s="104"/>
      <c r="H21" s="104"/>
      <c r="I21" s="104"/>
      <c r="J21" s="104"/>
      <c r="K21" s="104"/>
      <c r="L21" s="104"/>
      <c r="M21" s="104"/>
      <c r="N21" s="104"/>
      <c r="O21" s="104"/>
    </row>
    <row r="22" spans="1:15" x14ac:dyDescent="0.25">
      <c r="A22" s="64" t="s">
        <v>126</v>
      </c>
      <c r="B22" s="107" t="s">
        <v>147</v>
      </c>
      <c r="C22" s="252">
        <v>2023</v>
      </c>
      <c r="D22" s="252">
        <f>C22+1</f>
        <v>2024</v>
      </c>
      <c r="E22" s="252">
        <f t="shared" ref="E22:M22" si="15">D22+1</f>
        <v>2025</v>
      </c>
      <c r="F22" s="252">
        <f t="shared" si="15"/>
        <v>2026</v>
      </c>
      <c r="G22" s="252">
        <f t="shared" si="15"/>
        <v>2027</v>
      </c>
      <c r="H22" s="252">
        <f t="shared" si="15"/>
        <v>2028</v>
      </c>
      <c r="I22" s="252">
        <f t="shared" si="15"/>
        <v>2029</v>
      </c>
      <c r="J22" s="252">
        <f t="shared" si="15"/>
        <v>2030</v>
      </c>
      <c r="K22" s="252">
        <f t="shared" si="15"/>
        <v>2031</v>
      </c>
      <c r="L22" s="252">
        <f t="shared" si="15"/>
        <v>2032</v>
      </c>
      <c r="M22" s="252">
        <f t="shared" si="15"/>
        <v>2033</v>
      </c>
      <c r="N22" s="252">
        <f>M22+1</f>
        <v>2034</v>
      </c>
      <c r="O22" s="252">
        <f>N22+1</f>
        <v>2035</v>
      </c>
    </row>
    <row r="23" spans="1:15" x14ac:dyDescent="0.25">
      <c r="A23" s="86"/>
      <c r="B23" s="160"/>
      <c r="C23" s="196"/>
      <c r="D23" s="196"/>
      <c r="E23" s="196"/>
      <c r="F23" s="197"/>
      <c r="G23" s="197"/>
      <c r="H23" s="197"/>
      <c r="I23" s="197"/>
      <c r="J23" s="197"/>
      <c r="K23" s="197"/>
      <c r="L23" s="197"/>
      <c r="M23" s="197"/>
      <c r="N23" s="197"/>
      <c r="O23" s="197"/>
    </row>
    <row r="24" spans="1:15" x14ac:dyDescent="0.25">
      <c r="B24" s="4" t="s">
        <v>140</v>
      </c>
      <c r="E24" s="8"/>
      <c r="F24" s="101">
        <f>E24</f>
        <v>0</v>
      </c>
      <c r="G24" s="101">
        <f t="shared" ref="G24:M24" si="16">F24</f>
        <v>0</v>
      </c>
      <c r="H24" s="101">
        <f t="shared" si="16"/>
        <v>0</v>
      </c>
      <c r="I24" s="101">
        <f t="shared" si="16"/>
        <v>0</v>
      </c>
      <c r="J24" s="101">
        <f t="shared" si="16"/>
        <v>0</v>
      </c>
      <c r="K24" s="101">
        <f t="shared" si="16"/>
        <v>0</v>
      </c>
      <c r="L24" s="101">
        <f t="shared" si="16"/>
        <v>0</v>
      </c>
      <c r="M24" s="101">
        <f t="shared" si="16"/>
        <v>0</v>
      </c>
      <c r="N24" s="101">
        <f t="shared" ref="N24:O26" si="17">M24</f>
        <v>0</v>
      </c>
      <c r="O24" s="101">
        <f t="shared" si="17"/>
        <v>0</v>
      </c>
    </row>
    <row r="25" spans="1:15" x14ac:dyDescent="0.25">
      <c r="B25" s="4" t="s">
        <v>26</v>
      </c>
      <c r="E25" s="8">
        <v>2.9000000000000001E-2</v>
      </c>
      <c r="F25" s="101">
        <f>E25</f>
        <v>2.9000000000000001E-2</v>
      </c>
      <c r="G25" s="101">
        <f t="shared" ref="G25:M25" si="18">F25</f>
        <v>2.9000000000000001E-2</v>
      </c>
      <c r="H25" s="101">
        <f t="shared" si="18"/>
        <v>2.9000000000000001E-2</v>
      </c>
      <c r="I25" s="101">
        <f t="shared" si="18"/>
        <v>2.9000000000000001E-2</v>
      </c>
      <c r="J25" s="101">
        <f t="shared" si="18"/>
        <v>2.9000000000000001E-2</v>
      </c>
      <c r="K25" s="101">
        <f t="shared" si="18"/>
        <v>2.9000000000000001E-2</v>
      </c>
      <c r="L25" s="101">
        <f t="shared" si="18"/>
        <v>2.9000000000000001E-2</v>
      </c>
      <c r="M25" s="101">
        <f t="shared" si="18"/>
        <v>2.9000000000000001E-2</v>
      </c>
      <c r="N25" s="101">
        <f t="shared" si="17"/>
        <v>2.9000000000000001E-2</v>
      </c>
      <c r="O25" s="101">
        <f t="shared" si="17"/>
        <v>2.9000000000000001E-2</v>
      </c>
    </row>
    <row r="26" spans="1:15" x14ac:dyDescent="0.25">
      <c r="B26" s="4" t="s">
        <v>27</v>
      </c>
      <c r="C26" s="8">
        <f>IncState!C30/BalSheet!C16</f>
        <v>8.9465518916763562E-2</v>
      </c>
      <c r="D26" s="8">
        <f>IncState!D30/BalSheet!D16</f>
        <v>0.13603155429402608</v>
      </c>
      <c r="E26" s="8">
        <f>IncState!E30/BalSheet!E16</f>
        <v>0.26931883897342174</v>
      </c>
      <c r="F26" s="127">
        <v>0.05</v>
      </c>
      <c r="G26" s="127">
        <f t="shared" ref="G26:M26" si="19">F26</f>
        <v>0.05</v>
      </c>
      <c r="H26" s="127">
        <f t="shared" si="19"/>
        <v>0.05</v>
      </c>
      <c r="I26" s="127">
        <f t="shared" si="19"/>
        <v>0.05</v>
      </c>
      <c r="J26" s="127">
        <f t="shared" si="19"/>
        <v>0.05</v>
      </c>
      <c r="K26" s="127">
        <f t="shared" si="19"/>
        <v>0.05</v>
      </c>
      <c r="L26" s="127">
        <f t="shared" si="19"/>
        <v>0.05</v>
      </c>
      <c r="M26" s="101">
        <f t="shared" si="19"/>
        <v>0.05</v>
      </c>
      <c r="N26" s="101">
        <f t="shared" si="17"/>
        <v>0.05</v>
      </c>
      <c r="O26" s="101">
        <f t="shared" si="17"/>
        <v>0.05</v>
      </c>
    </row>
    <row r="27" spans="1:15" x14ac:dyDescent="0.25">
      <c r="F27" s="104"/>
      <c r="G27" s="104"/>
      <c r="H27" s="104"/>
      <c r="I27" s="104"/>
      <c r="J27" s="104"/>
      <c r="K27" s="104"/>
      <c r="L27" s="104"/>
      <c r="M27" s="104"/>
      <c r="N27" s="104"/>
      <c r="O27" s="104"/>
    </row>
    <row r="28" spans="1:15" x14ac:dyDescent="0.25">
      <c r="B28" s="4" t="s">
        <v>28</v>
      </c>
      <c r="F28" s="102">
        <v>0</v>
      </c>
      <c r="G28" s="102">
        <v>0</v>
      </c>
      <c r="H28" s="102">
        <v>0</v>
      </c>
      <c r="I28" s="102">
        <v>0</v>
      </c>
      <c r="J28" s="102">
        <v>0</v>
      </c>
      <c r="K28" s="102">
        <v>0</v>
      </c>
      <c r="L28" s="102">
        <v>0</v>
      </c>
      <c r="M28" s="102">
        <v>0</v>
      </c>
      <c r="N28" s="102">
        <v>0</v>
      </c>
      <c r="O28" s="102">
        <v>0</v>
      </c>
    </row>
    <row r="29" spans="1:15" x14ac:dyDescent="0.25">
      <c r="B29" s="4" t="s">
        <v>29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</row>
    <row r="30" spans="1:15" x14ac:dyDescent="0.25">
      <c r="F30" s="104"/>
      <c r="G30" s="104"/>
      <c r="H30" s="104"/>
      <c r="I30" s="104"/>
      <c r="J30" s="104"/>
      <c r="K30" s="104"/>
      <c r="L30" s="104"/>
      <c r="M30" s="104"/>
      <c r="N30" s="104"/>
      <c r="O30" s="104"/>
    </row>
    <row r="31" spans="1:15" x14ac:dyDescent="0.25">
      <c r="A31" s="64" t="s">
        <v>126</v>
      </c>
      <c r="B31" s="107" t="s">
        <v>144</v>
      </c>
      <c r="C31" s="252">
        <v>2023</v>
      </c>
      <c r="D31" s="252">
        <f>C31+1</f>
        <v>2024</v>
      </c>
      <c r="E31" s="252">
        <f t="shared" ref="E31:M31" si="20">D31+1</f>
        <v>2025</v>
      </c>
      <c r="F31" s="252">
        <f t="shared" si="20"/>
        <v>2026</v>
      </c>
      <c r="G31" s="252">
        <f t="shared" si="20"/>
        <v>2027</v>
      </c>
      <c r="H31" s="252">
        <f t="shared" si="20"/>
        <v>2028</v>
      </c>
      <c r="I31" s="252">
        <f t="shared" si="20"/>
        <v>2029</v>
      </c>
      <c r="J31" s="252">
        <f t="shared" si="20"/>
        <v>2030</v>
      </c>
      <c r="K31" s="252">
        <f t="shared" si="20"/>
        <v>2031</v>
      </c>
      <c r="L31" s="252">
        <f t="shared" si="20"/>
        <v>2032</v>
      </c>
      <c r="M31" s="252">
        <f t="shared" si="20"/>
        <v>2033</v>
      </c>
      <c r="N31" s="252">
        <f>M31+1</f>
        <v>2034</v>
      </c>
      <c r="O31" s="252">
        <f>N31+1</f>
        <v>2035</v>
      </c>
    </row>
    <row r="32" spans="1:15" x14ac:dyDescent="0.25">
      <c r="A32" s="86"/>
      <c r="B32" s="160"/>
      <c r="C32" s="196"/>
      <c r="D32" s="196"/>
      <c r="E32" s="196"/>
      <c r="F32" s="197"/>
      <c r="G32" s="197"/>
      <c r="H32" s="197"/>
      <c r="I32" s="197"/>
      <c r="J32" s="197"/>
      <c r="K32" s="198"/>
      <c r="L32" s="198"/>
      <c r="M32" s="198"/>
      <c r="N32" s="198"/>
      <c r="O32" s="198"/>
    </row>
    <row r="33" spans="1:15" x14ac:dyDescent="0.25">
      <c r="B33" s="4" t="s">
        <v>145</v>
      </c>
      <c r="C33" s="8">
        <f>1833/IncState!C17</f>
        <v>6.7954326388373995E-2</v>
      </c>
      <c r="D33" s="8">
        <f>1069/IncState!D17</f>
        <v>1.7547027346442992E-2</v>
      </c>
      <c r="E33" s="8">
        <f>3236/IncState!E17</f>
        <v>2.4797504923484832E-2</v>
      </c>
      <c r="F33" s="207">
        <f>AVERAGE(C33:E33)</f>
        <v>3.6766286219433938E-2</v>
      </c>
      <c r="G33" s="207">
        <f t="shared" ref="G33:M33" si="21">F33</f>
        <v>3.6766286219433938E-2</v>
      </c>
      <c r="H33" s="207">
        <f t="shared" si="21"/>
        <v>3.6766286219433938E-2</v>
      </c>
      <c r="I33" s="207">
        <f t="shared" si="21"/>
        <v>3.6766286219433938E-2</v>
      </c>
      <c r="J33" s="207">
        <f t="shared" si="21"/>
        <v>3.6766286219433938E-2</v>
      </c>
      <c r="K33" s="207">
        <f t="shared" si="21"/>
        <v>3.6766286219433938E-2</v>
      </c>
      <c r="L33" s="207">
        <f t="shared" si="21"/>
        <v>3.6766286219433938E-2</v>
      </c>
      <c r="M33" s="207">
        <f t="shared" si="21"/>
        <v>3.6766286219433938E-2</v>
      </c>
      <c r="N33" s="207">
        <f>M33</f>
        <v>3.6766286219433938E-2</v>
      </c>
      <c r="O33" s="207">
        <f>N33</f>
        <v>3.6766286219433938E-2</v>
      </c>
    </row>
    <row r="34" spans="1:15" x14ac:dyDescent="0.25">
      <c r="B34" s="4" t="s">
        <v>158</v>
      </c>
      <c r="C34" s="8"/>
      <c r="D34" s="8">
        <f>IncState!D23/BalSheet!C22</f>
        <v>0.3112487100103199</v>
      </c>
      <c r="E34" s="8">
        <f>IncState!E23/BalSheet!D22</f>
        <v>0.2935361216730038</v>
      </c>
      <c r="F34" s="101">
        <f>E34</f>
        <v>0.2935361216730038</v>
      </c>
      <c r="G34" s="101">
        <f t="shared" ref="G34:M34" si="22">F34</f>
        <v>0.2935361216730038</v>
      </c>
      <c r="H34" s="101">
        <f t="shared" si="22"/>
        <v>0.2935361216730038</v>
      </c>
      <c r="I34" s="101">
        <f t="shared" si="22"/>
        <v>0.2935361216730038</v>
      </c>
      <c r="J34" s="101">
        <f t="shared" si="22"/>
        <v>0.2935361216730038</v>
      </c>
      <c r="K34" s="101">
        <f t="shared" si="22"/>
        <v>0.2935361216730038</v>
      </c>
      <c r="L34" s="101">
        <f t="shared" si="22"/>
        <v>0.2935361216730038</v>
      </c>
      <c r="M34" s="101">
        <f t="shared" si="22"/>
        <v>0.2935361216730038</v>
      </c>
      <c r="N34" s="101">
        <f>M34</f>
        <v>0.2935361216730038</v>
      </c>
      <c r="O34" s="101">
        <f>N34</f>
        <v>0.2935361216730038</v>
      </c>
    </row>
    <row r="35" spans="1:15" x14ac:dyDescent="0.25">
      <c r="B35" s="4" t="s">
        <v>146</v>
      </c>
      <c r="C35" s="4">
        <v>0</v>
      </c>
      <c r="D35" s="4">
        <v>0</v>
      </c>
      <c r="E35" s="4">
        <v>0</v>
      </c>
      <c r="F35" s="106">
        <v>0</v>
      </c>
      <c r="G35" s="106">
        <v>0</v>
      </c>
      <c r="H35" s="106">
        <v>0</v>
      </c>
      <c r="I35" s="106">
        <v>0</v>
      </c>
      <c r="J35" s="106">
        <v>0</v>
      </c>
      <c r="K35" s="106">
        <v>0</v>
      </c>
      <c r="L35" s="106">
        <v>0</v>
      </c>
      <c r="M35" s="106">
        <v>0</v>
      </c>
      <c r="N35" s="106">
        <v>0</v>
      </c>
      <c r="O35" s="106">
        <v>0</v>
      </c>
    </row>
    <row r="36" spans="1:15" x14ac:dyDescent="0.25">
      <c r="F36" s="31"/>
      <c r="G36" s="31"/>
      <c r="H36" s="31"/>
      <c r="I36" s="31"/>
      <c r="J36" s="31"/>
      <c r="K36" s="31"/>
      <c r="L36" s="31"/>
      <c r="M36" s="31"/>
      <c r="N36" s="31"/>
      <c r="O36" s="31"/>
    </row>
    <row r="37" spans="1:15" x14ac:dyDescent="0.25">
      <c r="A37" s="64" t="s">
        <v>126</v>
      </c>
      <c r="B37" s="107" t="s">
        <v>61</v>
      </c>
      <c r="C37" s="252">
        <v>2023</v>
      </c>
      <c r="D37" s="252">
        <f>C37+1</f>
        <v>2024</v>
      </c>
      <c r="E37" s="252">
        <f t="shared" ref="E37:M37" si="23">D37+1</f>
        <v>2025</v>
      </c>
      <c r="F37" s="252">
        <f t="shared" si="23"/>
        <v>2026</v>
      </c>
      <c r="G37" s="252">
        <f t="shared" si="23"/>
        <v>2027</v>
      </c>
      <c r="H37" s="252">
        <f t="shared" si="23"/>
        <v>2028</v>
      </c>
      <c r="I37" s="252">
        <f t="shared" si="23"/>
        <v>2029</v>
      </c>
      <c r="J37" s="252">
        <f t="shared" si="23"/>
        <v>2030</v>
      </c>
      <c r="K37" s="252">
        <f t="shared" si="23"/>
        <v>2031</v>
      </c>
      <c r="L37" s="252">
        <f t="shared" si="23"/>
        <v>2032</v>
      </c>
      <c r="M37" s="252">
        <f t="shared" si="23"/>
        <v>2033</v>
      </c>
      <c r="N37" s="252">
        <f>M37+1</f>
        <v>2034</v>
      </c>
      <c r="O37" s="252">
        <f>N37+1</f>
        <v>2035</v>
      </c>
    </row>
    <row r="38" spans="1:15" x14ac:dyDescent="0.25">
      <c r="A38" s="86"/>
      <c r="B38" s="160"/>
      <c r="C38" s="196"/>
      <c r="D38" s="196"/>
      <c r="E38" s="196"/>
      <c r="F38" s="250"/>
      <c r="G38" s="250"/>
      <c r="H38" s="250"/>
      <c r="I38" s="250"/>
      <c r="J38" s="250"/>
      <c r="K38" s="198"/>
      <c r="L38" s="198"/>
      <c r="M38" s="198"/>
      <c r="N38" s="198"/>
      <c r="O38" s="198"/>
    </row>
    <row r="39" spans="1:15" s="277" customFormat="1" x14ac:dyDescent="0.25">
      <c r="B39" s="277" t="s">
        <v>131</v>
      </c>
      <c r="C39" s="277">
        <v>1.6E-2</v>
      </c>
      <c r="D39" s="277">
        <v>1.6E-2</v>
      </c>
      <c r="E39" s="277">
        <v>1.6E-2</v>
      </c>
      <c r="F39" s="278">
        <f>E39</f>
        <v>1.6E-2</v>
      </c>
      <c r="G39" s="278">
        <f t="shared" ref="G39:M39" si="24">F39</f>
        <v>1.6E-2</v>
      </c>
      <c r="H39" s="278">
        <f t="shared" si="24"/>
        <v>1.6E-2</v>
      </c>
      <c r="I39" s="278">
        <f t="shared" si="24"/>
        <v>1.6E-2</v>
      </c>
      <c r="J39" s="278">
        <f t="shared" si="24"/>
        <v>1.6E-2</v>
      </c>
      <c r="K39" s="278">
        <f t="shared" si="24"/>
        <v>1.6E-2</v>
      </c>
      <c r="L39" s="278">
        <f t="shared" si="24"/>
        <v>1.6E-2</v>
      </c>
      <c r="M39" s="278">
        <f t="shared" si="24"/>
        <v>1.6E-2</v>
      </c>
      <c r="N39" s="278">
        <f>M39</f>
        <v>1.6E-2</v>
      </c>
      <c r="O39" s="278">
        <f>N39</f>
        <v>1.6E-2</v>
      </c>
    </row>
    <row r="40" spans="1:15" x14ac:dyDescent="0.25">
      <c r="B40" s="4" t="s">
        <v>49</v>
      </c>
      <c r="C40" s="4">
        <v>24870</v>
      </c>
      <c r="D40" s="4">
        <v>24690</v>
      </c>
      <c r="E40" s="4">
        <v>24555</v>
      </c>
      <c r="F40" s="102">
        <f t="shared" ref="F40:M41" si="25">F19</f>
        <v>24555</v>
      </c>
      <c r="G40" s="102">
        <f t="shared" si="25"/>
        <v>24555</v>
      </c>
      <c r="H40" s="102">
        <f t="shared" si="25"/>
        <v>24555</v>
      </c>
      <c r="I40" s="102">
        <f t="shared" si="25"/>
        <v>24555</v>
      </c>
      <c r="J40" s="102">
        <f t="shared" si="25"/>
        <v>24555</v>
      </c>
      <c r="K40" s="102">
        <f t="shared" si="25"/>
        <v>24555</v>
      </c>
      <c r="L40" s="102">
        <f t="shared" si="25"/>
        <v>24555</v>
      </c>
      <c r="M40" s="102">
        <f t="shared" si="25"/>
        <v>24555</v>
      </c>
      <c r="N40" s="102">
        <f>N19</f>
        <v>24555</v>
      </c>
      <c r="O40" s="102">
        <f>O19</f>
        <v>24555</v>
      </c>
    </row>
    <row r="41" spans="1:15" x14ac:dyDescent="0.25">
      <c r="B41" s="4" t="s">
        <v>50</v>
      </c>
      <c r="C41" s="4">
        <v>25070</v>
      </c>
      <c r="D41" s="4">
        <v>24940</v>
      </c>
      <c r="E41" s="4">
        <v>24804</v>
      </c>
      <c r="F41" s="102">
        <f t="shared" si="25"/>
        <v>24804</v>
      </c>
      <c r="G41" s="102">
        <f t="shared" si="25"/>
        <v>24804</v>
      </c>
      <c r="H41" s="102">
        <f t="shared" si="25"/>
        <v>24804</v>
      </c>
      <c r="I41" s="102">
        <f t="shared" si="25"/>
        <v>24804</v>
      </c>
      <c r="J41" s="102">
        <f t="shared" si="25"/>
        <v>24804</v>
      </c>
      <c r="K41" s="102">
        <f t="shared" si="25"/>
        <v>24804</v>
      </c>
      <c r="L41" s="102">
        <f t="shared" si="25"/>
        <v>24804</v>
      </c>
      <c r="M41" s="102">
        <f t="shared" si="25"/>
        <v>24804</v>
      </c>
      <c r="N41" s="102">
        <f>N20</f>
        <v>24804</v>
      </c>
      <c r="O41" s="102">
        <f>O20</f>
        <v>24804</v>
      </c>
    </row>
    <row r="42" spans="1:15" x14ac:dyDescent="0.25">
      <c r="F42" s="31"/>
      <c r="G42" s="31"/>
      <c r="H42" s="31"/>
      <c r="I42" s="31"/>
      <c r="J42" s="31"/>
      <c r="K42" s="31"/>
      <c r="L42" s="31"/>
      <c r="M42" s="31"/>
      <c r="N42" s="31"/>
      <c r="O42" s="31"/>
    </row>
    <row r="43" spans="1:15" x14ac:dyDescent="0.25">
      <c r="A43" s="64" t="s">
        <v>126</v>
      </c>
      <c r="B43" s="107" t="s">
        <v>132</v>
      </c>
      <c r="C43" s="252">
        <v>2023</v>
      </c>
      <c r="D43" s="252">
        <f>C43+1</f>
        <v>2024</v>
      </c>
      <c r="E43" s="252">
        <f t="shared" ref="E43:M43" si="26">D43+1</f>
        <v>2025</v>
      </c>
      <c r="F43" s="252">
        <f t="shared" si="26"/>
        <v>2026</v>
      </c>
      <c r="G43" s="252">
        <f t="shared" si="26"/>
        <v>2027</v>
      </c>
      <c r="H43" s="252">
        <f t="shared" si="26"/>
        <v>2028</v>
      </c>
      <c r="I43" s="252">
        <f t="shared" si="26"/>
        <v>2029</v>
      </c>
      <c r="J43" s="252">
        <f t="shared" si="26"/>
        <v>2030</v>
      </c>
      <c r="K43" s="252">
        <f t="shared" si="26"/>
        <v>2031</v>
      </c>
      <c r="L43" s="252">
        <f t="shared" si="26"/>
        <v>2032</v>
      </c>
      <c r="M43" s="252">
        <f t="shared" si="26"/>
        <v>2033</v>
      </c>
      <c r="N43" s="252">
        <f>M43+1</f>
        <v>2034</v>
      </c>
      <c r="O43" s="252">
        <f>N43+1</f>
        <v>2035</v>
      </c>
    </row>
    <row r="44" spans="1:15" x14ac:dyDescent="0.25">
      <c r="A44" s="86"/>
      <c r="B44" s="160"/>
      <c r="C44" s="196"/>
      <c r="D44" s="196"/>
      <c r="E44" s="196"/>
      <c r="F44" s="250"/>
      <c r="G44" s="250"/>
      <c r="H44" s="250"/>
      <c r="I44" s="250"/>
      <c r="J44" s="250"/>
      <c r="K44" s="198"/>
      <c r="L44" s="198"/>
      <c r="M44" s="198"/>
      <c r="N44" s="198"/>
      <c r="O44" s="198"/>
    </row>
    <row r="45" spans="1:15" x14ac:dyDescent="0.25">
      <c r="B45" s="4" t="s">
        <v>143</v>
      </c>
      <c r="C45" s="8">
        <f>BalSheet!C15/IncState!C17</f>
        <v>1.4999999999999998E-2</v>
      </c>
      <c r="D45" s="8">
        <f>BalSheet!D15/IncState!D17</f>
        <v>1.4999999999999999E-2</v>
      </c>
      <c r="E45" s="8">
        <f>BalSheet!E15/IncState!E17</f>
        <v>1.4999999999999999E-2</v>
      </c>
      <c r="F45" s="101">
        <f>E45</f>
        <v>1.4999999999999999E-2</v>
      </c>
      <c r="G45" s="101">
        <f t="shared" ref="G45:M45" si="27">F45</f>
        <v>1.4999999999999999E-2</v>
      </c>
      <c r="H45" s="101">
        <f t="shared" si="27"/>
        <v>1.4999999999999999E-2</v>
      </c>
      <c r="I45" s="101">
        <f t="shared" si="27"/>
        <v>1.4999999999999999E-2</v>
      </c>
      <c r="J45" s="101">
        <f t="shared" si="27"/>
        <v>1.4999999999999999E-2</v>
      </c>
      <c r="K45" s="101">
        <f t="shared" si="27"/>
        <v>1.4999999999999999E-2</v>
      </c>
      <c r="L45" s="101">
        <f t="shared" si="27"/>
        <v>1.4999999999999999E-2</v>
      </c>
      <c r="M45" s="101">
        <f t="shared" si="27"/>
        <v>1.4999999999999999E-2</v>
      </c>
      <c r="N45" s="101">
        <f t="shared" ref="N45:O48" si="28">M45</f>
        <v>1.4999999999999999E-2</v>
      </c>
      <c r="O45" s="101">
        <f t="shared" si="28"/>
        <v>1.4999999999999999E-2</v>
      </c>
    </row>
    <row r="46" spans="1:15" x14ac:dyDescent="0.25">
      <c r="B46" s="4" t="s">
        <v>156</v>
      </c>
      <c r="C46" s="8">
        <f>BalSheet!C17/IncState!C17</f>
        <v>0.14187736338696522</v>
      </c>
      <c r="D46" s="8">
        <f>BalSheet!D17/IncState!D17</f>
        <v>0.1641279012507797</v>
      </c>
      <c r="E46" s="8">
        <f>BalSheet!E17/IncState!E17</f>
        <v>0.17674735817681633</v>
      </c>
      <c r="F46" s="101">
        <f>E46</f>
        <v>0.17674735817681633</v>
      </c>
      <c r="G46" s="101">
        <f t="shared" ref="G46:M46" si="29">F46</f>
        <v>0.17674735817681633</v>
      </c>
      <c r="H46" s="101">
        <f t="shared" si="29"/>
        <v>0.17674735817681633</v>
      </c>
      <c r="I46" s="101">
        <f t="shared" si="29"/>
        <v>0.17674735817681633</v>
      </c>
      <c r="J46" s="101">
        <f t="shared" si="29"/>
        <v>0.17674735817681633</v>
      </c>
      <c r="K46" s="101">
        <f t="shared" si="29"/>
        <v>0.17674735817681633</v>
      </c>
      <c r="L46" s="101">
        <f t="shared" si="29"/>
        <v>0.17674735817681633</v>
      </c>
      <c r="M46" s="101">
        <f t="shared" si="29"/>
        <v>0.17674735817681633</v>
      </c>
      <c r="N46" s="101">
        <f t="shared" si="28"/>
        <v>0.17674735817681633</v>
      </c>
      <c r="O46" s="101">
        <f t="shared" si="28"/>
        <v>0.17674735817681633</v>
      </c>
    </row>
    <row r="47" spans="1:15" x14ac:dyDescent="0.25">
      <c r="B47" s="4" t="s">
        <v>65</v>
      </c>
      <c r="C47" s="8">
        <f>BalSheet!C18/IncState!C18</f>
        <v>0.44405233258736443</v>
      </c>
      <c r="D47" s="8">
        <f>BalSheet!D18/IncState!D18</f>
        <v>0.31779074664580953</v>
      </c>
      <c r="E47" s="8">
        <f>BalSheet!E18/IncState!E18</f>
        <v>0.30883299120683844</v>
      </c>
      <c r="F47" s="101">
        <f t="shared" ref="F47:M47" si="30">E47</f>
        <v>0.30883299120683844</v>
      </c>
      <c r="G47" s="101">
        <f t="shared" si="30"/>
        <v>0.30883299120683844</v>
      </c>
      <c r="H47" s="101">
        <f t="shared" si="30"/>
        <v>0.30883299120683844</v>
      </c>
      <c r="I47" s="101">
        <f t="shared" si="30"/>
        <v>0.30883299120683844</v>
      </c>
      <c r="J47" s="101">
        <f t="shared" si="30"/>
        <v>0.30883299120683844</v>
      </c>
      <c r="K47" s="101">
        <f t="shared" si="30"/>
        <v>0.30883299120683844</v>
      </c>
      <c r="L47" s="101">
        <f t="shared" si="30"/>
        <v>0.30883299120683844</v>
      </c>
      <c r="M47" s="101">
        <f t="shared" si="30"/>
        <v>0.30883299120683844</v>
      </c>
      <c r="N47" s="101">
        <f t="shared" si="28"/>
        <v>0.30883299120683844</v>
      </c>
      <c r="O47" s="101">
        <f t="shared" si="28"/>
        <v>0.30883299120683844</v>
      </c>
    </row>
    <row r="48" spans="1:15" x14ac:dyDescent="0.25">
      <c r="B48" s="4" t="s">
        <v>66</v>
      </c>
      <c r="C48" s="8">
        <f>BalSheet!C19/IncState!C17</f>
        <v>0.39660413731741678</v>
      </c>
      <c r="D48" s="8">
        <f>BalSheet!D19/IncState!D17</f>
        <v>0.35757197728242673</v>
      </c>
      <c r="E48" s="8">
        <f>BalSheet!E19/IncState!E17</f>
        <v>0.2941983340613194</v>
      </c>
      <c r="F48" s="101">
        <f t="shared" ref="F48:M48" si="31">E48</f>
        <v>0.2941983340613194</v>
      </c>
      <c r="G48" s="101">
        <f t="shared" si="31"/>
        <v>0.2941983340613194</v>
      </c>
      <c r="H48" s="101">
        <f t="shared" si="31"/>
        <v>0.2941983340613194</v>
      </c>
      <c r="I48" s="101">
        <f t="shared" si="31"/>
        <v>0.2941983340613194</v>
      </c>
      <c r="J48" s="101">
        <f t="shared" si="31"/>
        <v>0.2941983340613194</v>
      </c>
      <c r="K48" s="101">
        <f t="shared" si="31"/>
        <v>0.2941983340613194</v>
      </c>
      <c r="L48" s="101">
        <f t="shared" si="31"/>
        <v>0.2941983340613194</v>
      </c>
      <c r="M48" s="101">
        <f t="shared" si="31"/>
        <v>0.2941983340613194</v>
      </c>
      <c r="N48" s="101">
        <f t="shared" si="28"/>
        <v>0.2941983340613194</v>
      </c>
      <c r="O48" s="101">
        <f t="shared" si="28"/>
        <v>0.2941983340613194</v>
      </c>
    </row>
    <row r="49" spans="1:15" x14ac:dyDescent="0.25">
      <c r="B49" s="4" t="s">
        <v>67</v>
      </c>
      <c r="C49" s="8">
        <f>BalSheet!C24/IncState!C17</f>
        <v>0.26751686809520281</v>
      </c>
      <c r="D49" s="8">
        <f>BalSheet!D24/IncState!D17</f>
        <v>0.17368110042349233</v>
      </c>
      <c r="E49" s="8">
        <f>BalSheet!E24/IncState!E17</f>
        <v>0.13336705058353832</v>
      </c>
      <c r="F49" s="101">
        <f>E49</f>
        <v>0.13336705058353832</v>
      </c>
      <c r="G49" s="101">
        <f t="shared" ref="G49:M49" si="32">F49</f>
        <v>0.13336705058353832</v>
      </c>
      <c r="H49" s="101">
        <f t="shared" si="32"/>
        <v>0.13336705058353832</v>
      </c>
      <c r="I49" s="101">
        <f t="shared" si="32"/>
        <v>0.13336705058353832</v>
      </c>
      <c r="J49" s="101">
        <f t="shared" si="32"/>
        <v>0.13336705058353832</v>
      </c>
      <c r="K49" s="101">
        <f t="shared" si="32"/>
        <v>0.13336705058353832</v>
      </c>
      <c r="L49" s="101">
        <f t="shared" si="32"/>
        <v>0.13336705058353832</v>
      </c>
      <c r="M49" s="101">
        <f t="shared" si="32"/>
        <v>0.13336705058353832</v>
      </c>
      <c r="N49" s="101">
        <f>M49</f>
        <v>0.13336705058353832</v>
      </c>
      <c r="O49" s="101">
        <f>N49</f>
        <v>0.13336705058353832</v>
      </c>
    </row>
    <row r="50" spans="1:15" x14ac:dyDescent="0.25">
      <c r="F50" s="31"/>
      <c r="G50" s="31"/>
      <c r="H50" s="31"/>
      <c r="I50" s="31"/>
      <c r="J50" s="31"/>
      <c r="K50" s="31"/>
      <c r="L50" s="31"/>
      <c r="M50" s="31"/>
      <c r="N50" s="31"/>
      <c r="O50" s="31"/>
    </row>
    <row r="51" spans="1:15" x14ac:dyDescent="0.25">
      <c r="A51" s="64" t="s">
        <v>126</v>
      </c>
      <c r="B51" s="107" t="s">
        <v>133</v>
      </c>
      <c r="C51" s="252">
        <v>2023</v>
      </c>
      <c r="D51" s="252">
        <f>C51+1</f>
        <v>2024</v>
      </c>
      <c r="E51" s="252">
        <f t="shared" ref="E51:M51" si="33">D51+1</f>
        <v>2025</v>
      </c>
      <c r="F51" s="252">
        <f t="shared" si="33"/>
        <v>2026</v>
      </c>
      <c r="G51" s="252">
        <f t="shared" si="33"/>
        <v>2027</v>
      </c>
      <c r="H51" s="252">
        <f t="shared" si="33"/>
        <v>2028</v>
      </c>
      <c r="I51" s="252">
        <f t="shared" si="33"/>
        <v>2029</v>
      </c>
      <c r="J51" s="252">
        <f t="shared" si="33"/>
        <v>2030</v>
      </c>
      <c r="K51" s="252">
        <f t="shared" si="33"/>
        <v>2031</v>
      </c>
      <c r="L51" s="252">
        <f t="shared" si="33"/>
        <v>2032</v>
      </c>
      <c r="M51" s="252">
        <f t="shared" si="33"/>
        <v>2033</v>
      </c>
      <c r="N51" s="252">
        <f>M51+1</f>
        <v>2034</v>
      </c>
      <c r="O51" s="252">
        <f>N51+1</f>
        <v>2035</v>
      </c>
    </row>
    <row r="52" spans="1:15" x14ac:dyDescent="0.25">
      <c r="A52" s="86"/>
      <c r="B52" s="160"/>
      <c r="C52" s="196"/>
      <c r="D52" s="196"/>
      <c r="E52" s="196"/>
      <c r="F52" s="250"/>
      <c r="G52" s="250"/>
      <c r="H52" s="250"/>
      <c r="I52" s="250"/>
      <c r="J52" s="250"/>
      <c r="K52" s="198"/>
      <c r="L52" s="198"/>
      <c r="M52" s="198"/>
      <c r="N52" s="198"/>
      <c r="O52" s="198"/>
    </row>
    <row r="53" spans="1:15" x14ac:dyDescent="0.25">
      <c r="B53" s="4" t="s">
        <v>157</v>
      </c>
      <c r="C53" s="8">
        <f>BalSheet!C30/IncState!C18</f>
        <v>0.1026854880358065</v>
      </c>
      <c r="D53" s="8">
        <f>BalSheet!D30/IncState!D18</f>
        <v>0.16238493472113591</v>
      </c>
      <c r="E53" s="8">
        <f>BalSheet!E30/IncState!E18</f>
        <v>0.19332700143999509</v>
      </c>
      <c r="F53" s="101">
        <f t="shared" ref="F53:M53" si="34">E53</f>
        <v>0.19332700143999509</v>
      </c>
      <c r="G53" s="101">
        <f t="shared" si="34"/>
        <v>0.19332700143999509</v>
      </c>
      <c r="H53" s="101">
        <f t="shared" si="34"/>
        <v>0.19332700143999509</v>
      </c>
      <c r="I53" s="101">
        <f t="shared" si="34"/>
        <v>0.19332700143999509</v>
      </c>
      <c r="J53" s="101">
        <f t="shared" si="34"/>
        <v>0.19332700143999509</v>
      </c>
      <c r="K53" s="101">
        <f t="shared" si="34"/>
        <v>0.19332700143999509</v>
      </c>
      <c r="L53" s="101">
        <f t="shared" si="34"/>
        <v>0.19332700143999509</v>
      </c>
      <c r="M53" s="101">
        <f t="shared" si="34"/>
        <v>0.19332700143999509</v>
      </c>
      <c r="N53" s="101">
        <f t="shared" ref="N53:O55" si="35">M53</f>
        <v>0.19332700143999509</v>
      </c>
      <c r="O53" s="101">
        <f t="shared" si="35"/>
        <v>0.19332700143999509</v>
      </c>
    </row>
    <row r="54" spans="1:15" x14ac:dyDescent="0.25">
      <c r="B54" s="4" t="s">
        <v>68</v>
      </c>
      <c r="C54" s="8">
        <f>BalSheet!C31/IncState!C17</f>
        <v>0.15273967524282642</v>
      </c>
      <c r="D54" s="8">
        <f>BalSheet!D31/IncState!D17</f>
        <v>0.10968123173894488</v>
      </c>
      <c r="E54" s="8">
        <f>BalSheet!E31/IncState!E17</f>
        <v>8.9940764921798963E-2</v>
      </c>
      <c r="F54" s="101">
        <f t="shared" ref="F54:M54" si="36">E54</f>
        <v>8.9940764921798963E-2</v>
      </c>
      <c r="G54" s="101">
        <f t="shared" si="36"/>
        <v>8.9940764921798963E-2</v>
      </c>
      <c r="H54" s="101">
        <f t="shared" si="36"/>
        <v>8.9940764921798963E-2</v>
      </c>
      <c r="I54" s="101">
        <f t="shared" si="36"/>
        <v>8.9940764921798963E-2</v>
      </c>
      <c r="J54" s="101">
        <f t="shared" si="36"/>
        <v>8.9940764921798963E-2</v>
      </c>
      <c r="K54" s="101">
        <f t="shared" si="36"/>
        <v>8.9940764921798963E-2</v>
      </c>
      <c r="L54" s="101">
        <f t="shared" si="36"/>
        <v>8.9940764921798963E-2</v>
      </c>
      <c r="M54" s="101">
        <f t="shared" si="36"/>
        <v>8.9940764921798963E-2</v>
      </c>
      <c r="N54" s="101">
        <f t="shared" si="35"/>
        <v>8.9940764921798963E-2</v>
      </c>
      <c r="O54" s="101">
        <f t="shared" si="35"/>
        <v>8.9940764921798963E-2</v>
      </c>
    </row>
    <row r="55" spans="1:15" x14ac:dyDescent="0.25">
      <c r="B55" s="4" t="s">
        <v>69</v>
      </c>
      <c r="C55" s="8">
        <f>BalSheet!C35/IncState!C17</f>
        <v>0.10435975383702825</v>
      </c>
      <c r="D55" s="8">
        <f>BalSheet!D35/IncState!D17</f>
        <v>6.007681953973934E-2</v>
      </c>
      <c r="E55" s="8">
        <f>BalSheet!E35/IncState!E17</f>
        <v>4.4169597768531077E-2</v>
      </c>
      <c r="F55" s="101">
        <f t="shared" ref="F55:M55" si="37">E55</f>
        <v>4.4169597768531077E-2</v>
      </c>
      <c r="G55" s="101">
        <f t="shared" si="37"/>
        <v>4.4169597768531077E-2</v>
      </c>
      <c r="H55" s="101">
        <f t="shared" si="37"/>
        <v>4.4169597768531077E-2</v>
      </c>
      <c r="I55" s="101">
        <f t="shared" si="37"/>
        <v>4.4169597768531077E-2</v>
      </c>
      <c r="J55" s="101">
        <f t="shared" si="37"/>
        <v>4.4169597768531077E-2</v>
      </c>
      <c r="K55" s="101">
        <f t="shared" si="37"/>
        <v>4.4169597768531077E-2</v>
      </c>
      <c r="L55" s="101">
        <f t="shared" si="37"/>
        <v>4.4169597768531077E-2</v>
      </c>
      <c r="M55" s="101">
        <f t="shared" si="37"/>
        <v>4.4169597768531077E-2</v>
      </c>
      <c r="N55" s="101">
        <f t="shared" si="35"/>
        <v>4.4169597768531077E-2</v>
      </c>
      <c r="O55" s="101">
        <f t="shared" si="35"/>
        <v>4.4169597768531077E-2</v>
      </c>
    </row>
    <row r="56" spans="1:15" x14ac:dyDescent="0.25">
      <c r="F56" s="122"/>
      <c r="G56" s="31"/>
      <c r="H56" s="31"/>
      <c r="I56" s="31"/>
      <c r="J56" s="31"/>
    </row>
    <row r="57" spans="1:15" x14ac:dyDescent="0.25">
      <c r="F57" s="123"/>
      <c r="G57" s="95"/>
      <c r="H57" s="95"/>
      <c r="I57" s="95"/>
      <c r="J57" s="95"/>
    </row>
    <row r="58" spans="1:15" x14ac:dyDescent="0.25">
      <c r="F58" s="95"/>
      <c r="G58" s="95"/>
      <c r="H58" s="95"/>
      <c r="I58" s="95"/>
      <c r="J58" s="95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P6:P7 Q7:W7 D7:D8 P9:Q12 F23:O30 F32:O35 F39:O41 F53:O55 F57:J58 F45:O49 F11:O21 F6:O8">
    <cfRule type="expression" dxfId="7" priority="14">
      <formula>$E$10&gt;1</formula>
    </cfRule>
  </conditionalFormatting>
  <conditionalFormatting sqref="E7">
    <cfRule type="expression" dxfId="6" priority="32">
      <formula>$E$10&lt;&gt;2</formula>
    </cfRule>
  </conditionalFormatting>
  <conditionalFormatting sqref="E8">
    <cfRule type="expression" dxfId="5" priority="33">
      <formula>$E$10&lt;&gt;3</formula>
    </cfRule>
  </conditionalFormatting>
  <conditionalFormatting sqref="K38:O38">
    <cfRule type="expression" dxfId="4" priority="3">
      <formula>$E$10&gt;1</formula>
    </cfRule>
  </conditionalFormatting>
  <conditionalFormatting sqref="K44:O44">
    <cfRule type="expression" dxfId="3" priority="2">
      <formula>$E$10&gt;1</formula>
    </cfRule>
  </conditionalFormatting>
  <conditionalFormatting sqref="K52:O52">
    <cfRule type="expression" dxfId="2" priority="1">
      <formula>$E$10&gt;1</formula>
    </cfRule>
  </conditionalFormatting>
  <dataValidations count="1">
    <dataValidation type="list" allowBlank="1" showInputMessage="1" showErrorMessage="1" sqref="D4 P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P40"/>
  <sheetViews>
    <sheetView showGridLines="0" zoomScaleNormal="100" workbookViewId="0">
      <selection activeCell="F19" sqref="F19:O26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5" width="11.7109375" style="4" customWidth="1"/>
    <col min="16" max="256" width="8.85546875" style="4"/>
    <col min="257" max="257" width="1.7109375" style="4" customWidth="1"/>
    <col min="258" max="258" width="40.7109375" style="4" customWidth="1"/>
    <col min="259" max="266" width="10.7109375" style="4" customWidth="1"/>
    <col min="267" max="512" width="8.85546875" style="4"/>
    <col min="513" max="513" width="1.7109375" style="4" customWidth="1"/>
    <col min="514" max="514" width="40.7109375" style="4" customWidth="1"/>
    <col min="515" max="522" width="10.7109375" style="4" customWidth="1"/>
    <col min="523" max="768" width="8.85546875" style="4"/>
    <col min="769" max="769" width="1.7109375" style="4" customWidth="1"/>
    <col min="770" max="770" width="40.7109375" style="4" customWidth="1"/>
    <col min="771" max="778" width="10.7109375" style="4" customWidth="1"/>
    <col min="779" max="1024" width="8.85546875" style="4"/>
    <col min="1025" max="1025" width="1.7109375" style="4" customWidth="1"/>
    <col min="1026" max="1026" width="40.7109375" style="4" customWidth="1"/>
    <col min="1027" max="1034" width="10.7109375" style="4" customWidth="1"/>
    <col min="1035" max="1280" width="8.85546875" style="4"/>
    <col min="1281" max="1281" width="1.7109375" style="4" customWidth="1"/>
    <col min="1282" max="1282" width="40.7109375" style="4" customWidth="1"/>
    <col min="1283" max="1290" width="10.7109375" style="4" customWidth="1"/>
    <col min="1291" max="1536" width="8.85546875" style="4"/>
    <col min="1537" max="1537" width="1.7109375" style="4" customWidth="1"/>
    <col min="1538" max="1538" width="40.7109375" style="4" customWidth="1"/>
    <col min="1539" max="1546" width="10.7109375" style="4" customWidth="1"/>
    <col min="1547" max="1792" width="8.85546875" style="4"/>
    <col min="1793" max="1793" width="1.7109375" style="4" customWidth="1"/>
    <col min="1794" max="1794" width="40.7109375" style="4" customWidth="1"/>
    <col min="1795" max="1802" width="10.7109375" style="4" customWidth="1"/>
    <col min="1803" max="2048" width="8.85546875" style="4"/>
    <col min="2049" max="2049" width="1.7109375" style="4" customWidth="1"/>
    <col min="2050" max="2050" width="40.7109375" style="4" customWidth="1"/>
    <col min="2051" max="2058" width="10.7109375" style="4" customWidth="1"/>
    <col min="2059" max="2304" width="8.85546875" style="4"/>
    <col min="2305" max="2305" width="1.7109375" style="4" customWidth="1"/>
    <col min="2306" max="2306" width="40.7109375" style="4" customWidth="1"/>
    <col min="2307" max="2314" width="10.7109375" style="4" customWidth="1"/>
    <col min="2315" max="2560" width="8.85546875" style="4"/>
    <col min="2561" max="2561" width="1.7109375" style="4" customWidth="1"/>
    <col min="2562" max="2562" width="40.7109375" style="4" customWidth="1"/>
    <col min="2563" max="2570" width="10.7109375" style="4" customWidth="1"/>
    <col min="2571" max="2816" width="8.85546875" style="4"/>
    <col min="2817" max="2817" width="1.7109375" style="4" customWidth="1"/>
    <col min="2818" max="2818" width="40.7109375" style="4" customWidth="1"/>
    <col min="2819" max="2826" width="10.7109375" style="4" customWidth="1"/>
    <col min="2827" max="3072" width="8.85546875" style="4"/>
    <col min="3073" max="3073" width="1.7109375" style="4" customWidth="1"/>
    <col min="3074" max="3074" width="40.7109375" style="4" customWidth="1"/>
    <col min="3075" max="3082" width="10.7109375" style="4" customWidth="1"/>
    <col min="3083" max="3328" width="8.85546875" style="4"/>
    <col min="3329" max="3329" width="1.7109375" style="4" customWidth="1"/>
    <col min="3330" max="3330" width="40.7109375" style="4" customWidth="1"/>
    <col min="3331" max="3338" width="10.7109375" style="4" customWidth="1"/>
    <col min="3339" max="3584" width="8.85546875" style="4"/>
    <col min="3585" max="3585" width="1.7109375" style="4" customWidth="1"/>
    <col min="3586" max="3586" width="40.7109375" style="4" customWidth="1"/>
    <col min="3587" max="3594" width="10.7109375" style="4" customWidth="1"/>
    <col min="3595" max="3840" width="8.85546875" style="4"/>
    <col min="3841" max="3841" width="1.7109375" style="4" customWidth="1"/>
    <col min="3842" max="3842" width="40.7109375" style="4" customWidth="1"/>
    <col min="3843" max="3850" width="10.7109375" style="4" customWidth="1"/>
    <col min="3851" max="4096" width="8.85546875" style="4"/>
    <col min="4097" max="4097" width="1.7109375" style="4" customWidth="1"/>
    <col min="4098" max="4098" width="40.7109375" style="4" customWidth="1"/>
    <col min="4099" max="4106" width="10.7109375" style="4" customWidth="1"/>
    <col min="4107" max="4352" width="8.85546875" style="4"/>
    <col min="4353" max="4353" width="1.7109375" style="4" customWidth="1"/>
    <col min="4354" max="4354" width="40.7109375" style="4" customWidth="1"/>
    <col min="4355" max="4362" width="10.7109375" style="4" customWidth="1"/>
    <col min="4363" max="4608" width="8.85546875" style="4"/>
    <col min="4609" max="4609" width="1.7109375" style="4" customWidth="1"/>
    <col min="4610" max="4610" width="40.7109375" style="4" customWidth="1"/>
    <col min="4611" max="4618" width="10.7109375" style="4" customWidth="1"/>
    <col min="4619" max="4864" width="8.85546875" style="4"/>
    <col min="4865" max="4865" width="1.7109375" style="4" customWidth="1"/>
    <col min="4866" max="4866" width="40.7109375" style="4" customWidth="1"/>
    <col min="4867" max="4874" width="10.7109375" style="4" customWidth="1"/>
    <col min="4875" max="5120" width="8.85546875" style="4"/>
    <col min="5121" max="5121" width="1.7109375" style="4" customWidth="1"/>
    <col min="5122" max="5122" width="40.7109375" style="4" customWidth="1"/>
    <col min="5123" max="5130" width="10.7109375" style="4" customWidth="1"/>
    <col min="5131" max="5376" width="8.85546875" style="4"/>
    <col min="5377" max="5377" width="1.7109375" style="4" customWidth="1"/>
    <col min="5378" max="5378" width="40.7109375" style="4" customWidth="1"/>
    <col min="5379" max="5386" width="10.7109375" style="4" customWidth="1"/>
    <col min="5387" max="5632" width="8.85546875" style="4"/>
    <col min="5633" max="5633" width="1.7109375" style="4" customWidth="1"/>
    <col min="5634" max="5634" width="40.7109375" style="4" customWidth="1"/>
    <col min="5635" max="5642" width="10.7109375" style="4" customWidth="1"/>
    <col min="5643" max="5888" width="8.85546875" style="4"/>
    <col min="5889" max="5889" width="1.7109375" style="4" customWidth="1"/>
    <col min="5890" max="5890" width="40.7109375" style="4" customWidth="1"/>
    <col min="5891" max="5898" width="10.7109375" style="4" customWidth="1"/>
    <col min="5899" max="6144" width="8.85546875" style="4"/>
    <col min="6145" max="6145" width="1.7109375" style="4" customWidth="1"/>
    <col min="6146" max="6146" width="40.7109375" style="4" customWidth="1"/>
    <col min="6147" max="6154" width="10.7109375" style="4" customWidth="1"/>
    <col min="6155" max="6400" width="8.85546875" style="4"/>
    <col min="6401" max="6401" width="1.7109375" style="4" customWidth="1"/>
    <col min="6402" max="6402" width="40.7109375" style="4" customWidth="1"/>
    <col min="6403" max="6410" width="10.7109375" style="4" customWidth="1"/>
    <col min="6411" max="6656" width="8.85546875" style="4"/>
    <col min="6657" max="6657" width="1.7109375" style="4" customWidth="1"/>
    <col min="6658" max="6658" width="40.7109375" style="4" customWidth="1"/>
    <col min="6659" max="6666" width="10.7109375" style="4" customWidth="1"/>
    <col min="6667" max="6912" width="8.85546875" style="4"/>
    <col min="6913" max="6913" width="1.7109375" style="4" customWidth="1"/>
    <col min="6914" max="6914" width="40.7109375" style="4" customWidth="1"/>
    <col min="6915" max="6922" width="10.7109375" style="4" customWidth="1"/>
    <col min="6923" max="7168" width="8.85546875" style="4"/>
    <col min="7169" max="7169" width="1.7109375" style="4" customWidth="1"/>
    <col min="7170" max="7170" width="40.7109375" style="4" customWidth="1"/>
    <col min="7171" max="7178" width="10.7109375" style="4" customWidth="1"/>
    <col min="7179" max="7424" width="8.85546875" style="4"/>
    <col min="7425" max="7425" width="1.7109375" style="4" customWidth="1"/>
    <col min="7426" max="7426" width="40.7109375" style="4" customWidth="1"/>
    <col min="7427" max="7434" width="10.7109375" style="4" customWidth="1"/>
    <col min="7435" max="7680" width="8.85546875" style="4"/>
    <col min="7681" max="7681" width="1.7109375" style="4" customWidth="1"/>
    <col min="7682" max="7682" width="40.7109375" style="4" customWidth="1"/>
    <col min="7683" max="7690" width="10.7109375" style="4" customWidth="1"/>
    <col min="7691" max="7936" width="8.85546875" style="4"/>
    <col min="7937" max="7937" width="1.7109375" style="4" customWidth="1"/>
    <col min="7938" max="7938" width="40.7109375" style="4" customWidth="1"/>
    <col min="7939" max="7946" width="10.7109375" style="4" customWidth="1"/>
    <col min="7947" max="8192" width="8.85546875" style="4"/>
    <col min="8193" max="8193" width="1.7109375" style="4" customWidth="1"/>
    <col min="8194" max="8194" width="40.7109375" style="4" customWidth="1"/>
    <col min="8195" max="8202" width="10.7109375" style="4" customWidth="1"/>
    <col min="8203" max="8448" width="8.85546875" style="4"/>
    <col min="8449" max="8449" width="1.7109375" style="4" customWidth="1"/>
    <col min="8450" max="8450" width="40.7109375" style="4" customWidth="1"/>
    <col min="8451" max="8458" width="10.7109375" style="4" customWidth="1"/>
    <col min="8459" max="8704" width="8.85546875" style="4"/>
    <col min="8705" max="8705" width="1.7109375" style="4" customWidth="1"/>
    <col min="8706" max="8706" width="40.7109375" style="4" customWidth="1"/>
    <col min="8707" max="8714" width="10.7109375" style="4" customWidth="1"/>
    <col min="8715" max="8960" width="8.85546875" style="4"/>
    <col min="8961" max="8961" width="1.7109375" style="4" customWidth="1"/>
    <col min="8962" max="8962" width="40.7109375" style="4" customWidth="1"/>
    <col min="8963" max="8970" width="10.7109375" style="4" customWidth="1"/>
    <col min="8971" max="9216" width="8.85546875" style="4"/>
    <col min="9217" max="9217" width="1.7109375" style="4" customWidth="1"/>
    <col min="9218" max="9218" width="40.7109375" style="4" customWidth="1"/>
    <col min="9219" max="9226" width="10.7109375" style="4" customWidth="1"/>
    <col min="9227" max="9472" width="8.85546875" style="4"/>
    <col min="9473" max="9473" width="1.7109375" style="4" customWidth="1"/>
    <col min="9474" max="9474" width="40.7109375" style="4" customWidth="1"/>
    <col min="9475" max="9482" width="10.7109375" style="4" customWidth="1"/>
    <col min="9483" max="9728" width="8.85546875" style="4"/>
    <col min="9729" max="9729" width="1.7109375" style="4" customWidth="1"/>
    <col min="9730" max="9730" width="40.7109375" style="4" customWidth="1"/>
    <col min="9731" max="9738" width="10.7109375" style="4" customWidth="1"/>
    <col min="9739" max="9984" width="8.85546875" style="4"/>
    <col min="9985" max="9985" width="1.7109375" style="4" customWidth="1"/>
    <col min="9986" max="9986" width="40.7109375" style="4" customWidth="1"/>
    <col min="9987" max="9994" width="10.7109375" style="4" customWidth="1"/>
    <col min="9995" max="10240" width="8.85546875" style="4"/>
    <col min="10241" max="10241" width="1.7109375" style="4" customWidth="1"/>
    <col min="10242" max="10242" width="40.7109375" style="4" customWidth="1"/>
    <col min="10243" max="10250" width="10.7109375" style="4" customWidth="1"/>
    <col min="10251" max="10496" width="8.85546875" style="4"/>
    <col min="10497" max="10497" width="1.7109375" style="4" customWidth="1"/>
    <col min="10498" max="10498" width="40.7109375" style="4" customWidth="1"/>
    <col min="10499" max="10506" width="10.7109375" style="4" customWidth="1"/>
    <col min="10507" max="10752" width="8.85546875" style="4"/>
    <col min="10753" max="10753" width="1.7109375" style="4" customWidth="1"/>
    <col min="10754" max="10754" width="40.7109375" style="4" customWidth="1"/>
    <col min="10755" max="10762" width="10.7109375" style="4" customWidth="1"/>
    <col min="10763" max="11008" width="8.85546875" style="4"/>
    <col min="11009" max="11009" width="1.7109375" style="4" customWidth="1"/>
    <col min="11010" max="11010" width="40.7109375" style="4" customWidth="1"/>
    <col min="11011" max="11018" width="10.7109375" style="4" customWidth="1"/>
    <col min="11019" max="11264" width="8.85546875" style="4"/>
    <col min="11265" max="11265" width="1.7109375" style="4" customWidth="1"/>
    <col min="11266" max="11266" width="40.7109375" style="4" customWidth="1"/>
    <col min="11267" max="11274" width="10.7109375" style="4" customWidth="1"/>
    <col min="11275" max="11520" width="8.85546875" style="4"/>
    <col min="11521" max="11521" width="1.7109375" style="4" customWidth="1"/>
    <col min="11522" max="11522" width="40.7109375" style="4" customWidth="1"/>
    <col min="11523" max="11530" width="10.7109375" style="4" customWidth="1"/>
    <col min="11531" max="11776" width="8.85546875" style="4"/>
    <col min="11777" max="11777" width="1.7109375" style="4" customWidth="1"/>
    <col min="11778" max="11778" width="40.7109375" style="4" customWidth="1"/>
    <col min="11779" max="11786" width="10.7109375" style="4" customWidth="1"/>
    <col min="11787" max="12032" width="8.85546875" style="4"/>
    <col min="12033" max="12033" width="1.7109375" style="4" customWidth="1"/>
    <col min="12034" max="12034" width="40.7109375" style="4" customWidth="1"/>
    <col min="12035" max="12042" width="10.7109375" style="4" customWidth="1"/>
    <col min="12043" max="12288" width="8.85546875" style="4"/>
    <col min="12289" max="12289" width="1.7109375" style="4" customWidth="1"/>
    <col min="12290" max="12290" width="40.7109375" style="4" customWidth="1"/>
    <col min="12291" max="12298" width="10.7109375" style="4" customWidth="1"/>
    <col min="12299" max="12544" width="8.85546875" style="4"/>
    <col min="12545" max="12545" width="1.7109375" style="4" customWidth="1"/>
    <col min="12546" max="12546" width="40.7109375" style="4" customWidth="1"/>
    <col min="12547" max="12554" width="10.7109375" style="4" customWidth="1"/>
    <col min="12555" max="12800" width="8.85546875" style="4"/>
    <col min="12801" max="12801" width="1.7109375" style="4" customWidth="1"/>
    <col min="12802" max="12802" width="40.7109375" style="4" customWidth="1"/>
    <col min="12803" max="12810" width="10.7109375" style="4" customWidth="1"/>
    <col min="12811" max="13056" width="8.85546875" style="4"/>
    <col min="13057" max="13057" width="1.7109375" style="4" customWidth="1"/>
    <col min="13058" max="13058" width="40.7109375" style="4" customWidth="1"/>
    <col min="13059" max="13066" width="10.7109375" style="4" customWidth="1"/>
    <col min="13067" max="13312" width="8.85546875" style="4"/>
    <col min="13313" max="13313" width="1.7109375" style="4" customWidth="1"/>
    <col min="13314" max="13314" width="40.7109375" style="4" customWidth="1"/>
    <col min="13315" max="13322" width="10.7109375" style="4" customWidth="1"/>
    <col min="13323" max="13568" width="8.85546875" style="4"/>
    <col min="13569" max="13569" width="1.7109375" style="4" customWidth="1"/>
    <col min="13570" max="13570" width="40.7109375" style="4" customWidth="1"/>
    <col min="13571" max="13578" width="10.7109375" style="4" customWidth="1"/>
    <col min="13579" max="13824" width="8.85546875" style="4"/>
    <col min="13825" max="13825" width="1.7109375" style="4" customWidth="1"/>
    <col min="13826" max="13826" width="40.7109375" style="4" customWidth="1"/>
    <col min="13827" max="13834" width="10.7109375" style="4" customWidth="1"/>
    <col min="13835" max="14080" width="8.85546875" style="4"/>
    <col min="14081" max="14081" width="1.7109375" style="4" customWidth="1"/>
    <col min="14082" max="14082" width="40.7109375" style="4" customWidth="1"/>
    <col min="14083" max="14090" width="10.7109375" style="4" customWidth="1"/>
    <col min="14091" max="14336" width="8.85546875" style="4"/>
    <col min="14337" max="14337" width="1.7109375" style="4" customWidth="1"/>
    <col min="14338" max="14338" width="40.7109375" style="4" customWidth="1"/>
    <col min="14339" max="14346" width="10.7109375" style="4" customWidth="1"/>
    <col min="14347" max="14592" width="8.85546875" style="4"/>
    <col min="14593" max="14593" width="1.7109375" style="4" customWidth="1"/>
    <col min="14594" max="14594" width="40.7109375" style="4" customWidth="1"/>
    <col min="14595" max="14602" width="10.7109375" style="4" customWidth="1"/>
    <col min="14603" max="14848" width="8.85546875" style="4"/>
    <col min="14849" max="14849" width="1.7109375" style="4" customWidth="1"/>
    <col min="14850" max="14850" width="40.7109375" style="4" customWidth="1"/>
    <col min="14851" max="14858" width="10.7109375" style="4" customWidth="1"/>
    <col min="14859" max="15104" width="8.85546875" style="4"/>
    <col min="15105" max="15105" width="1.7109375" style="4" customWidth="1"/>
    <col min="15106" max="15106" width="40.7109375" style="4" customWidth="1"/>
    <col min="15107" max="15114" width="10.7109375" style="4" customWidth="1"/>
    <col min="15115" max="15360" width="8.85546875" style="4"/>
    <col min="15361" max="15361" width="1.7109375" style="4" customWidth="1"/>
    <col min="15362" max="15362" width="40.7109375" style="4" customWidth="1"/>
    <col min="15363" max="15370" width="10.7109375" style="4" customWidth="1"/>
    <col min="15371" max="15616" width="8.85546875" style="4"/>
    <col min="15617" max="15617" width="1.7109375" style="4" customWidth="1"/>
    <col min="15618" max="15618" width="40.7109375" style="4" customWidth="1"/>
    <col min="15619" max="15626" width="10.7109375" style="4" customWidth="1"/>
    <col min="15627" max="15872" width="8.85546875" style="4"/>
    <col min="15873" max="15873" width="1.7109375" style="4" customWidth="1"/>
    <col min="15874" max="15874" width="40.7109375" style="4" customWidth="1"/>
    <col min="15875" max="15882" width="10.7109375" style="4" customWidth="1"/>
    <col min="15883" max="16128" width="8.85546875" style="4"/>
    <col min="16129" max="16129" width="1.7109375" style="4" customWidth="1"/>
    <col min="16130" max="16130" width="40.7109375" style="4" customWidth="1"/>
    <col min="16131" max="16138" width="10.7109375" style="4" customWidth="1"/>
    <col min="16139" max="16384" width="8.85546875" style="4"/>
  </cols>
  <sheetData>
    <row r="1" spans="1:16" s="2" customFormat="1" ht="19.5" x14ac:dyDescent="0.3">
      <c r="A1" s="244" t="str">
        <f>CoName</f>
        <v>NVIDIA Corp.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  <c r="N1" s="42" t="s">
        <v>1</v>
      </c>
      <c r="O1" s="42" t="s">
        <v>1</v>
      </c>
    </row>
    <row r="2" spans="1:16" x14ac:dyDescent="0.25">
      <c r="A2" s="21" t="s">
        <v>11</v>
      </c>
      <c r="B2" s="20"/>
      <c r="C2" s="193">
        <v>2023</v>
      </c>
      <c r="D2" s="242">
        <f>C2+1</f>
        <v>2024</v>
      </c>
      <c r="E2" s="242">
        <f t="shared" ref="E2:M2" si="0">D2+1</f>
        <v>2025</v>
      </c>
      <c r="F2" s="242">
        <f t="shared" si="0"/>
        <v>2026</v>
      </c>
      <c r="G2" s="242">
        <f t="shared" si="0"/>
        <v>2027</v>
      </c>
      <c r="H2" s="242">
        <f t="shared" si="0"/>
        <v>2028</v>
      </c>
      <c r="I2" s="242">
        <f t="shared" si="0"/>
        <v>2029</v>
      </c>
      <c r="J2" s="242">
        <f t="shared" si="0"/>
        <v>2030</v>
      </c>
      <c r="K2" s="242">
        <f t="shared" si="0"/>
        <v>2031</v>
      </c>
      <c r="L2" s="242">
        <f t="shared" si="0"/>
        <v>2032</v>
      </c>
      <c r="M2" s="242">
        <f t="shared" si="0"/>
        <v>2033</v>
      </c>
      <c r="N2" s="242">
        <f>M2+1</f>
        <v>2034</v>
      </c>
      <c r="O2" s="242">
        <f>N2+1</f>
        <v>2035</v>
      </c>
      <c r="P2" s="194"/>
    </row>
    <row r="3" spans="1:16" x14ac:dyDescent="0.25">
      <c r="B3" s="4" t="s">
        <v>12</v>
      </c>
      <c r="C3" s="30"/>
      <c r="D3" s="30"/>
      <c r="E3" s="41"/>
      <c r="F3" s="199">
        <f>Assumptions!F33</f>
        <v>3.6766286219433938E-2</v>
      </c>
      <c r="G3" s="199">
        <f>Assumptions!G33</f>
        <v>3.6766286219433938E-2</v>
      </c>
      <c r="H3" s="199">
        <f>Assumptions!H33</f>
        <v>3.6766286219433938E-2</v>
      </c>
      <c r="I3" s="199">
        <f>Assumptions!I33</f>
        <v>3.6766286219433938E-2</v>
      </c>
      <c r="J3" s="199">
        <f>Assumptions!J33</f>
        <v>3.6766286219433938E-2</v>
      </c>
      <c r="K3" s="199">
        <f>Assumptions!K33</f>
        <v>3.6766286219433938E-2</v>
      </c>
      <c r="L3" s="199">
        <f>Assumptions!L33</f>
        <v>3.6766286219433938E-2</v>
      </c>
      <c r="M3" s="243">
        <f>Assumptions!M33</f>
        <v>3.6766286219433938E-2</v>
      </c>
      <c r="N3" s="243">
        <f>Assumptions!N33</f>
        <v>3.6766286219433938E-2</v>
      </c>
      <c r="O3" s="243">
        <f>Assumptions!O33</f>
        <v>3.6766286219433938E-2</v>
      </c>
    </row>
    <row r="4" spans="1:16" x14ac:dyDescent="0.25">
      <c r="B4" s="4" t="s">
        <v>137</v>
      </c>
      <c r="C4" s="30"/>
      <c r="D4" s="30"/>
      <c r="E4" s="41"/>
      <c r="F4" s="199">
        <f>Assumptions!F34</f>
        <v>0.2935361216730038</v>
      </c>
      <c r="G4" s="199">
        <f t="shared" ref="G4:O4" si="1">F4</f>
        <v>0.2935361216730038</v>
      </c>
      <c r="H4" s="199">
        <f t="shared" si="1"/>
        <v>0.2935361216730038</v>
      </c>
      <c r="I4" s="199">
        <f t="shared" si="1"/>
        <v>0.2935361216730038</v>
      </c>
      <c r="J4" s="199">
        <f t="shared" si="1"/>
        <v>0.2935361216730038</v>
      </c>
      <c r="K4" s="199">
        <f t="shared" si="1"/>
        <v>0.2935361216730038</v>
      </c>
      <c r="L4" s="199">
        <f t="shared" si="1"/>
        <v>0.2935361216730038</v>
      </c>
      <c r="M4" s="199">
        <f t="shared" si="1"/>
        <v>0.2935361216730038</v>
      </c>
      <c r="N4" s="199">
        <f t="shared" si="1"/>
        <v>0.2935361216730038</v>
      </c>
      <c r="O4" s="199">
        <f t="shared" si="1"/>
        <v>0.2935361216730038</v>
      </c>
    </row>
    <row r="5" spans="1:16" x14ac:dyDescent="0.25">
      <c r="E5" s="28"/>
      <c r="F5" s="78"/>
      <c r="G5" s="66"/>
      <c r="H5" s="84"/>
      <c r="I5" s="66"/>
      <c r="J5" s="66"/>
      <c r="K5" s="66"/>
      <c r="L5" s="66"/>
      <c r="M5" s="66"/>
      <c r="N5" s="66"/>
      <c r="O5" s="66"/>
    </row>
    <row r="6" spans="1:16" x14ac:dyDescent="0.25">
      <c r="B6" s="4" t="s">
        <v>13</v>
      </c>
      <c r="E6" s="28"/>
      <c r="F6" s="4">
        <f>E9</f>
        <v>8076</v>
      </c>
      <c r="G6" s="4">
        <f t="shared" ref="G6:O6" si="2">F9</f>
        <v>13260.688459988987</v>
      </c>
      <c r="H6" s="4">
        <f t="shared" si="2"/>
        <v>20021.533184085238</v>
      </c>
      <c r="I6" s="4">
        <f t="shared" si="2"/>
        <v>27414.628943695661</v>
      </c>
      <c r="J6" s="4">
        <f t="shared" si="2"/>
        <v>35565.405082174286</v>
      </c>
      <c r="K6" s="4">
        <f t="shared" si="2"/>
        <v>44897.426874624543</v>
      </c>
      <c r="L6" s="4">
        <f t="shared" si="2"/>
        <v>55852.450127789241</v>
      </c>
      <c r="M6" s="4">
        <f t="shared" si="2"/>
        <v>68916.526608873537</v>
      </c>
      <c r="N6" s="4">
        <f t="shared" si="2"/>
        <v>84645.384371659165</v>
      </c>
      <c r="O6" s="4">
        <f t="shared" si="2"/>
        <v>103690.82652277648</v>
      </c>
    </row>
    <row r="7" spans="1:16" x14ac:dyDescent="0.25">
      <c r="B7" s="4" t="s">
        <v>14</v>
      </c>
      <c r="C7" s="12"/>
      <c r="D7" s="12"/>
      <c r="E7" s="128"/>
      <c r="F7" s="4">
        <f>F3*IncState!F17</f>
        <v>7555.2861786201665</v>
      </c>
      <c r="G7" s="4">
        <f>G3*IncState!G17</f>
        <v>10653.335785355379</v>
      </c>
      <c r="H7" s="4">
        <f>H3*IncState!H17</f>
        <v>13270.13896041415</v>
      </c>
      <c r="I7" s="4">
        <f>I3*IncState!I17</f>
        <v>16197.959995715522</v>
      </c>
      <c r="J7" s="4">
        <f>J3*IncState!J17</f>
        <v>19771.752866001036</v>
      </c>
      <c r="K7" s="4">
        <f>K3*IncState!K17</f>
        <v>24134.039811039285</v>
      </c>
      <c r="L7" s="4">
        <f>L3*IncState!L17</f>
        <v>29458.788077530415</v>
      </c>
      <c r="M7" s="4">
        <f>M3*IncState!M17</f>
        <v>35958.347702728723</v>
      </c>
      <c r="N7" s="4">
        <f>N3*IncState!N17</f>
        <v>43891.919997094839</v>
      </c>
      <c r="O7" s="4">
        <f>O3*IncState!O17</f>
        <v>53575.894447596656</v>
      </c>
    </row>
    <row r="8" spans="1:16" x14ac:dyDescent="0.25">
      <c r="B8" s="4" t="s">
        <v>15</v>
      </c>
      <c r="E8" s="28"/>
      <c r="F8" s="4">
        <f>F4*F6</f>
        <v>2370.5977186311789</v>
      </c>
      <c r="G8" s="4">
        <f t="shared" ref="G8:O8" si="3">G4*G6</f>
        <v>3892.4910612591248</v>
      </c>
      <c r="H8" s="4">
        <f t="shared" si="3"/>
        <v>5877.0432008037278</v>
      </c>
      <c r="I8" s="4">
        <f t="shared" si="3"/>
        <v>8047.1838572369015</v>
      </c>
      <c r="J8" s="4">
        <f t="shared" si="3"/>
        <v>10439.731073550778</v>
      </c>
      <c r="K8" s="4">
        <f t="shared" si="3"/>
        <v>13179.01655787458</v>
      </c>
      <c r="L8" s="4">
        <f t="shared" si="3"/>
        <v>16394.711596446119</v>
      </c>
      <c r="M8" s="4">
        <f t="shared" si="3"/>
        <v>20229.489939943105</v>
      </c>
      <c r="N8" s="4">
        <f t="shared" si="3"/>
        <v>24846.477845977519</v>
      </c>
      <c r="O8" s="4">
        <f t="shared" si="3"/>
        <v>30437.003070564046</v>
      </c>
    </row>
    <row r="9" spans="1:16" x14ac:dyDescent="0.25">
      <c r="B9" s="4" t="s">
        <v>16</v>
      </c>
      <c r="E9" s="28">
        <f>BalSheet!E22</f>
        <v>8076</v>
      </c>
      <c r="F9" s="4">
        <f>F6+F7-F8</f>
        <v>13260.688459988987</v>
      </c>
      <c r="G9" s="4">
        <f t="shared" ref="G9:O9" si="4">G6+G7-G8</f>
        <v>20021.533184085238</v>
      </c>
      <c r="H9" s="4">
        <f t="shared" si="4"/>
        <v>27414.628943695661</v>
      </c>
      <c r="I9" s="4">
        <f t="shared" si="4"/>
        <v>35565.405082174286</v>
      </c>
      <c r="J9" s="4">
        <f t="shared" si="4"/>
        <v>44897.426874624543</v>
      </c>
      <c r="K9" s="4">
        <f t="shared" si="4"/>
        <v>55852.450127789241</v>
      </c>
      <c r="L9" s="4">
        <f t="shared" si="4"/>
        <v>68916.526608873537</v>
      </c>
      <c r="M9" s="4">
        <f t="shared" si="4"/>
        <v>84645.384371659165</v>
      </c>
      <c r="N9" s="4">
        <f t="shared" si="4"/>
        <v>103690.82652277648</v>
      </c>
      <c r="O9" s="4">
        <f t="shared" si="4"/>
        <v>126829.7178998091</v>
      </c>
    </row>
    <row r="10" spans="1:16" x14ac:dyDescent="0.25">
      <c r="A10" s="21" t="s">
        <v>17</v>
      </c>
      <c r="B10" s="43"/>
      <c r="C10" s="222">
        <f t="shared" ref="C10:M10" si="5">C2</f>
        <v>2023</v>
      </c>
      <c r="D10" s="222">
        <f t="shared" si="5"/>
        <v>2024</v>
      </c>
      <c r="E10" s="222">
        <f t="shared" si="5"/>
        <v>2025</v>
      </c>
      <c r="F10" s="222">
        <f t="shared" si="5"/>
        <v>2026</v>
      </c>
      <c r="G10" s="222">
        <f t="shared" si="5"/>
        <v>2027</v>
      </c>
      <c r="H10" s="222">
        <f t="shared" si="5"/>
        <v>2028</v>
      </c>
      <c r="I10" s="222">
        <f t="shared" si="5"/>
        <v>2029</v>
      </c>
      <c r="J10" s="222">
        <f t="shared" si="5"/>
        <v>2030</v>
      </c>
      <c r="K10" s="222">
        <f t="shared" si="5"/>
        <v>2031</v>
      </c>
      <c r="L10" s="222">
        <f t="shared" si="5"/>
        <v>2032</v>
      </c>
      <c r="M10" s="222">
        <f t="shared" si="5"/>
        <v>2033</v>
      </c>
      <c r="N10" s="222">
        <f>N2</f>
        <v>2034</v>
      </c>
      <c r="O10" s="222">
        <f>O2</f>
        <v>2035</v>
      </c>
    </row>
    <row r="11" spans="1:16" x14ac:dyDescent="0.25">
      <c r="B11" s="4" t="s">
        <v>18</v>
      </c>
      <c r="E11" s="28"/>
      <c r="F11" s="245">
        <f>Assumptions!F35</f>
        <v>0</v>
      </c>
      <c r="G11" s="245">
        <f>Assumptions!G35</f>
        <v>0</v>
      </c>
      <c r="H11" s="245">
        <f>Assumptions!H35</f>
        <v>0</v>
      </c>
      <c r="I11" s="245">
        <f>Assumptions!I35</f>
        <v>0</v>
      </c>
      <c r="J11" s="245">
        <f>Assumptions!J35</f>
        <v>0</v>
      </c>
      <c r="K11" s="245">
        <f>Assumptions!K35</f>
        <v>0</v>
      </c>
      <c r="L11" s="245">
        <f>Assumptions!L35</f>
        <v>0</v>
      </c>
      <c r="M11" s="245">
        <f>Assumptions!M35</f>
        <v>0</v>
      </c>
      <c r="N11" s="245">
        <f>Assumptions!N35</f>
        <v>0</v>
      </c>
      <c r="O11" s="245">
        <f>Assumptions!O35</f>
        <v>0</v>
      </c>
    </row>
    <row r="12" spans="1:16" x14ac:dyDescent="0.25">
      <c r="E12" s="28"/>
      <c r="F12" s="78"/>
      <c r="G12" s="66"/>
      <c r="H12" s="84"/>
      <c r="I12" s="66"/>
      <c r="J12" s="66"/>
      <c r="K12" s="66"/>
      <c r="L12" s="66"/>
      <c r="M12" s="66"/>
      <c r="N12" s="66"/>
      <c r="O12" s="66"/>
    </row>
    <row r="13" spans="1:16" x14ac:dyDescent="0.25">
      <c r="B13" s="4" t="s">
        <v>19</v>
      </c>
      <c r="E13" s="28"/>
      <c r="F13" s="4">
        <f>E17</f>
        <v>79327</v>
      </c>
      <c r="G13" s="4">
        <f t="shared" ref="G13:O13" si="6">F17</f>
        <v>185912.50818046901</v>
      </c>
      <c r="H13" s="4">
        <f t="shared" si="6"/>
        <v>336292.1372438593</v>
      </c>
      <c r="I13" s="4">
        <f t="shared" si="6"/>
        <v>523643.90171001112</v>
      </c>
      <c r="J13" s="4">
        <f t="shared" si="6"/>
        <v>752376.68481833721</v>
      </c>
      <c r="K13" s="4">
        <f t="shared" si="6"/>
        <v>1031647.5632530272</v>
      </c>
      <c r="L13" s="4">
        <f t="shared" si="6"/>
        <v>1372633.9604194176</v>
      </c>
      <c r="M13" s="4">
        <f t="shared" si="6"/>
        <v>1788979.400150598</v>
      </c>
      <c r="N13" s="4">
        <f t="shared" si="6"/>
        <v>2297337.6080713128</v>
      </c>
      <c r="O13" s="4">
        <f t="shared" si="6"/>
        <v>2918036.6592871766</v>
      </c>
    </row>
    <row r="14" spans="1:16" x14ac:dyDescent="0.25">
      <c r="B14" s="4" t="s">
        <v>20</v>
      </c>
      <c r="E14" s="28"/>
      <c r="F14" s="4">
        <f>IncState!F36</f>
        <v>107101.16318046901</v>
      </c>
      <c r="G14" s="4">
        <f>IncState!G36</f>
        <v>151018.05906339025</v>
      </c>
      <c r="H14" s="4">
        <f>IncState!H36</f>
        <v>188112.9694661519</v>
      </c>
      <c r="I14" s="4">
        <f>IncState!I36</f>
        <v>229616.76310832609</v>
      </c>
      <c r="J14" s="4">
        <f>IncState!J36</f>
        <v>280277.63343468995</v>
      </c>
      <c r="K14" s="4">
        <f>IncState!K36</f>
        <v>342115.92716639047</v>
      </c>
      <c r="L14" s="4">
        <f>IncState!L36</f>
        <v>417597.74473118043</v>
      </c>
      <c r="M14" s="4">
        <f>IncState!M36</f>
        <v>509733.28792071494</v>
      </c>
      <c r="N14" s="4">
        <f>IncState!N36</f>
        <v>622196.906215864</v>
      </c>
      <c r="O14" s="4">
        <f>IncState!O36</f>
        <v>759473.62920666742</v>
      </c>
    </row>
    <row r="15" spans="1:16" x14ac:dyDescent="0.25">
      <c r="B15" s="4" t="s">
        <v>21</v>
      </c>
      <c r="E15" s="28"/>
      <c r="F15" s="4">
        <f>-IncState!F38</f>
        <v>-515.65500000000009</v>
      </c>
      <c r="G15" s="4">
        <f>-IncState!G38</f>
        <v>-638.43000000000006</v>
      </c>
      <c r="H15" s="4">
        <f>-IncState!H38</f>
        <v>-761.20500000000004</v>
      </c>
      <c r="I15" s="4">
        <f>-IncState!I38</f>
        <v>-883.98000000000013</v>
      </c>
      <c r="J15" s="4">
        <f>-IncState!J38</f>
        <v>-1006.755</v>
      </c>
      <c r="K15" s="4">
        <f>-IncState!K38</f>
        <v>-1129.53</v>
      </c>
      <c r="L15" s="4">
        <f>-IncState!L38</f>
        <v>-1252.3049999999998</v>
      </c>
      <c r="M15" s="4">
        <f>-IncState!M38</f>
        <v>-1375.08</v>
      </c>
      <c r="N15" s="4">
        <f>-IncState!N38</f>
        <v>-1497.8549999999998</v>
      </c>
      <c r="O15" s="4">
        <f>-IncState!O38</f>
        <v>-1620.6299999999997</v>
      </c>
    </row>
    <row r="16" spans="1:16" x14ac:dyDescent="0.25">
      <c r="B16" s="4" t="s">
        <v>22</v>
      </c>
      <c r="E16" s="28"/>
      <c r="F16" s="4">
        <f>F11</f>
        <v>0</v>
      </c>
      <c r="G16" s="4">
        <f t="shared" ref="G16:O16" si="7">G11</f>
        <v>0</v>
      </c>
      <c r="H16" s="4">
        <f t="shared" si="7"/>
        <v>0</v>
      </c>
      <c r="I16" s="4">
        <f t="shared" si="7"/>
        <v>0</v>
      </c>
      <c r="J16" s="4">
        <f t="shared" si="7"/>
        <v>0</v>
      </c>
      <c r="K16" s="4">
        <f t="shared" si="7"/>
        <v>0</v>
      </c>
      <c r="L16" s="4">
        <f t="shared" si="7"/>
        <v>0</v>
      </c>
      <c r="M16" s="4">
        <f t="shared" si="7"/>
        <v>0</v>
      </c>
      <c r="N16" s="4">
        <f t="shared" si="7"/>
        <v>0</v>
      </c>
      <c r="O16" s="4">
        <f t="shared" si="7"/>
        <v>0</v>
      </c>
    </row>
    <row r="17" spans="1:15" x14ac:dyDescent="0.25">
      <c r="B17" s="4" t="s">
        <v>23</v>
      </c>
      <c r="E17" s="28">
        <f>BalSheet!E38</f>
        <v>79327</v>
      </c>
      <c r="F17" s="4">
        <f>SUM(F13:F16)</f>
        <v>185912.50818046901</v>
      </c>
      <c r="G17" s="4">
        <f t="shared" ref="G17:O17" si="8">SUM(G13:G16)</f>
        <v>336292.1372438593</v>
      </c>
      <c r="H17" s="4">
        <f t="shared" si="8"/>
        <v>523643.90171001112</v>
      </c>
      <c r="I17" s="4">
        <f t="shared" si="8"/>
        <v>752376.68481833721</v>
      </c>
      <c r="J17" s="4">
        <f t="shared" si="8"/>
        <v>1031647.5632530272</v>
      </c>
      <c r="K17" s="4">
        <f t="shared" si="8"/>
        <v>1372633.9604194176</v>
      </c>
      <c r="L17" s="4">
        <f t="shared" si="8"/>
        <v>1788979.400150598</v>
      </c>
      <c r="M17" s="4">
        <f t="shared" si="8"/>
        <v>2297337.6080713128</v>
      </c>
      <c r="N17" s="4">
        <f t="shared" si="8"/>
        <v>2918036.6592871766</v>
      </c>
      <c r="O17" s="4">
        <f t="shared" si="8"/>
        <v>3675889.6584938439</v>
      </c>
    </row>
    <row r="18" spans="1:15" x14ac:dyDescent="0.25">
      <c r="A18" s="21" t="s">
        <v>24</v>
      </c>
      <c r="B18" s="43"/>
      <c r="C18" s="222">
        <f>C10</f>
        <v>2023</v>
      </c>
      <c r="D18" s="222">
        <f t="shared" ref="D18:M18" si="9">D10</f>
        <v>2024</v>
      </c>
      <c r="E18" s="222">
        <f t="shared" si="9"/>
        <v>2025</v>
      </c>
      <c r="F18" s="222">
        <f t="shared" si="9"/>
        <v>2026</v>
      </c>
      <c r="G18" s="222">
        <f t="shared" si="9"/>
        <v>2027</v>
      </c>
      <c r="H18" s="222">
        <f t="shared" si="9"/>
        <v>2028</v>
      </c>
      <c r="I18" s="222">
        <f t="shared" si="9"/>
        <v>2029</v>
      </c>
      <c r="J18" s="222">
        <f t="shared" si="9"/>
        <v>2030</v>
      </c>
      <c r="K18" s="222">
        <f t="shared" si="9"/>
        <v>2031</v>
      </c>
      <c r="L18" s="222">
        <f t="shared" si="9"/>
        <v>2032</v>
      </c>
      <c r="M18" s="222">
        <f t="shared" si="9"/>
        <v>2033</v>
      </c>
      <c r="N18" s="222">
        <f>N10</f>
        <v>2034</v>
      </c>
      <c r="O18" s="222">
        <f>O10</f>
        <v>2035</v>
      </c>
    </row>
    <row r="19" spans="1:15" x14ac:dyDescent="0.25">
      <c r="A19" s="87"/>
      <c r="B19" s="173" t="s">
        <v>161</v>
      </c>
      <c r="C19" s="196"/>
      <c r="D19" s="196"/>
      <c r="E19" s="203">
        <f>BalSheet!E15</f>
        <v>1957.4549999999999</v>
      </c>
      <c r="F19" s="283">
        <f>BalSheet!F15</f>
        <v>3082.4242623504042</v>
      </c>
      <c r="G19" s="283">
        <f>BalSheet!G15</f>
        <v>4346.37417079845</v>
      </c>
      <c r="H19" s="283">
        <f>BalSheet!H15</f>
        <v>5413.9839748349996</v>
      </c>
      <c r="I19" s="283">
        <f>BalSheet!I15</f>
        <v>6608.4836114696827</v>
      </c>
      <c r="J19" s="283">
        <f>BalSheet!J15</f>
        <v>8066.5284282438915</v>
      </c>
      <c r="K19" s="283">
        <f>BalSheet!K15</f>
        <v>9846.264999542911</v>
      </c>
      <c r="L19" s="283">
        <f>BalSheet!L15</f>
        <v>12018.668911122879</v>
      </c>
      <c r="M19" s="283">
        <f>BalSheet!M15</f>
        <v>14670.375254159548</v>
      </c>
      <c r="N19" s="283">
        <f>BalSheet!N15</f>
        <v>17907.133617656942</v>
      </c>
      <c r="O19" s="283">
        <f>BalSheet!O15</f>
        <v>21858.025363713845</v>
      </c>
    </row>
    <row r="20" spans="1:15" x14ac:dyDescent="0.25">
      <c r="B20" s="4" t="str">
        <f>BalSheet!B18</f>
        <v>Inventories</v>
      </c>
      <c r="D20" s="98"/>
      <c r="E20" s="99">
        <f>BalSheet!E18</f>
        <v>10080</v>
      </c>
      <c r="F20" s="284">
        <f>BalSheet!F18</f>
        <v>15873.078341260503</v>
      </c>
      <c r="G20" s="284">
        <f>BalSheet!G18</f>
        <v>22381.843588561875</v>
      </c>
      <c r="H20" s="284">
        <f>BalSheet!H18</f>
        <v>27879.546894481253</v>
      </c>
      <c r="I20" s="284">
        <f>BalSheet!I18</f>
        <v>34030.674934348128</v>
      </c>
      <c r="J20" s="284">
        <f>BalSheet!J18</f>
        <v>41538.940387747585</v>
      </c>
      <c r="K20" s="284">
        <f>BalSheet!K18</f>
        <v>50703.771578602093</v>
      </c>
      <c r="L20" s="284">
        <f>BalSheet!L18</f>
        <v>61890.660385101386</v>
      </c>
      <c r="M20" s="284">
        <f>BalSheet!M18</f>
        <v>75545.737992407623</v>
      </c>
      <c r="N20" s="284">
        <f>BalSheet!N18</f>
        <v>92213.566526935218</v>
      </c>
      <c r="O20" s="284">
        <f>BalSheet!O18</f>
        <v>112558.85609949428</v>
      </c>
    </row>
    <row r="21" spans="1:15" x14ac:dyDescent="0.25">
      <c r="B21" s="4" t="str">
        <f>BalSheet!B17</f>
        <v>Accounts receivable</v>
      </c>
      <c r="C21" s="98"/>
      <c r="D21" s="98"/>
      <c r="E21" s="99">
        <f>BalSheet!E17</f>
        <v>23065</v>
      </c>
      <c r="F21" s="284">
        <f>BalSheet!F17</f>
        <v>36320.689676703718</v>
      </c>
      <c r="G21" s="284">
        <f>BalSheet!G17</f>
        <v>51214.010155771786</v>
      </c>
      <c r="H21" s="284">
        <f>BalSheet!H17</f>
        <v>63793.824317580365</v>
      </c>
      <c r="I21" s="284">
        <f>BalSheet!I17</f>
        <v>77868.801325470195</v>
      </c>
      <c r="J21" s="284">
        <f>BalSheet!J17</f>
        <v>95049.172623352963</v>
      </c>
      <c r="K21" s="284">
        <f>BalSheet!K17</f>
        <v>116020.08843853742</v>
      </c>
      <c r="L21" s="284">
        <f>BalSheet!L17</f>
        <v>141617.86525618684</v>
      </c>
      <c r="M21" s="284">
        <f>BalSheet!M17</f>
        <v>172863.33797568272</v>
      </c>
      <c r="N21" s="284">
        <f>BalSheet!N17</f>
        <v>211002.57062934135</v>
      </c>
      <c r="O21" s="284">
        <f>BalSheet!O17</f>
        <v>257556.54919988447</v>
      </c>
    </row>
    <row r="22" spans="1:15" x14ac:dyDescent="0.25">
      <c r="B22" s="4" t="s">
        <v>72</v>
      </c>
      <c r="C22" s="98"/>
      <c r="D22" s="98"/>
      <c r="E22" s="99">
        <f>BalSheet!E19</f>
        <v>38392</v>
      </c>
      <c r="F22" s="284">
        <f>BalSheet!F19</f>
        <v>60456.272190245356</v>
      </c>
      <c r="G22" s="284">
        <f>BalSheet!G19</f>
        <v>85246.402683736844</v>
      </c>
      <c r="H22" s="284">
        <f>BalSheet!H19</f>
        <v>106185.67106874248</v>
      </c>
      <c r="I22" s="284">
        <f>BalSheet!I19</f>
        <v>129613.65794439416</v>
      </c>
      <c r="J22" s="284">
        <f>BalSheet!J19</f>
        <v>158210.61501650841</v>
      </c>
      <c r="K22" s="284">
        <f>BalSheet!K19</f>
        <v>193116.98397278684</v>
      </c>
      <c r="L22" s="284">
        <f>BalSheet!L19</f>
        <v>235724.82475246151</v>
      </c>
      <c r="M22" s="284">
        <f>BalSheet!M19</f>
        <v>287733.3306552096</v>
      </c>
      <c r="N22" s="284">
        <f>BalSheet!N19</f>
        <v>351216.59187520796</v>
      </c>
      <c r="O22" s="284">
        <f>BalSheet!O19</f>
        <v>428706.30985831184</v>
      </c>
    </row>
    <row r="23" spans="1:15" x14ac:dyDescent="0.25">
      <c r="B23" s="4" t="s">
        <v>165</v>
      </c>
      <c r="C23" s="98"/>
      <c r="D23" s="98"/>
      <c r="E23" s="99">
        <f>BalSheet!E30</f>
        <v>6310</v>
      </c>
      <c r="F23" s="284">
        <f>BalSheet!F30</f>
        <v>9936.4210648168428</v>
      </c>
      <c r="G23" s="284">
        <f>BalSheet!G30</f>
        <v>14010.856452760459</v>
      </c>
      <c r="H23" s="284">
        <f>BalSheet!H30</f>
        <v>17452.375089700068</v>
      </c>
      <c r="I23" s="284">
        <f>BalSheet!I30</f>
        <v>21302.932424180224</v>
      </c>
      <c r="J23" s="284">
        <f>BalSheet!J30</f>
        <v>26003.047008599926</v>
      </c>
      <c r="K23" s="284">
        <f>BalSheet!K30</f>
        <v>31740.158597319365</v>
      </c>
      <c r="L23" s="284">
        <f>BalSheet!L30</f>
        <v>38743.062205356124</v>
      </c>
      <c r="M23" s="284">
        <f>BalSheet!M30</f>
        <v>47291.032413898021</v>
      </c>
      <c r="N23" s="284">
        <f>BalSheet!N30</f>
        <v>57724.960792158854</v>
      </c>
      <c r="O23" s="284">
        <f>BalSheet!O30</f>
        <v>70460.950594028662</v>
      </c>
    </row>
    <row r="24" spans="1:15" x14ac:dyDescent="0.25">
      <c r="B24" s="4" t="s">
        <v>78</v>
      </c>
      <c r="C24" s="98"/>
      <c r="D24" s="98"/>
      <c r="E24" s="99">
        <f>BalSheet!E31</f>
        <v>11737</v>
      </c>
      <c r="F24" s="284">
        <f>BalSheet!F31</f>
        <v>18482.373064620486</v>
      </c>
      <c r="G24" s="284">
        <f>BalSheet!G31</f>
        <v>26061.081170530822</v>
      </c>
      <c r="H24" s="284">
        <f>BalSheet!H31</f>
        <v>32462.5239980681</v>
      </c>
      <c r="I24" s="284">
        <f>BalSheet!I31</f>
        <v>39624.804732583718</v>
      </c>
      <c r="J24" s="284">
        <f>BalSheet!J31</f>
        <v>48367.315806646162</v>
      </c>
      <c r="K24" s="284">
        <f>BalSheet!K31</f>
        <v>59038.707045441733</v>
      </c>
      <c r="L24" s="284">
        <f>BalSheet!L31</f>
        <v>72064.551680549092</v>
      </c>
      <c r="M24" s="284">
        <f>BalSheet!M31</f>
        <v>87964.318136596048</v>
      </c>
      <c r="N24" s="284">
        <f>BalSheet!N31</f>
        <v>107372.08634192843</v>
      </c>
      <c r="O24" s="284">
        <f>BalSheet!O31</f>
        <v>131061.83472616707</v>
      </c>
    </row>
    <row r="25" spans="1:15" x14ac:dyDescent="0.25">
      <c r="A25" s="11" t="s">
        <v>126</v>
      </c>
      <c r="B25" s="17" t="s">
        <v>24</v>
      </c>
      <c r="C25" s="18"/>
      <c r="D25" s="18"/>
      <c r="E25" s="18">
        <f>SUM(E19:E22)-SUM(E23:E24)</f>
        <v>55447.455000000002</v>
      </c>
      <c r="F25" s="18">
        <f>SUM(F19:F22)-SUM(F23:F24)</f>
        <v>87313.670341122663</v>
      </c>
      <c r="G25" s="18">
        <f t="shared" ref="G25:O25" si="10">SUM(G19:G22)-SUM(G23:G24)</f>
        <v>123116.69297557767</v>
      </c>
      <c r="H25" s="18">
        <f t="shared" si="10"/>
        <v>153358.12716787093</v>
      </c>
      <c r="I25" s="18">
        <f t="shared" si="10"/>
        <v>187193.88065891823</v>
      </c>
      <c r="J25" s="18">
        <f t="shared" si="10"/>
        <v>228494.89364060678</v>
      </c>
      <c r="K25" s="18">
        <f t="shared" si="10"/>
        <v>278908.24334670813</v>
      </c>
      <c r="L25" s="18">
        <f t="shared" si="10"/>
        <v>340444.40541896736</v>
      </c>
      <c r="M25" s="18">
        <f t="shared" si="10"/>
        <v>415557.43132696545</v>
      </c>
      <c r="N25" s="18">
        <f t="shared" si="10"/>
        <v>507242.81551505416</v>
      </c>
      <c r="O25" s="18">
        <f t="shared" si="10"/>
        <v>619156.95520120871</v>
      </c>
    </row>
    <row r="26" spans="1:15" s="11" customFormat="1" x14ac:dyDescent="0.25">
      <c r="A26" s="25"/>
      <c r="B26" s="11" t="s">
        <v>153</v>
      </c>
      <c r="F26" s="11">
        <f>E25-F25</f>
        <v>-31866.215341122661</v>
      </c>
      <c r="G26" s="11">
        <f t="shared" ref="G26:O26" si="11">F25-G25</f>
        <v>-35803.022634455003</v>
      </c>
      <c r="H26" s="11">
        <f t="shared" si="11"/>
        <v>-30241.434192293265</v>
      </c>
      <c r="I26" s="11">
        <f t="shared" si="11"/>
        <v>-33835.753491047304</v>
      </c>
      <c r="J26" s="11">
        <f t="shared" si="11"/>
        <v>-41301.012981688546</v>
      </c>
      <c r="K26" s="11">
        <f t="shared" si="11"/>
        <v>-50413.349706101348</v>
      </c>
      <c r="L26" s="11">
        <f t="shared" si="11"/>
        <v>-61536.162072259234</v>
      </c>
      <c r="M26" s="11">
        <f t="shared" si="11"/>
        <v>-75113.02590799809</v>
      </c>
      <c r="N26" s="11">
        <f t="shared" si="11"/>
        <v>-91685.384188088705</v>
      </c>
      <c r="O26" s="11">
        <f t="shared" si="11"/>
        <v>-111914.13968615455</v>
      </c>
    </row>
    <row r="27" spans="1:15" x14ac:dyDescent="0.25">
      <c r="B27" s="66"/>
      <c r="C27" s="66"/>
      <c r="D27" s="66"/>
      <c r="E27" s="66"/>
      <c r="F27" s="66"/>
      <c r="G27" s="66"/>
      <c r="H27" s="84"/>
      <c r="I27" s="66"/>
      <c r="J27" s="66"/>
      <c r="K27" s="66"/>
      <c r="L27" s="66"/>
      <c r="M27" s="66"/>
    </row>
    <row r="28" spans="1:15" x14ac:dyDescent="0.25">
      <c r="H28" s="6"/>
      <c r="I28" s="4"/>
      <c r="J28" s="4"/>
    </row>
    <row r="29" spans="1:15" x14ac:dyDescent="0.25">
      <c r="H29" s="6"/>
      <c r="I29" s="4"/>
      <c r="J29" s="4"/>
    </row>
    <row r="30" spans="1:15" x14ac:dyDescent="0.25">
      <c r="H30" s="6"/>
      <c r="I30" s="4"/>
      <c r="J30" s="4"/>
    </row>
    <row r="31" spans="1:15" x14ac:dyDescent="0.25">
      <c r="H31" s="6"/>
      <c r="I31" s="4"/>
      <c r="J31" s="4"/>
    </row>
    <row r="32" spans="1:15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  <row r="39" spans="8:10" x14ac:dyDescent="0.25">
      <c r="H39" s="6"/>
      <c r="I39" s="4"/>
      <c r="J39" s="4"/>
    </row>
    <row r="40" spans="8:10" x14ac:dyDescent="0.25">
      <c r="H40" s="6"/>
      <c r="I40" s="4"/>
      <c r="J40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P34"/>
  <sheetViews>
    <sheetView showGridLines="0" zoomScaleNormal="100" workbookViewId="0">
      <selection activeCell="F22" sqref="F17:O22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5" width="11.7109375" style="4" customWidth="1"/>
    <col min="16" max="256" width="8.85546875" style="4"/>
    <col min="257" max="257" width="1.7109375" style="4" customWidth="1"/>
    <col min="258" max="258" width="40.7109375" style="4" customWidth="1"/>
    <col min="259" max="264" width="10.7109375" style="4" customWidth="1"/>
    <col min="265" max="266" width="9.42578125" style="4" bestFit="1" customWidth="1"/>
    <col min="267" max="512" width="8.85546875" style="4"/>
    <col min="513" max="513" width="1.7109375" style="4" customWidth="1"/>
    <col min="514" max="514" width="40.7109375" style="4" customWidth="1"/>
    <col min="515" max="520" width="10.7109375" style="4" customWidth="1"/>
    <col min="521" max="522" width="9.42578125" style="4" bestFit="1" customWidth="1"/>
    <col min="523" max="768" width="8.85546875" style="4"/>
    <col min="769" max="769" width="1.7109375" style="4" customWidth="1"/>
    <col min="770" max="770" width="40.7109375" style="4" customWidth="1"/>
    <col min="771" max="776" width="10.7109375" style="4" customWidth="1"/>
    <col min="777" max="778" width="9.42578125" style="4" bestFit="1" customWidth="1"/>
    <col min="779" max="1024" width="8.85546875" style="4"/>
    <col min="1025" max="1025" width="1.7109375" style="4" customWidth="1"/>
    <col min="1026" max="1026" width="40.7109375" style="4" customWidth="1"/>
    <col min="1027" max="1032" width="10.7109375" style="4" customWidth="1"/>
    <col min="1033" max="1034" width="9.42578125" style="4" bestFit="1" customWidth="1"/>
    <col min="1035" max="1280" width="8.85546875" style="4"/>
    <col min="1281" max="1281" width="1.7109375" style="4" customWidth="1"/>
    <col min="1282" max="1282" width="40.7109375" style="4" customWidth="1"/>
    <col min="1283" max="1288" width="10.7109375" style="4" customWidth="1"/>
    <col min="1289" max="1290" width="9.42578125" style="4" bestFit="1" customWidth="1"/>
    <col min="1291" max="1536" width="8.85546875" style="4"/>
    <col min="1537" max="1537" width="1.7109375" style="4" customWidth="1"/>
    <col min="1538" max="1538" width="40.7109375" style="4" customWidth="1"/>
    <col min="1539" max="1544" width="10.7109375" style="4" customWidth="1"/>
    <col min="1545" max="1546" width="9.42578125" style="4" bestFit="1" customWidth="1"/>
    <col min="1547" max="1792" width="8.85546875" style="4"/>
    <col min="1793" max="1793" width="1.7109375" style="4" customWidth="1"/>
    <col min="1794" max="1794" width="40.7109375" style="4" customWidth="1"/>
    <col min="1795" max="1800" width="10.7109375" style="4" customWidth="1"/>
    <col min="1801" max="1802" width="9.42578125" style="4" bestFit="1" customWidth="1"/>
    <col min="1803" max="2048" width="8.85546875" style="4"/>
    <col min="2049" max="2049" width="1.7109375" style="4" customWidth="1"/>
    <col min="2050" max="2050" width="40.7109375" style="4" customWidth="1"/>
    <col min="2051" max="2056" width="10.7109375" style="4" customWidth="1"/>
    <col min="2057" max="2058" width="9.42578125" style="4" bestFit="1" customWidth="1"/>
    <col min="2059" max="2304" width="8.85546875" style="4"/>
    <col min="2305" max="2305" width="1.7109375" style="4" customWidth="1"/>
    <col min="2306" max="2306" width="40.7109375" style="4" customWidth="1"/>
    <col min="2307" max="2312" width="10.7109375" style="4" customWidth="1"/>
    <col min="2313" max="2314" width="9.42578125" style="4" bestFit="1" customWidth="1"/>
    <col min="2315" max="2560" width="8.85546875" style="4"/>
    <col min="2561" max="2561" width="1.7109375" style="4" customWidth="1"/>
    <col min="2562" max="2562" width="40.7109375" style="4" customWidth="1"/>
    <col min="2563" max="2568" width="10.7109375" style="4" customWidth="1"/>
    <col min="2569" max="2570" width="9.42578125" style="4" bestFit="1" customWidth="1"/>
    <col min="2571" max="2816" width="8.85546875" style="4"/>
    <col min="2817" max="2817" width="1.7109375" style="4" customWidth="1"/>
    <col min="2818" max="2818" width="40.7109375" style="4" customWidth="1"/>
    <col min="2819" max="2824" width="10.7109375" style="4" customWidth="1"/>
    <col min="2825" max="2826" width="9.42578125" style="4" bestFit="1" customWidth="1"/>
    <col min="2827" max="3072" width="8.85546875" style="4"/>
    <col min="3073" max="3073" width="1.7109375" style="4" customWidth="1"/>
    <col min="3074" max="3074" width="40.7109375" style="4" customWidth="1"/>
    <col min="3075" max="3080" width="10.7109375" style="4" customWidth="1"/>
    <col min="3081" max="3082" width="9.42578125" style="4" bestFit="1" customWidth="1"/>
    <col min="3083" max="3328" width="8.85546875" style="4"/>
    <col min="3329" max="3329" width="1.7109375" style="4" customWidth="1"/>
    <col min="3330" max="3330" width="40.7109375" style="4" customWidth="1"/>
    <col min="3331" max="3336" width="10.7109375" style="4" customWidth="1"/>
    <col min="3337" max="3338" width="9.42578125" style="4" bestFit="1" customWidth="1"/>
    <col min="3339" max="3584" width="8.85546875" style="4"/>
    <col min="3585" max="3585" width="1.7109375" style="4" customWidth="1"/>
    <col min="3586" max="3586" width="40.7109375" style="4" customWidth="1"/>
    <col min="3587" max="3592" width="10.7109375" style="4" customWidth="1"/>
    <col min="3593" max="3594" width="9.42578125" style="4" bestFit="1" customWidth="1"/>
    <col min="3595" max="3840" width="8.85546875" style="4"/>
    <col min="3841" max="3841" width="1.7109375" style="4" customWidth="1"/>
    <col min="3842" max="3842" width="40.7109375" style="4" customWidth="1"/>
    <col min="3843" max="3848" width="10.7109375" style="4" customWidth="1"/>
    <col min="3849" max="3850" width="9.42578125" style="4" bestFit="1" customWidth="1"/>
    <col min="3851" max="4096" width="8.85546875" style="4"/>
    <col min="4097" max="4097" width="1.7109375" style="4" customWidth="1"/>
    <col min="4098" max="4098" width="40.7109375" style="4" customWidth="1"/>
    <col min="4099" max="4104" width="10.7109375" style="4" customWidth="1"/>
    <col min="4105" max="4106" width="9.42578125" style="4" bestFit="1" customWidth="1"/>
    <col min="4107" max="4352" width="8.85546875" style="4"/>
    <col min="4353" max="4353" width="1.7109375" style="4" customWidth="1"/>
    <col min="4354" max="4354" width="40.7109375" style="4" customWidth="1"/>
    <col min="4355" max="4360" width="10.7109375" style="4" customWidth="1"/>
    <col min="4361" max="4362" width="9.42578125" style="4" bestFit="1" customWidth="1"/>
    <col min="4363" max="4608" width="8.85546875" style="4"/>
    <col min="4609" max="4609" width="1.7109375" style="4" customWidth="1"/>
    <col min="4610" max="4610" width="40.7109375" style="4" customWidth="1"/>
    <col min="4611" max="4616" width="10.7109375" style="4" customWidth="1"/>
    <col min="4617" max="4618" width="9.42578125" style="4" bestFit="1" customWidth="1"/>
    <col min="4619" max="4864" width="8.85546875" style="4"/>
    <col min="4865" max="4865" width="1.7109375" style="4" customWidth="1"/>
    <col min="4866" max="4866" width="40.7109375" style="4" customWidth="1"/>
    <col min="4867" max="4872" width="10.7109375" style="4" customWidth="1"/>
    <col min="4873" max="4874" width="9.42578125" style="4" bestFit="1" customWidth="1"/>
    <col min="4875" max="5120" width="8.85546875" style="4"/>
    <col min="5121" max="5121" width="1.7109375" style="4" customWidth="1"/>
    <col min="5122" max="5122" width="40.7109375" style="4" customWidth="1"/>
    <col min="5123" max="5128" width="10.7109375" style="4" customWidth="1"/>
    <col min="5129" max="5130" width="9.42578125" style="4" bestFit="1" customWidth="1"/>
    <col min="5131" max="5376" width="8.85546875" style="4"/>
    <col min="5377" max="5377" width="1.7109375" style="4" customWidth="1"/>
    <col min="5378" max="5378" width="40.7109375" style="4" customWidth="1"/>
    <col min="5379" max="5384" width="10.7109375" style="4" customWidth="1"/>
    <col min="5385" max="5386" width="9.42578125" style="4" bestFit="1" customWidth="1"/>
    <col min="5387" max="5632" width="8.85546875" style="4"/>
    <col min="5633" max="5633" width="1.7109375" style="4" customWidth="1"/>
    <col min="5634" max="5634" width="40.7109375" style="4" customWidth="1"/>
    <col min="5635" max="5640" width="10.7109375" style="4" customWidth="1"/>
    <col min="5641" max="5642" width="9.42578125" style="4" bestFit="1" customWidth="1"/>
    <col min="5643" max="5888" width="8.85546875" style="4"/>
    <col min="5889" max="5889" width="1.7109375" style="4" customWidth="1"/>
    <col min="5890" max="5890" width="40.7109375" style="4" customWidth="1"/>
    <col min="5891" max="5896" width="10.7109375" style="4" customWidth="1"/>
    <col min="5897" max="5898" width="9.42578125" style="4" bestFit="1" customWidth="1"/>
    <col min="5899" max="6144" width="8.85546875" style="4"/>
    <col min="6145" max="6145" width="1.7109375" style="4" customWidth="1"/>
    <col min="6146" max="6146" width="40.7109375" style="4" customWidth="1"/>
    <col min="6147" max="6152" width="10.7109375" style="4" customWidth="1"/>
    <col min="6153" max="6154" width="9.42578125" style="4" bestFit="1" customWidth="1"/>
    <col min="6155" max="6400" width="8.85546875" style="4"/>
    <col min="6401" max="6401" width="1.7109375" style="4" customWidth="1"/>
    <col min="6402" max="6402" width="40.7109375" style="4" customWidth="1"/>
    <col min="6403" max="6408" width="10.7109375" style="4" customWidth="1"/>
    <col min="6409" max="6410" width="9.42578125" style="4" bestFit="1" customWidth="1"/>
    <col min="6411" max="6656" width="8.85546875" style="4"/>
    <col min="6657" max="6657" width="1.7109375" style="4" customWidth="1"/>
    <col min="6658" max="6658" width="40.7109375" style="4" customWidth="1"/>
    <col min="6659" max="6664" width="10.7109375" style="4" customWidth="1"/>
    <col min="6665" max="6666" width="9.42578125" style="4" bestFit="1" customWidth="1"/>
    <col min="6667" max="6912" width="8.85546875" style="4"/>
    <col min="6913" max="6913" width="1.7109375" style="4" customWidth="1"/>
    <col min="6914" max="6914" width="40.7109375" style="4" customWidth="1"/>
    <col min="6915" max="6920" width="10.7109375" style="4" customWidth="1"/>
    <col min="6921" max="6922" width="9.42578125" style="4" bestFit="1" customWidth="1"/>
    <col min="6923" max="7168" width="8.85546875" style="4"/>
    <col min="7169" max="7169" width="1.7109375" style="4" customWidth="1"/>
    <col min="7170" max="7170" width="40.7109375" style="4" customWidth="1"/>
    <col min="7171" max="7176" width="10.7109375" style="4" customWidth="1"/>
    <col min="7177" max="7178" width="9.42578125" style="4" bestFit="1" customWidth="1"/>
    <col min="7179" max="7424" width="8.85546875" style="4"/>
    <col min="7425" max="7425" width="1.7109375" style="4" customWidth="1"/>
    <col min="7426" max="7426" width="40.7109375" style="4" customWidth="1"/>
    <col min="7427" max="7432" width="10.7109375" style="4" customWidth="1"/>
    <col min="7433" max="7434" width="9.42578125" style="4" bestFit="1" customWidth="1"/>
    <col min="7435" max="7680" width="8.85546875" style="4"/>
    <col min="7681" max="7681" width="1.7109375" style="4" customWidth="1"/>
    <col min="7682" max="7682" width="40.7109375" style="4" customWidth="1"/>
    <col min="7683" max="7688" width="10.7109375" style="4" customWidth="1"/>
    <col min="7689" max="7690" width="9.42578125" style="4" bestFit="1" customWidth="1"/>
    <col min="7691" max="7936" width="8.85546875" style="4"/>
    <col min="7937" max="7937" width="1.7109375" style="4" customWidth="1"/>
    <col min="7938" max="7938" width="40.7109375" style="4" customWidth="1"/>
    <col min="7939" max="7944" width="10.7109375" style="4" customWidth="1"/>
    <col min="7945" max="7946" width="9.42578125" style="4" bestFit="1" customWidth="1"/>
    <col min="7947" max="8192" width="8.85546875" style="4"/>
    <col min="8193" max="8193" width="1.7109375" style="4" customWidth="1"/>
    <col min="8194" max="8194" width="40.7109375" style="4" customWidth="1"/>
    <col min="8195" max="8200" width="10.7109375" style="4" customWidth="1"/>
    <col min="8201" max="8202" width="9.42578125" style="4" bestFit="1" customWidth="1"/>
    <col min="8203" max="8448" width="8.85546875" style="4"/>
    <col min="8449" max="8449" width="1.7109375" style="4" customWidth="1"/>
    <col min="8450" max="8450" width="40.7109375" style="4" customWidth="1"/>
    <col min="8451" max="8456" width="10.7109375" style="4" customWidth="1"/>
    <col min="8457" max="8458" width="9.42578125" style="4" bestFit="1" customWidth="1"/>
    <col min="8459" max="8704" width="8.85546875" style="4"/>
    <col min="8705" max="8705" width="1.7109375" style="4" customWidth="1"/>
    <col min="8706" max="8706" width="40.7109375" style="4" customWidth="1"/>
    <col min="8707" max="8712" width="10.7109375" style="4" customWidth="1"/>
    <col min="8713" max="8714" width="9.42578125" style="4" bestFit="1" customWidth="1"/>
    <col min="8715" max="8960" width="8.85546875" style="4"/>
    <col min="8961" max="8961" width="1.7109375" style="4" customWidth="1"/>
    <col min="8962" max="8962" width="40.7109375" style="4" customWidth="1"/>
    <col min="8963" max="8968" width="10.7109375" style="4" customWidth="1"/>
    <col min="8969" max="8970" width="9.42578125" style="4" bestFit="1" customWidth="1"/>
    <col min="8971" max="9216" width="8.85546875" style="4"/>
    <col min="9217" max="9217" width="1.7109375" style="4" customWidth="1"/>
    <col min="9218" max="9218" width="40.7109375" style="4" customWidth="1"/>
    <col min="9219" max="9224" width="10.7109375" style="4" customWidth="1"/>
    <col min="9225" max="9226" width="9.42578125" style="4" bestFit="1" customWidth="1"/>
    <col min="9227" max="9472" width="8.85546875" style="4"/>
    <col min="9473" max="9473" width="1.7109375" style="4" customWidth="1"/>
    <col min="9474" max="9474" width="40.7109375" style="4" customWidth="1"/>
    <col min="9475" max="9480" width="10.7109375" style="4" customWidth="1"/>
    <col min="9481" max="9482" width="9.42578125" style="4" bestFit="1" customWidth="1"/>
    <col min="9483" max="9728" width="8.85546875" style="4"/>
    <col min="9729" max="9729" width="1.7109375" style="4" customWidth="1"/>
    <col min="9730" max="9730" width="40.7109375" style="4" customWidth="1"/>
    <col min="9731" max="9736" width="10.7109375" style="4" customWidth="1"/>
    <col min="9737" max="9738" width="9.42578125" style="4" bestFit="1" customWidth="1"/>
    <col min="9739" max="9984" width="8.85546875" style="4"/>
    <col min="9985" max="9985" width="1.7109375" style="4" customWidth="1"/>
    <col min="9986" max="9986" width="40.7109375" style="4" customWidth="1"/>
    <col min="9987" max="9992" width="10.7109375" style="4" customWidth="1"/>
    <col min="9993" max="9994" width="9.42578125" style="4" bestFit="1" customWidth="1"/>
    <col min="9995" max="10240" width="8.85546875" style="4"/>
    <col min="10241" max="10241" width="1.7109375" style="4" customWidth="1"/>
    <col min="10242" max="10242" width="40.7109375" style="4" customWidth="1"/>
    <col min="10243" max="10248" width="10.7109375" style="4" customWidth="1"/>
    <col min="10249" max="10250" width="9.42578125" style="4" bestFit="1" customWidth="1"/>
    <col min="10251" max="10496" width="8.85546875" style="4"/>
    <col min="10497" max="10497" width="1.7109375" style="4" customWidth="1"/>
    <col min="10498" max="10498" width="40.7109375" style="4" customWidth="1"/>
    <col min="10499" max="10504" width="10.7109375" style="4" customWidth="1"/>
    <col min="10505" max="10506" width="9.42578125" style="4" bestFit="1" customWidth="1"/>
    <col min="10507" max="10752" width="8.85546875" style="4"/>
    <col min="10753" max="10753" width="1.7109375" style="4" customWidth="1"/>
    <col min="10754" max="10754" width="40.7109375" style="4" customWidth="1"/>
    <col min="10755" max="10760" width="10.7109375" style="4" customWidth="1"/>
    <col min="10761" max="10762" width="9.42578125" style="4" bestFit="1" customWidth="1"/>
    <col min="10763" max="11008" width="8.85546875" style="4"/>
    <col min="11009" max="11009" width="1.7109375" style="4" customWidth="1"/>
    <col min="11010" max="11010" width="40.7109375" style="4" customWidth="1"/>
    <col min="11011" max="11016" width="10.7109375" style="4" customWidth="1"/>
    <col min="11017" max="11018" width="9.42578125" style="4" bestFit="1" customWidth="1"/>
    <col min="11019" max="11264" width="8.85546875" style="4"/>
    <col min="11265" max="11265" width="1.7109375" style="4" customWidth="1"/>
    <col min="11266" max="11266" width="40.7109375" style="4" customWidth="1"/>
    <col min="11267" max="11272" width="10.7109375" style="4" customWidth="1"/>
    <col min="11273" max="11274" width="9.42578125" style="4" bestFit="1" customWidth="1"/>
    <col min="11275" max="11520" width="8.85546875" style="4"/>
    <col min="11521" max="11521" width="1.7109375" style="4" customWidth="1"/>
    <col min="11522" max="11522" width="40.7109375" style="4" customWidth="1"/>
    <col min="11523" max="11528" width="10.7109375" style="4" customWidth="1"/>
    <col min="11529" max="11530" width="9.42578125" style="4" bestFit="1" customWidth="1"/>
    <col min="11531" max="11776" width="8.85546875" style="4"/>
    <col min="11777" max="11777" width="1.7109375" style="4" customWidth="1"/>
    <col min="11778" max="11778" width="40.7109375" style="4" customWidth="1"/>
    <col min="11779" max="11784" width="10.7109375" style="4" customWidth="1"/>
    <col min="11785" max="11786" width="9.42578125" style="4" bestFit="1" customWidth="1"/>
    <col min="11787" max="12032" width="8.85546875" style="4"/>
    <col min="12033" max="12033" width="1.7109375" style="4" customWidth="1"/>
    <col min="12034" max="12034" width="40.7109375" style="4" customWidth="1"/>
    <col min="12035" max="12040" width="10.7109375" style="4" customWidth="1"/>
    <col min="12041" max="12042" width="9.42578125" style="4" bestFit="1" customWidth="1"/>
    <col min="12043" max="12288" width="8.85546875" style="4"/>
    <col min="12289" max="12289" width="1.7109375" style="4" customWidth="1"/>
    <col min="12290" max="12290" width="40.7109375" style="4" customWidth="1"/>
    <col min="12291" max="12296" width="10.7109375" style="4" customWidth="1"/>
    <col min="12297" max="12298" width="9.42578125" style="4" bestFit="1" customWidth="1"/>
    <col min="12299" max="12544" width="8.85546875" style="4"/>
    <col min="12545" max="12545" width="1.7109375" style="4" customWidth="1"/>
    <col min="12546" max="12546" width="40.7109375" style="4" customWidth="1"/>
    <col min="12547" max="12552" width="10.7109375" style="4" customWidth="1"/>
    <col min="12553" max="12554" width="9.42578125" style="4" bestFit="1" customWidth="1"/>
    <col min="12555" max="12800" width="8.85546875" style="4"/>
    <col min="12801" max="12801" width="1.7109375" style="4" customWidth="1"/>
    <col min="12802" max="12802" width="40.7109375" style="4" customWidth="1"/>
    <col min="12803" max="12808" width="10.7109375" style="4" customWidth="1"/>
    <col min="12809" max="12810" width="9.42578125" style="4" bestFit="1" customWidth="1"/>
    <col min="12811" max="13056" width="8.85546875" style="4"/>
    <col min="13057" max="13057" width="1.7109375" style="4" customWidth="1"/>
    <col min="13058" max="13058" width="40.7109375" style="4" customWidth="1"/>
    <col min="13059" max="13064" width="10.7109375" style="4" customWidth="1"/>
    <col min="13065" max="13066" width="9.42578125" style="4" bestFit="1" customWidth="1"/>
    <col min="13067" max="13312" width="8.85546875" style="4"/>
    <col min="13313" max="13313" width="1.7109375" style="4" customWidth="1"/>
    <col min="13314" max="13314" width="40.7109375" style="4" customWidth="1"/>
    <col min="13315" max="13320" width="10.7109375" style="4" customWidth="1"/>
    <col min="13321" max="13322" width="9.42578125" style="4" bestFit="1" customWidth="1"/>
    <col min="13323" max="13568" width="8.85546875" style="4"/>
    <col min="13569" max="13569" width="1.7109375" style="4" customWidth="1"/>
    <col min="13570" max="13570" width="40.7109375" style="4" customWidth="1"/>
    <col min="13571" max="13576" width="10.7109375" style="4" customWidth="1"/>
    <col min="13577" max="13578" width="9.42578125" style="4" bestFit="1" customWidth="1"/>
    <col min="13579" max="13824" width="8.85546875" style="4"/>
    <col min="13825" max="13825" width="1.7109375" style="4" customWidth="1"/>
    <col min="13826" max="13826" width="40.7109375" style="4" customWidth="1"/>
    <col min="13827" max="13832" width="10.7109375" style="4" customWidth="1"/>
    <col min="13833" max="13834" width="9.42578125" style="4" bestFit="1" customWidth="1"/>
    <col min="13835" max="14080" width="8.85546875" style="4"/>
    <col min="14081" max="14081" width="1.7109375" style="4" customWidth="1"/>
    <col min="14082" max="14082" width="40.7109375" style="4" customWidth="1"/>
    <col min="14083" max="14088" width="10.7109375" style="4" customWidth="1"/>
    <col min="14089" max="14090" width="9.42578125" style="4" bestFit="1" customWidth="1"/>
    <col min="14091" max="14336" width="8.85546875" style="4"/>
    <col min="14337" max="14337" width="1.7109375" style="4" customWidth="1"/>
    <col min="14338" max="14338" width="40.7109375" style="4" customWidth="1"/>
    <col min="14339" max="14344" width="10.7109375" style="4" customWidth="1"/>
    <col min="14345" max="14346" width="9.42578125" style="4" bestFit="1" customWidth="1"/>
    <col min="14347" max="14592" width="8.85546875" style="4"/>
    <col min="14593" max="14593" width="1.7109375" style="4" customWidth="1"/>
    <col min="14594" max="14594" width="40.7109375" style="4" customWidth="1"/>
    <col min="14595" max="14600" width="10.7109375" style="4" customWidth="1"/>
    <col min="14601" max="14602" width="9.42578125" style="4" bestFit="1" customWidth="1"/>
    <col min="14603" max="14848" width="8.85546875" style="4"/>
    <col min="14849" max="14849" width="1.7109375" style="4" customWidth="1"/>
    <col min="14850" max="14850" width="40.7109375" style="4" customWidth="1"/>
    <col min="14851" max="14856" width="10.7109375" style="4" customWidth="1"/>
    <col min="14857" max="14858" width="9.42578125" style="4" bestFit="1" customWidth="1"/>
    <col min="14859" max="15104" width="8.85546875" style="4"/>
    <col min="15105" max="15105" width="1.7109375" style="4" customWidth="1"/>
    <col min="15106" max="15106" width="40.7109375" style="4" customWidth="1"/>
    <col min="15107" max="15112" width="10.7109375" style="4" customWidth="1"/>
    <col min="15113" max="15114" width="9.42578125" style="4" bestFit="1" customWidth="1"/>
    <col min="15115" max="15360" width="8.85546875" style="4"/>
    <col min="15361" max="15361" width="1.7109375" style="4" customWidth="1"/>
    <col min="15362" max="15362" width="40.7109375" style="4" customWidth="1"/>
    <col min="15363" max="15368" width="10.7109375" style="4" customWidth="1"/>
    <col min="15369" max="15370" width="9.42578125" style="4" bestFit="1" customWidth="1"/>
    <col min="15371" max="15616" width="8.85546875" style="4"/>
    <col min="15617" max="15617" width="1.7109375" style="4" customWidth="1"/>
    <col min="15618" max="15618" width="40.7109375" style="4" customWidth="1"/>
    <col min="15619" max="15624" width="10.7109375" style="4" customWidth="1"/>
    <col min="15625" max="15626" width="9.42578125" style="4" bestFit="1" customWidth="1"/>
    <col min="15627" max="15872" width="8.85546875" style="4"/>
    <col min="15873" max="15873" width="1.7109375" style="4" customWidth="1"/>
    <col min="15874" max="15874" width="40.7109375" style="4" customWidth="1"/>
    <col min="15875" max="15880" width="10.7109375" style="4" customWidth="1"/>
    <col min="15881" max="15882" width="9.42578125" style="4" bestFit="1" customWidth="1"/>
    <col min="15883" max="16128" width="8.85546875" style="4"/>
    <col min="16129" max="16129" width="1.7109375" style="4" customWidth="1"/>
    <col min="16130" max="16130" width="40.7109375" style="4" customWidth="1"/>
    <col min="16131" max="16136" width="10.7109375" style="4" customWidth="1"/>
    <col min="16137" max="16138" width="9.42578125" style="4" bestFit="1" customWidth="1"/>
    <col min="16139" max="16384" width="8.85546875" style="4"/>
  </cols>
  <sheetData>
    <row r="1" spans="1:16" s="2" customFormat="1" ht="19.5" x14ac:dyDescent="0.3">
      <c r="A1" s="244" t="str">
        <f>CoName</f>
        <v>NVIDIA Corp.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  <c r="N1" s="42" t="s">
        <v>1</v>
      </c>
      <c r="O1" s="42" t="s">
        <v>1</v>
      </c>
    </row>
    <row r="2" spans="1:16" s="2" customFormat="1" x14ac:dyDescent="0.25">
      <c r="A2" s="16" t="s">
        <v>10</v>
      </c>
      <c r="B2" s="195"/>
      <c r="C2" s="253">
        <v>2023</v>
      </c>
      <c r="D2" s="253">
        <f>C2+1</f>
        <v>2024</v>
      </c>
      <c r="E2" s="253">
        <f t="shared" ref="E2:M2" si="0">D2+1</f>
        <v>2025</v>
      </c>
      <c r="F2" s="253">
        <f t="shared" si="0"/>
        <v>2026</v>
      </c>
      <c r="G2" s="253">
        <f t="shared" si="0"/>
        <v>2027</v>
      </c>
      <c r="H2" s="253">
        <f t="shared" si="0"/>
        <v>2028</v>
      </c>
      <c r="I2" s="253">
        <f t="shared" si="0"/>
        <v>2029</v>
      </c>
      <c r="J2" s="253">
        <f t="shared" si="0"/>
        <v>2030</v>
      </c>
      <c r="K2" s="253">
        <f t="shared" si="0"/>
        <v>2031</v>
      </c>
      <c r="L2" s="253">
        <f t="shared" si="0"/>
        <v>2032</v>
      </c>
      <c r="M2" s="253">
        <f t="shared" si="0"/>
        <v>2033</v>
      </c>
      <c r="N2" s="253">
        <f>M2+1</f>
        <v>2034</v>
      </c>
      <c r="O2" s="253">
        <f>N2+1</f>
        <v>2035</v>
      </c>
    </row>
    <row r="3" spans="1:16" s="2" customFormat="1" x14ac:dyDescent="0.25">
      <c r="A3" s="87"/>
      <c r="B3" s="11"/>
      <c r="C3" s="196"/>
      <c r="D3" s="196"/>
      <c r="E3" s="196"/>
      <c r="F3" s="196"/>
      <c r="G3" s="196"/>
      <c r="H3" s="196"/>
      <c r="I3" s="196"/>
      <c r="J3" s="196"/>
      <c r="K3" s="200"/>
      <c r="L3" s="200"/>
      <c r="M3" s="200"/>
      <c r="N3" s="200"/>
      <c r="O3" s="200"/>
    </row>
    <row r="4" spans="1:16" s="2" customFormat="1" x14ac:dyDescent="0.25">
      <c r="A4" s="11"/>
      <c r="B4" s="4" t="s">
        <v>25</v>
      </c>
      <c r="C4" s="31"/>
      <c r="D4" s="56"/>
      <c r="E4" s="60"/>
      <c r="F4" s="111">
        <f>Assumptions!F24</f>
        <v>0</v>
      </c>
      <c r="G4" s="111">
        <f>Assumptions!G24</f>
        <v>0</v>
      </c>
      <c r="H4" s="111">
        <f>Assumptions!H24</f>
        <v>0</v>
      </c>
      <c r="I4" s="111">
        <f>Assumptions!I24</f>
        <v>0</v>
      </c>
      <c r="J4" s="111">
        <f>Assumptions!J24</f>
        <v>0</v>
      </c>
      <c r="K4" s="111">
        <f>Assumptions!K24</f>
        <v>0</v>
      </c>
      <c r="L4" s="111">
        <f>Assumptions!L24</f>
        <v>0</v>
      </c>
      <c r="M4" s="111">
        <f>Assumptions!M24</f>
        <v>0</v>
      </c>
      <c r="N4" s="111">
        <f>Assumptions!N24</f>
        <v>0</v>
      </c>
      <c r="O4" s="111">
        <f>Assumptions!O24</f>
        <v>0</v>
      </c>
    </row>
    <row r="5" spans="1:16" s="2" customFormat="1" x14ac:dyDescent="0.25">
      <c r="A5" s="11"/>
      <c r="B5" s="4" t="s">
        <v>26</v>
      </c>
      <c r="C5" s="31"/>
      <c r="D5" s="57"/>
      <c r="E5" s="61"/>
      <c r="F5" s="111">
        <f>Assumptions!F25</f>
        <v>2.9000000000000001E-2</v>
      </c>
      <c r="G5" s="111">
        <f>Assumptions!G25</f>
        <v>2.9000000000000001E-2</v>
      </c>
      <c r="H5" s="111">
        <f>Assumptions!H25</f>
        <v>2.9000000000000001E-2</v>
      </c>
      <c r="I5" s="111">
        <f>Assumptions!I25</f>
        <v>2.9000000000000001E-2</v>
      </c>
      <c r="J5" s="111">
        <f>Assumptions!J25</f>
        <v>2.9000000000000001E-2</v>
      </c>
      <c r="K5" s="111">
        <f>Assumptions!K25</f>
        <v>2.9000000000000001E-2</v>
      </c>
      <c r="L5" s="111">
        <f>Assumptions!L25</f>
        <v>2.9000000000000001E-2</v>
      </c>
      <c r="M5" s="111">
        <f>Assumptions!M25</f>
        <v>2.9000000000000001E-2</v>
      </c>
      <c r="N5" s="111">
        <f>Assumptions!N25</f>
        <v>2.9000000000000001E-2</v>
      </c>
      <c r="O5" s="111">
        <f>Assumptions!O25</f>
        <v>2.9000000000000001E-2</v>
      </c>
    </row>
    <row r="6" spans="1:16" s="2" customFormat="1" x14ac:dyDescent="0.25">
      <c r="A6" s="11"/>
      <c r="B6" s="4" t="s">
        <v>27</v>
      </c>
      <c r="C6" s="31"/>
      <c r="D6" s="56"/>
      <c r="E6" s="60"/>
      <c r="F6" s="111">
        <f>Assumptions!F26</f>
        <v>0.05</v>
      </c>
      <c r="G6" s="111">
        <f>Assumptions!G26</f>
        <v>0.05</v>
      </c>
      <c r="H6" s="111">
        <f>Assumptions!H26</f>
        <v>0.05</v>
      </c>
      <c r="I6" s="111">
        <f>Assumptions!I26</f>
        <v>0.05</v>
      </c>
      <c r="J6" s="111">
        <f>Assumptions!J26</f>
        <v>0.05</v>
      </c>
      <c r="K6" s="111">
        <f>Assumptions!K26</f>
        <v>0.05</v>
      </c>
      <c r="L6" s="111">
        <f>Assumptions!L26</f>
        <v>0.05</v>
      </c>
      <c r="M6" s="111">
        <f>Assumptions!M26</f>
        <v>0.05</v>
      </c>
      <c r="N6" s="111">
        <f>Assumptions!N26</f>
        <v>0.05</v>
      </c>
      <c r="O6" s="111">
        <f>Assumptions!O26</f>
        <v>0.05</v>
      </c>
    </row>
    <row r="7" spans="1:16" s="2" customFormat="1" x14ac:dyDescent="0.25">
      <c r="A7" s="11"/>
      <c r="B7" s="4"/>
      <c r="C7" s="31"/>
      <c r="D7" s="31"/>
      <c r="E7" s="31"/>
      <c r="F7" s="109"/>
      <c r="G7" s="109"/>
      <c r="H7" s="109"/>
      <c r="I7" s="110"/>
      <c r="J7" s="110"/>
      <c r="K7" s="110"/>
      <c r="L7" s="110"/>
      <c r="M7" s="110"/>
      <c r="N7" s="110"/>
      <c r="O7" s="110"/>
    </row>
    <row r="8" spans="1:16" s="2" customFormat="1" x14ac:dyDescent="0.25">
      <c r="A8" s="11"/>
      <c r="B8" s="4" t="s">
        <v>28</v>
      </c>
      <c r="C8" s="31"/>
      <c r="D8" s="58"/>
      <c r="E8" s="62"/>
      <c r="F8" s="112">
        <f>Assumptions!F28</f>
        <v>0</v>
      </c>
      <c r="G8" s="112">
        <f>Assumptions!G28</f>
        <v>0</v>
      </c>
      <c r="H8" s="112">
        <f>Assumptions!H28</f>
        <v>0</v>
      </c>
      <c r="I8" s="112">
        <f>Assumptions!I28</f>
        <v>0</v>
      </c>
      <c r="J8" s="112">
        <f>Assumptions!J28</f>
        <v>0</v>
      </c>
      <c r="K8" s="112">
        <f>Assumptions!K28</f>
        <v>0</v>
      </c>
      <c r="L8" s="112">
        <f>Assumptions!L28</f>
        <v>0</v>
      </c>
      <c r="M8" s="112">
        <f>Assumptions!M28</f>
        <v>0</v>
      </c>
      <c r="N8" s="112">
        <f>Assumptions!N28</f>
        <v>0</v>
      </c>
      <c r="O8" s="112">
        <f>Assumptions!O28</f>
        <v>0</v>
      </c>
    </row>
    <row r="9" spans="1:16" s="2" customFormat="1" x14ac:dyDescent="0.25">
      <c r="A9" s="11"/>
      <c r="B9" s="4" t="s">
        <v>29</v>
      </c>
      <c r="C9" s="31"/>
      <c r="D9" s="58"/>
      <c r="E9" s="62"/>
      <c r="F9" s="112">
        <f>Assumptions!F29</f>
        <v>0</v>
      </c>
      <c r="G9" s="112">
        <f>Assumptions!G29</f>
        <v>0</v>
      </c>
      <c r="H9" s="112">
        <f>Assumptions!H29</f>
        <v>0</v>
      </c>
      <c r="I9" s="112">
        <f>Assumptions!I29</f>
        <v>0</v>
      </c>
      <c r="J9" s="112">
        <f>Assumptions!J29</f>
        <v>0</v>
      </c>
      <c r="K9" s="112">
        <f>Assumptions!K29</f>
        <v>0</v>
      </c>
      <c r="L9" s="112">
        <f>Assumptions!L29</f>
        <v>0</v>
      </c>
      <c r="M9" s="201">
        <f>Assumptions!M29</f>
        <v>0</v>
      </c>
      <c r="N9" s="201">
        <f>Assumptions!N29</f>
        <v>0</v>
      </c>
      <c r="O9" s="201">
        <f>Assumptions!O29</f>
        <v>0</v>
      </c>
    </row>
    <row r="10" spans="1:16" s="2" customFormat="1" ht="18.75" x14ac:dyDescent="0.3">
      <c r="A10" s="34"/>
      <c r="B10" s="3"/>
      <c r="C10" s="54"/>
      <c r="D10" s="54"/>
      <c r="E10" s="54"/>
      <c r="F10" s="108"/>
      <c r="G10" s="108"/>
      <c r="H10" s="108"/>
      <c r="I10" s="108"/>
      <c r="J10" s="108"/>
      <c r="K10" s="108"/>
      <c r="L10" s="108"/>
      <c r="M10" s="108"/>
      <c r="N10" s="108"/>
      <c r="O10" s="108"/>
    </row>
    <row r="11" spans="1:16" x14ac:dyDescent="0.25">
      <c r="A11" s="21" t="s">
        <v>30</v>
      </c>
      <c r="B11" s="55"/>
      <c r="C11" s="242">
        <v>2023</v>
      </c>
      <c r="D11" s="242">
        <f>C11+1</f>
        <v>2024</v>
      </c>
      <c r="E11" s="242">
        <f t="shared" ref="E11:M11" si="1">D11+1</f>
        <v>2025</v>
      </c>
      <c r="F11" s="242">
        <f t="shared" si="1"/>
        <v>2026</v>
      </c>
      <c r="G11" s="242">
        <f t="shared" si="1"/>
        <v>2027</v>
      </c>
      <c r="H11" s="242">
        <f t="shared" si="1"/>
        <v>2028</v>
      </c>
      <c r="I11" s="242">
        <f t="shared" si="1"/>
        <v>2029</v>
      </c>
      <c r="J11" s="242">
        <f t="shared" si="1"/>
        <v>2030</v>
      </c>
      <c r="K11" s="242">
        <f t="shared" si="1"/>
        <v>2031</v>
      </c>
      <c r="L11" s="242">
        <f t="shared" si="1"/>
        <v>2032</v>
      </c>
      <c r="M11" s="242">
        <f t="shared" si="1"/>
        <v>2033</v>
      </c>
      <c r="N11" s="242">
        <f>M11+1</f>
        <v>2034</v>
      </c>
      <c r="O11" s="242">
        <f>N11+1</f>
        <v>2035</v>
      </c>
      <c r="P11" s="48"/>
    </row>
    <row r="12" spans="1:16" x14ac:dyDescent="0.25">
      <c r="B12" s="4" t="s">
        <v>31</v>
      </c>
      <c r="E12" s="28"/>
      <c r="F12" s="4" t="s">
        <v>222</v>
      </c>
      <c r="I12" s="4"/>
      <c r="J12" s="4"/>
      <c r="P12" s="48"/>
    </row>
    <row r="13" spans="1:16" x14ac:dyDescent="0.25">
      <c r="B13" s="4" t="s">
        <v>32</v>
      </c>
      <c r="E13" s="29"/>
      <c r="I13" s="4"/>
      <c r="J13" s="4"/>
      <c r="P13" s="48"/>
    </row>
    <row r="14" spans="1:16" x14ac:dyDescent="0.25">
      <c r="B14" s="4" t="s">
        <v>33</v>
      </c>
      <c r="E14" s="28"/>
      <c r="I14" s="4"/>
      <c r="J14" s="4"/>
      <c r="P14" s="48"/>
    </row>
    <row r="15" spans="1:16" x14ac:dyDescent="0.25">
      <c r="E15" s="28"/>
      <c r="I15" s="4"/>
      <c r="J15" s="4"/>
      <c r="P15" s="48"/>
    </row>
    <row r="16" spans="1:16" x14ac:dyDescent="0.25">
      <c r="A16" s="251" t="s">
        <v>34</v>
      </c>
      <c r="B16" s="20"/>
      <c r="C16" s="242">
        <v>2023</v>
      </c>
      <c r="D16" s="242">
        <f>C16+1</f>
        <v>2024</v>
      </c>
      <c r="E16" s="242">
        <f t="shared" ref="E16:M16" si="2">D16+1</f>
        <v>2025</v>
      </c>
      <c r="F16" s="242">
        <f t="shared" si="2"/>
        <v>2026</v>
      </c>
      <c r="G16" s="242">
        <f t="shared" si="2"/>
        <v>2027</v>
      </c>
      <c r="H16" s="242">
        <f t="shared" si="2"/>
        <v>2028</v>
      </c>
      <c r="I16" s="242">
        <f t="shared" si="2"/>
        <v>2029</v>
      </c>
      <c r="J16" s="242">
        <f t="shared" si="2"/>
        <v>2030</v>
      </c>
      <c r="K16" s="242">
        <f t="shared" si="2"/>
        <v>2031</v>
      </c>
      <c r="L16" s="242">
        <f t="shared" si="2"/>
        <v>2032</v>
      </c>
      <c r="M16" s="242">
        <f t="shared" si="2"/>
        <v>2033</v>
      </c>
      <c r="N16" s="242">
        <f>M16+1</f>
        <v>2034</v>
      </c>
      <c r="O16" s="242">
        <f>N16+1</f>
        <v>2035</v>
      </c>
      <c r="P16" s="48"/>
    </row>
    <row r="17" spans="1:16" x14ac:dyDescent="0.25">
      <c r="B17" s="4" t="s">
        <v>19</v>
      </c>
      <c r="E17" s="28"/>
      <c r="F17" s="4">
        <f>E20</f>
        <v>8463</v>
      </c>
      <c r="G17" s="4">
        <f t="shared" ref="G17:O17" si="3">F20</f>
        <v>8463</v>
      </c>
      <c r="H17" s="4">
        <f t="shared" si="3"/>
        <v>8463</v>
      </c>
      <c r="I17" s="4">
        <f t="shared" si="3"/>
        <v>8463</v>
      </c>
      <c r="J17" s="4">
        <f t="shared" si="3"/>
        <v>8463</v>
      </c>
      <c r="K17" s="4">
        <f t="shared" si="3"/>
        <v>8463</v>
      </c>
      <c r="L17" s="4">
        <f t="shared" si="3"/>
        <v>8463</v>
      </c>
      <c r="M17" s="4">
        <f t="shared" si="3"/>
        <v>8463</v>
      </c>
      <c r="N17" s="4">
        <f t="shared" si="3"/>
        <v>8463</v>
      </c>
      <c r="O17" s="4">
        <f t="shared" si="3"/>
        <v>8463</v>
      </c>
      <c r="P17" s="48"/>
    </row>
    <row r="18" spans="1:16" x14ac:dyDescent="0.25">
      <c r="B18" s="4" t="s">
        <v>35</v>
      </c>
      <c r="E18" s="28"/>
      <c r="F18" s="4">
        <f>F8</f>
        <v>0</v>
      </c>
      <c r="G18" s="4">
        <f t="shared" ref="G18:O18" si="4">G8</f>
        <v>0</v>
      </c>
      <c r="H18" s="4">
        <f t="shared" si="4"/>
        <v>0</v>
      </c>
      <c r="I18" s="4">
        <f t="shared" si="4"/>
        <v>0</v>
      </c>
      <c r="J18" s="4">
        <f t="shared" si="4"/>
        <v>0</v>
      </c>
      <c r="K18" s="4">
        <f t="shared" si="4"/>
        <v>0</v>
      </c>
      <c r="L18" s="4">
        <f t="shared" si="4"/>
        <v>0</v>
      </c>
      <c r="M18" s="4">
        <f t="shared" si="4"/>
        <v>0</v>
      </c>
      <c r="N18" s="4">
        <f t="shared" si="4"/>
        <v>0</v>
      </c>
      <c r="O18" s="4">
        <f t="shared" si="4"/>
        <v>0</v>
      </c>
      <c r="P18" s="48"/>
    </row>
    <row r="19" spans="1:16" x14ac:dyDescent="0.25">
      <c r="B19" s="4" t="s">
        <v>36</v>
      </c>
      <c r="E19" s="28"/>
      <c r="F19" s="4">
        <f>F9</f>
        <v>0</v>
      </c>
      <c r="G19" s="4">
        <f t="shared" ref="G19:O19" si="5">G9</f>
        <v>0</v>
      </c>
      <c r="H19" s="4">
        <f t="shared" si="5"/>
        <v>0</v>
      </c>
      <c r="I19" s="4">
        <f t="shared" si="5"/>
        <v>0</v>
      </c>
      <c r="J19" s="4">
        <f t="shared" si="5"/>
        <v>0</v>
      </c>
      <c r="K19" s="4">
        <f t="shared" si="5"/>
        <v>0</v>
      </c>
      <c r="L19" s="4">
        <f t="shared" si="5"/>
        <v>0</v>
      </c>
      <c r="M19" s="4">
        <f t="shared" si="5"/>
        <v>0</v>
      </c>
      <c r="N19" s="4">
        <f t="shared" si="5"/>
        <v>0</v>
      </c>
      <c r="O19" s="4">
        <f t="shared" si="5"/>
        <v>0</v>
      </c>
    </row>
    <row r="20" spans="1:16" x14ac:dyDescent="0.25">
      <c r="B20" s="4" t="s">
        <v>23</v>
      </c>
      <c r="C20" s="10"/>
      <c r="E20" s="28">
        <f>BalSheet!E34</f>
        <v>8463</v>
      </c>
      <c r="F20" s="4">
        <f>SUM(F17:F19)</f>
        <v>8463</v>
      </c>
      <c r="G20" s="4">
        <f t="shared" ref="G20:O20" si="6">SUM(G17:G19)</f>
        <v>8463</v>
      </c>
      <c r="H20" s="4">
        <f t="shared" si="6"/>
        <v>8463</v>
      </c>
      <c r="I20" s="4">
        <f t="shared" si="6"/>
        <v>8463</v>
      </c>
      <c r="J20" s="4">
        <f t="shared" si="6"/>
        <v>8463</v>
      </c>
      <c r="K20" s="4">
        <f t="shared" si="6"/>
        <v>8463</v>
      </c>
      <c r="L20" s="4">
        <f t="shared" si="6"/>
        <v>8463</v>
      </c>
      <c r="M20" s="4">
        <f t="shared" si="6"/>
        <v>8463</v>
      </c>
      <c r="N20" s="4">
        <f t="shared" si="6"/>
        <v>8463</v>
      </c>
      <c r="O20" s="4">
        <f t="shared" si="6"/>
        <v>8463</v>
      </c>
    </row>
    <row r="21" spans="1:16" x14ac:dyDescent="0.25">
      <c r="B21" s="4" t="s">
        <v>32</v>
      </c>
      <c r="D21" s="49"/>
      <c r="E21" s="28"/>
      <c r="F21" s="8">
        <f>F5</f>
        <v>2.9000000000000001E-2</v>
      </c>
      <c r="G21" s="8">
        <f t="shared" ref="G21:O21" si="7">G5</f>
        <v>2.9000000000000001E-2</v>
      </c>
      <c r="H21" s="8">
        <f t="shared" si="7"/>
        <v>2.9000000000000001E-2</v>
      </c>
      <c r="I21" s="8">
        <f t="shared" si="7"/>
        <v>2.9000000000000001E-2</v>
      </c>
      <c r="J21" s="8">
        <f t="shared" si="7"/>
        <v>2.9000000000000001E-2</v>
      </c>
      <c r="K21" s="8">
        <f t="shared" si="7"/>
        <v>2.9000000000000001E-2</v>
      </c>
      <c r="L21" s="8">
        <f t="shared" si="7"/>
        <v>2.9000000000000001E-2</v>
      </c>
      <c r="M21" s="8">
        <f t="shared" si="7"/>
        <v>2.9000000000000001E-2</v>
      </c>
      <c r="N21" s="8">
        <f t="shared" si="7"/>
        <v>2.9000000000000001E-2</v>
      </c>
      <c r="O21" s="8">
        <f t="shared" si="7"/>
        <v>2.9000000000000001E-2</v>
      </c>
    </row>
    <row r="22" spans="1:16" x14ac:dyDescent="0.25">
      <c r="B22" s="4" t="s">
        <v>33</v>
      </c>
      <c r="E22" s="28"/>
      <c r="F22" s="4">
        <f>F20*F21</f>
        <v>245.42700000000002</v>
      </c>
      <c r="G22" s="4">
        <f t="shared" ref="G22:O22" si="8">G20*G21</f>
        <v>245.42700000000002</v>
      </c>
      <c r="H22" s="4">
        <f t="shared" si="8"/>
        <v>245.42700000000002</v>
      </c>
      <c r="I22" s="4">
        <f t="shared" si="8"/>
        <v>245.42700000000002</v>
      </c>
      <c r="J22" s="4">
        <f t="shared" si="8"/>
        <v>245.42700000000002</v>
      </c>
      <c r="K22" s="4">
        <f t="shared" si="8"/>
        <v>245.42700000000002</v>
      </c>
      <c r="L22" s="4">
        <f t="shared" si="8"/>
        <v>245.42700000000002</v>
      </c>
      <c r="M22" s="4">
        <f t="shared" si="8"/>
        <v>245.42700000000002</v>
      </c>
      <c r="N22" s="4">
        <f t="shared" si="8"/>
        <v>245.42700000000002</v>
      </c>
      <c r="O22" s="4">
        <f t="shared" si="8"/>
        <v>245.42700000000002</v>
      </c>
    </row>
    <row r="23" spans="1:16" x14ac:dyDescent="0.25">
      <c r="E23" s="28"/>
      <c r="I23" s="4"/>
      <c r="J23" s="4"/>
    </row>
    <row r="24" spans="1:16" x14ac:dyDescent="0.25">
      <c r="A24" s="21" t="s">
        <v>37</v>
      </c>
      <c r="B24" s="43"/>
      <c r="C24" s="242">
        <v>2023</v>
      </c>
      <c r="D24" s="242">
        <f>C24+1</f>
        <v>2024</v>
      </c>
      <c r="E24" s="242">
        <f t="shared" ref="E24:M24" si="9">D24+1</f>
        <v>2025</v>
      </c>
      <c r="F24" s="242">
        <f t="shared" si="9"/>
        <v>2026</v>
      </c>
      <c r="G24" s="242">
        <f t="shared" si="9"/>
        <v>2027</v>
      </c>
      <c r="H24" s="242">
        <f t="shared" si="9"/>
        <v>2028</v>
      </c>
      <c r="I24" s="242">
        <f t="shared" si="9"/>
        <v>2029</v>
      </c>
      <c r="J24" s="242">
        <f t="shared" si="9"/>
        <v>2030</v>
      </c>
      <c r="K24" s="242">
        <f t="shared" si="9"/>
        <v>2031</v>
      </c>
      <c r="L24" s="242">
        <f t="shared" si="9"/>
        <v>2032</v>
      </c>
      <c r="M24" s="242">
        <f t="shared" si="9"/>
        <v>2033</v>
      </c>
      <c r="N24" s="242">
        <f>M24+1</f>
        <v>2034</v>
      </c>
      <c r="O24" s="242">
        <f>N24+1</f>
        <v>2035</v>
      </c>
    </row>
    <row r="25" spans="1:16" x14ac:dyDescent="0.25">
      <c r="A25" s="7"/>
      <c r="B25" s="4" t="s">
        <v>30</v>
      </c>
      <c r="E25" s="28"/>
      <c r="F25" s="4" t="str">
        <f>F12</f>
        <v>NO REVOLVER</v>
      </c>
      <c r="G25" s="4">
        <f t="shared" ref="G25:O25" si="10">G12</f>
        <v>0</v>
      </c>
      <c r="H25" s="4">
        <f t="shared" si="10"/>
        <v>0</v>
      </c>
      <c r="I25" s="4">
        <f t="shared" si="10"/>
        <v>0</v>
      </c>
      <c r="J25" s="4">
        <f t="shared" si="10"/>
        <v>0</v>
      </c>
      <c r="K25" s="4">
        <f t="shared" si="10"/>
        <v>0</v>
      </c>
      <c r="L25" s="4">
        <f t="shared" si="10"/>
        <v>0</v>
      </c>
      <c r="M25" s="4">
        <f t="shared" si="10"/>
        <v>0</v>
      </c>
      <c r="N25" s="4">
        <f t="shared" si="10"/>
        <v>0</v>
      </c>
      <c r="O25" s="4">
        <f t="shared" si="10"/>
        <v>0</v>
      </c>
    </row>
    <row r="26" spans="1:16" x14ac:dyDescent="0.25">
      <c r="A26" s="7"/>
      <c r="B26" s="4" t="s">
        <v>38</v>
      </c>
      <c r="E26" s="28"/>
      <c r="F26" s="4">
        <f>F20</f>
        <v>8463</v>
      </c>
      <c r="G26" s="4">
        <f t="shared" ref="G26:O26" si="11">G20</f>
        <v>8463</v>
      </c>
      <c r="H26" s="4">
        <f t="shared" si="11"/>
        <v>8463</v>
      </c>
      <c r="I26" s="4">
        <f t="shared" si="11"/>
        <v>8463</v>
      </c>
      <c r="J26" s="4">
        <f t="shared" si="11"/>
        <v>8463</v>
      </c>
      <c r="K26" s="4">
        <f t="shared" si="11"/>
        <v>8463</v>
      </c>
      <c r="L26" s="4">
        <f t="shared" si="11"/>
        <v>8463</v>
      </c>
      <c r="M26" s="4">
        <f t="shared" si="11"/>
        <v>8463</v>
      </c>
      <c r="N26" s="4">
        <f t="shared" si="11"/>
        <v>8463</v>
      </c>
      <c r="O26" s="4">
        <f t="shared" si="11"/>
        <v>8463</v>
      </c>
    </row>
    <row r="27" spans="1:16" x14ac:dyDescent="0.25">
      <c r="A27" s="7"/>
      <c r="B27" s="11" t="s">
        <v>39</v>
      </c>
      <c r="D27" s="11"/>
      <c r="E27" s="25"/>
      <c r="F27" s="11">
        <f>SUM(F25:F26)</f>
        <v>8463</v>
      </c>
      <c r="G27" s="11">
        <f t="shared" ref="G27:O27" si="12">SUM(G25:G26)</f>
        <v>8463</v>
      </c>
      <c r="H27" s="11">
        <f t="shared" si="12"/>
        <v>8463</v>
      </c>
      <c r="I27" s="11">
        <f t="shared" si="12"/>
        <v>8463</v>
      </c>
      <c r="J27" s="11">
        <f t="shared" si="12"/>
        <v>8463</v>
      </c>
      <c r="K27" s="11">
        <f t="shared" si="12"/>
        <v>8463</v>
      </c>
      <c r="L27" s="11">
        <f t="shared" si="12"/>
        <v>8463</v>
      </c>
      <c r="M27" s="11">
        <f t="shared" si="12"/>
        <v>8463</v>
      </c>
      <c r="N27" s="11">
        <f t="shared" si="12"/>
        <v>8463</v>
      </c>
      <c r="O27" s="11">
        <f t="shared" si="12"/>
        <v>8463</v>
      </c>
    </row>
    <row r="28" spans="1:16" x14ac:dyDescent="0.25">
      <c r="A28" s="7"/>
      <c r="B28" s="4" t="s">
        <v>40</v>
      </c>
      <c r="E28" s="28"/>
      <c r="F28" s="4">
        <f>F22</f>
        <v>245.42700000000002</v>
      </c>
      <c r="G28" s="4">
        <f t="shared" ref="G28:O28" si="13">G22</f>
        <v>245.42700000000002</v>
      </c>
      <c r="H28" s="4">
        <f t="shared" si="13"/>
        <v>245.42700000000002</v>
      </c>
      <c r="I28" s="4">
        <f t="shared" si="13"/>
        <v>245.42700000000002</v>
      </c>
      <c r="J28" s="4">
        <f t="shared" si="13"/>
        <v>245.42700000000002</v>
      </c>
      <c r="K28" s="4">
        <f t="shared" si="13"/>
        <v>245.42700000000002</v>
      </c>
      <c r="L28" s="4">
        <f t="shared" si="13"/>
        <v>245.42700000000002</v>
      </c>
      <c r="M28" s="4">
        <f t="shared" si="13"/>
        <v>245.42700000000002</v>
      </c>
      <c r="N28" s="4">
        <f t="shared" si="13"/>
        <v>245.42700000000002</v>
      </c>
      <c r="O28" s="4">
        <f t="shared" si="13"/>
        <v>245.42700000000002</v>
      </c>
    </row>
    <row r="29" spans="1:16" x14ac:dyDescent="0.25">
      <c r="A29" s="7"/>
      <c r="E29" s="28"/>
      <c r="I29" s="4"/>
      <c r="J29" s="4"/>
    </row>
    <row r="30" spans="1:16" x14ac:dyDescent="0.25">
      <c r="A30" s="21" t="s">
        <v>41</v>
      </c>
      <c r="B30" s="43"/>
      <c r="C30" s="242">
        <v>2023</v>
      </c>
      <c r="D30" s="242">
        <f>C30+1</f>
        <v>2024</v>
      </c>
      <c r="E30" s="242">
        <f t="shared" ref="E30:M30" si="14">D30+1</f>
        <v>2025</v>
      </c>
      <c r="F30" s="242">
        <f t="shared" si="14"/>
        <v>2026</v>
      </c>
      <c r="G30" s="242">
        <f t="shared" si="14"/>
        <v>2027</v>
      </c>
      <c r="H30" s="242">
        <f t="shared" si="14"/>
        <v>2028</v>
      </c>
      <c r="I30" s="242">
        <f t="shared" si="14"/>
        <v>2029</v>
      </c>
      <c r="J30" s="242">
        <f t="shared" si="14"/>
        <v>2030</v>
      </c>
      <c r="K30" s="242">
        <f t="shared" si="14"/>
        <v>2031</v>
      </c>
      <c r="L30" s="242">
        <f t="shared" si="14"/>
        <v>2032</v>
      </c>
      <c r="M30" s="242">
        <f t="shared" si="14"/>
        <v>2033</v>
      </c>
      <c r="N30" s="242">
        <f>M30+1</f>
        <v>2034</v>
      </c>
      <c r="O30" s="242">
        <f>N30+1</f>
        <v>2035</v>
      </c>
    </row>
    <row r="31" spans="1:16" x14ac:dyDescent="0.25">
      <c r="A31" s="7"/>
      <c r="B31" s="4" t="s">
        <v>171</v>
      </c>
      <c r="E31" s="28">
        <f>BalSheet!E16</f>
        <v>6631.5450000000001</v>
      </c>
      <c r="F31" s="4">
        <f>BalSheet!F16</f>
        <v>69476.523199568459</v>
      </c>
      <c r="G31" s="4">
        <f>BalSheet!G16</f>
        <v>169776.21074978562</v>
      </c>
      <c r="H31" s="4">
        <f>BalSheet!H16</f>
        <v>313144.90692267456</v>
      </c>
      <c r="I31" s="4">
        <f>BalSheet!I16</f>
        <v>492788.07206972374</v>
      </c>
      <c r="J31" s="4">
        <f>BalSheet!J16</f>
        <v>712755.65681384935</v>
      </c>
      <c r="K31" s="4">
        <f>BalSheet!K16</f>
        <v>981790.48309820134</v>
      </c>
      <c r="L31" s="4">
        <f>BalSheet!L16</f>
        <v>1310617.4912494854</v>
      </c>
      <c r="M31" s="4">
        <f>BalSheet!M16</f>
        <v>1712365.4520719321</v>
      </c>
      <c r="N31" s="4">
        <f>BalSheet!N16</f>
        <v>2203086.3035218143</v>
      </c>
      <c r="O31" s="4">
        <f>BalSheet!O16</f>
        <v>2802392.3063255539</v>
      </c>
    </row>
    <row r="32" spans="1:16" x14ac:dyDescent="0.25">
      <c r="B32" s="4" t="s">
        <v>32</v>
      </c>
      <c r="D32" s="49"/>
      <c r="E32" s="24">
        <f>Assumptions!E26</f>
        <v>0.26931883897342174</v>
      </c>
      <c r="F32" s="5">
        <f>F6</f>
        <v>0.05</v>
      </c>
      <c r="G32" s="5">
        <f t="shared" ref="G32:O32" si="15">G6</f>
        <v>0.05</v>
      </c>
      <c r="H32" s="5">
        <f t="shared" si="15"/>
        <v>0.05</v>
      </c>
      <c r="I32" s="5">
        <f t="shared" si="15"/>
        <v>0.05</v>
      </c>
      <c r="J32" s="5">
        <f t="shared" si="15"/>
        <v>0.05</v>
      </c>
      <c r="K32" s="5">
        <f t="shared" si="15"/>
        <v>0.05</v>
      </c>
      <c r="L32" s="5">
        <f t="shared" si="15"/>
        <v>0.05</v>
      </c>
      <c r="M32" s="5">
        <f t="shared" si="15"/>
        <v>0.05</v>
      </c>
      <c r="N32" s="5">
        <f t="shared" si="15"/>
        <v>0.05</v>
      </c>
      <c r="O32" s="5">
        <f t="shared" si="15"/>
        <v>0.05</v>
      </c>
    </row>
    <row r="33" spans="2:15" x14ac:dyDescent="0.25">
      <c r="B33" s="4" t="s">
        <v>41</v>
      </c>
      <c r="E33" s="28">
        <f>E31*E32</f>
        <v>1786</v>
      </c>
      <c r="F33" s="4">
        <f>F31*F32</f>
        <v>3473.8261599784232</v>
      </c>
      <c r="G33" s="4">
        <f t="shared" ref="G33:O33" si="16">G31*G32</f>
        <v>8488.8105374892821</v>
      </c>
      <c r="H33" s="4">
        <f t="shared" si="16"/>
        <v>15657.245346133728</v>
      </c>
      <c r="I33" s="4">
        <f t="shared" si="16"/>
        <v>24639.403603486189</v>
      </c>
      <c r="J33" s="4">
        <f t="shared" si="16"/>
        <v>35637.782840692467</v>
      </c>
      <c r="K33" s="4">
        <f t="shared" si="16"/>
        <v>49089.524154910068</v>
      </c>
      <c r="L33" s="4">
        <f t="shared" si="16"/>
        <v>65530.874562474273</v>
      </c>
      <c r="M33" s="4">
        <f t="shared" si="16"/>
        <v>85618.272603596619</v>
      </c>
      <c r="N33" s="4">
        <f t="shared" si="16"/>
        <v>110154.31517609072</v>
      </c>
      <c r="O33" s="4">
        <f t="shared" si="16"/>
        <v>140119.61531627769</v>
      </c>
    </row>
    <row r="34" spans="2:15" x14ac:dyDescent="0.25">
      <c r="E34" s="28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O45"/>
  <sheetViews>
    <sheetView showGridLines="0" topLeftCell="C1" zoomScaleNormal="100" workbookViewId="0">
      <selection activeCell="F4" sqref="F4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5" width="11.7109375" style="4" customWidth="1"/>
    <col min="16" max="256" width="8.85546875" style="4"/>
    <col min="257" max="257" width="1.7109375" style="4" customWidth="1"/>
    <col min="258" max="258" width="40.7109375" style="4" customWidth="1"/>
    <col min="259" max="263" width="10.7109375" style="4" customWidth="1"/>
    <col min="264" max="264" width="11.42578125" style="4" customWidth="1"/>
    <col min="265" max="266" width="12" style="4" customWidth="1"/>
    <col min="267" max="268" width="8.85546875" style="4"/>
    <col min="269" max="269" width="10.7109375" style="4" bestFit="1" customWidth="1"/>
    <col min="270" max="512" width="8.85546875" style="4"/>
    <col min="513" max="513" width="1.7109375" style="4" customWidth="1"/>
    <col min="514" max="514" width="40.7109375" style="4" customWidth="1"/>
    <col min="515" max="519" width="10.7109375" style="4" customWidth="1"/>
    <col min="520" max="520" width="11.42578125" style="4" customWidth="1"/>
    <col min="521" max="522" width="12" style="4" customWidth="1"/>
    <col min="523" max="524" width="8.85546875" style="4"/>
    <col min="525" max="525" width="10.7109375" style="4" bestFit="1" customWidth="1"/>
    <col min="526" max="768" width="8.85546875" style="4"/>
    <col min="769" max="769" width="1.7109375" style="4" customWidth="1"/>
    <col min="770" max="770" width="40.7109375" style="4" customWidth="1"/>
    <col min="771" max="775" width="10.7109375" style="4" customWidth="1"/>
    <col min="776" max="776" width="11.42578125" style="4" customWidth="1"/>
    <col min="777" max="778" width="12" style="4" customWidth="1"/>
    <col min="779" max="780" width="8.85546875" style="4"/>
    <col min="781" max="781" width="10.7109375" style="4" bestFit="1" customWidth="1"/>
    <col min="782" max="1024" width="8.85546875" style="4"/>
    <col min="1025" max="1025" width="1.7109375" style="4" customWidth="1"/>
    <col min="1026" max="1026" width="40.7109375" style="4" customWidth="1"/>
    <col min="1027" max="1031" width="10.7109375" style="4" customWidth="1"/>
    <col min="1032" max="1032" width="11.42578125" style="4" customWidth="1"/>
    <col min="1033" max="1034" width="12" style="4" customWidth="1"/>
    <col min="1035" max="1036" width="8.85546875" style="4"/>
    <col min="1037" max="1037" width="10.7109375" style="4" bestFit="1" customWidth="1"/>
    <col min="1038" max="1280" width="8.85546875" style="4"/>
    <col min="1281" max="1281" width="1.7109375" style="4" customWidth="1"/>
    <col min="1282" max="1282" width="40.7109375" style="4" customWidth="1"/>
    <col min="1283" max="1287" width="10.7109375" style="4" customWidth="1"/>
    <col min="1288" max="1288" width="11.42578125" style="4" customWidth="1"/>
    <col min="1289" max="1290" width="12" style="4" customWidth="1"/>
    <col min="1291" max="1292" width="8.85546875" style="4"/>
    <col min="1293" max="1293" width="10.7109375" style="4" bestFit="1" customWidth="1"/>
    <col min="1294" max="1536" width="8.85546875" style="4"/>
    <col min="1537" max="1537" width="1.7109375" style="4" customWidth="1"/>
    <col min="1538" max="1538" width="40.7109375" style="4" customWidth="1"/>
    <col min="1539" max="1543" width="10.7109375" style="4" customWidth="1"/>
    <col min="1544" max="1544" width="11.42578125" style="4" customWidth="1"/>
    <col min="1545" max="1546" width="12" style="4" customWidth="1"/>
    <col min="1547" max="1548" width="8.85546875" style="4"/>
    <col min="1549" max="1549" width="10.7109375" style="4" bestFit="1" customWidth="1"/>
    <col min="1550" max="1792" width="8.85546875" style="4"/>
    <col min="1793" max="1793" width="1.7109375" style="4" customWidth="1"/>
    <col min="1794" max="1794" width="40.7109375" style="4" customWidth="1"/>
    <col min="1795" max="1799" width="10.7109375" style="4" customWidth="1"/>
    <col min="1800" max="1800" width="11.42578125" style="4" customWidth="1"/>
    <col min="1801" max="1802" width="12" style="4" customWidth="1"/>
    <col min="1803" max="1804" width="8.85546875" style="4"/>
    <col min="1805" max="1805" width="10.7109375" style="4" bestFit="1" customWidth="1"/>
    <col min="1806" max="2048" width="8.85546875" style="4"/>
    <col min="2049" max="2049" width="1.7109375" style="4" customWidth="1"/>
    <col min="2050" max="2050" width="40.7109375" style="4" customWidth="1"/>
    <col min="2051" max="2055" width="10.7109375" style="4" customWidth="1"/>
    <col min="2056" max="2056" width="11.42578125" style="4" customWidth="1"/>
    <col min="2057" max="2058" width="12" style="4" customWidth="1"/>
    <col min="2059" max="2060" width="8.85546875" style="4"/>
    <col min="2061" max="2061" width="10.7109375" style="4" bestFit="1" customWidth="1"/>
    <col min="2062" max="2304" width="8.85546875" style="4"/>
    <col min="2305" max="2305" width="1.7109375" style="4" customWidth="1"/>
    <col min="2306" max="2306" width="40.7109375" style="4" customWidth="1"/>
    <col min="2307" max="2311" width="10.7109375" style="4" customWidth="1"/>
    <col min="2312" max="2312" width="11.42578125" style="4" customWidth="1"/>
    <col min="2313" max="2314" width="12" style="4" customWidth="1"/>
    <col min="2315" max="2316" width="8.85546875" style="4"/>
    <col min="2317" max="2317" width="10.7109375" style="4" bestFit="1" customWidth="1"/>
    <col min="2318" max="2560" width="8.85546875" style="4"/>
    <col min="2561" max="2561" width="1.7109375" style="4" customWidth="1"/>
    <col min="2562" max="2562" width="40.7109375" style="4" customWidth="1"/>
    <col min="2563" max="2567" width="10.7109375" style="4" customWidth="1"/>
    <col min="2568" max="2568" width="11.42578125" style="4" customWidth="1"/>
    <col min="2569" max="2570" width="12" style="4" customWidth="1"/>
    <col min="2571" max="2572" width="8.85546875" style="4"/>
    <col min="2573" max="2573" width="10.7109375" style="4" bestFit="1" customWidth="1"/>
    <col min="2574" max="2816" width="8.85546875" style="4"/>
    <col min="2817" max="2817" width="1.7109375" style="4" customWidth="1"/>
    <col min="2818" max="2818" width="40.7109375" style="4" customWidth="1"/>
    <col min="2819" max="2823" width="10.7109375" style="4" customWidth="1"/>
    <col min="2824" max="2824" width="11.42578125" style="4" customWidth="1"/>
    <col min="2825" max="2826" width="12" style="4" customWidth="1"/>
    <col min="2827" max="2828" width="8.85546875" style="4"/>
    <col min="2829" max="2829" width="10.7109375" style="4" bestFit="1" customWidth="1"/>
    <col min="2830" max="3072" width="8.85546875" style="4"/>
    <col min="3073" max="3073" width="1.7109375" style="4" customWidth="1"/>
    <col min="3074" max="3074" width="40.7109375" style="4" customWidth="1"/>
    <col min="3075" max="3079" width="10.7109375" style="4" customWidth="1"/>
    <col min="3080" max="3080" width="11.42578125" style="4" customWidth="1"/>
    <col min="3081" max="3082" width="12" style="4" customWidth="1"/>
    <col min="3083" max="3084" width="8.85546875" style="4"/>
    <col min="3085" max="3085" width="10.7109375" style="4" bestFit="1" customWidth="1"/>
    <col min="3086" max="3328" width="8.85546875" style="4"/>
    <col min="3329" max="3329" width="1.7109375" style="4" customWidth="1"/>
    <col min="3330" max="3330" width="40.7109375" style="4" customWidth="1"/>
    <col min="3331" max="3335" width="10.7109375" style="4" customWidth="1"/>
    <col min="3336" max="3336" width="11.42578125" style="4" customWidth="1"/>
    <col min="3337" max="3338" width="12" style="4" customWidth="1"/>
    <col min="3339" max="3340" width="8.85546875" style="4"/>
    <col min="3341" max="3341" width="10.7109375" style="4" bestFit="1" customWidth="1"/>
    <col min="3342" max="3584" width="8.85546875" style="4"/>
    <col min="3585" max="3585" width="1.7109375" style="4" customWidth="1"/>
    <col min="3586" max="3586" width="40.7109375" style="4" customWidth="1"/>
    <col min="3587" max="3591" width="10.7109375" style="4" customWidth="1"/>
    <col min="3592" max="3592" width="11.42578125" style="4" customWidth="1"/>
    <col min="3593" max="3594" width="12" style="4" customWidth="1"/>
    <col min="3595" max="3596" width="8.85546875" style="4"/>
    <col min="3597" max="3597" width="10.7109375" style="4" bestFit="1" customWidth="1"/>
    <col min="3598" max="3840" width="8.85546875" style="4"/>
    <col min="3841" max="3841" width="1.7109375" style="4" customWidth="1"/>
    <col min="3842" max="3842" width="40.7109375" style="4" customWidth="1"/>
    <col min="3843" max="3847" width="10.7109375" style="4" customWidth="1"/>
    <col min="3848" max="3848" width="11.42578125" style="4" customWidth="1"/>
    <col min="3849" max="3850" width="12" style="4" customWidth="1"/>
    <col min="3851" max="3852" width="8.85546875" style="4"/>
    <col min="3853" max="3853" width="10.7109375" style="4" bestFit="1" customWidth="1"/>
    <col min="3854" max="4096" width="8.85546875" style="4"/>
    <col min="4097" max="4097" width="1.7109375" style="4" customWidth="1"/>
    <col min="4098" max="4098" width="40.7109375" style="4" customWidth="1"/>
    <col min="4099" max="4103" width="10.7109375" style="4" customWidth="1"/>
    <col min="4104" max="4104" width="11.42578125" style="4" customWidth="1"/>
    <col min="4105" max="4106" width="12" style="4" customWidth="1"/>
    <col min="4107" max="4108" width="8.85546875" style="4"/>
    <col min="4109" max="4109" width="10.7109375" style="4" bestFit="1" customWidth="1"/>
    <col min="4110" max="4352" width="8.85546875" style="4"/>
    <col min="4353" max="4353" width="1.7109375" style="4" customWidth="1"/>
    <col min="4354" max="4354" width="40.7109375" style="4" customWidth="1"/>
    <col min="4355" max="4359" width="10.7109375" style="4" customWidth="1"/>
    <col min="4360" max="4360" width="11.42578125" style="4" customWidth="1"/>
    <col min="4361" max="4362" width="12" style="4" customWidth="1"/>
    <col min="4363" max="4364" width="8.85546875" style="4"/>
    <col min="4365" max="4365" width="10.7109375" style="4" bestFit="1" customWidth="1"/>
    <col min="4366" max="4608" width="8.85546875" style="4"/>
    <col min="4609" max="4609" width="1.7109375" style="4" customWidth="1"/>
    <col min="4610" max="4610" width="40.7109375" style="4" customWidth="1"/>
    <col min="4611" max="4615" width="10.7109375" style="4" customWidth="1"/>
    <col min="4616" max="4616" width="11.42578125" style="4" customWidth="1"/>
    <col min="4617" max="4618" width="12" style="4" customWidth="1"/>
    <col min="4619" max="4620" width="8.85546875" style="4"/>
    <col min="4621" max="4621" width="10.7109375" style="4" bestFit="1" customWidth="1"/>
    <col min="4622" max="4864" width="8.85546875" style="4"/>
    <col min="4865" max="4865" width="1.7109375" style="4" customWidth="1"/>
    <col min="4866" max="4866" width="40.7109375" style="4" customWidth="1"/>
    <col min="4867" max="4871" width="10.7109375" style="4" customWidth="1"/>
    <col min="4872" max="4872" width="11.42578125" style="4" customWidth="1"/>
    <col min="4873" max="4874" width="12" style="4" customWidth="1"/>
    <col min="4875" max="4876" width="8.85546875" style="4"/>
    <col min="4877" max="4877" width="10.7109375" style="4" bestFit="1" customWidth="1"/>
    <col min="4878" max="5120" width="8.85546875" style="4"/>
    <col min="5121" max="5121" width="1.7109375" style="4" customWidth="1"/>
    <col min="5122" max="5122" width="40.7109375" style="4" customWidth="1"/>
    <col min="5123" max="5127" width="10.7109375" style="4" customWidth="1"/>
    <col min="5128" max="5128" width="11.42578125" style="4" customWidth="1"/>
    <col min="5129" max="5130" width="12" style="4" customWidth="1"/>
    <col min="5131" max="5132" width="8.85546875" style="4"/>
    <col min="5133" max="5133" width="10.7109375" style="4" bestFit="1" customWidth="1"/>
    <col min="5134" max="5376" width="8.85546875" style="4"/>
    <col min="5377" max="5377" width="1.7109375" style="4" customWidth="1"/>
    <col min="5378" max="5378" width="40.7109375" style="4" customWidth="1"/>
    <col min="5379" max="5383" width="10.7109375" style="4" customWidth="1"/>
    <col min="5384" max="5384" width="11.42578125" style="4" customWidth="1"/>
    <col min="5385" max="5386" width="12" style="4" customWidth="1"/>
    <col min="5387" max="5388" width="8.85546875" style="4"/>
    <col min="5389" max="5389" width="10.7109375" style="4" bestFit="1" customWidth="1"/>
    <col min="5390" max="5632" width="8.85546875" style="4"/>
    <col min="5633" max="5633" width="1.7109375" style="4" customWidth="1"/>
    <col min="5634" max="5634" width="40.7109375" style="4" customWidth="1"/>
    <col min="5635" max="5639" width="10.7109375" style="4" customWidth="1"/>
    <col min="5640" max="5640" width="11.42578125" style="4" customWidth="1"/>
    <col min="5641" max="5642" width="12" style="4" customWidth="1"/>
    <col min="5643" max="5644" width="8.85546875" style="4"/>
    <col min="5645" max="5645" width="10.7109375" style="4" bestFit="1" customWidth="1"/>
    <col min="5646" max="5888" width="8.85546875" style="4"/>
    <col min="5889" max="5889" width="1.7109375" style="4" customWidth="1"/>
    <col min="5890" max="5890" width="40.7109375" style="4" customWidth="1"/>
    <col min="5891" max="5895" width="10.7109375" style="4" customWidth="1"/>
    <col min="5896" max="5896" width="11.42578125" style="4" customWidth="1"/>
    <col min="5897" max="5898" width="12" style="4" customWidth="1"/>
    <col min="5899" max="5900" width="8.85546875" style="4"/>
    <col min="5901" max="5901" width="10.7109375" style="4" bestFit="1" customWidth="1"/>
    <col min="5902" max="6144" width="8.85546875" style="4"/>
    <col min="6145" max="6145" width="1.7109375" style="4" customWidth="1"/>
    <col min="6146" max="6146" width="40.7109375" style="4" customWidth="1"/>
    <col min="6147" max="6151" width="10.7109375" style="4" customWidth="1"/>
    <col min="6152" max="6152" width="11.42578125" style="4" customWidth="1"/>
    <col min="6153" max="6154" width="12" style="4" customWidth="1"/>
    <col min="6155" max="6156" width="8.85546875" style="4"/>
    <col min="6157" max="6157" width="10.7109375" style="4" bestFit="1" customWidth="1"/>
    <col min="6158" max="6400" width="8.85546875" style="4"/>
    <col min="6401" max="6401" width="1.7109375" style="4" customWidth="1"/>
    <col min="6402" max="6402" width="40.7109375" style="4" customWidth="1"/>
    <col min="6403" max="6407" width="10.7109375" style="4" customWidth="1"/>
    <col min="6408" max="6408" width="11.42578125" style="4" customWidth="1"/>
    <col min="6409" max="6410" width="12" style="4" customWidth="1"/>
    <col min="6411" max="6412" width="8.85546875" style="4"/>
    <col min="6413" max="6413" width="10.7109375" style="4" bestFit="1" customWidth="1"/>
    <col min="6414" max="6656" width="8.85546875" style="4"/>
    <col min="6657" max="6657" width="1.7109375" style="4" customWidth="1"/>
    <col min="6658" max="6658" width="40.7109375" style="4" customWidth="1"/>
    <col min="6659" max="6663" width="10.7109375" style="4" customWidth="1"/>
    <col min="6664" max="6664" width="11.42578125" style="4" customWidth="1"/>
    <col min="6665" max="6666" width="12" style="4" customWidth="1"/>
    <col min="6667" max="6668" width="8.85546875" style="4"/>
    <col min="6669" max="6669" width="10.7109375" style="4" bestFit="1" customWidth="1"/>
    <col min="6670" max="6912" width="8.85546875" style="4"/>
    <col min="6913" max="6913" width="1.7109375" style="4" customWidth="1"/>
    <col min="6914" max="6914" width="40.7109375" style="4" customWidth="1"/>
    <col min="6915" max="6919" width="10.7109375" style="4" customWidth="1"/>
    <col min="6920" max="6920" width="11.42578125" style="4" customWidth="1"/>
    <col min="6921" max="6922" width="12" style="4" customWidth="1"/>
    <col min="6923" max="6924" width="8.85546875" style="4"/>
    <col min="6925" max="6925" width="10.7109375" style="4" bestFit="1" customWidth="1"/>
    <col min="6926" max="7168" width="8.85546875" style="4"/>
    <col min="7169" max="7169" width="1.7109375" style="4" customWidth="1"/>
    <col min="7170" max="7170" width="40.7109375" style="4" customWidth="1"/>
    <col min="7171" max="7175" width="10.7109375" style="4" customWidth="1"/>
    <col min="7176" max="7176" width="11.42578125" style="4" customWidth="1"/>
    <col min="7177" max="7178" width="12" style="4" customWidth="1"/>
    <col min="7179" max="7180" width="8.85546875" style="4"/>
    <col min="7181" max="7181" width="10.7109375" style="4" bestFit="1" customWidth="1"/>
    <col min="7182" max="7424" width="8.85546875" style="4"/>
    <col min="7425" max="7425" width="1.7109375" style="4" customWidth="1"/>
    <col min="7426" max="7426" width="40.7109375" style="4" customWidth="1"/>
    <col min="7427" max="7431" width="10.7109375" style="4" customWidth="1"/>
    <col min="7432" max="7432" width="11.42578125" style="4" customWidth="1"/>
    <col min="7433" max="7434" width="12" style="4" customWidth="1"/>
    <col min="7435" max="7436" width="8.85546875" style="4"/>
    <col min="7437" max="7437" width="10.7109375" style="4" bestFit="1" customWidth="1"/>
    <col min="7438" max="7680" width="8.85546875" style="4"/>
    <col min="7681" max="7681" width="1.7109375" style="4" customWidth="1"/>
    <col min="7682" max="7682" width="40.7109375" style="4" customWidth="1"/>
    <col min="7683" max="7687" width="10.7109375" style="4" customWidth="1"/>
    <col min="7688" max="7688" width="11.42578125" style="4" customWidth="1"/>
    <col min="7689" max="7690" width="12" style="4" customWidth="1"/>
    <col min="7691" max="7692" width="8.85546875" style="4"/>
    <col min="7693" max="7693" width="10.7109375" style="4" bestFit="1" customWidth="1"/>
    <col min="7694" max="7936" width="8.85546875" style="4"/>
    <col min="7937" max="7937" width="1.7109375" style="4" customWidth="1"/>
    <col min="7938" max="7938" width="40.7109375" style="4" customWidth="1"/>
    <col min="7939" max="7943" width="10.7109375" style="4" customWidth="1"/>
    <col min="7944" max="7944" width="11.42578125" style="4" customWidth="1"/>
    <col min="7945" max="7946" width="12" style="4" customWidth="1"/>
    <col min="7947" max="7948" width="8.85546875" style="4"/>
    <col min="7949" max="7949" width="10.7109375" style="4" bestFit="1" customWidth="1"/>
    <col min="7950" max="8192" width="8.85546875" style="4"/>
    <col min="8193" max="8193" width="1.7109375" style="4" customWidth="1"/>
    <col min="8194" max="8194" width="40.7109375" style="4" customWidth="1"/>
    <col min="8195" max="8199" width="10.7109375" style="4" customWidth="1"/>
    <col min="8200" max="8200" width="11.42578125" style="4" customWidth="1"/>
    <col min="8201" max="8202" width="12" style="4" customWidth="1"/>
    <col min="8203" max="8204" width="8.85546875" style="4"/>
    <col min="8205" max="8205" width="10.7109375" style="4" bestFit="1" customWidth="1"/>
    <col min="8206" max="8448" width="8.85546875" style="4"/>
    <col min="8449" max="8449" width="1.7109375" style="4" customWidth="1"/>
    <col min="8450" max="8450" width="40.7109375" style="4" customWidth="1"/>
    <col min="8451" max="8455" width="10.7109375" style="4" customWidth="1"/>
    <col min="8456" max="8456" width="11.42578125" style="4" customWidth="1"/>
    <col min="8457" max="8458" width="12" style="4" customWidth="1"/>
    <col min="8459" max="8460" width="8.85546875" style="4"/>
    <col min="8461" max="8461" width="10.7109375" style="4" bestFit="1" customWidth="1"/>
    <col min="8462" max="8704" width="8.85546875" style="4"/>
    <col min="8705" max="8705" width="1.7109375" style="4" customWidth="1"/>
    <col min="8706" max="8706" width="40.7109375" style="4" customWidth="1"/>
    <col min="8707" max="8711" width="10.7109375" style="4" customWidth="1"/>
    <col min="8712" max="8712" width="11.42578125" style="4" customWidth="1"/>
    <col min="8713" max="8714" width="12" style="4" customWidth="1"/>
    <col min="8715" max="8716" width="8.85546875" style="4"/>
    <col min="8717" max="8717" width="10.7109375" style="4" bestFit="1" customWidth="1"/>
    <col min="8718" max="8960" width="8.85546875" style="4"/>
    <col min="8961" max="8961" width="1.7109375" style="4" customWidth="1"/>
    <col min="8962" max="8962" width="40.7109375" style="4" customWidth="1"/>
    <col min="8963" max="8967" width="10.7109375" style="4" customWidth="1"/>
    <col min="8968" max="8968" width="11.42578125" style="4" customWidth="1"/>
    <col min="8969" max="8970" width="12" style="4" customWidth="1"/>
    <col min="8971" max="8972" width="8.85546875" style="4"/>
    <col min="8973" max="8973" width="10.7109375" style="4" bestFit="1" customWidth="1"/>
    <col min="8974" max="9216" width="8.85546875" style="4"/>
    <col min="9217" max="9217" width="1.7109375" style="4" customWidth="1"/>
    <col min="9218" max="9218" width="40.7109375" style="4" customWidth="1"/>
    <col min="9219" max="9223" width="10.7109375" style="4" customWidth="1"/>
    <col min="9224" max="9224" width="11.42578125" style="4" customWidth="1"/>
    <col min="9225" max="9226" width="12" style="4" customWidth="1"/>
    <col min="9227" max="9228" width="8.85546875" style="4"/>
    <col min="9229" max="9229" width="10.7109375" style="4" bestFit="1" customWidth="1"/>
    <col min="9230" max="9472" width="8.85546875" style="4"/>
    <col min="9473" max="9473" width="1.7109375" style="4" customWidth="1"/>
    <col min="9474" max="9474" width="40.7109375" style="4" customWidth="1"/>
    <col min="9475" max="9479" width="10.7109375" style="4" customWidth="1"/>
    <col min="9480" max="9480" width="11.42578125" style="4" customWidth="1"/>
    <col min="9481" max="9482" width="12" style="4" customWidth="1"/>
    <col min="9483" max="9484" width="8.85546875" style="4"/>
    <col min="9485" max="9485" width="10.7109375" style="4" bestFit="1" customWidth="1"/>
    <col min="9486" max="9728" width="8.85546875" style="4"/>
    <col min="9729" max="9729" width="1.7109375" style="4" customWidth="1"/>
    <col min="9730" max="9730" width="40.7109375" style="4" customWidth="1"/>
    <col min="9731" max="9735" width="10.7109375" style="4" customWidth="1"/>
    <col min="9736" max="9736" width="11.42578125" style="4" customWidth="1"/>
    <col min="9737" max="9738" width="12" style="4" customWidth="1"/>
    <col min="9739" max="9740" width="8.85546875" style="4"/>
    <col min="9741" max="9741" width="10.7109375" style="4" bestFit="1" customWidth="1"/>
    <col min="9742" max="9984" width="8.85546875" style="4"/>
    <col min="9985" max="9985" width="1.7109375" style="4" customWidth="1"/>
    <col min="9986" max="9986" width="40.7109375" style="4" customWidth="1"/>
    <col min="9987" max="9991" width="10.7109375" style="4" customWidth="1"/>
    <col min="9992" max="9992" width="11.42578125" style="4" customWidth="1"/>
    <col min="9993" max="9994" width="12" style="4" customWidth="1"/>
    <col min="9995" max="9996" width="8.85546875" style="4"/>
    <col min="9997" max="9997" width="10.7109375" style="4" bestFit="1" customWidth="1"/>
    <col min="9998" max="10240" width="8.85546875" style="4"/>
    <col min="10241" max="10241" width="1.7109375" style="4" customWidth="1"/>
    <col min="10242" max="10242" width="40.7109375" style="4" customWidth="1"/>
    <col min="10243" max="10247" width="10.7109375" style="4" customWidth="1"/>
    <col min="10248" max="10248" width="11.42578125" style="4" customWidth="1"/>
    <col min="10249" max="10250" width="12" style="4" customWidth="1"/>
    <col min="10251" max="10252" width="8.85546875" style="4"/>
    <col min="10253" max="10253" width="10.7109375" style="4" bestFit="1" customWidth="1"/>
    <col min="10254" max="10496" width="8.85546875" style="4"/>
    <col min="10497" max="10497" width="1.7109375" style="4" customWidth="1"/>
    <col min="10498" max="10498" width="40.7109375" style="4" customWidth="1"/>
    <col min="10499" max="10503" width="10.7109375" style="4" customWidth="1"/>
    <col min="10504" max="10504" width="11.42578125" style="4" customWidth="1"/>
    <col min="10505" max="10506" width="12" style="4" customWidth="1"/>
    <col min="10507" max="10508" width="8.85546875" style="4"/>
    <col min="10509" max="10509" width="10.7109375" style="4" bestFit="1" customWidth="1"/>
    <col min="10510" max="10752" width="8.85546875" style="4"/>
    <col min="10753" max="10753" width="1.7109375" style="4" customWidth="1"/>
    <col min="10754" max="10754" width="40.7109375" style="4" customWidth="1"/>
    <col min="10755" max="10759" width="10.7109375" style="4" customWidth="1"/>
    <col min="10760" max="10760" width="11.42578125" style="4" customWidth="1"/>
    <col min="10761" max="10762" width="12" style="4" customWidth="1"/>
    <col min="10763" max="10764" width="8.85546875" style="4"/>
    <col min="10765" max="10765" width="10.7109375" style="4" bestFit="1" customWidth="1"/>
    <col min="10766" max="11008" width="8.85546875" style="4"/>
    <col min="11009" max="11009" width="1.7109375" style="4" customWidth="1"/>
    <col min="11010" max="11010" width="40.7109375" style="4" customWidth="1"/>
    <col min="11011" max="11015" width="10.7109375" style="4" customWidth="1"/>
    <col min="11016" max="11016" width="11.42578125" style="4" customWidth="1"/>
    <col min="11017" max="11018" width="12" style="4" customWidth="1"/>
    <col min="11019" max="11020" width="8.85546875" style="4"/>
    <col min="11021" max="11021" width="10.7109375" style="4" bestFit="1" customWidth="1"/>
    <col min="11022" max="11264" width="8.85546875" style="4"/>
    <col min="11265" max="11265" width="1.7109375" style="4" customWidth="1"/>
    <col min="11266" max="11266" width="40.7109375" style="4" customWidth="1"/>
    <col min="11267" max="11271" width="10.7109375" style="4" customWidth="1"/>
    <col min="11272" max="11272" width="11.42578125" style="4" customWidth="1"/>
    <col min="11273" max="11274" width="12" style="4" customWidth="1"/>
    <col min="11275" max="11276" width="8.85546875" style="4"/>
    <col min="11277" max="11277" width="10.7109375" style="4" bestFit="1" customWidth="1"/>
    <col min="11278" max="11520" width="8.85546875" style="4"/>
    <col min="11521" max="11521" width="1.7109375" style="4" customWidth="1"/>
    <col min="11522" max="11522" width="40.7109375" style="4" customWidth="1"/>
    <col min="11523" max="11527" width="10.7109375" style="4" customWidth="1"/>
    <col min="11528" max="11528" width="11.42578125" style="4" customWidth="1"/>
    <col min="11529" max="11530" width="12" style="4" customWidth="1"/>
    <col min="11531" max="11532" width="8.85546875" style="4"/>
    <col min="11533" max="11533" width="10.7109375" style="4" bestFit="1" customWidth="1"/>
    <col min="11534" max="11776" width="8.85546875" style="4"/>
    <col min="11777" max="11777" width="1.7109375" style="4" customWidth="1"/>
    <col min="11778" max="11778" width="40.7109375" style="4" customWidth="1"/>
    <col min="11779" max="11783" width="10.7109375" style="4" customWidth="1"/>
    <col min="11784" max="11784" width="11.42578125" style="4" customWidth="1"/>
    <col min="11785" max="11786" width="12" style="4" customWidth="1"/>
    <col min="11787" max="11788" width="8.85546875" style="4"/>
    <col min="11789" max="11789" width="10.7109375" style="4" bestFit="1" customWidth="1"/>
    <col min="11790" max="12032" width="8.85546875" style="4"/>
    <col min="12033" max="12033" width="1.7109375" style="4" customWidth="1"/>
    <col min="12034" max="12034" width="40.7109375" style="4" customWidth="1"/>
    <col min="12035" max="12039" width="10.7109375" style="4" customWidth="1"/>
    <col min="12040" max="12040" width="11.42578125" style="4" customWidth="1"/>
    <col min="12041" max="12042" width="12" style="4" customWidth="1"/>
    <col min="12043" max="12044" width="8.85546875" style="4"/>
    <col min="12045" max="12045" width="10.7109375" style="4" bestFit="1" customWidth="1"/>
    <col min="12046" max="12288" width="8.85546875" style="4"/>
    <col min="12289" max="12289" width="1.7109375" style="4" customWidth="1"/>
    <col min="12290" max="12290" width="40.7109375" style="4" customWidth="1"/>
    <col min="12291" max="12295" width="10.7109375" style="4" customWidth="1"/>
    <col min="12296" max="12296" width="11.42578125" style="4" customWidth="1"/>
    <col min="12297" max="12298" width="12" style="4" customWidth="1"/>
    <col min="12299" max="12300" width="8.85546875" style="4"/>
    <col min="12301" max="12301" width="10.7109375" style="4" bestFit="1" customWidth="1"/>
    <col min="12302" max="12544" width="8.85546875" style="4"/>
    <col min="12545" max="12545" width="1.7109375" style="4" customWidth="1"/>
    <col min="12546" max="12546" width="40.7109375" style="4" customWidth="1"/>
    <col min="12547" max="12551" width="10.7109375" style="4" customWidth="1"/>
    <col min="12552" max="12552" width="11.42578125" style="4" customWidth="1"/>
    <col min="12553" max="12554" width="12" style="4" customWidth="1"/>
    <col min="12555" max="12556" width="8.85546875" style="4"/>
    <col min="12557" max="12557" width="10.7109375" style="4" bestFit="1" customWidth="1"/>
    <col min="12558" max="12800" width="8.85546875" style="4"/>
    <col min="12801" max="12801" width="1.7109375" style="4" customWidth="1"/>
    <col min="12802" max="12802" width="40.7109375" style="4" customWidth="1"/>
    <col min="12803" max="12807" width="10.7109375" style="4" customWidth="1"/>
    <col min="12808" max="12808" width="11.42578125" style="4" customWidth="1"/>
    <col min="12809" max="12810" width="12" style="4" customWidth="1"/>
    <col min="12811" max="12812" width="8.85546875" style="4"/>
    <col min="12813" max="12813" width="10.7109375" style="4" bestFit="1" customWidth="1"/>
    <col min="12814" max="13056" width="8.85546875" style="4"/>
    <col min="13057" max="13057" width="1.7109375" style="4" customWidth="1"/>
    <col min="13058" max="13058" width="40.7109375" style="4" customWidth="1"/>
    <col min="13059" max="13063" width="10.7109375" style="4" customWidth="1"/>
    <col min="13064" max="13064" width="11.42578125" style="4" customWidth="1"/>
    <col min="13065" max="13066" width="12" style="4" customWidth="1"/>
    <col min="13067" max="13068" width="8.85546875" style="4"/>
    <col min="13069" max="13069" width="10.7109375" style="4" bestFit="1" customWidth="1"/>
    <col min="13070" max="13312" width="8.85546875" style="4"/>
    <col min="13313" max="13313" width="1.7109375" style="4" customWidth="1"/>
    <col min="13314" max="13314" width="40.7109375" style="4" customWidth="1"/>
    <col min="13315" max="13319" width="10.7109375" style="4" customWidth="1"/>
    <col min="13320" max="13320" width="11.42578125" style="4" customWidth="1"/>
    <col min="13321" max="13322" width="12" style="4" customWidth="1"/>
    <col min="13323" max="13324" width="8.85546875" style="4"/>
    <col min="13325" max="13325" width="10.7109375" style="4" bestFit="1" customWidth="1"/>
    <col min="13326" max="13568" width="8.85546875" style="4"/>
    <col min="13569" max="13569" width="1.7109375" style="4" customWidth="1"/>
    <col min="13570" max="13570" width="40.7109375" style="4" customWidth="1"/>
    <col min="13571" max="13575" width="10.7109375" style="4" customWidth="1"/>
    <col min="13576" max="13576" width="11.42578125" style="4" customWidth="1"/>
    <col min="13577" max="13578" width="12" style="4" customWidth="1"/>
    <col min="13579" max="13580" width="8.85546875" style="4"/>
    <col min="13581" max="13581" width="10.7109375" style="4" bestFit="1" customWidth="1"/>
    <col min="13582" max="13824" width="8.85546875" style="4"/>
    <col min="13825" max="13825" width="1.7109375" style="4" customWidth="1"/>
    <col min="13826" max="13826" width="40.7109375" style="4" customWidth="1"/>
    <col min="13827" max="13831" width="10.7109375" style="4" customWidth="1"/>
    <col min="13832" max="13832" width="11.42578125" style="4" customWidth="1"/>
    <col min="13833" max="13834" width="12" style="4" customWidth="1"/>
    <col min="13835" max="13836" width="8.85546875" style="4"/>
    <col min="13837" max="13837" width="10.7109375" style="4" bestFit="1" customWidth="1"/>
    <col min="13838" max="14080" width="8.85546875" style="4"/>
    <col min="14081" max="14081" width="1.7109375" style="4" customWidth="1"/>
    <col min="14082" max="14082" width="40.7109375" style="4" customWidth="1"/>
    <col min="14083" max="14087" width="10.7109375" style="4" customWidth="1"/>
    <col min="14088" max="14088" width="11.42578125" style="4" customWidth="1"/>
    <col min="14089" max="14090" width="12" style="4" customWidth="1"/>
    <col min="14091" max="14092" width="8.85546875" style="4"/>
    <col min="14093" max="14093" width="10.7109375" style="4" bestFit="1" customWidth="1"/>
    <col min="14094" max="14336" width="8.85546875" style="4"/>
    <col min="14337" max="14337" width="1.7109375" style="4" customWidth="1"/>
    <col min="14338" max="14338" width="40.7109375" style="4" customWidth="1"/>
    <col min="14339" max="14343" width="10.7109375" style="4" customWidth="1"/>
    <col min="14344" max="14344" width="11.42578125" style="4" customWidth="1"/>
    <col min="14345" max="14346" width="12" style="4" customWidth="1"/>
    <col min="14347" max="14348" width="8.85546875" style="4"/>
    <col min="14349" max="14349" width="10.7109375" style="4" bestFit="1" customWidth="1"/>
    <col min="14350" max="14592" width="8.85546875" style="4"/>
    <col min="14593" max="14593" width="1.7109375" style="4" customWidth="1"/>
    <col min="14594" max="14594" width="40.7109375" style="4" customWidth="1"/>
    <col min="14595" max="14599" width="10.7109375" style="4" customWidth="1"/>
    <col min="14600" max="14600" width="11.42578125" style="4" customWidth="1"/>
    <col min="14601" max="14602" width="12" style="4" customWidth="1"/>
    <col min="14603" max="14604" width="8.85546875" style="4"/>
    <col min="14605" max="14605" width="10.7109375" style="4" bestFit="1" customWidth="1"/>
    <col min="14606" max="14848" width="8.85546875" style="4"/>
    <col min="14849" max="14849" width="1.7109375" style="4" customWidth="1"/>
    <col min="14850" max="14850" width="40.7109375" style="4" customWidth="1"/>
    <col min="14851" max="14855" width="10.7109375" style="4" customWidth="1"/>
    <col min="14856" max="14856" width="11.42578125" style="4" customWidth="1"/>
    <col min="14857" max="14858" width="12" style="4" customWidth="1"/>
    <col min="14859" max="14860" width="8.85546875" style="4"/>
    <col min="14861" max="14861" width="10.7109375" style="4" bestFit="1" customWidth="1"/>
    <col min="14862" max="15104" width="8.85546875" style="4"/>
    <col min="15105" max="15105" width="1.7109375" style="4" customWidth="1"/>
    <col min="15106" max="15106" width="40.7109375" style="4" customWidth="1"/>
    <col min="15107" max="15111" width="10.7109375" style="4" customWidth="1"/>
    <col min="15112" max="15112" width="11.42578125" style="4" customWidth="1"/>
    <col min="15113" max="15114" width="12" style="4" customWidth="1"/>
    <col min="15115" max="15116" width="8.85546875" style="4"/>
    <col min="15117" max="15117" width="10.7109375" style="4" bestFit="1" customWidth="1"/>
    <col min="15118" max="15360" width="8.85546875" style="4"/>
    <col min="15361" max="15361" width="1.7109375" style="4" customWidth="1"/>
    <col min="15362" max="15362" width="40.7109375" style="4" customWidth="1"/>
    <col min="15363" max="15367" width="10.7109375" style="4" customWidth="1"/>
    <col min="15368" max="15368" width="11.42578125" style="4" customWidth="1"/>
    <col min="15369" max="15370" width="12" style="4" customWidth="1"/>
    <col min="15371" max="15372" width="8.85546875" style="4"/>
    <col min="15373" max="15373" width="10.7109375" style="4" bestFit="1" customWidth="1"/>
    <col min="15374" max="15616" width="8.85546875" style="4"/>
    <col min="15617" max="15617" width="1.7109375" style="4" customWidth="1"/>
    <col min="15618" max="15618" width="40.7109375" style="4" customWidth="1"/>
    <col min="15619" max="15623" width="10.7109375" style="4" customWidth="1"/>
    <col min="15624" max="15624" width="11.42578125" style="4" customWidth="1"/>
    <col min="15625" max="15626" width="12" style="4" customWidth="1"/>
    <col min="15627" max="15628" width="8.85546875" style="4"/>
    <col min="15629" max="15629" width="10.7109375" style="4" bestFit="1" customWidth="1"/>
    <col min="15630" max="15872" width="8.85546875" style="4"/>
    <col min="15873" max="15873" width="1.7109375" style="4" customWidth="1"/>
    <col min="15874" max="15874" width="40.7109375" style="4" customWidth="1"/>
    <col min="15875" max="15879" width="10.7109375" style="4" customWidth="1"/>
    <col min="15880" max="15880" width="11.42578125" style="4" customWidth="1"/>
    <col min="15881" max="15882" width="12" style="4" customWidth="1"/>
    <col min="15883" max="15884" width="8.85546875" style="4"/>
    <col min="15885" max="15885" width="10.7109375" style="4" bestFit="1" customWidth="1"/>
    <col min="15886" max="16128" width="8.85546875" style="4"/>
    <col min="16129" max="16129" width="1.7109375" style="4" customWidth="1"/>
    <col min="16130" max="16130" width="40.7109375" style="4" customWidth="1"/>
    <col min="16131" max="16135" width="10.7109375" style="4" customWidth="1"/>
    <col min="16136" max="16136" width="11.42578125" style="4" customWidth="1"/>
    <col min="16137" max="16138" width="12" style="4" customWidth="1"/>
    <col min="16139" max="16140" width="8.85546875" style="4"/>
    <col min="16141" max="16141" width="10.7109375" style="4" bestFit="1" customWidth="1"/>
    <col min="16142" max="16384" width="8.85546875" style="4"/>
  </cols>
  <sheetData>
    <row r="1" spans="1:15" s="2" customFormat="1" ht="19.5" x14ac:dyDescent="0.3">
      <c r="A1" s="244" t="str">
        <f>CoName</f>
        <v>NVIDIA Corp.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  <c r="N1" s="42" t="s">
        <v>1</v>
      </c>
      <c r="O1" s="42" t="s">
        <v>1</v>
      </c>
    </row>
    <row r="2" spans="1:15" x14ac:dyDescent="0.25">
      <c r="A2" s="16" t="s">
        <v>10</v>
      </c>
      <c r="B2" s="15"/>
      <c r="C2" s="253">
        <v>2023</v>
      </c>
      <c r="D2" s="253">
        <f>C2+1</f>
        <v>2024</v>
      </c>
      <c r="E2" s="253">
        <f t="shared" ref="E2:M2" si="0">D2+1</f>
        <v>2025</v>
      </c>
      <c r="F2" s="253">
        <f t="shared" si="0"/>
        <v>2026</v>
      </c>
      <c r="G2" s="253">
        <f t="shared" si="0"/>
        <v>2027</v>
      </c>
      <c r="H2" s="253">
        <f t="shared" si="0"/>
        <v>2028</v>
      </c>
      <c r="I2" s="253">
        <f t="shared" si="0"/>
        <v>2029</v>
      </c>
      <c r="J2" s="253">
        <f t="shared" si="0"/>
        <v>2030</v>
      </c>
      <c r="K2" s="253">
        <f t="shared" si="0"/>
        <v>2031</v>
      </c>
      <c r="L2" s="253">
        <f t="shared" si="0"/>
        <v>2032</v>
      </c>
      <c r="M2" s="253">
        <f t="shared" si="0"/>
        <v>2033</v>
      </c>
      <c r="N2" s="253">
        <f>M2+1</f>
        <v>2034</v>
      </c>
      <c r="O2" s="253">
        <f>N2+1</f>
        <v>2035</v>
      </c>
    </row>
    <row r="3" spans="1:15" x14ac:dyDescent="0.25">
      <c r="A3" s="87"/>
      <c r="C3" s="100"/>
      <c r="D3" s="100"/>
      <c r="E3" s="100"/>
    </row>
    <row r="4" spans="1:15" x14ac:dyDescent="0.25">
      <c r="B4" s="31" t="s">
        <v>43</v>
      </c>
      <c r="C4" s="32"/>
      <c r="D4" s="32"/>
      <c r="E4" s="33"/>
      <c r="F4" s="176">
        <f>Assumptions!F10</f>
        <v>0.57471015290282756</v>
      </c>
      <c r="G4" s="176">
        <f>Assumptions!G10</f>
        <v>0.41005059682610367</v>
      </c>
      <c r="H4" s="176">
        <f>Assumptions!H10</f>
        <v>0.24563228154846684</v>
      </c>
      <c r="I4" s="176">
        <f>Assumptions!I10</f>
        <v>0.22063228154846684</v>
      </c>
      <c r="J4" s="176">
        <f>Assumptions!J10</f>
        <v>0.22063228154846684</v>
      </c>
      <c r="K4" s="176">
        <f>Assumptions!K10</f>
        <v>0.22063228154846684</v>
      </c>
      <c r="L4" s="176">
        <f>Assumptions!L10</f>
        <v>0.22063228154846684</v>
      </c>
      <c r="M4" s="176">
        <f>Assumptions!M10</f>
        <v>0.22063228154846684</v>
      </c>
      <c r="N4" s="176">
        <f>Assumptions!N10</f>
        <v>0.22063228154846684</v>
      </c>
      <c r="O4" s="176">
        <f>Assumptions!O10</f>
        <v>0.22063228154846684</v>
      </c>
    </row>
    <row r="5" spans="1:15" x14ac:dyDescent="0.25">
      <c r="B5" s="31" t="s">
        <v>44</v>
      </c>
      <c r="C5" s="32"/>
      <c r="D5" s="32"/>
      <c r="E5" s="32"/>
      <c r="F5" s="176">
        <f>Assumptions!F11</f>
        <v>0.25011302941830083</v>
      </c>
      <c r="G5" s="176">
        <f>Assumptions!G11</f>
        <v>0.25011302941830083</v>
      </c>
      <c r="H5" s="176">
        <f>Assumptions!H11</f>
        <v>0.25011302941830083</v>
      </c>
      <c r="I5" s="176">
        <f>Assumptions!I11</f>
        <v>0.25011302941830083</v>
      </c>
      <c r="J5" s="176">
        <f>Assumptions!J11</f>
        <v>0.25011302941830083</v>
      </c>
      <c r="K5" s="176">
        <f>Assumptions!K11</f>
        <v>0.25011302941830083</v>
      </c>
      <c r="L5" s="176">
        <f>Assumptions!L11</f>
        <v>0.25011302941830083</v>
      </c>
      <c r="M5" s="176">
        <f>Assumptions!M11</f>
        <v>0.25011302941830083</v>
      </c>
      <c r="N5" s="176">
        <f>Assumptions!N11</f>
        <v>0.25011302941830083</v>
      </c>
      <c r="O5" s="176">
        <f>Assumptions!O11</f>
        <v>0.25011302941830083</v>
      </c>
    </row>
    <row r="6" spans="1:15" x14ac:dyDescent="0.25">
      <c r="B6" s="31" t="s">
        <v>181</v>
      </c>
      <c r="C6" s="192"/>
      <c r="D6" s="192"/>
      <c r="E6" s="33"/>
      <c r="F6" s="176">
        <f>Assumptions!F12</f>
        <v>9.8960129351632606E-2</v>
      </c>
      <c r="G6" s="176">
        <f>Assumptions!G12</f>
        <v>9.8960129351632606E-2</v>
      </c>
      <c r="H6" s="176">
        <f>Assumptions!H12</f>
        <v>9.8960129351632606E-2</v>
      </c>
      <c r="I6" s="176">
        <f>Assumptions!I12</f>
        <v>9.8960129351632606E-2</v>
      </c>
      <c r="J6" s="176">
        <f>Assumptions!J12</f>
        <v>9.8960129351632606E-2</v>
      </c>
      <c r="K6" s="176">
        <f>Assumptions!K12</f>
        <v>9.8960129351632606E-2</v>
      </c>
      <c r="L6" s="176">
        <f>Assumptions!L12</f>
        <v>9.8960129351632606E-2</v>
      </c>
      <c r="M6" s="176">
        <f>Assumptions!M12</f>
        <v>9.8960129351632606E-2</v>
      </c>
      <c r="N6" s="176">
        <f>Assumptions!N12</f>
        <v>9.8960129351632606E-2</v>
      </c>
      <c r="O6" s="176">
        <f>Assumptions!O12</f>
        <v>9.8960129351632606E-2</v>
      </c>
    </row>
    <row r="7" spans="1:15" x14ac:dyDescent="0.25">
      <c r="B7" s="31" t="s">
        <v>45</v>
      </c>
      <c r="C7" s="32"/>
      <c r="D7" s="32"/>
      <c r="E7" s="32"/>
      <c r="F7" s="176">
        <f>Assumptions!F13</f>
        <v>2.6751572833091947E-2</v>
      </c>
      <c r="G7" s="176">
        <f>Assumptions!G13</f>
        <v>2.6751572833091947E-2</v>
      </c>
      <c r="H7" s="176">
        <f>Assumptions!H13</f>
        <v>2.6751572833091947E-2</v>
      </c>
      <c r="I7" s="176">
        <f>Assumptions!I13</f>
        <v>2.6751572833091947E-2</v>
      </c>
      <c r="J7" s="176">
        <f>Assumptions!J13</f>
        <v>2.6751572833091947E-2</v>
      </c>
      <c r="K7" s="176">
        <f>Assumptions!K13</f>
        <v>2.6751572833091947E-2</v>
      </c>
      <c r="L7" s="176">
        <f>Assumptions!L13</f>
        <v>2.6751572833091947E-2</v>
      </c>
      <c r="M7" s="176">
        <f>Assumptions!M13</f>
        <v>2.6751572833091947E-2</v>
      </c>
      <c r="N7" s="176">
        <f>Assumptions!N13</f>
        <v>2.6751572833091947E-2</v>
      </c>
      <c r="O7" s="176">
        <f>Assumptions!O13</f>
        <v>2.6751572833091947E-2</v>
      </c>
    </row>
    <row r="8" spans="1:15" x14ac:dyDescent="0.25">
      <c r="A8" s="87"/>
      <c r="B8" s="4" t="s">
        <v>46</v>
      </c>
      <c r="C8" s="31"/>
      <c r="D8" s="31"/>
      <c r="E8" s="31"/>
      <c r="F8" s="177">
        <f>Assumptions!F14</f>
        <v>0</v>
      </c>
      <c r="G8" s="177">
        <f>Assumptions!G14</f>
        <v>0</v>
      </c>
      <c r="H8" s="177">
        <f>Assumptions!H14</f>
        <v>0</v>
      </c>
      <c r="I8" s="177">
        <f>Assumptions!I14</f>
        <v>0</v>
      </c>
      <c r="J8" s="177">
        <f>Assumptions!J14</f>
        <v>0</v>
      </c>
      <c r="K8" s="177">
        <f>Assumptions!K14</f>
        <v>0</v>
      </c>
      <c r="L8" s="177">
        <f>Assumptions!L14</f>
        <v>0</v>
      </c>
      <c r="M8" s="177">
        <f>Assumptions!M14</f>
        <v>0</v>
      </c>
      <c r="N8" s="177">
        <f>Assumptions!N14</f>
        <v>0</v>
      </c>
      <c r="O8" s="177">
        <f>Assumptions!O14</f>
        <v>0</v>
      </c>
    </row>
    <row r="9" spans="1:15" x14ac:dyDescent="0.25">
      <c r="A9" s="87"/>
      <c r="B9" s="4" t="s">
        <v>47</v>
      </c>
      <c r="C9" s="31"/>
      <c r="D9" s="31"/>
      <c r="E9" s="31"/>
      <c r="F9" s="178">
        <f>Assumptions!F15</f>
        <v>0</v>
      </c>
      <c r="G9" s="178">
        <f>Assumptions!G15</f>
        <v>0</v>
      </c>
      <c r="H9" s="178">
        <f>Assumptions!H15</f>
        <v>0</v>
      </c>
      <c r="I9" s="178">
        <f>Assumptions!I15</f>
        <v>0</v>
      </c>
      <c r="J9" s="178">
        <f>Assumptions!J15</f>
        <v>0</v>
      </c>
      <c r="K9" s="178">
        <f>Assumptions!K15</f>
        <v>0</v>
      </c>
      <c r="L9" s="178">
        <f>Assumptions!L15</f>
        <v>0</v>
      </c>
      <c r="M9" s="178">
        <f>Assumptions!M15</f>
        <v>0</v>
      </c>
      <c r="N9" s="178">
        <f>Assumptions!N15</f>
        <v>0</v>
      </c>
      <c r="O9" s="178">
        <f>Assumptions!O15</f>
        <v>0</v>
      </c>
    </row>
    <row r="10" spans="1:15" x14ac:dyDescent="0.25">
      <c r="B10" s="4" t="s">
        <v>148</v>
      </c>
      <c r="F10" s="178">
        <f>Assumptions!F16</f>
        <v>0</v>
      </c>
      <c r="G10" s="178">
        <f>Assumptions!G16</f>
        <v>0</v>
      </c>
      <c r="H10" s="178">
        <f>Assumptions!H16</f>
        <v>0</v>
      </c>
      <c r="I10" s="178">
        <f>Assumptions!I16</f>
        <v>0</v>
      </c>
      <c r="J10" s="178">
        <f>Assumptions!J16</f>
        <v>0</v>
      </c>
      <c r="K10" s="178">
        <f>Assumptions!K16</f>
        <v>0</v>
      </c>
      <c r="L10" s="178">
        <f>Assumptions!L16</f>
        <v>0</v>
      </c>
      <c r="M10" s="178">
        <f>Assumptions!M16</f>
        <v>0</v>
      </c>
      <c r="N10" s="178">
        <f>Assumptions!N16</f>
        <v>0</v>
      </c>
      <c r="O10" s="178">
        <f>Assumptions!O16</f>
        <v>0</v>
      </c>
    </row>
    <row r="11" spans="1:15" x14ac:dyDescent="0.25">
      <c r="B11" s="31" t="s">
        <v>48</v>
      </c>
      <c r="C11" s="44"/>
      <c r="D11" s="44"/>
      <c r="E11" s="44"/>
      <c r="F11" s="176">
        <f>Assumptions!F17</f>
        <v>0.16500000000000001</v>
      </c>
      <c r="G11" s="176">
        <f>Assumptions!G17</f>
        <v>0.16500000000000001</v>
      </c>
      <c r="H11" s="176">
        <f>Assumptions!H17</f>
        <v>0.16500000000000001</v>
      </c>
      <c r="I11" s="176">
        <f>Assumptions!I17</f>
        <v>0.16500000000000001</v>
      </c>
      <c r="J11" s="176">
        <f>Assumptions!J17</f>
        <v>0.16500000000000001</v>
      </c>
      <c r="K11" s="176">
        <f>Assumptions!K17</f>
        <v>0.16500000000000001</v>
      </c>
      <c r="L11" s="176">
        <f>Assumptions!L17</f>
        <v>0.16500000000000001</v>
      </c>
      <c r="M11" s="176">
        <f>Assumptions!M17</f>
        <v>0.16500000000000001</v>
      </c>
      <c r="N11" s="176">
        <f>Assumptions!N17</f>
        <v>0.16500000000000001</v>
      </c>
      <c r="O11" s="176">
        <f>Assumptions!O17</f>
        <v>0.16500000000000001</v>
      </c>
    </row>
    <row r="12" spans="1:15" s="277" customFormat="1" x14ac:dyDescent="0.25">
      <c r="A12" s="279"/>
      <c r="B12" s="277" t="s">
        <v>142</v>
      </c>
      <c r="E12" s="280"/>
      <c r="F12" s="281">
        <f>Assumptions!F18</f>
        <v>2.1000000000000001E-2</v>
      </c>
      <c r="G12" s="281">
        <f>Assumptions!G18</f>
        <v>2.6000000000000002E-2</v>
      </c>
      <c r="H12" s="281">
        <f>Assumptions!H18</f>
        <v>3.1000000000000003E-2</v>
      </c>
      <c r="I12" s="281">
        <f>Assumptions!I18</f>
        <v>3.6000000000000004E-2</v>
      </c>
      <c r="J12" s="281">
        <f>Assumptions!J18</f>
        <v>4.1000000000000002E-2</v>
      </c>
      <c r="K12" s="281">
        <f>Assumptions!K18</f>
        <v>4.5999999999999999E-2</v>
      </c>
      <c r="L12" s="281">
        <f>Assumptions!L18</f>
        <v>5.0999999999999997E-2</v>
      </c>
      <c r="M12" s="281">
        <f>Assumptions!M18</f>
        <v>5.5999999999999994E-2</v>
      </c>
      <c r="N12" s="281">
        <f>Assumptions!N18</f>
        <v>6.0999999999999992E-2</v>
      </c>
      <c r="O12" s="281">
        <f>Assumptions!O18</f>
        <v>6.5999999999999989E-2</v>
      </c>
    </row>
    <row r="13" spans="1:15" x14ac:dyDescent="0.25">
      <c r="B13" s="4" t="s">
        <v>49</v>
      </c>
      <c r="C13" s="31"/>
      <c r="D13" s="31"/>
      <c r="E13" s="40"/>
      <c r="F13" s="178">
        <f>Assumptions!F19</f>
        <v>24555</v>
      </c>
      <c r="G13" s="178">
        <f>Assumptions!G19</f>
        <v>24555</v>
      </c>
      <c r="H13" s="178">
        <f>Assumptions!H19</f>
        <v>24555</v>
      </c>
      <c r="I13" s="178">
        <f>Assumptions!I19</f>
        <v>24555</v>
      </c>
      <c r="J13" s="178">
        <f>Assumptions!J19</f>
        <v>24555</v>
      </c>
      <c r="K13" s="178">
        <f>Assumptions!K19</f>
        <v>24555</v>
      </c>
      <c r="L13" s="178">
        <f>Assumptions!L19</f>
        <v>24555</v>
      </c>
      <c r="M13" s="178">
        <f>Assumptions!M19</f>
        <v>24555</v>
      </c>
      <c r="N13" s="178">
        <f>Assumptions!N19</f>
        <v>24555</v>
      </c>
      <c r="O13" s="178">
        <f>Assumptions!O19</f>
        <v>24555</v>
      </c>
    </row>
    <row r="14" spans="1:15" x14ac:dyDescent="0.25">
      <c r="B14" s="4" t="s">
        <v>50</v>
      </c>
      <c r="C14" s="31"/>
      <c r="D14" s="31"/>
      <c r="E14" s="40"/>
      <c r="F14" s="178">
        <f>Assumptions!F20</f>
        <v>24804</v>
      </c>
      <c r="G14" s="178">
        <f>Assumptions!G20</f>
        <v>24804</v>
      </c>
      <c r="H14" s="178">
        <f>Assumptions!H20</f>
        <v>24804</v>
      </c>
      <c r="I14" s="178">
        <f>Assumptions!I20</f>
        <v>24804</v>
      </c>
      <c r="J14" s="178">
        <f>Assumptions!J20</f>
        <v>24804</v>
      </c>
      <c r="K14" s="178">
        <f>Assumptions!K20</f>
        <v>24804</v>
      </c>
      <c r="L14" s="178">
        <f>Assumptions!L20</f>
        <v>24804</v>
      </c>
      <c r="M14" s="178">
        <f>Assumptions!M20</f>
        <v>24804</v>
      </c>
      <c r="N14" s="178">
        <f>Assumptions!N20</f>
        <v>24804</v>
      </c>
      <c r="O14" s="178">
        <f>Assumptions!O20</f>
        <v>24804</v>
      </c>
    </row>
    <row r="15" spans="1:15" x14ac:dyDescent="0.2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4.85" customHeight="1" x14ac:dyDescent="0.25">
      <c r="A16" s="179" t="s">
        <v>42</v>
      </c>
      <c r="B16" s="180"/>
      <c r="C16" s="242">
        <v>2023</v>
      </c>
      <c r="D16" s="242">
        <f>C16+1</f>
        <v>2024</v>
      </c>
      <c r="E16" s="242">
        <f t="shared" ref="E16:M16" si="1">D16+1</f>
        <v>2025</v>
      </c>
      <c r="F16" s="242">
        <f t="shared" si="1"/>
        <v>2026</v>
      </c>
      <c r="G16" s="242">
        <f t="shared" si="1"/>
        <v>2027</v>
      </c>
      <c r="H16" s="242">
        <f t="shared" si="1"/>
        <v>2028</v>
      </c>
      <c r="I16" s="242">
        <f t="shared" si="1"/>
        <v>2029</v>
      </c>
      <c r="J16" s="242">
        <f t="shared" si="1"/>
        <v>2030</v>
      </c>
      <c r="K16" s="242">
        <f t="shared" si="1"/>
        <v>2031</v>
      </c>
      <c r="L16" s="242">
        <f t="shared" si="1"/>
        <v>2032</v>
      </c>
      <c r="M16" s="242">
        <f t="shared" si="1"/>
        <v>2033</v>
      </c>
      <c r="N16" s="242">
        <f>M16+1</f>
        <v>2034</v>
      </c>
      <c r="O16" s="242">
        <f>N16+1</f>
        <v>2035</v>
      </c>
    </row>
    <row r="17" spans="1:15" x14ac:dyDescent="0.25">
      <c r="B17" s="4" t="s">
        <v>51</v>
      </c>
      <c r="C17" s="98">
        <v>26974</v>
      </c>
      <c r="D17" s="124">
        <f>Revenue!K8</f>
        <v>60922</v>
      </c>
      <c r="E17" s="23">
        <f>Revenue!P8</f>
        <v>130497</v>
      </c>
      <c r="F17" s="4">
        <f>E17*(1+F4)</f>
        <v>205494.9508233603</v>
      </c>
      <c r="G17" s="4">
        <f t="shared" ref="G17:O17" si="2">F17*(1+G4)</f>
        <v>289758.27805323002</v>
      </c>
      <c r="H17" s="4">
        <f t="shared" si="2"/>
        <v>360932.26498899999</v>
      </c>
      <c r="I17" s="4">
        <f t="shared" si="2"/>
        <v>440565.57409797888</v>
      </c>
      <c r="J17" s="4">
        <f t="shared" si="2"/>
        <v>537768.56188292615</v>
      </c>
      <c r="K17" s="4">
        <f t="shared" si="2"/>
        <v>656417.6666361941</v>
      </c>
      <c r="L17" s="4">
        <f t="shared" si="2"/>
        <v>801244.59407485859</v>
      </c>
      <c r="M17" s="4">
        <f t="shared" si="2"/>
        <v>978025.01694396988</v>
      </c>
      <c r="N17" s="4">
        <f t="shared" si="2"/>
        <v>1193808.9078437961</v>
      </c>
      <c r="O17" s="4">
        <f t="shared" si="2"/>
        <v>1457201.6909142563</v>
      </c>
    </row>
    <row r="18" spans="1:15" x14ac:dyDescent="0.25">
      <c r="B18" s="4" t="s">
        <v>160</v>
      </c>
      <c r="C18" s="124">
        <v>11618</v>
      </c>
      <c r="D18" s="124">
        <v>16621</v>
      </c>
      <c r="E18" s="23">
        <v>32639</v>
      </c>
      <c r="F18" s="174">
        <f>F17*F5</f>
        <v>51396.964680595396</v>
      </c>
      <c r="G18" s="174">
        <f t="shared" ref="G18:O18" si="3">G17*G5</f>
        <v>72472.320722923716</v>
      </c>
      <c r="H18" s="174">
        <f t="shared" si="3"/>
        <v>90273.862211207699</v>
      </c>
      <c r="I18" s="174">
        <f t="shared" si="3"/>
        <v>110191.19039505838</v>
      </c>
      <c r="J18" s="174">
        <f t="shared" si="3"/>
        <v>134502.92413846165</v>
      </c>
      <c r="K18" s="174">
        <f t="shared" si="3"/>
        <v>164178.6111660708</v>
      </c>
      <c r="L18" s="174">
        <f t="shared" si="3"/>
        <v>200401.71272909961</v>
      </c>
      <c r="M18" s="174">
        <f t="shared" si="3"/>
        <v>244616.79983474131</v>
      </c>
      <c r="N18" s="174">
        <f t="shared" si="3"/>
        <v>298587.16248736496</v>
      </c>
      <c r="O18" s="174">
        <f t="shared" si="3"/>
        <v>364465.1293880351</v>
      </c>
    </row>
    <row r="19" spans="1:15" x14ac:dyDescent="0.25">
      <c r="B19" s="4" t="s">
        <v>180</v>
      </c>
      <c r="C19" s="124">
        <v>7339</v>
      </c>
      <c r="D19" s="124">
        <v>8675</v>
      </c>
      <c r="E19" s="23">
        <v>12914</v>
      </c>
      <c r="F19" s="174">
        <f>F17*F6</f>
        <v>20335.806914587116</v>
      </c>
      <c r="G19" s="174">
        <f t="shared" ref="G19:O19" si="4">G17*G6</f>
        <v>28674.516676853971</v>
      </c>
      <c r="H19" s="174">
        <f t="shared" si="4"/>
        <v>35717.903630489178</v>
      </c>
      <c r="I19" s="174">
        <f t="shared" si="4"/>
        <v>43598.426200612266</v>
      </c>
      <c r="J19" s="174">
        <f t="shared" si="4"/>
        <v>53217.646445175815</v>
      </c>
      <c r="K19" s="174">
        <f t="shared" si="4"/>
        <v>64959.177199014623</v>
      </c>
      <c r="L19" s="174">
        <f t="shared" si="4"/>
        <v>79291.268671944359</v>
      </c>
      <c r="M19" s="174">
        <f t="shared" si="4"/>
        <v>96785.482185907924</v>
      </c>
      <c r="N19" s="174">
        <f t="shared" si="4"/>
        <v>118139.4839413533</v>
      </c>
      <c r="O19" s="174">
        <f t="shared" si="4"/>
        <v>144204.86782429257</v>
      </c>
    </row>
    <row r="20" spans="1:15" x14ac:dyDescent="0.25">
      <c r="B20" s="4" t="s">
        <v>52</v>
      </c>
      <c r="C20" s="124">
        <v>2440</v>
      </c>
      <c r="D20" s="124">
        <v>2654</v>
      </c>
      <c r="E20" s="23">
        <v>3491</v>
      </c>
      <c r="F20" s="174">
        <f>F17*F7</f>
        <v>5497.313143783771</v>
      </c>
      <c r="G20" s="174">
        <f t="shared" ref="G20:O20" si="5">G17*G7</f>
        <v>7751.4896793322905</v>
      </c>
      <c r="H20" s="174">
        <f t="shared" si="5"/>
        <v>9655.505774666075</v>
      </c>
      <c r="I20" s="174">
        <f t="shared" si="5"/>
        <v>11785.82204323505</v>
      </c>
      <c r="J20" s="174">
        <f t="shared" si="5"/>
        <v>14386.154850558212</v>
      </c>
      <c r="K20" s="174">
        <f t="shared" si="5"/>
        <v>17560.205017946417</v>
      </c>
      <c r="L20" s="174">
        <f t="shared" si="5"/>
        <v>21434.553115514773</v>
      </c>
      <c r="M20" s="174">
        <f t="shared" si="5"/>
        <v>26163.707473362596</v>
      </c>
      <c r="N20" s="174">
        <f t="shared" si="5"/>
        <v>31936.265946977263</v>
      </c>
      <c r="O20" s="174">
        <f t="shared" si="5"/>
        <v>38982.437166997464</v>
      </c>
    </row>
    <row r="21" spans="1:15" s="11" customFormat="1" x14ac:dyDescent="0.25">
      <c r="A21" s="11" t="s">
        <v>126</v>
      </c>
      <c r="B21" s="17" t="s">
        <v>55</v>
      </c>
      <c r="C21" s="18">
        <f>C17-SUM(C18:C20)</f>
        <v>5577</v>
      </c>
      <c r="D21" s="18">
        <f>D17-SUM(D18:D20)</f>
        <v>32972</v>
      </c>
      <c r="E21" s="18">
        <f>E17-SUM(E18:E20)</f>
        <v>81453</v>
      </c>
      <c r="F21" s="18">
        <f>F17-SUM(F18:F20)</f>
        <v>128264.86608439402</v>
      </c>
      <c r="G21" s="18">
        <f t="shared" ref="G21:O21" si="6">G17-SUM(G18:G20)</f>
        <v>180859.95097412006</v>
      </c>
      <c r="H21" s="18">
        <f t="shared" si="6"/>
        <v>225284.99337263702</v>
      </c>
      <c r="I21" s="18">
        <f t="shared" si="6"/>
        <v>274990.13545907318</v>
      </c>
      <c r="J21" s="18">
        <f t="shared" si="6"/>
        <v>335661.83644873049</v>
      </c>
      <c r="K21" s="18">
        <f t="shared" si="6"/>
        <v>409719.67325316224</v>
      </c>
      <c r="L21" s="18">
        <f t="shared" si="6"/>
        <v>500117.05955829989</v>
      </c>
      <c r="M21" s="18">
        <f t="shared" si="6"/>
        <v>610459.02744995803</v>
      </c>
      <c r="N21" s="18">
        <f t="shared" si="6"/>
        <v>745145.99546810053</v>
      </c>
      <c r="O21" s="18">
        <f t="shared" si="6"/>
        <v>909549.25653493113</v>
      </c>
    </row>
    <row r="22" spans="1:15" s="11" customFormat="1" x14ac:dyDescent="0.25">
      <c r="E22" s="36"/>
    </row>
    <row r="23" spans="1:15" s="11" customFormat="1" x14ac:dyDescent="0.25">
      <c r="B23" s="4" t="s">
        <v>15</v>
      </c>
      <c r="C23" s="125">
        <v>1864</v>
      </c>
      <c r="D23" s="125">
        <v>1508</v>
      </c>
      <c r="E23" s="26">
        <v>1544</v>
      </c>
      <c r="F23" s="4">
        <f>Calcs!F8</f>
        <v>2370.5977186311789</v>
      </c>
      <c r="G23" s="4">
        <f>Calcs!G8</f>
        <v>3892.4910612591248</v>
      </c>
      <c r="H23" s="4">
        <f>Calcs!H8</f>
        <v>5877.0432008037278</v>
      </c>
      <c r="I23" s="4">
        <f>Calcs!I8</f>
        <v>8047.1838572369015</v>
      </c>
      <c r="J23" s="4">
        <f>Calcs!J8</f>
        <v>10439.731073550778</v>
      </c>
      <c r="K23" s="4">
        <f>Calcs!K8</f>
        <v>13179.01655787458</v>
      </c>
      <c r="L23" s="4">
        <f>Calcs!L8</f>
        <v>16394.711596446119</v>
      </c>
      <c r="M23" s="4">
        <f>Calcs!M8</f>
        <v>20229.489939943105</v>
      </c>
      <c r="N23" s="4">
        <f>Calcs!N8</f>
        <v>24846.477845977519</v>
      </c>
      <c r="O23" s="4">
        <f>Calcs!O8</f>
        <v>30437.003070564046</v>
      </c>
    </row>
    <row r="24" spans="1:15" s="11" customFormat="1" x14ac:dyDescent="0.25">
      <c r="B24" s="4" t="s">
        <v>54</v>
      </c>
      <c r="C24" s="98">
        <v>0</v>
      </c>
      <c r="D24" s="98">
        <v>0</v>
      </c>
      <c r="E24" s="126">
        <v>0</v>
      </c>
      <c r="F24" s="4">
        <f>F8</f>
        <v>0</v>
      </c>
      <c r="G24" s="4">
        <f t="shared" ref="G24:O24" si="7">G8</f>
        <v>0</v>
      </c>
      <c r="H24" s="4">
        <f t="shared" si="7"/>
        <v>0</v>
      </c>
      <c r="I24" s="4">
        <f t="shared" si="7"/>
        <v>0</v>
      </c>
      <c r="J24" s="4">
        <f t="shared" si="7"/>
        <v>0</v>
      </c>
      <c r="K24" s="4">
        <f t="shared" si="7"/>
        <v>0</v>
      </c>
      <c r="L24" s="4">
        <f t="shared" si="7"/>
        <v>0</v>
      </c>
      <c r="M24" s="4">
        <f t="shared" si="7"/>
        <v>0</v>
      </c>
      <c r="N24" s="4">
        <f t="shared" si="7"/>
        <v>0</v>
      </c>
      <c r="O24" s="4">
        <f t="shared" si="7"/>
        <v>0</v>
      </c>
    </row>
    <row r="25" spans="1:15" s="129" customFormat="1" x14ac:dyDescent="0.25">
      <c r="A25" s="129" t="s">
        <v>126</v>
      </c>
      <c r="B25" s="130" t="s">
        <v>53</v>
      </c>
      <c r="C25" s="131">
        <f>C21+C23</f>
        <v>7441</v>
      </c>
      <c r="D25" s="131">
        <f>D21+D23</f>
        <v>34480</v>
      </c>
      <c r="E25" s="131">
        <f>E21+E23</f>
        <v>82997</v>
      </c>
      <c r="F25" s="131">
        <f>F21+F23</f>
        <v>130635.4638030252</v>
      </c>
      <c r="G25" s="131">
        <f t="shared" ref="G25:O25" si="8">G21+G23</f>
        <v>184752.44203537918</v>
      </c>
      <c r="H25" s="131">
        <f t="shared" si="8"/>
        <v>231162.03657344074</v>
      </c>
      <c r="I25" s="131">
        <f t="shared" si="8"/>
        <v>283037.31931631011</v>
      </c>
      <c r="J25" s="131">
        <f t="shared" si="8"/>
        <v>346101.56752228126</v>
      </c>
      <c r="K25" s="131">
        <f t="shared" si="8"/>
        <v>422898.68981103681</v>
      </c>
      <c r="L25" s="131">
        <f t="shared" si="8"/>
        <v>516511.77115474601</v>
      </c>
      <c r="M25" s="131">
        <f t="shared" si="8"/>
        <v>630688.5173899011</v>
      </c>
      <c r="N25" s="131">
        <f t="shared" si="8"/>
        <v>769992.47331407806</v>
      </c>
      <c r="O25" s="131">
        <f t="shared" si="8"/>
        <v>939986.25960549514</v>
      </c>
    </row>
    <row r="26" spans="1:15" s="11" customFormat="1" x14ac:dyDescent="0.25">
      <c r="C26" s="13"/>
      <c r="D26" s="4"/>
      <c r="E26" s="37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s="11" customFormat="1" x14ac:dyDescent="0.25">
      <c r="B27" s="4" t="s">
        <v>56</v>
      </c>
      <c r="C27" s="96">
        <v>-1353</v>
      </c>
      <c r="D27" s="96"/>
      <c r="E27" s="97"/>
      <c r="F27" s="4">
        <f>F9</f>
        <v>0</v>
      </c>
      <c r="G27" s="4">
        <f t="shared" ref="G27:O27" si="9">G9</f>
        <v>0</v>
      </c>
      <c r="H27" s="4">
        <f t="shared" si="9"/>
        <v>0</v>
      </c>
      <c r="I27" s="4">
        <f t="shared" si="9"/>
        <v>0</v>
      </c>
      <c r="J27" s="4">
        <f t="shared" si="9"/>
        <v>0</v>
      </c>
      <c r="K27" s="4">
        <f t="shared" si="9"/>
        <v>0</v>
      </c>
      <c r="L27" s="4">
        <f t="shared" si="9"/>
        <v>0</v>
      </c>
      <c r="M27" s="4">
        <f t="shared" si="9"/>
        <v>0</v>
      </c>
      <c r="N27" s="4">
        <f t="shared" si="9"/>
        <v>0</v>
      </c>
      <c r="O27" s="4">
        <f t="shared" si="9"/>
        <v>0</v>
      </c>
    </row>
    <row r="28" spans="1:15" s="11" customFormat="1" x14ac:dyDescent="0.25">
      <c r="B28" s="4" t="s">
        <v>57</v>
      </c>
      <c r="C28" s="96">
        <v>-48</v>
      </c>
      <c r="D28" s="96">
        <v>237</v>
      </c>
      <c r="E28" s="97">
        <v>1034</v>
      </c>
      <c r="F28" s="4">
        <f>F10</f>
        <v>0</v>
      </c>
      <c r="G28" s="4">
        <f t="shared" ref="G28:O28" si="10">G10</f>
        <v>0</v>
      </c>
      <c r="H28" s="4">
        <f t="shared" si="10"/>
        <v>0</v>
      </c>
      <c r="I28" s="4">
        <f t="shared" si="10"/>
        <v>0</v>
      </c>
      <c r="J28" s="4">
        <f t="shared" si="10"/>
        <v>0</v>
      </c>
      <c r="K28" s="4">
        <f t="shared" si="10"/>
        <v>0</v>
      </c>
      <c r="L28" s="4">
        <f t="shared" si="10"/>
        <v>0</v>
      </c>
      <c r="M28" s="4">
        <f t="shared" si="10"/>
        <v>0</v>
      </c>
      <c r="N28" s="4">
        <f t="shared" si="10"/>
        <v>0</v>
      </c>
      <c r="O28" s="4">
        <f t="shared" si="10"/>
        <v>0</v>
      </c>
    </row>
    <row r="29" spans="1:15" s="11" customFormat="1" x14ac:dyDescent="0.25">
      <c r="B29" s="4"/>
      <c r="C29" s="10"/>
      <c r="D29" s="10"/>
      <c r="E29" s="23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s="11" customFormat="1" x14ac:dyDescent="0.25">
      <c r="B30" s="4" t="s">
        <v>41</v>
      </c>
      <c r="C30" s="9">
        <v>267</v>
      </c>
      <c r="D30" s="9">
        <v>866</v>
      </c>
      <c r="E30" s="46">
        <v>1786</v>
      </c>
      <c r="F30" s="286">
        <f>IF(circ=1,Debt!F33,0)</f>
        <v>0</v>
      </c>
      <c r="G30" s="286">
        <f>IF(circ=1,Debt!G33,0)</f>
        <v>0</v>
      </c>
      <c r="H30" s="286">
        <f>IF(circ=1,Debt!H33,0)</f>
        <v>0</v>
      </c>
      <c r="I30" s="286">
        <f>IF(circ=1,Debt!I33,0)</f>
        <v>0</v>
      </c>
      <c r="J30" s="286">
        <f>IF(circ=1,Debt!J33,0)</f>
        <v>0</v>
      </c>
      <c r="K30" s="286">
        <f>IF(circ=1,Debt!K33,0)</f>
        <v>0</v>
      </c>
      <c r="L30" s="286">
        <f>IF(circ=1,Debt!L33,0)</f>
        <v>0</v>
      </c>
      <c r="M30" s="286">
        <f>IF(circ=1,Debt!M33,0)</f>
        <v>0</v>
      </c>
      <c r="N30" s="286">
        <f>IF(circ=1,Debt!N33,0)</f>
        <v>0</v>
      </c>
      <c r="O30" s="286">
        <f>IF(circ=1,Debt!O33,0)</f>
        <v>0</v>
      </c>
    </row>
    <row r="31" spans="1:15" x14ac:dyDescent="0.25">
      <c r="B31" s="4" t="s">
        <v>33</v>
      </c>
      <c r="C31" s="9">
        <v>-262</v>
      </c>
      <c r="D31" s="9">
        <v>-257</v>
      </c>
      <c r="E31" s="46">
        <v>-247</v>
      </c>
      <c r="F31" s="286">
        <f>IF(circ=1,-Debt!F28,0)</f>
        <v>0</v>
      </c>
      <c r="G31" s="286">
        <f>IF(circ=1,-Debt!G28,0)</f>
        <v>0</v>
      </c>
      <c r="H31" s="286">
        <f>IF(circ=1,-Debt!H28,0)</f>
        <v>0</v>
      </c>
      <c r="I31" s="286">
        <f>IF(circ=1,-Debt!I28,0)</f>
        <v>0</v>
      </c>
      <c r="J31" s="286">
        <f>IF(circ=1,-Debt!J28,0)</f>
        <v>0</v>
      </c>
      <c r="K31" s="286">
        <f>IF(circ=1,-Debt!K28,0)</f>
        <v>0</v>
      </c>
      <c r="L31" s="286">
        <f>IF(circ=1,-Debt!L28,0)</f>
        <v>0</v>
      </c>
      <c r="M31" s="286">
        <f>IF(circ=1,-Debt!M28,0)</f>
        <v>0</v>
      </c>
      <c r="N31" s="286">
        <f>IF(circ=1,-Debt!N28,0)</f>
        <v>0</v>
      </c>
      <c r="O31" s="286">
        <f>IF(circ=1,-Debt!O28,0)</f>
        <v>0</v>
      </c>
    </row>
    <row r="32" spans="1:15" x14ac:dyDescent="0.25">
      <c r="C32" s="10"/>
      <c r="D32" s="10"/>
      <c r="E32" s="23"/>
      <c r="H32" s="4"/>
    </row>
    <row r="33" spans="1:15" s="11" customFormat="1" x14ac:dyDescent="0.25">
      <c r="A33" s="11" t="s">
        <v>126</v>
      </c>
      <c r="B33" s="17" t="s">
        <v>86</v>
      </c>
      <c r="C33" s="18">
        <f>C21+SUM(C30:C31,C27:C28)</f>
        <v>4181</v>
      </c>
      <c r="D33" s="18">
        <f>D21+SUM(D28:D31)</f>
        <v>33818</v>
      </c>
      <c r="E33" s="18">
        <f>E21+SUM(E27:E31)</f>
        <v>84026</v>
      </c>
      <c r="F33" s="18">
        <f>F21+SUM(F27:F31)</f>
        <v>128264.86608439402</v>
      </c>
      <c r="G33" s="18">
        <f t="shared" ref="G33:O33" si="11">G21+SUM(G27:G31)</f>
        <v>180859.95097412006</v>
      </c>
      <c r="H33" s="18">
        <f t="shared" si="11"/>
        <v>225284.99337263702</v>
      </c>
      <c r="I33" s="18">
        <f t="shared" si="11"/>
        <v>274990.13545907318</v>
      </c>
      <c r="J33" s="18">
        <f t="shared" si="11"/>
        <v>335661.83644873049</v>
      </c>
      <c r="K33" s="18">
        <f t="shared" si="11"/>
        <v>409719.67325316224</v>
      </c>
      <c r="L33" s="18">
        <f t="shared" si="11"/>
        <v>500117.05955829989</v>
      </c>
      <c r="M33" s="18">
        <f t="shared" si="11"/>
        <v>610459.02744995803</v>
      </c>
      <c r="N33" s="18">
        <f t="shared" si="11"/>
        <v>745145.99546810053</v>
      </c>
      <c r="O33" s="18">
        <f t="shared" si="11"/>
        <v>909549.25653493113</v>
      </c>
    </row>
    <row r="34" spans="1:15" x14ac:dyDescent="0.25">
      <c r="E34" s="38"/>
      <c r="H34" s="4"/>
    </row>
    <row r="35" spans="1:15" x14ac:dyDescent="0.25">
      <c r="B35" s="4" t="s">
        <v>58</v>
      </c>
      <c r="C35" s="133">
        <v>-187</v>
      </c>
      <c r="D35" s="4">
        <v>4058</v>
      </c>
      <c r="E35" s="59">
        <v>11146</v>
      </c>
      <c r="F35" s="4">
        <f>F33*F11</f>
        <v>21163.702903925012</v>
      </c>
      <c r="G35" s="4">
        <f t="shared" ref="G35:O35" si="12">G33*G11</f>
        <v>29841.89191072981</v>
      </c>
      <c r="H35" s="4">
        <f t="shared" si="12"/>
        <v>37172.023906485112</v>
      </c>
      <c r="I35" s="4">
        <f t="shared" si="12"/>
        <v>45373.372350747079</v>
      </c>
      <c r="J35" s="4">
        <f t="shared" si="12"/>
        <v>55384.203014040533</v>
      </c>
      <c r="K35" s="4">
        <f t="shared" si="12"/>
        <v>67603.746086771775</v>
      </c>
      <c r="L35" s="4">
        <f t="shared" si="12"/>
        <v>82519.31482711948</v>
      </c>
      <c r="M35" s="4">
        <f t="shared" si="12"/>
        <v>100725.73952924307</v>
      </c>
      <c r="N35" s="4">
        <f t="shared" si="12"/>
        <v>122949.08925223659</v>
      </c>
      <c r="O35" s="4">
        <f t="shared" si="12"/>
        <v>150075.62732826365</v>
      </c>
    </row>
    <row r="36" spans="1:15" s="11" customFormat="1" x14ac:dyDescent="0.25">
      <c r="A36" s="11" t="s">
        <v>126</v>
      </c>
      <c r="B36" s="17" t="s">
        <v>59</v>
      </c>
      <c r="C36" s="18">
        <f>C33-C35</f>
        <v>4368</v>
      </c>
      <c r="D36" s="18">
        <f>D33-D35</f>
        <v>29760</v>
      </c>
      <c r="E36" s="18">
        <f>E33-E35</f>
        <v>72880</v>
      </c>
      <c r="F36" s="18">
        <f>F33-F35</f>
        <v>107101.16318046901</v>
      </c>
      <c r="G36" s="18">
        <f t="shared" ref="G36:O36" si="13">G33-G35</f>
        <v>151018.05906339025</v>
      </c>
      <c r="H36" s="18">
        <f t="shared" si="13"/>
        <v>188112.9694661519</v>
      </c>
      <c r="I36" s="18">
        <f t="shared" si="13"/>
        <v>229616.76310832609</v>
      </c>
      <c r="J36" s="18">
        <f t="shared" si="13"/>
        <v>280277.63343468995</v>
      </c>
      <c r="K36" s="18">
        <f t="shared" si="13"/>
        <v>342115.92716639047</v>
      </c>
      <c r="L36" s="18">
        <f t="shared" si="13"/>
        <v>417597.74473118043</v>
      </c>
      <c r="M36" s="18">
        <f t="shared" si="13"/>
        <v>509733.28792071494</v>
      </c>
      <c r="N36" s="18">
        <f t="shared" si="13"/>
        <v>622196.906215864</v>
      </c>
      <c r="O36" s="18">
        <f t="shared" si="13"/>
        <v>759473.62920666742</v>
      </c>
    </row>
    <row r="37" spans="1:15" s="277" customFormat="1" x14ac:dyDescent="0.25">
      <c r="A37" s="279"/>
      <c r="B37" s="277" t="s">
        <v>182</v>
      </c>
      <c r="C37" s="274">
        <v>1.6E-2</v>
      </c>
      <c r="D37" s="274">
        <v>1.6E-2</v>
      </c>
      <c r="E37" s="275">
        <v>1.6E-2</v>
      </c>
      <c r="F37" s="277">
        <f>F12</f>
        <v>2.1000000000000001E-2</v>
      </c>
      <c r="G37" s="277">
        <f t="shared" ref="G37:O37" si="14">G12</f>
        <v>2.6000000000000002E-2</v>
      </c>
      <c r="H37" s="277">
        <f t="shared" si="14"/>
        <v>3.1000000000000003E-2</v>
      </c>
      <c r="I37" s="277">
        <f t="shared" si="14"/>
        <v>3.6000000000000004E-2</v>
      </c>
      <c r="J37" s="277">
        <f t="shared" si="14"/>
        <v>4.1000000000000002E-2</v>
      </c>
      <c r="K37" s="277">
        <f t="shared" si="14"/>
        <v>4.5999999999999999E-2</v>
      </c>
      <c r="L37" s="277">
        <f t="shared" si="14"/>
        <v>5.0999999999999997E-2</v>
      </c>
      <c r="M37" s="277">
        <f t="shared" si="14"/>
        <v>5.5999999999999994E-2</v>
      </c>
      <c r="N37" s="277">
        <f t="shared" si="14"/>
        <v>6.0999999999999992E-2</v>
      </c>
      <c r="O37" s="277">
        <f t="shared" si="14"/>
        <v>6.5999999999999989E-2</v>
      </c>
    </row>
    <row r="38" spans="1:15" x14ac:dyDescent="0.25">
      <c r="B38" s="4" t="s">
        <v>60</v>
      </c>
      <c r="C38" s="10">
        <f>C37*C40</f>
        <v>397.92</v>
      </c>
      <c r="D38" s="10">
        <f t="shared" ref="D38:F38" si="15">D37*D40</f>
        <v>395.04</v>
      </c>
      <c r="E38" s="23">
        <f t="shared" si="15"/>
        <v>392.88</v>
      </c>
      <c r="F38" s="124">
        <f t="shared" si="15"/>
        <v>515.65500000000009</v>
      </c>
      <c r="G38" s="124">
        <f t="shared" ref="G38" si="16">G37*G40</f>
        <v>638.43000000000006</v>
      </c>
      <c r="H38" s="124">
        <f t="shared" ref="H38" si="17">H37*H40</f>
        <v>761.20500000000004</v>
      </c>
      <c r="I38" s="124">
        <f t="shared" ref="I38" si="18">I37*I40</f>
        <v>883.98000000000013</v>
      </c>
      <c r="J38" s="124">
        <f t="shared" ref="J38" si="19">J37*J40</f>
        <v>1006.755</v>
      </c>
      <c r="K38" s="124">
        <f t="shared" ref="K38" si="20">K37*K40</f>
        <v>1129.53</v>
      </c>
      <c r="L38" s="124">
        <f t="shared" ref="L38" si="21">L37*L40</f>
        <v>1252.3049999999998</v>
      </c>
      <c r="M38" s="124">
        <f t="shared" ref="M38" si="22">M37*M40</f>
        <v>1375.08</v>
      </c>
      <c r="N38" s="124">
        <f t="shared" ref="N38" si="23">N37*N40</f>
        <v>1497.8549999999998</v>
      </c>
      <c r="O38" s="124">
        <f t="shared" ref="O38" si="24">O37*O40</f>
        <v>1620.6299999999997</v>
      </c>
    </row>
    <row r="39" spans="1:15" x14ac:dyDescent="0.25">
      <c r="A39" s="21" t="s">
        <v>61</v>
      </c>
      <c r="B39" s="20"/>
      <c r="C39" s="242">
        <v>2023</v>
      </c>
      <c r="D39" s="242">
        <f>C39+1</f>
        <v>2024</v>
      </c>
      <c r="E39" s="242">
        <f t="shared" ref="E39:M39" si="25">D39+1</f>
        <v>2025</v>
      </c>
      <c r="F39" s="242">
        <f t="shared" si="25"/>
        <v>2026</v>
      </c>
      <c r="G39" s="242">
        <f t="shared" ref="G39" si="26">F39+1</f>
        <v>2027</v>
      </c>
      <c r="H39" s="242">
        <f t="shared" ref="H39" si="27">G39+1</f>
        <v>2028</v>
      </c>
      <c r="I39" s="242">
        <f t="shared" ref="I39" si="28">H39+1</f>
        <v>2029</v>
      </c>
      <c r="J39" s="242">
        <f t="shared" ref="J39" si="29">I39+1</f>
        <v>2030</v>
      </c>
      <c r="K39" s="242">
        <f t="shared" ref="K39" si="30">J39+1</f>
        <v>2031</v>
      </c>
      <c r="L39" s="242">
        <f t="shared" ref="L39" si="31">K39+1</f>
        <v>2032</v>
      </c>
      <c r="M39" s="242">
        <f t="shared" ref="M39" si="32">L39+1</f>
        <v>2033</v>
      </c>
      <c r="N39" s="242">
        <f t="shared" ref="N39" si="33">M39+1</f>
        <v>2034</v>
      </c>
      <c r="O39" s="242">
        <f t="shared" ref="O39" si="34">N39+1</f>
        <v>2035</v>
      </c>
    </row>
    <row r="40" spans="1:15" x14ac:dyDescent="0.25">
      <c r="B40" s="4" t="s">
        <v>49</v>
      </c>
      <c r="C40" s="10">
        <v>24870</v>
      </c>
      <c r="D40" s="10">
        <v>24690</v>
      </c>
      <c r="E40" s="23">
        <v>24555</v>
      </c>
      <c r="F40" s="175">
        <f>F13</f>
        <v>24555</v>
      </c>
      <c r="G40" s="175">
        <f t="shared" ref="G40:O40" si="35">G13</f>
        <v>24555</v>
      </c>
      <c r="H40" s="175">
        <f t="shared" si="35"/>
        <v>24555</v>
      </c>
      <c r="I40" s="175">
        <f t="shared" si="35"/>
        <v>24555</v>
      </c>
      <c r="J40" s="175">
        <f t="shared" si="35"/>
        <v>24555</v>
      </c>
      <c r="K40" s="175">
        <f t="shared" si="35"/>
        <v>24555</v>
      </c>
      <c r="L40" s="175">
        <f t="shared" si="35"/>
        <v>24555</v>
      </c>
      <c r="M40" s="175">
        <f t="shared" si="35"/>
        <v>24555</v>
      </c>
      <c r="N40" s="175">
        <f t="shared" si="35"/>
        <v>24555</v>
      </c>
      <c r="O40" s="175">
        <f t="shared" si="35"/>
        <v>24555</v>
      </c>
    </row>
    <row r="41" spans="1:15" x14ac:dyDescent="0.25">
      <c r="B41" s="4" t="s">
        <v>50</v>
      </c>
      <c r="C41" s="10">
        <v>25070</v>
      </c>
      <c r="D41" s="10">
        <v>24940</v>
      </c>
      <c r="E41" s="23">
        <v>24804</v>
      </c>
      <c r="F41" s="175">
        <f>F14</f>
        <v>24804</v>
      </c>
      <c r="G41" s="175">
        <f t="shared" ref="G41:O41" si="36">G14</f>
        <v>24804</v>
      </c>
      <c r="H41" s="175">
        <f t="shared" si="36"/>
        <v>24804</v>
      </c>
      <c r="I41" s="175">
        <f t="shared" si="36"/>
        <v>24804</v>
      </c>
      <c r="J41" s="175">
        <f t="shared" si="36"/>
        <v>24804</v>
      </c>
      <c r="K41" s="175">
        <f t="shared" si="36"/>
        <v>24804</v>
      </c>
      <c r="L41" s="175">
        <f t="shared" si="36"/>
        <v>24804</v>
      </c>
      <c r="M41" s="175">
        <f t="shared" si="36"/>
        <v>24804</v>
      </c>
      <c r="N41" s="175">
        <f t="shared" si="36"/>
        <v>24804</v>
      </c>
      <c r="O41" s="175">
        <f t="shared" si="36"/>
        <v>24804</v>
      </c>
    </row>
    <row r="42" spans="1:15" x14ac:dyDescent="0.25">
      <c r="B42" s="4" t="s">
        <v>62</v>
      </c>
      <c r="C42" s="182">
        <f>C36/C40</f>
        <v>0.17563329312424608</v>
      </c>
      <c r="D42" s="182">
        <f t="shared" ref="D42:E42" si="37">D36/D40</f>
        <v>1.2053462940461726</v>
      </c>
      <c r="E42" s="276">
        <f t="shared" si="37"/>
        <v>2.9680309509264915</v>
      </c>
      <c r="F42" s="282">
        <f t="shared" ref="F42:O42" si="38">F36/F40</f>
        <v>4.3616845115238858</v>
      </c>
      <c r="G42" s="282">
        <f t="shared" si="38"/>
        <v>6.1501958486414274</v>
      </c>
      <c r="H42" s="282">
        <f t="shared" si="38"/>
        <v>7.6608824869131302</v>
      </c>
      <c r="I42" s="282">
        <f t="shared" si="38"/>
        <v>9.3511204686754663</v>
      </c>
      <c r="J42" s="282">
        <f t="shared" si="38"/>
        <v>11.414279512713906</v>
      </c>
      <c r="K42" s="282">
        <f t="shared" si="38"/>
        <v>13.932638043835897</v>
      </c>
      <c r="L42" s="282">
        <f t="shared" si="38"/>
        <v>17.006627763436384</v>
      </c>
      <c r="M42" s="282">
        <f t="shared" si="38"/>
        <v>20.75883884832885</v>
      </c>
      <c r="N42" s="282">
        <f t="shared" si="38"/>
        <v>25.338908825732599</v>
      </c>
      <c r="O42" s="282">
        <f t="shared" si="38"/>
        <v>30.929490091902561</v>
      </c>
    </row>
    <row r="43" spans="1:15" s="11" customFormat="1" x14ac:dyDescent="0.25">
      <c r="A43" s="11" t="s">
        <v>126</v>
      </c>
      <c r="B43" s="17" t="s">
        <v>63</v>
      </c>
      <c r="C43" s="181">
        <f>C36/C41</f>
        <v>0.17423214998005584</v>
      </c>
      <c r="D43" s="181">
        <f t="shared" ref="D43:E43" si="39">D36/D41</f>
        <v>1.1932638331996792</v>
      </c>
      <c r="E43" s="181">
        <f t="shared" si="39"/>
        <v>2.9382357684244478</v>
      </c>
      <c r="F43" s="181">
        <f t="shared" ref="F43:O43" si="40">F36/F41</f>
        <v>4.3178988542359704</v>
      </c>
      <c r="G43" s="181">
        <f t="shared" si="40"/>
        <v>6.0884558564501789</v>
      </c>
      <c r="H43" s="181">
        <f t="shared" si="40"/>
        <v>7.5839771595771612</v>
      </c>
      <c r="I43" s="181">
        <f t="shared" si="40"/>
        <v>9.2572473435061315</v>
      </c>
      <c r="J43" s="181">
        <f t="shared" si="40"/>
        <v>11.299694945762376</v>
      </c>
      <c r="K43" s="181">
        <f t="shared" si="40"/>
        <v>13.792772422447609</v>
      </c>
      <c r="L43" s="181">
        <f t="shared" si="40"/>
        <v>16.835903270891002</v>
      </c>
      <c r="M43" s="181">
        <f t="shared" si="40"/>
        <v>20.550447021476977</v>
      </c>
      <c r="N43" s="181">
        <f t="shared" si="40"/>
        <v>25.084539034666346</v>
      </c>
      <c r="O43" s="181">
        <f t="shared" si="40"/>
        <v>30.618998113476351</v>
      </c>
    </row>
    <row r="44" spans="1:15" x14ac:dyDescent="0.25">
      <c r="C44" s="14"/>
      <c r="D44" s="14"/>
      <c r="E44" s="39"/>
      <c r="F44" s="14"/>
      <c r="G44" s="14"/>
      <c r="H44" s="14"/>
      <c r="I44" s="14"/>
      <c r="J44" s="14"/>
    </row>
    <row r="45" spans="1:15" x14ac:dyDescent="0.25">
      <c r="D45" s="14"/>
      <c r="E45" s="14"/>
      <c r="F45" s="14"/>
    </row>
  </sheetData>
  <conditionalFormatting sqref="F4:O14">
    <cfRule type="expression" dxfId="1" priority="29">
      <formula>$E$13&gt;1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O54"/>
  <sheetViews>
    <sheetView showGridLines="0" zoomScaleNormal="100" workbookViewId="0">
      <selection activeCell="F41" sqref="F15:O41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0" width="11.7109375" style="6" customWidth="1"/>
    <col min="11" max="15" width="11.7109375" style="4" customWidth="1"/>
    <col min="16" max="256" width="8.85546875" style="4"/>
    <col min="257" max="257" width="1.7109375" style="4" customWidth="1"/>
    <col min="258" max="258" width="42.85546875" style="4" customWidth="1"/>
    <col min="259" max="264" width="10.7109375" style="4" customWidth="1"/>
    <col min="265" max="266" width="9.42578125" style="4" bestFit="1" customWidth="1"/>
    <col min="267" max="512" width="8.85546875" style="4"/>
    <col min="513" max="513" width="1.7109375" style="4" customWidth="1"/>
    <col min="514" max="514" width="42.85546875" style="4" customWidth="1"/>
    <col min="515" max="520" width="10.7109375" style="4" customWidth="1"/>
    <col min="521" max="522" width="9.42578125" style="4" bestFit="1" customWidth="1"/>
    <col min="523" max="768" width="8.85546875" style="4"/>
    <col min="769" max="769" width="1.7109375" style="4" customWidth="1"/>
    <col min="770" max="770" width="42.85546875" style="4" customWidth="1"/>
    <col min="771" max="776" width="10.7109375" style="4" customWidth="1"/>
    <col min="777" max="778" width="9.42578125" style="4" bestFit="1" customWidth="1"/>
    <col min="779" max="1024" width="8.85546875" style="4"/>
    <col min="1025" max="1025" width="1.7109375" style="4" customWidth="1"/>
    <col min="1026" max="1026" width="42.85546875" style="4" customWidth="1"/>
    <col min="1027" max="1032" width="10.7109375" style="4" customWidth="1"/>
    <col min="1033" max="1034" width="9.42578125" style="4" bestFit="1" customWidth="1"/>
    <col min="1035" max="1280" width="8.85546875" style="4"/>
    <col min="1281" max="1281" width="1.7109375" style="4" customWidth="1"/>
    <col min="1282" max="1282" width="42.85546875" style="4" customWidth="1"/>
    <col min="1283" max="1288" width="10.7109375" style="4" customWidth="1"/>
    <col min="1289" max="1290" width="9.42578125" style="4" bestFit="1" customWidth="1"/>
    <col min="1291" max="1536" width="8.85546875" style="4"/>
    <col min="1537" max="1537" width="1.7109375" style="4" customWidth="1"/>
    <col min="1538" max="1538" width="42.85546875" style="4" customWidth="1"/>
    <col min="1539" max="1544" width="10.7109375" style="4" customWidth="1"/>
    <col min="1545" max="1546" width="9.42578125" style="4" bestFit="1" customWidth="1"/>
    <col min="1547" max="1792" width="8.85546875" style="4"/>
    <col min="1793" max="1793" width="1.7109375" style="4" customWidth="1"/>
    <col min="1794" max="1794" width="42.85546875" style="4" customWidth="1"/>
    <col min="1795" max="1800" width="10.7109375" style="4" customWidth="1"/>
    <col min="1801" max="1802" width="9.42578125" style="4" bestFit="1" customWidth="1"/>
    <col min="1803" max="2048" width="8.85546875" style="4"/>
    <col min="2049" max="2049" width="1.7109375" style="4" customWidth="1"/>
    <col min="2050" max="2050" width="42.85546875" style="4" customWidth="1"/>
    <col min="2051" max="2056" width="10.7109375" style="4" customWidth="1"/>
    <col min="2057" max="2058" width="9.42578125" style="4" bestFit="1" customWidth="1"/>
    <col min="2059" max="2304" width="8.85546875" style="4"/>
    <col min="2305" max="2305" width="1.7109375" style="4" customWidth="1"/>
    <col min="2306" max="2306" width="42.85546875" style="4" customWidth="1"/>
    <col min="2307" max="2312" width="10.7109375" style="4" customWidth="1"/>
    <col min="2313" max="2314" width="9.42578125" style="4" bestFit="1" customWidth="1"/>
    <col min="2315" max="2560" width="8.85546875" style="4"/>
    <col min="2561" max="2561" width="1.7109375" style="4" customWidth="1"/>
    <col min="2562" max="2562" width="42.85546875" style="4" customWidth="1"/>
    <col min="2563" max="2568" width="10.7109375" style="4" customWidth="1"/>
    <col min="2569" max="2570" width="9.42578125" style="4" bestFit="1" customWidth="1"/>
    <col min="2571" max="2816" width="8.85546875" style="4"/>
    <col min="2817" max="2817" width="1.7109375" style="4" customWidth="1"/>
    <col min="2818" max="2818" width="42.85546875" style="4" customWidth="1"/>
    <col min="2819" max="2824" width="10.7109375" style="4" customWidth="1"/>
    <col min="2825" max="2826" width="9.42578125" style="4" bestFit="1" customWidth="1"/>
    <col min="2827" max="3072" width="8.85546875" style="4"/>
    <col min="3073" max="3073" width="1.7109375" style="4" customWidth="1"/>
    <col min="3074" max="3074" width="42.85546875" style="4" customWidth="1"/>
    <col min="3075" max="3080" width="10.7109375" style="4" customWidth="1"/>
    <col min="3081" max="3082" width="9.42578125" style="4" bestFit="1" customWidth="1"/>
    <col min="3083" max="3328" width="8.85546875" style="4"/>
    <col min="3329" max="3329" width="1.7109375" style="4" customWidth="1"/>
    <col min="3330" max="3330" width="42.85546875" style="4" customWidth="1"/>
    <col min="3331" max="3336" width="10.7109375" style="4" customWidth="1"/>
    <col min="3337" max="3338" width="9.42578125" style="4" bestFit="1" customWidth="1"/>
    <col min="3339" max="3584" width="8.85546875" style="4"/>
    <col min="3585" max="3585" width="1.7109375" style="4" customWidth="1"/>
    <col min="3586" max="3586" width="42.85546875" style="4" customWidth="1"/>
    <col min="3587" max="3592" width="10.7109375" style="4" customWidth="1"/>
    <col min="3593" max="3594" width="9.42578125" style="4" bestFit="1" customWidth="1"/>
    <col min="3595" max="3840" width="8.85546875" style="4"/>
    <col min="3841" max="3841" width="1.7109375" style="4" customWidth="1"/>
    <col min="3842" max="3842" width="42.85546875" style="4" customWidth="1"/>
    <col min="3843" max="3848" width="10.7109375" style="4" customWidth="1"/>
    <col min="3849" max="3850" width="9.42578125" style="4" bestFit="1" customWidth="1"/>
    <col min="3851" max="4096" width="8.85546875" style="4"/>
    <col min="4097" max="4097" width="1.7109375" style="4" customWidth="1"/>
    <col min="4098" max="4098" width="42.85546875" style="4" customWidth="1"/>
    <col min="4099" max="4104" width="10.7109375" style="4" customWidth="1"/>
    <col min="4105" max="4106" width="9.42578125" style="4" bestFit="1" customWidth="1"/>
    <col min="4107" max="4352" width="8.85546875" style="4"/>
    <col min="4353" max="4353" width="1.7109375" style="4" customWidth="1"/>
    <col min="4354" max="4354" width="42.85546875" style="4" customWidth="1"/>
    <col min="4355" max="4360" width="10.7109375" style="4" customWidth="1"/>
    <col min="4361" max="4362" width="9.42578125" style="4" bestFit="1" customWidth="1"/>
    <col min="4363" max="4608" width="8.85546875" style="4"/>
    <col min="4609" max="4609" width="1.7109375" style="4" customWidth="1"/>
    <col min="4610" max="4610" width="42.85546875" style="4" customWidth="1"/>
    <col min="4611" max="4616" width="10.7109375" style="4" customWidth="1"/>
    <col min="4617" max="4618" width="9.42578125" style="4" bestFit="1" customWidth="1"/>
    <col min="4619" max="4864" width="8.85546875" style="4"/>
    <col min="4865" max="4865" width="1.7109375" style="4" customWidth="1"/>
    <col min="4866" max="4866" width="42.85546875" style="4" customWidth="1"/>
    <col min="4867" max="4872" width="10.7109375" style="4" customWidth="1"/>
    <col min="4873" max="4874" width="9.42578125" style="4" bestFit="1" customWidth="1"/>
    <col min="4875" max="5120" width="8.85546875" style="4"/>
    <col min="5121" max="5121" width="1.7109375" style="4" customWidth="1"/>
    <col min="5122" max="5122" width="42.85546875" style="4" customWidth="1"/>
    <col min="5123" max="5128" width="10.7109375" style="4" customWidth="1"/>
    <col min="5129" max="5130" width="9.42578125" style="4" bestFit="1" customWidth="1"/>
    <col min="5131" max="5376" width="8.85546875" style="4"/>
    <col min="5377" max="5377" width="1.7109375" style="4" customWidth="1"/>
    <col min="5378" max="5378" width="42.85546875" style="4" customWidth="1"/>
    <col min="5379" max="5384" width="10.7109375" style="4" customWidth="1"/>
    <col min="5385" max="5386" width="9.42578125" style="4" bestFit="1" customWidth="1"/>
    <col min="5387" max="5632" width="8.85546875" style="4"/>
    <col min="5633" max="5633" width="1.7109375" style="4" customWidth="1"/>
    <col min="5634" max="5634" width="42.85546875" style="4" customWidth="1"/>
    <col min="5635" max="5640" width="10.7109375" style="4" customWidth="1"/>
    <col min="5641" max="5642" width="9.42578125" style="4" bestFit="1" customWidth="1"/>
    <col min="5643" max="5888" width="8.85546875" style="4"/>
    <col min="5889" max="5889" width="1.7109375" style="4" customWidth="1"/>
    <col min="5890" max="5890" width="42.85546875" style="4" customWidth="1"/>
    <col min="5891" max="5896" width="10.7109375" style="4" customWidth="1"/>
    <col min="5897" max="5898" width="9.42578125" style="4" bestFit="1" customWidth="1"/>
    <col min="5899" max="6144" width="8.85546875" style="4"/>
    <col min="6145" max="6145" width="1.7109375" style="4" customWidth="1"/>
    <col min="6146" max="6146" width="42.85546875" style="4" customWidth="1"/>
    <col min="6147" max="6152" width="10.7109375" style="4" customWidth="1"/>
    <col min="6153" max="6154" width="9.42578125" style="4" bestFit="1" customWidth="1"/>
    <col min="6155" max="6400" width="8.85546875" style="4"/>
    <col min="6401" max="6401" width="1.7109375" style="4" customWidth="1"/>
    <col min="6402" max="6402" width="42.85546875" style="4" customWidth="1"/>
    <col min="6403" max="6408" width="10.7109375" style="4" customWidth="1"/>
    <col min="6409" max="6410" width="9.42578125" style="4" bestFit="1" customWidth="1"/>
    <col min="6411" max="6656" width="8.85546875" style="4"/>
    <col min="6657" max="6657" width="1.7109375" style="4" customWidth="1"/>
    <col min="6658" max="6658" width="42.85546875" style="4" customWidth="1"/>
    <col min="6659" max="6664" width="10.7109375" style="4" customWidth="1"/>
    <col min="6665" max="6666" width="9.42578125" style="4" bestFit="1" customWidth="1"/>
    <col min="6667" max="6912" width="8.85546875" style="4"/>
    <col min="6913" max="6913" width="1.7109375" style="4" customWidth="1"/>
    <col min="6914" max="6914" width="42.85546875" style="4" customWidth="1"/>
    <col min="6915" max="6920" width="10.7109375" style="4" customWidth="1"/>
    <col min="6921" max="6922" width="9.42578125" style="4" bestFit="1" customWidth="1"/>
    <col min="6923" max="7168" width="8.85546875" style="4"/>
    <col min="7169" max="7169" width="1.7109375" style="4" customWidth="1"/>
    <col min="7170" max="7170" width="42.85546875" style="4" customWidth="1"/>
    <col min="7171" max="7176" width="10.7109375" style="4" customWidth="1"/>
    <col min="7177" max="7178" width="9.42578125" style="4" bestFit="1" customWidth="1"/>
    <col min="7179" max="7424" width="8.85546875" style="4"/>
    <col min="7425" max="7425" width="1.7109375" style="4" customWidth="1"/>
    <col min="7426" max="7426" width="42.85546875" style="4" customWidth="1"/>
    <col min="7427" max="7432" width="10.7109375" style="4" customWidth="1"/>
    <col min="7433" max="7434" width="9.42578125" style="4" bestFit="1" customWidth="1"/>
    <col min="7435" max="7680" width="8.85546875" style="4"/>
    <col min="7681" max="7681" width="1.7109375" style="4" customWidth="1"/>
    <col min="7682" max="7682" width="42.85546875" style="4" customWidth="1"/>
    <col min="7683" max="7688" width="10.7109375" style="4" customWidth="1"/>
    <col min="7689" max="7690" width="9.42578125" style="4" bestFit="1" customWidth="1"/>
    <col min="7691" max="7936" width="8.85546875" style="4"/>
    <col min="7937" max="7937" width="1.7109375" style="4" customWidth="1"/>
    <col min="7938" max="7938" width="42.85546875" style="4" customWidth="1"/>
    <col min="7939" max="7944" width="10.7109375" style="4" customWidth="1"/>
    <col min="7945" max="7946" width="9.42578125" style="4" bestFit="1" customWidth="1"/>
    <col min="7947" max="8192" width="8.85546875" style="4"/>
    <col min="8193" max="8193" width="1.7109375" style="4" customWidth="1"/>
    <col min="8194" max="8194" width="42.85546875" style="4" customWidth="1"/>
    <col min="8195" max="8200" width="10.7109375" style="4" customWidth="1"/>
    <col min="8201" max="8202" width="9.42578125" style="4" bestFit="1" customWidth="1"/>
    <col min="8203" max="8448" width="8.85546875" style="4"/>
    <col min="8449" max="8449" width="1.7109375" style="4" customWidth="1"/>
    <col min="8450" max="8450" width="42.85546875" style="4" customWidth="1"/>
    <col min="8451" max="8456" width="10.7109375" style="4" customWidth="1"/>
    <col min="8457" max="8458" width="9.42578125" style="4" bestFit="1" customWidth="1"/>
    <col min="8459" max="8704" width="8.85546875" style="4"/>
    <col min="8705" max="8705" width="1.7109375" style="4" customWidth="1"/>
    <col min="8706" max="8706" width="42.85546875" style="4" customWidth="1"/>
    <col min="8707" max="8712" width="10.7109375" style="4" customWidth="1"/>
    <col min="8713" max="8714" width="9.42578125" style="4" bestFit="1" customWidth="1"/>
    <col min="8715" max="8960" width="8.85546875" style="4"/>
    <col min="8961" max="8961" width="1.7109375" style="4" customWidth="1"/>
    <col min="8962" max="8962" width="42.85546875" style="4" customWidth="1"/>
    <col min="8963" max="8968" width="10.7109375" style="4" customWidth="1"/>
    <col min="8969" max="8970" width="9.42578125" style="4" bestFit="1" customWidth="1"/>
    <col min="8971" max="9216" width="8.85546875" style="4"/>
    <col min="9217" max="9217" width="1.7109375" style="4" customWidth="1"/>
    <col min="9218" max="9218" width="42.85546875" style="4" customWidth="1"/>
    <col min="9219" max="9224" width="10.7109375" style="4" customWidth="1"/>
    <col min="9225" max="9226" width="9.42578125" style="4" bestFit="1" customWidth="1"/>
    <col min="9227" max="9472" width="8.85546875" style="4"/>
    <col min="9473" max="9473" width="1.7109375" style="4" customWidth="1"/>
    <col min="9474" max="9474" width="42.85546875" style="4" customWidth="1"/>
    <col min="9475" max="9480" width="10.7109375" style="4" customWidth="1"/>
    <col min="9481" max="9482" width="9.42578125" style="4" bestFit="1" customWidth="1"/>
    <col min="9483" max="9728" width="8.85546875" style="4"/>
    <col min="9729" max="9729" width="1.7109375" style="4" customWidth="1"/>
    <col min="9730" max="9730" width="42.85546875" style="4" customWidth="1"/>
    <col min="9731" max="9736" width="10.7109375" style="4" customWidth="1"/>
    <col min="9737" max="9738" width="9.42578125" style="4" bestFit="1" customWidth="1"/>
    <col min="9739" max="9984" width="8.85546875" style="4"/>
    <col min="9985" max="9985" width="1.7109375" style="4" customWidth="1"/>
    <col min="9986" max="9986" width="42.85546875" style="4" customWidth="1"/>
    <col min="9987" max="9992" width="10.7109375" style="4" customWidth="1"/>
    <col min="9993" max="9994" width="9.42578125" style="4" bestFit="1" customWidth="1"/>
    <col min="9995" max="10240" width="8.85546875" style="4"/>
    <col min="10241" max="10241" width="1.7109375" style="4" customWidth="1"/>
    <col min="10242" max="10242" width="42.85546875" style="4" customWidth="1"/>
    <col min="10243" max="10248" width="10.7109375" style="4" customWidth="1"/>
    <col min="10249" max="10250" width="9.42578125" style="4" bestFit="1" customWidth="1"/>
    <col min="10251" max="10496" width="8.85546875" style="4"/>
    <col min="10497" max="10497" width="1.7109375" style="4" customWidth="1"/>
    <col min="10498" max="10498" width="42.85546875" style="4" customWidth="1"/>
    <col min="10499" max="10504" width="10.7109375" style="4" customWidth="1"/>
    <col min="10505" max="10506" width="9.42578125" style="4" bestFit="1" customWidth="1"/>
    <col min="10507" max="10752" width="8.85546875" style="4"/>
    <col min="10753" max="10753" width="1.7109375" style="4" customWidth="1"/>
    <col min="10754" max="10754" width="42.85546875" style="4" customWidth="1"/>
    <col min="10755" max="10760" width="10.7109375" style="4" customWidth="1"/>
    <col min="10761" max="10762" width="9.42578125" style="4" bestFit="1" customWidth="1"/>
    <col min="10763" max="11008" width="8.85546875" style="4"/>
    <col min="11009" max="11009" width="1.7109375" style="4" customWidth="1"/>
    <col min="11010" max="11010" width="42.85546875" style="4" customWidth="1"/>
    <col min="11011" max="11016" width="10.7109375" style="4" customWidth="1"/>
    <col min="11017" max="11018" width="9.42578125" style="4" bestFit="1" customWidth="1"/>
    <col min="11019" max="11264" width="8.85546875" style="4"/>
    <col min="11265" max="11265" width="1.7109375" style="4" customWidth="1"/>
    <col min="11266" max="11266" width="42.85546875" style="4" customWidth="1"/>
    <col min="11267" max="11272" width="10.7109375" style="4" customWidth="1"/>
    <col min="11273" max="11274" width="9.42578125" style="4" bestFit="1" customWidth="1"/>
    <col min="11275" max="11520" width="8.85546875" style="4"/>
    <col min="11521" max="11521" width="1.7109375" style="4" customWidth="1"/>
    <col min="11522" max="11522" width="42.85546875" style="4" customWidth="1"/>
    <col min="11523" max="11528" width="10.7109375" style="4" customWidth="1"/>
    <col min="11529" max="11530" width="9.42578125" style="4" bestFit="1" customWidth="1"/>
    <col min="11531" max="11776" width="8.85546875" style="4"/>
    <col min="11777" max="11777" width="1.7109375" style="4" customWidth="1"/>
    <col min="11778" max="11778" width="42.85546875" style="4" customWidth="1"/>
    <col min="11779" max="11784" width="10.7109375" style="4" customWidth="1"/>
    <col min="11785" max="11786" width="9.42578125" style="4" bestFit="1" customWidth="1"/>
    <col min="11787" max="12032" width="8.85546875" style="4"/>
    <col min="12033" max="12033" width="1.7109375" style="4" customWidth="1"/>
    <col min="12034" max="12034" width="42.85546875" style="4" customWidth="1"/>
    <col min="12035" max="12040" width="10.7109375" style="4" customWidth="1"/>
    <col min="12041" max="12042" width="9.42578125" style="4" bestFit="1" customWidth="1"/>
    <col min="12043" max="12288" width="8.85546875" style="4"/>
    <col min="12289" max="12289" width="1.7109375" style="4" customWidth="1"/>
    <col min="12290" max="12290" width="42.85546875" style="4" customWidth="1"/>
    <col min="12291" max="12296" width="10.7109375" style="4" customWidth="1"/>
    <col min="12297" max="12298" width="9.42578125" style="4" bestFit="1" customWidth="1"/>
    <col min="12299" max="12544" width="8.85546875" style="4"/>
    <col min="12545" max="12545" width="1.7109375" style="4" customWidth="1"/>
    <col min="12546" max="12546" width="42.85546875" style="4" customWidth="1"/>
    <col min="12547" max="12552" width="10.7109375" style="4" customWidth="1"/>
    <col min="12553" max="12554" width="9.42578125" style="4" bestFit="1" customWidth="1"/>
    <col min="12555" max="12800" width="8.85546875" style="4"/>
    <col min="12801" max="12801" width="1.7109375" style="4" customWidth="1"/>
    <col min="12802" max="12802" width="42.85546875" style="4" customWidth="1"/>
    <col min="12803" max="12808" width="10.7109375" style="4" customWidth="1"/>
    <col min="12809" max="12810" width="9.42578125" style="4" bestFit="1" customWidth="1"/>
    <col min="12811" max="13056" width="8.85546875" style="4"/>
    <col min="13057" max="13057" width="1.7109375" style="4" customWidth="1"/>
    <col min="13058" max="13058" width="42.85546875" style="4" customWidth="1"/>
    <col min="13059" max="13064" width="10.7109375" style="4" customWidth="1"/>
    <col min="13065" max="13066" width="9.42578125" style="4" bestFit="1" customWidth="1"/>
    <col min="13067" max="13312" width="8.85546875" style="4"/>
    <col min="13313" max="13313" width="1.7109375" style="4" customWidth="1"/>
    <col min="13314" max="13314" width="42.85546875" style="4" customWidth="1"/>
    <col min="13315" max="13320" width="10.7109375" style="4" customWidth="1"/>
    <col min="13321" max="13322" width="9.42578125" style="4" bestFit="1" customWidth="1"/>
    <col min="13323" max="13568" width="8.85546875" style="4"/>
    <col min="13569" max="13569" width="1.7109375" style="4" customWidth="1"/>
    <col min="13570" max="13570" width="42.85546875" style="4" customWidth="1"/>
    <col min="13571" max="13576" width="10.7109375" style="4" customWidth="1"/>
    <col min="13577" max="13578" width="9.42578125" style="4" bestFit="1" customWidth="1"/>
    <col min="13579" max="13824" width="8.85546875" style="4"/>
    <col min="13825" max="13825" width="1.7109375" style="4" customWidth="1"/>
    <col min="13826" max="13826" width="42.85546875" style="4" customWidth="1"/>
    <col min="13827" max="13832" width="10.7109375" style="4" customWidth="1"/>
    <col min="13833" max="13834" width="9.42578125" style="4" bestFit="1" customWidth="1"/>
    <col min="13835" max="14080" width="8.85546875" style="4"/>
    <col min="14081" max="14081" width="1.7109375" style="4" customWidth="1"/>
    <col min="14082" max="14082" width="42.85546875" style="4" customWidth="1"/>
    <col min="14083" max="14088" width="10.7109375" style="4" customWidth="1"/>
    <col min="14089" max="14090" width="9.42578125" style="4" bestFit="1" customWidth="1"/>
    <col min="14091" max="14336" width="8.85546875" style="4"/>
    <col min="14337" max="14337" width="1.7109375" style="4" customWidth="1"/>
    <col min="14338" max="14338" width="42.85546875" style="4" customWidth="1"/>
    <col min="14339" max="14344" width="10.7109375" style="4" customWidth="1"/>
    <col min="14345" max="14346" width="9.42578125" style="4" bestFit="1" customWidth="1"/>
    <col min="14347" max="14592" width="8.85546875" style="4"/>
    <col min="14593" max="14593" width="1.7109375" style="4" customWidth="1"/>
    <col min="14594" max="14594" width="42.85546875" style="4" customWidth="1"/>
    <col min="14595" max="14600" width="10.7109375" style="4" customWidth="1"/>
    <col min="14601" max="14602" width="9.42578125" style="4" bestFit="1" customWidth="1"/>
    <col min="14603" max="14848" width="8.85546875" style="4"/>
    <col min="14849" max="14849" width="1.7109375" style="4" customWidth="1"/>
    <col min="14850" max="14850" width="42.85546875" style="4" customWidth="1"/>
    <col min="14851" max="14856" width="10.7109375" style="4" customWidth="1"/>
    <col min="14857" max="14858" width="9.42578125" style="4" bestFit="1" customWidth="1"/>
    <col min="14859" max="15104" width="8.85546875" style="4"/>
    <col min="15105" max="15105" width="1.7109375" style="4" customWidth="1"/>
    <col min="15106" max="15106" width="42.85546875" style="4" customWidth="1"/>
    <col min="15107" max="15112" width="10.7109375" style="4" customWidth="1"/>
    <col min="15113" max="15114" width="9.42578125" style="4" bestFit="1" customWidth="1"/>
    <col min="15115" max="15360" width="8.85546875" style="4"/>
    <col min="15361" max="15361" width="1.7109375" style="4" customWidth="1"/>
    <col min="15362" max="15362" width="42.85546875" style="4" customWidth="1"/>
    <col min="15363" max="15368" width="10.7109375" style="4" customWidth="1"/>
    <col min="15369" max="15370" width="9.42578125" style="4" bestFit="1" customWidth="1"/>
    <col min="15371" max="15616" width="8.85546875" style="4"/>
    <col min="15617" max="15617" width="1.7109375" style="4" customWidth="1"/>
    <col min="15618" max="15618" width="42.85546875" style="4" customWidth="1"/>
    <col min="15619" max="15624" width="10.7109375" style="4" customWidth="1"/>
    <col min="15625" max="15626" width="9.42578125" style="4" bestFit="1" customWidth="1"/>
    <col min="15627" max="15872" width="8.85546875" style="4"/>
    <col min="15873" max="15873" width="1.7109375" style="4" customWidth="1"/>
    <col min="15874" max="15874" width="42.85546875" style="4" customWidth="1"/>
    <col min="15875" max="15880" width="10.7109375" style="4" customWidth="1"/>
    <col min="15881" max="15882" width="9.42578125" style="4" bestFit="1" customWidth="1"/>
    <col min="15883" max="16128" width="8.85546875" style="4"/>
    <col min="16129" max="16129" width="1.7109375" style="4" customWidth="1"/>
    <col min="16130" max="16130" width="42.85546875" style="4" customWidth="1"/>
    <col min="16131" max="16136" width="10.7109375" style="4" customWidth="1"/>
    <col min="16137" max="16138" width="9.42578125" style="4" bestFit="1" customWidth="1"/>
    <col min="16139" max="16384" width="8.85546875" style="4"/>
  </cols>
  <sheetData>
    <row r="1" spans="1:15" s="2" customFormat="1" ht="19.5" x14ac:dyDescent="0.3">
      <c r="A1" s="244" t="str">
        <f>CoName</f>
        <v>NVIDIA Corp.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  <c r="N1" s="42" t="s">
        <v>1</v>
      </c>
      <c r="O1" s="42" t="s">
        <v>1</v>
      </c>
    </row>
    <row r="2" spans="1:15" x14ac:dyDescent="0.25">
      <c r="A2" s="16" t="s">
        <v>10</v>
      </c>
      <c r="B2" s="64"/>
      <c r="C2" s="254">
        <v>2023</v>
      </c>
      <c r="D2" s="254">
        <f>C2+1</f>
        <v>2024</v>
      </c>
      <c r="E2" s="254">
        <f t="shared" ref="E2:M2" si="0">D2+1</f>
        <v>2025</v>
      </c>
      <c r="F2" s="254">
        <f t="shared" si="0"/>
        <v>2026</v>
      </c>
      <c r="G2" s="254">
        <f t="shared" si="0"/>
        <v>2027</v>
      </c>
      <c r="H2" s="254">
        <f t="shared" si="0"/>
        <v>2028</v>
      </c>
      <c r="I2" s="254">
        <f t="shared" si="0"/>
        <v>2029</v>
      </c>
      <c r="J2" s="254">
        <f t="shared" si="0"/>
        <v>2030</v>
      </c>
      <c r="K2" s="254">
        <f t="shared" si="0"/>
        <v>2031</v>
      </c>
      <c r="L2" s="254">
        <f t="shared" si="0"/>
        <v>2032</v>
      </c>
      <c r="M2" s="254">
        <f t="shared" si="0"/>
        <v>2033</v>
      </c>
      <c r="N2" s="254">
        <f>M2+1</f>
        <v>2034</v>
      </c>
      <c r="O2" s="254">
        <f>N2+1</f>
        <v>2035</v>
      </c>
    </row>
    <row r="3" spans="1:15" x14ac:dyDescent="0.25">
      <c r="K3" s="6"/>
      <c r="L3" s="6"/>
      <c r="M3" s="6"/>
      <c r="N3" s="6"/>
      <c r="O3" s="6"/>
    </row>
    <row r="4" spans="1:15" x14ac:dyDescent="0.25">
      <c r="B4" s="4" t="s">
        <v>143</v>
      </c>
      <c r="C4" s="44"/>
      <c r="D4" s="44"/>
      <c r="E4" s="45"/>
      <c r="F4" s="103">
        <f>Assumptions!F45</f>
        <v>1.4999999999999999E-2</v>
      </c>
      <c r="G4" s="103">
        <f t="shared" ref="G4:O4" si="1">F4</f>
        <v>1.4999999999999999E-2</v>
      </c>
      <c r="H4" s="103">
        <f t="shared" si="1"/>
        <v>1.4999999999999999E-2</v>
      </c>
      <c r="I4" s="103">
        <f t="shared" si="1"/>
        <v>1.4999999999999999E-2</v>
      </c>
      <c r="J4" s="103">
        <f t="shared" si="1"/>
        <v>1.4999999999999999E-2</v>
      </c>
      <c r="K4" s="103">
        <f t="shared" si="1"/>
        <v>1.4999999999999999E-2</v>
      </c>
      <c r="L4" s="103">
        <f t="shared" si="1"/>
        <v>1.4999999999999999E-2</v>
      </c>
      <c r="M4" s="101">
        <f t="shared" si="1"/>
        <v>1.4999999999999999E-2</v>
      </c>
      <c r="N4" s="101">
        <f t="shared" si="1"/>
        <v>1.4999999999999999E-2</v>
      </c>
      <c r="O4" s="101">
        <f t="shared" si="1"/>
        <v>1.4999999999999999E-2</v>
      </c>
    </row>
    <row r="5" spans="1:15" x14ac:dyDescent="0.25">
      <c r="B5" s="4" t="s">
        <v>156</v>
      </c>
      <c r="C5" s="44"/>
      <c r="D5" s="44"/>
      <c r="E5" s="45"/>
      <c r="F5" s="103">
        <f>Assumptions!F46</f>
        <v>0.17674735817681633</v>
      </c>
      <c r="G5" s="103">
        <f>Assumptions!G46</f>
        <v>0.17674735817681633</v>
      </c>
      <c r="H5" s="103">
        <f>Assumptions!H46</f>
        <v>0.17674735817681633</v>
      </c>
      <c r="I5" s="103">
        <f>Assumptions!I46</f>
        <v>0.17674735817681633</v>
      </c>
      <c r="J5" s="103">
        <f>Assumptions!J46</f>
        <v>0.17674735817681633</v>
      </c>
      <c r="K5" s="103">
        <f>Assumptions!K46</f>
        <v>0.17674735817681633</v>
      </c>
      <c r="L5" s="103">
        <f>Assumptions!L46</f>
        <v>0.17674735817681633</v>
      </c>
      <c r="M5" s="101">
        <f>Assumptions!M46</f>
        <v>0.17674735817681633</v>
      </c>
      <c r="N5" s="101">
        <f>Assumptions!N46</f>
        <v>0.17674735817681633</v>
      </c>
      <c r="O5" s="101">
        <f>Assumptions!O46</f>
        <v>0.17674735817681633</v>
      </c>
    </row>
    <row r="6" spans="1:15" x14ac:dyDescent="0.25">
      <c r="B6" s="4" t="s">
        <v>65</v>
      </c>
      <c r="C6" s="44"/>
      <c r="D6" s="44"/>
      <c r="E6" s="45"/>
      <c r="F6" s="103">
        <f>Assumptions!F47</f>
        <v>0.30883299120683844</v>
      </c>
      <c r="G6" s="103">
        <f>Assumptions!G47</f>
        <v>0.30883299120683844</v>
      </c>
      <c r="H6" s="103">
        <f>Assumptions!H47</f>
        <v>0.30883299120683844</v>
      </c>
      <c r="I6" s="103">
        <f>Assumptions!I47</f>
        <v>0.30883299120683844</v>
      </c>
      <c r="J6" s="103">
        <f>Assumptions!J47</f>
        <v>0.30883299120683844</v>
      </c>
      <c r="K6" s="103">
        <f>Assumptions!K47</f>
        <v>0.30883299120683844</v>
      </c>
      <c r="L6" s="103">
        <f>Assumptions!L47</f>
        <v>0.30883299120683844</v>
      </c>
      <c r="M6" s="101">
        <f>Assumptions!M47</f>
        <v>0.30883299120683844</v>
      </c>
      <c r="N6" s="101">
        <f>Assumptions!N47</f>
        <v>0.30883299120683844</v>
      </c>
      <c r="O6" s="101">
        <f>Assumptions!O47</f>
        <v>0.30883299120683844</v>
      </c>
    </row>
    <row r="7" spans="1:15" x14ac:dyDescent="0.25">
      <c r="B7" s="4" t="s">
        <v>66</v>
      </c>
      <c r="C7" s="44"/>
      <c r="D7" s="44"/>
      <c r="E7" s="45"/>
      <c r="F7" s="103">
        <f>Assumptions!F48</f>
        <v>0.2941983340613194</v>
      </c>
      <c r="G7" s="103">
        <f>Assumptions!G48</f>
        <v>0.2941983340613194</v>
      </c>
      <c r="H7" s="103">
        <f>Assumptions!H48</f>
        <v>0.2941983340613194</v>
      </c>
      <c r="I7" s="103">
        <f>Assumptions!I48</f>
        <v>0.2941983340613194</v>
      </c>
      <c r="J7" s="103">
        <f>Assumptions!J48</f>
        <v>0.2941983340613194</v>
      </c>
      <c r="K7" s="103">
        <f>Assumptions!K48</f>
        <v>0.2941983340613194</v>
      </c>
      <c r="L7" s="103">
        <f>Assumptions!L48</f>
        <v>0.2941983340613194</v>
      </c>
      <c r="M7" s="101">
        <f>Assumptions!M48</f>
        <v>0.2941983340613194</v>
      </c>
      <c r="N7" s="101">
        <f>Assumptions!N48</f>
        <v>0.2941983340613194</v>
      </c>
      <c r="O7" s="101">
        <f>Assumptions!O48</f>
        <v>0.2941983340613194</v>
      </c>
    </row>
    <row r="8" spans="1:15" x14ac:dyDescent="0.25">
      <c r="B8" s="4" t="s">
        <v>67</v>
      </c>
      <c r="C8" s="44"/>
      <c r="D8" s="44"/>
      <c r="E8" s="45"/>
      <c r="F8" s="103">
        <f>Assumptions!F49</f>
        <v>0.13336705058353832</v>
      </c>
      <c r="G8" s="103">
        <f>Assumptions!G49</f>
        <v>0.13336705058353832</v>
      </c>
      <c r="H8" s="103">
        <f>Assumptions!H49</f>
        <v>0.13336705058353832</v>
      </c>
      <c r="I8" s="103">
        <f>Assumptions!I49</f>
        <v>0.13336705058353832</v>
      </c>
      <c r="J8" s="103">
        <f>Assumptions!J49</f>
        <v>0.13336705058353832</v>
      </c>
      <c r="K8" s="103">
        <f>Assumptions!K49</f>
        <v>0.13336705058353832</v>
      </c>
      <c r="L8" s="103">
        <f>Assumptions!L49</f>
        <v>0.13336705058353832</v>
      </c>
      <c r="M8" s="101">
        <f>Assumptions!M49</f>
        <v>0.13336705058353832</v>
      </c>
      <c r="N8" s="101">
        <f>Assumptions!N49</f>
        <v>0.13336705058353832</v>
      </c>
      <c r="O8" s="101">
        <f>Assumptions!O49</f>
        <v>0.13336705058353832</v>
      </c>
    </row>
    <row r="9" spans="1:15" x14ac:dyDescent="0.25">
      <c r="C9" s="31"/>
      <c r="D9" s="31"/>
      <c r="E9" s="31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B10" s="4" t="s">
        <v>155</v>
      </c>
      <c r="C10" s="44"/>
      <c r="D10" s="44"/>
      <c r="E10" s="45"/>
      <c r="F10" s="103">
        <f>Assumptions!F53</f>
        <v>0.19332700143999509</v>
      </c>
      <c r="G10" s="103">
        <f>Assumptions!G53</f>
        <v>0.19332700143999509</v>
      </c>
      <c r="H10" s="103">
        <f>Assumptions!H53</f>
        <v>0.19332700143999509</v>
      </c>
      <c r="I10" s="103">
        <f>Assumptions!I53</f>
        <v>0.19332700143999509</v>
      </c>
      <c r="J10" s="103">
        <f>Assumptions!J53</f>
        <v>0.19332700143999509</v>
      </c>
      <c r="K10" s="103">
        <f>Assumptions!K53</f>
        <v>0.19332700143999509</v>
      </c>
      <c r="L10" s="103">
        <f>Assumptions!L53</f>
        <v>0.19332700143999509</v>
      </c>
      <c r="M10" s="101">
        <f>Assumptions!M53</f>
        <v>0.19332700143999509</v>
      </c>
      <c r="N10" s="101">
        <f>Assumptions!N53</f>
        <v>0.19332700143999509</v>
      </c>
      <c r="O10" s="101">
        <f>Assumptions!O53</f>
        <v>0.19332700143999509</v>
      </c>
    </row>
    <row r="11" spans="1:15" x14ac:dyDescent="0.25">
      <c r="B11" s="4" t="s">
        <v>68</v>
      </c>
      <c r="C11" s="44"/>
      <c r="D11" s="44"/>
      <c r="E11" s="27"/>
      <c r="F11" s="103">
        <f>Assumptions!F54</f>
        <v>8.9940764921798963E-2</v>
      </c>
      <c r="G11" s="103">
        <f>Assumptions!G54</f>
        <v>8.9940764921798963E-2</v>
      </c>
      <c r="H11" s="103">
        <f>Assumptions!H54</f>
        <v>8.9940764921798963E-2</v>
      </c>
      <c r="I11" s="103">
        <f>Assumptions!I54</f>
        <v>8.9940764921798963E-2</v>
      </c>
      <c r="J11" s="103">
        <f>Assumptions!J54</f>
        <v>8.9940764921798963E-2</v>
      </c>
      <c r="K11" s="103">
        <f>Assumptions!K54</f>
        <v>8.9940764921798963E-2</v>
      </c>
      <c r="L11" s="103">
        <f>Assumptions!L54</f>
        <v>8.9940764921798963E-2</v>
      </c>
      <c r="M11" s="103">
        <f>Assumptions!M54</f>
        <v>8.9940764921798963E-2</v>
      </c>
      <c r="N11" s="103">
        <f>Assumptions!N54</f>
        <v>8.9940764921798963E-2</v>
      </c>
      <c r="O11" s="103">
        <f>Assumptions!O54</f>
        <v>8.9940764921798963E-2</v>
      </c>
    </row>
    <row r="12" spans="1:15" x14ac:dyDescent="0.25">
      <c r="B12" s="4" t="s">
        <v>69</v>
      </c>
      <c r="C12" s="44"/>
      <c r="D12" s="44"/>
      <c r="E12" s="45"/>
      <c r="F12" s="246">
        <f>Assumptions!F55</f>
        <v>4.4169597768531077E-2</v>
      </c>
      <c r="G12" s="246">
        <f>Assumptions!G55</f>
        <v>4.4169597768531077E-2</v>
      </c>
      <c r="H12" s="246">
        <f>Assumptions!H55</f>
        <v>4.4169597768531077E-2</v>
      </c>
      <c r="I12" s="246">
        <f>Assumptions!I55</f>
        <v>4.4169597768531077E-2</v>
      </c>
      <c r="J12" s="246">
        <f>Assumptions!J55</f>
        <v>4.4169597768531077E-2</v>
      </c>
      <c r="K12" s="246">
        <f>Assumptions!K55</f>
        <v>4.4169597768531077E-2</v>
      </c>
      <c r="L12" s="246">
        <f>Assumptions!L55</f>
        <v>4.4169597768531077E-2</v>
      </c>
      <c r="M12" s="127">
        <f>Assumptions!M55</f>
        <v>4.4169597768531077E-2</v>
      </c>
      <c r="N12" s="127">
        <f>Assumptions!N55</f>
        <v>4.4169597768531077E-2</v>
      </c>
      <c r="O12" s="127">
        <f>Assumptions!O55</f>
        <v>4.4169597768531077E-2</v>
      </c>
    </row>
    <row r="13" spans="1:15" x14ac:dyDescent="0.25">
      <c r="C13" s="44"/>
      <c r="D13" s="44"/>
      <c r="E13" s="4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ht="15" customHeight="1" x14ac:dyDescent="0.25">
      <c r="A14" s="179" t="s">
        <v>64</v>
      </c>
      <c r="B14" s="180"/>
      <c r="C14" s="255">
        <v>2023</v>
      </c>
      <c r="D14" s="255">
        <f>C14+1</f>
        <v>2024</v>
      </c>
      <c r="E14" s="255">
        <f t="shared" ref="E14:M14" si="2">D14+1</f>
        <v>2025</v>
      </c>
      <c r="F14" s="255">
        <f t="shared" si="2"/>
        <v>2026</v>
      </c>
      <c r="G14" s="255">
        <f t="shared" si="2"/>
        <v>2027</v>
      </c>
      <c r="H14" s="255">
        <f t="shared" si="2"/>
        <v>2028</v>
      </c>
      <c r="I14" s="255">
        <f t="shared" si="2"/>
        <v>2029</v>
      </c>
      <c r="J14" s="255">
        <f t="shared" si="2"/>
        <v>2030</v>
      </c>
      <c r="K14" s="255">
        <f t="shared" si="2"/>
        <v>2031</v>
      </c>
      <c r="L14" s="255">
        <f t="shared" si="2"/>
        <v>2032</v>
      </c>
      <c r="M14" s="255">
        <f t="shared" si="2"/>
        <v>2033</v>
      </c>
      <c r="N14" s="255">
        <f>M14+1</f>
        <v>2034</v>
      </c>
      <c r="O14" s="255">
        <f>N14+1</f>
        <v>2035</v>
      </c>
    </row>
    <row r="15" spans="1:15" x14ac:dyDescent="0.25">
      <c r="B15" s="4" t="s">
        <v>161</v>
      </c>
      <c r="C15" s="185">
        <f>1.5%*IncState!C17</f>
        <v>404.60999999999996</v>
      </c>
      <c r="D15" s="185">
        <f>1.5%*IncState!D17</f>
        <v>913.82999999999993</v>
      </c>
      <c r="E15" s="186">
        <f>1.5%*IncState!E17</f>
        <v>1957.4549999999999</v>
      </c>
      <c r="F15" s="4">
        <f>F4*IncState!F17</f>
        <v>3082.4242623504042</v>
      </c>
      <c r="G15" s="4">
        <f>G4*IncState!G17</f>
        <v>4346.37417079845</v>
      </c>
      <c r="H15" s="4">
        <f>H4*IncState!H17</f>
        <v>5413.9839748349996</v>
      </c>
      <c r="I15" s="4">
        <f>I4*IncState!I17</f>
        <v>6608.4836114696827</v>
      </c>
      <c r="J15" s="4">
        <f>J4*IncState!J17</f>
        <v>8066.5284282438915</v>
      </c>
      <c r="K15" s="4">
        <f>K4*IncState!K17</f>
        <v>9846.264999542911</v>
      </c>
      <c r="L15" s="4">
        <f>L4*IncState!L17</f>
        <v>12018.668911122879</v>
      </c>
      <c r="M15" s="4">
        <f>M4*IncState!M17</f>
        <v>14670.375254159548</v>
      </c>
      <c r="N15" s="4">
        <f>N4*IncState!N17</f>
        <v>17907.133617656942</v>
      </c>
      <c r="O15" s="4">
        <f>O4*IncState!O17</f>
        <v>21858.025363713845</v>
      </c>
    </row>
    <row r="16" spans="1:15" x14ac:dyDescent="0.25">
      <c r="B16" s="4" t="s">
        <v>162</v>
      </c>
      <c r="C16" s="185">
        <f>3389-C15</f>
        <v>2984.39</v>
      </c>
      <c r="D16" s="185">
        <f>7280-D15</f>
        <v>6366.17</v>
      </c>
      <c r="E16" s="186">
        <f>8589-E15</f>
        <v>6631.5450000000001</v>
      </c>
      <c r="F16" s="285">
        <f>MAX(CashFlow!F23,0)</f>
        <v>69476.523199568459</v>
      </c>
      <c r="G16" s="285">
        <f>MAX(CashFlow!G23,0)</f>
        <v>169776.21074978562</v>
      </c>
      <c r="H16" s="285">
        <f>MAX(CashFlow!H23,0)</f>
        <v>313144.90692267456</v>
      </c>
      <c r="I16" s="285">
        <f>MAX(CashFlow!I23,0)</f>
        <v>492788.07206972374</v>
      </c>
      <c r="J16" s="285">
        <f>MAX(CashFlow!J23,0)</f>
        <v>712755.65681384935</v>
      </c>
      <c r="K16" s="285">
        <f>MAX(CashFlow!K23,0)</f>
        <v>981790.48309820134</v>
      </c>
      <c r="L16" s="285">
        <f>MAX(CashFlow!L23,0)</f>
        <v>1310617.4912494854</v>
      </c>
      <c r="M16" s="285">
        <f>MAX(CashFlow!M23,0)</f>
        <v>1712365.4520719321</v>
      </c>
      <c r="N16" s="285">
        <f>MAX(CashFlow!N23,0)</f>
        <v>2203086.3035218143</v>
      </c>
      <c r="O16" s="285">
        <f>MAX(CashFlow!O23,0)</f>
        <v>2802392.3063255539</v>
      </c>
    </row>
    <row r="17" spans="1:15" x14ac:dyDescent="0.25">
      <c r="B17" s="4" t="s">
        <v>70</v>
      </c>
      <c r="C17" s="187">
        <v>3827</v>
      </c>
      <c r="D17" s="187">
        <v>9999</v>
      </c>
      <c r="E17" s="188">
        <v>23065</v>
      </c>
      <c r="F17" s="4">
        <f>F5*IncState!F17</f>
        <v>36320.689676703718</v>
      </c>
      <c r="G17" s="4">
        <f>G5*IncState!G17</f>
        <v>51214.010155771786</v>
      </c>
      <c r="H17" s="4">
        <f>H5*IncState!H17</f>
        <v>63793.824317580365</v>
      </c>
      <c r="I17" s="4">
        <f>I5*IncState!I17</f>
        <v>77868.801325470195</v>
      </c>
      <c r="J17" s="4">
        <f>J5*IncState!J17</f>
        <v>95049.172623352963</v>
      </c>
      <c r="K17" s="4">
        <f>K5*IncState!K17</f>
        <v>116020.08843853742</v>
      </c>
      <c r="L17" s="4">
        <f>L5*IncState!L17</f>
        <v>141617.86525618684</v>
      </c>
      <c r="M17" s="4">
        <f>M5*IncState!M17</f>
        <v>172863.33797568272</v>
      </c>
      <c r="N17" s="4">
        <f>N5*IncState!N17</f>
        <v>211002.57062934135</v>
      </c>
      <c r="O17" s="4">
        <f>O5*IncState!O17</f>
        <v>257556.54919988447</v>
      </c>
    </row>
    <row r="18" spans="1:15" x14ac:dyDescent="0.25">
      <c r="B18" s="4" t="s">
        <v>71</v>
      </c>
      <c r="C18" s="187">
        <v>5159</v>
      </c>
      <c r="D18" s="187">
        <v>5282</v>
      </c>
      <c r="E18" s="188">
        <v>10080</v>
      </c>
      <c r="F18" s="4">
        <f>F6*IncState!F18</f>
        <v>15873.078341260503</v>
      </c>
      <c r="G18" s="4">
        <f>G6*IncState!G18</f>
        <v>22381.843588561875</v>
      </c>
      <c r="H18" s="4">
        <f>H6*IncState!H18</f>
        <v>27879.546894481253</v>
      </c>
      <c r="I18" s="4">
        <f>I6*IncState!I18</f>
        <v>34030.674934348128</v>
      </c>
      <c r="J18" s="4">
        <f>J6*IncState!J18</f>
        <v>41538.940387747585</v>
      </c>
      <c r="K18" s="4">
        <f>K6*IncState!K18</f>
        <v>50703.771578602093</v>
      </c>
      <c r="L18" s="4">
        <f>L6*IncState!L18</f>
        <v>61890.660385101386</v>
      </c>
      <c r="M18" s="4">
        <f>M6*IncState!M18</f>
        <v>75545.737992407623</v>
      </c>
      <c r="N18" s="4">
        <f>N6*IncState!N18</f>
        <v>92213.566526935218</v>
      </c>
      <c r="O18" s="4">
        <f>O6*IncState!O18</f>
        <v>112558.85609949428</v>
      </c>
    </row>
    <row r="19" spans="1:15" x14ac:dyDescent="0.25">
      <c r="B19" s="4" t="s">
        <v>72</v>
      </c>
      <c r="C19" s="187">
        <f>791+9907</f>
        <v>10698</v>
      </c>
      <c r="D19" s="187">
        <f>3080+18704</f>
        <v>21784</v>
      </c>
      <c r="E19" s="188">
        <f>3771+34621</f>
        <v>38392</v>
      </c>
      <c r="F19" s="4">
        <f>F7*IncState!F17</f>
        <v>60456.272190245356</v>
      </c>
      <c r="G19" s="4">
        <f>G7*IncState!G17</f>
        <v>85246.402683736844</v>
      </c>
      <c r="H19" s="4">
        <f>H7*IncState!H17</f>
        <v>106185.67106874248</v>
      </c>
      <c r="I19" s="4">
        <f>I7*IncState!I17</f>
        <v>129613.65794439416</v>
      </c>
      <c r="J19" s="4">
        <f>J7*IncState!J17</f>
        <v>158210.61501650841</v>
      </c>
      <c r="K19" s="4">
        <f>K7*IncState!K17</f>
        <v>193116.98397278684</v>
      </c>
      <c r="L19" s="4">
        <f>L7*IncState!L17</f>
        <v>235724.82475246151</v>
      </c>
      <c r="M19" s="4">
        <f>M7*IncState!M17</f>
        <v>287733.3306552096</v>
      </c>
      <c r="N19" s="4">
        <f>N7*IncState!N17</f>
        <v>351216.59187520796</v>
      </c>
      <c r="O19" s="4">
        <f>O7*IncState!O17</f>
        <v>428706.30985831184</v>
      </c>
    </row>
    <row r="20" spans="1:15" s="11" customFormat="1" x14ac:dyDescent="0.25">
      <c r="B20" s="11" t="s">
        <v>73</v>
      </c>
      <c r="C20" s="11">
        <f>SUM(C15:C19)</f>
        <v>23073</v>
      </c>
      <c r="D20" s="11">
        <f>SUM(D15:D19)</f>
        <v>44345</v>
      </c>
      <c r="E20" s="25">
        <f>SUM(E15:E19)</f>
        <v>80126</v>
      </c>
      <c r="F20" s="11">
        <f>SUM(F15:F19)</f>
        <v>185208.98767012844</v>
      </c>
      <c r="G20" s="11">
        <f t="shared" ref="G20:O20" si="3">SUM(G15:G19)</f>
        <v>332964.84134865459</v>
      </c>
      <c r="H20" s="11">
        <f t="shared" si="3"/>
        <v>516417.93317831366</v>
      </c>
      <c r="I20" s="11">
        <f t="shared" si="3"/>
        <v>740909.68988540582</v>
      </c>
      <c r="J20" s="11">
        <f t="shared" si="3"/>
        <v>1015620.9132697022</v>
      </c>
      <c r="K20" s="11">
        <f t="shared" si="3"/>
        <v>1351477.5920876707</v>
      </c>
      <c r="L20" s="11">
        <f t="shared" si="3"/>
        <v>1761869.5105543579</v>
      </c>
      <c r="M20" s="11">
        <f t="shared" si="3"/>
        <v>2263178.2339493916</v>
      </c>
      <c r="N20" s="11">
        <f t="shared" si="3"/>
        <v>2875426.1661709561</v>
      </c>
      <c r="O20" s="11">
        <f t="shared" si="3"/>
        <v>3623072.0468469583</v>
      </c>
    </row>
    <row r="21" spans="1:15" x14ac:dyDescent="0.25">
      <c r="A21" s="7"/>
      <c r="E21" s="28"/>
      <c r="I21" s="4"/>
      <c r="J21" s="4"/>
    </row>
    <row r="22" spans="1:15" x14ac:dyDescent="0.25">
      <c r="B22" s="4" t="s">
        <v>74</v>
      </c>
      <c r="C22" s="187">
        <f>3807+1038</f>
        <v>4845</v>
      </c>
      <c r="D22" s="187">
        <f>3914+1346</f>
        <v>5260</v>
      </c>
      <c r="E22" s="188">
        <f>6283+1793</f>
        <v>8076</v>
      </c>
      <c r="F22" s="4">
        <f>Calcs!F9</f>
        <v>13260.688459988987</v>
      </c>
      <c r="G22" s="4">
        <f>Calcs!G9</f>
        <v>20021.533184085238</v>
      </c>
      <c r="H22" s="4">
        <f>Calcs!H9</f>
        <v>27414.628943695661</v>
      </c>
      <c r="I22" s="4">
        <f>Calcs!I9</f>
        <v>35565.405082174286</v>
      </c>
      <c r="J22" s="4">
        <f>Calcs!J9</f>
        <v>44897.426874624543</v>
      </c>
      <c r="K22" s="4">
        <f>Calcs!K9</f>
        <v>55852.450127789241</v>
      </c>
      <c r="L22" s="4">
        <f>Calcs!L9</f>
        <v>68916.526608873537</v>
      </c>
      <c r="M22" s="4">
        <f>Calcs!M9</f>
        <v>84645.384371659165</v>
      </c>
      <c r="N22" s="4">
        <f>Calcs!N9</f>
        <v>103690.82652277648</v>
      </c>
      <c r="O22" s="4">
        <f>Calcs!O9</f>
        <v>126829.7178998091</v>
      </c>
    </row>
    <row r="23" spans="1:15" x14ac:dyDescent="0.25">
      <c r="B23" s="4" t="s">
        <v>163</v>
      </c>
      <c r="C23" s="187">
        <f>4372+1676</f>
        <v>6048</v>
      </c>
      <c r="D23" s="187">
        <f>4430+1112</f>
        <v>5542</v>
      </c>
      <c r="E23" s="188">
        <f>5188+807</f>
        <v>5995</v>
      </c>
      <c r="F23" s="132">
        <f>E23-IncState!F24</f>
        <v>5995</v>
      </c>
      <c r="G23" s="132">
        <f>F23-IncState!G24</f>
        <v>5995</v>
      </c>
      <c r="H23" s="132">
        <f>G23-IncState!H24</f>
        <v>5995</v>
      </c>
      <c r="I23" s="132">
        <f>H23-IncState!I24</f>
        <v>5995</v>
      </c>
      <c r="J23" s="132">
        <f>I23-IncState!J24</f>
        <v>5995</v>
      </c>
      <c r="K23" s="132">
        <f>J23-IncState!K24</f>
        <v>5995</v>
      </c>
      <c r="L23" s="132">
        <f>K23-IncState!L24</f>
        <v>5995</v>
      </c>
      <c r="M23" s="132">
        <f>L23-IncState!M24</f>
        <v>5995</v>
      </c>
      <c r="N23" s="132">
        <f>M23-IncState!N24</f>
        <v>5995</v>
      </c>
      <c r="O23" s="132">
        <f>N23-IncState!O24</f>
        <v>5995</v>
      </c>
    </row>
    <row r="24" spans="1:15" x14ac:dyDescent="0.25">
      <c r="B24" s="4" t="s">
        <v>164</v>
      </c>
      <c r="C24" s="187">
        <f>3396+3820</f>
        <v>7216</v>
      </c>
      <c r="D24" s="187">
        <f>6081+4500</f>
        <v>10581</v>
      </c>
      <c r="E24" s="188">
        <f>6425+10979</f>
        <v>17404</v>
      </c>
      <c r="F24" s="4">
        <f>F8*IncState!F17</f>
        <v>27406.25550112081</v>
      </c>
      <c r="G24" s="4">
        <f>G8*IncState!G17</f>
        <v>38644.20692612409</v>
      </c>
      <c r="H24" s="4">
        <f>H8*IncState!H17</f>
        <v>48136.471642019016</v>
      </c>
      <c r="I24" s="4">
        <f>I8*IncState!I17</f>
        <v>58756.931206090747</v>
      </c>
      <c r="J24" s="4">
        <f>J8*IncState!J17</f>
        <v>71720.606994876871</v>
      </c>
      <c r="K24" s="4">
        <f>K8*IncState!K17</f>
        <v>87544.488150197489</v>
      </c>
      <c r="L24" s="4">
        <f>L8*IncState!L17</f>
        <v>106859.62830776829</v>
      </c>
      <c r="M24" s="4">
        <f>M8*IncState!M17</f>
        <v>130436.31190673234</v>
      </c>
      <c r="N24" s="4">
        <f>N8*IncState!N17</f>
        <v>159214.77299948217</v>
      </c>
      <c r="O24" s="4">
        <f>O8*IncState!O17</f>
        <v>194342.69162257918</v>
      </c>
    </row>
    <row r="25" spans="1:15" s="11" customFormat="1" x14ac:dyDescent="0.25">
      <c r="B25" s="11" t="s">
        <v>75</v>
      </c>
      <c r="C25" s="11">
        <f>SUM(C22:C24)</f>
        <v>18109</v>
      </c>
      <c r="D25" s="11">
        <f>SUM(D22:D24)</f>
        <v>21383</v>
      </c>
      <c r="E25" s="25">
        <f>SUM(E22:E24)</f>
        <v>31475</v>
      </c>
      <c r="F25" s="11">
        <f>SUM(F22:F24)</f>
        <v>46661.943961109799</v>
      </c>
      <c r="G25" s="11">
        <f t="shared" ref="G25:O25" si="4">SUM(G22:G24)</f>
        <v>64660.740110209328</v>
      </c>
      <c r="H25" s="11">
        <f t="shared" si="4"/>
        <v>81546.100585714681</v>
      </c>
      <c r="I25" s="11">
        <f t="shared" si="4"/>
        <v>100317.33628826504</v>
      </c>
      <c r="J25" s="11">
        <f t="shared" si="4"/>
        <v>122613.03386950141</v>
      </c>
      <c r="K25" s="11">
        <f t="shared" si="4"/>
        <v>149391.93827798672</v>
      </c>
      <c r="L25" s="11">
        <f t="shared" si="4"/>
        <v>181771.15491664183</v>
      </c>
      <c r="M25" s="11">
        <f t="shared" si="4"/>
        <v>221076.69627839152</v>
      </c>
      <c r="N25" s="11">
        <f t="shared" si="4"/>
        <v>268900.59952225862</v>
      </c>
      <c r="O25" s="11">
        <f t="shared" si="4"/>
        <v>327167.40952238825</v>
      </c>
    </row>
    <row r="26" spans="1:15" x14ac:dyDescent="0.25">
      <c r="E26" s="28"/>
      <c r="I26" s="4"/>
      <c r="J26" s="4"/>
    </row>
    <row r="27" spans="1:15" s="11" customFormat="1" x14ac:dyDescent="0.25">
      <c r="A27" s="11" t="s">
        <v>126</v>
      </c>
      <c r="B27" s="17" t="s">
        <v>76</v>
      </c>
      <c r="C27" s="18">
        <f>SUM(C25,C20)</f>
        <v>41182</v>
      </c>
      <c r="D27" s="18">
        <f>SUM(D25,D20)</f>
        <v>65728</v>
      </c>
      <c r="E27" s="18">
        <f>SUM(E25,E20)</f>
        <v>111601</v>
      </c>
      <c r="F27" s="18">
        <f>SUM(F25,F20)</f>
        <v>231870.93163123823</v>
      </c>
      <c r="G27" s="18">
        <f t="shared" ref="G27:O27" si="5">SUM(G25,G20)</f>
        <v>397625.58145886392</v>
      </c>
      <c r="H27" s="18">
        <f t="shared" si="5"/>
        <v>597964.03376402834</v>
      </c>
      <c r="I27" s="18">
        <f t="shared" si="5"/>
        <v>841227.02617367089</v>
      </c>
      <c r="J27" s="18">
        <f t="shared" si="5"/>
        <v>1138233.9471392035</v>
      </c>
      <c r="K27" s="18">
        <f t="shared" si="5"/>
        <v>1500869.5303656575</v>
      </c>
      <c r="L27" s="18">
        <f t="shared" si="5"/>
        <v>1943640.6654709997</v>
      </c>
      <c r="M27" s="18">
        <f t="shared" si="5"/>
        <v>2484254.930227783</v>
      </c>
      <c r="N27" s="18">
        <f t="shared" si="5"/>
        <v>3144326.7656932147</v>
      </c>
      <c r="O27" s="18">
        <f t="shared" si="5"/>
        <v>3950239.4563693465</v>
      </c>
    </row>
    <row r="28" spans="1:15" x14ac:dyDescent="0.25">
      <c r="A28" s="11"/>
      <c r="E28" s="28"/>
      <c r="I28" s="4"/>
      <c r="J28" s="4"/>
    </row>
    <row r="29" spans="1:15" x14ac:dyDescent="0.25">
      <c r="B29" s="4" t="s">
        <v>77</v>
      </c>
      <c r="C29" s="9">
        <v>1250</v>
      </c>
      <c r="D29" s="9">
        <v>1250</v>
      </c>
      <c r="E29" s="46">
        <v>0</v>
      </c>
      <c r="F29" s="285">
        <f>MIN(CashFlow!F23,0)</f>
        <v>0</v>
      </c>
      <c r="G29" s="285">
        <f>MIN(CashFlow!G23,0)</f>
        <v>0</v>
      </c>
      <c r="H29" s="285">
        <f>MIN(CashFlow!H23,0)</f>
        <v>0</v>
      </c>
      <c r="I29" s="285">
        <f>MIN(CashFlow!I23,0)</f>
        <v>0</v>
      </c>
      <c r="J29" s="285">
        <f>MIN(CashFlow!J23,0)</f>
        <v>0</v>
      </c>
      <c r="K29" s="285">
        <f>MIN(CashFlow!K23,0)</f>
        <v>0</v>
      </c>
      <c r="L29" s="285">
        <f>MIN(CashFlow!L23,0)</f>
        <v>0</v>
      </c>
      <c r="M29" s="285">
        <f>MIN(CashFlow!M23,0)</f>
        <v>0</v>
      </c>
      <c r="N29" s="285">
        <f>MIN(CashFlow!N23,0)</f>
        <v>0</v>
      </c>
      <c r="O29" s="285">
        <f>MIN(CashFlow!O23,0)</f>
        <v>0</v>
      </c>
    </row>
    <row r="30" spans="1:15" x14ac:dyDescent="0.25">
      <c r="B30" s="4" t="s">
        <v>154</v>
      </c>
      <c r="C30" s="187">
        <v>1193</v>
      </c>
      <c r="D30" s="9">
        <v>2699</v>
      </c>
      <c r="E30" s="46">
        <v>6310</v>
      </c>
      <c r="F30" s="4">
        <f>F10*IncState!F18</f>
        <v>9936.4210648168428</v>
      </c>
      <c r="G30" s="4">
        <f>G10*IncState!G18</f>
        <v>14010.856452760459</v>
      </c>
      <c r="H30" s="4">
        <f>H10*IncState!H18</f>
        <v>17452.375089700068</v>
      </c>
      <c r="I30" s="4">
        <f>I10*IncState!I18</f>
        <v>21302.932424180224</v>
      </c>
      <c r="J30" s="4">
        <f>J10*IncState!J18</f>
        <v>26003.047008599926</v>
      </c>
      <c r="K30" s="4">
        <f>K10*IncState!K18</f>
        <v>31740.158597319365</v>
      </c>
      <c r="L30" s="4">
        <f>L10*IncState!L18</f>
        <v>38743.062205356124</v>
      </c>
      <c r="M30" s="4">
        <f>M10*IncState!M18</f>
        <v>47291.032413898021</v>
      </c>
      <c r="N30" s="4">
        <f>N10*IncState!N18</f>
        <v>57724.960792158854</v>
      </c>
      <c r="O30" s="4">
        <f>O10*IncState!O18</f>
        <v>70460.950594028662</v>
      </c>
    </row>
    <row r="31" spans="1:15" x14ac:dyDescent="0.25">
      <c r="B31" s="4" t="s">
        <v>78</v>
      </c>
      <c r="C31" s="187">
        <v>4120</v>
      </c>
      <c r="D31" s="9">
        <v>6682</v>
      </c>
      <c r="E31" s="46">
        <v>11737</v>
      </c>
      <c r="F31" s="4">
        <f>F11*IncState!F17</f>
        <v>18482.373064620486</v>
      </c>
      <c r="G31" s="4">
        <f>G11*IncState!G17</f>
        <v>26061.081170530822</v>
      </c>
      <c r="H31" s="4">
        <f>H11*IncState!H17</f>
        <v>32462.5239980681</v>
      </c>
      <c r="I31" s="4">
        <f>I11*IncState!I17</f>
        <v>39624.804732583718</v>
      </c>
      <c r="J31" s="4">
        <f>J11*IncState!J17</f>
        <v>48367.315806646162</v>
      </c>
      <c r="K31" s="4">
        <f>K11*IncState!K17</f>
        <v>59038.707045441733</v>
      </c>
      <c r="L31" s="4">
        <f>L11*IncState!L17</f>
        <v>72064.551680549092</v>
      </c>
      <c r="M31" s="4">
        <f>M11*IncState!M17</f>
        <v>87964.318136596048</v>
      </c>
      <c r="N31" s="4">
        <f>N11*IncState!N17</f>
        <v>107372.08634192843</v>
      </c>
      <c r="O31" s="4">
        <f>O11*IncState!O17</f>
        <v>131061.83472616707</v>
      </c>
    </row>
    <row r="32" spans="1:15" s="11" customFormat="1" x14ac:dyDescent="0.25">
      <c r="B32" s="11" t="s">
        <v>79</v>
      </c>
      <c r="C32" s="11">
        <f>SUM(C29:C31)</f>
        <v>6563</v>
      </c>
      <c r="D32" s="11">
        <f>SUM(D29:D31)</f>
        <v>10631</v>
      </c>
      <c r="E32" s="25">
        <f>SUM(E29:E31)</f>
        <v>18047</v>
      </c>
      <c r="F32" s="11">
        <f>SUM(F29:F31)</f>
        <v>28418.79412943733</v>
      </c>
      <c r="G32" s="11">
        <f t="shared" ref="G32:O32" si="6">SUM(G29:G31)</f>
        <v>40071.937623291284</v>
      </c>
      <c r="H32" s="11">
        <f t="shared" si="6"/>
        <v>49914.899087768164</v>
      </c>
      <c r="I32" s="11">
        <f t="shared" si="6"/>
        <v>60927.737156763942</v>
      </c>
      <c r="J32" s="11">
        <f t="shared" si="6"/>
        <v>74370.362815246088</v>
      </c>
      <c r="K32" s="11">
        <f t="shared" si="6"/>
        <v>90778.865642761099</v>
      </c>
      <c r="L32" s="11">
        <f t="shared" si="6"/>
        <v>110807.61388590522</v>
      </c>
      <c r="M32" s="11">
        <f t="shared" si="6"/>
        <v>135255.35055049407</v>
      </c>
      <c r="N32" s="11">
        <f t="shared" si="6"/>
        <v>165097.04713408728</v>
      </c>
      <c r="O32" s="11">
        <f t="shared" si="6"/>
        <v>201522.78532019572</v>
      </c>
    </row>
    <row r="33" spans="1:15" x14ac:dyDescent="0.25">
      <c r="B33" s="11"/>
      <c r="E33" s="28"/>
      <c r="I33" s="4"/>
      <c r="J33" s="4"/>
    </row>
    <row r="34" spans="1:15" x14ac:dyDescent="0.25">
      <c r="B34" s="4" t="s">
        <v>80</v>
      </c>
      <c r="C34" s="187">
        <v>9703</v>
      </c>
      <c r="D34" s="9">
        <v>8459</v>
      </c>
      <c r="E34" s="46">
        <v>8463</v>
      </c>
      <c r="F34" s="4">
        <f>Debt!F20</f>
        <v>8463</v>
      </c>
      <c r="G34" s="4">
        <f>Debt!G20</f>
        <v>8463</v>
      </c>
      <c r="H34" s="4">
        <f>Debt!H20</f>
        <v>8463</v>
      </c>
      <c r="I34" s="4">
        <f>Debt!I20</f>
        <v>8463</v>
      </c>
      <c r="J34" s="4">
        <f>Debt!J20</f>
        <v>8463</v>
      </c>
      <c r="K34" s="4">
        <f>Debt!K20</f>
        <v>8463</v>
      </c>
      <c r="L34" s="4">
        <f>Debt!L20</f>
        <v>8463</v>
      </c>
      <c r="M34" s="4">
        <f>Debt!M20</f>
        <v>8463</v>
      </c>
      <c r="N34" s="4">
        <f>Debt!N20</f>
        <v>8463</v>
      </c>
      <c r="O34" s="4">
        <f>Debt!O20</f>
        <v>8463</v>
      </c>
    </row>
    <row r="35" spans="1:15" x14ac:dyDescent="0.25">
      <c r="B35" s="4" t="s">
        <v>81</v>
      </c>
      <c r="C35" s="187">
        <f>902+1913</f>
        <v>2815</v>
      </c>
      <c r="D35" s="9">
        <v>3660</v>
      </c>
      <c r="E35" s="46">
        <f>1519+4245</f>
        <v>5764</v>
      </c>
      <c r="F35" s="4">
        <f>F12*IncState!F17</f>
        <v>9076.6293213318986</v>
      </c>
      <c r="G35" s="4">
        <f>G12*IncState!G17</f>
        <v>12798.506591713356</v>
      </c>
      <c r="H35" s="4">
        <f>H12*IncState!H17</f>
        <v>15942.232966249001</v>
      </c>
      <c r="I35" s="4">
        <f>I12*IncState!I17</f>
        <v>19459.604198569701</v>
      </c>
      <c r="J35" s="4">
        <f>J12*IncState!J17</f>
        <v>23753.021070930263</v>
      </c>
      <c r="K35" s="4">
        <f>K12*IncState!K17</f>
        <v>28993.704303478415</v>
      </c>
      <c r="L35" s="4">
        <f>L12*IncState!L17</f>
        <v>35390.65143449646</v>
      </c>
      <c r="M35" s="4">
        <f>M12*IncState!M17</f>
        <v>43198.971605975938</v>
      </c>
      <c r="N35" s="4">
        <f>N12*IncState!N17</f>
        <v>52730.05927194986</v>
      </c>
      <c r="O35" s="4">
        <f>O12*IncState!O17</f>
        <v>64364.012555306042</v>
      </c>
    </row>
    <row r="36" spans="1:15" x14ac:dyDescent="0.25">
      <c r="B36" s="11" t="s">
        <v>82</v>
      </c>
      <c r="C36" s="11">
        <f>SUM(C34:C35)</f>
        <v>12518</v>
      </c>
      <c r="D36" s="11">
        <f>SUM(D34:D35)</f>
        <v>12119</v>
      </c>
      <c r="E36" s="25">
        <f>SUM(E34:E35)</f>
        <v>14227</v>
      </c>
      <c r="F36" s="11">
        <f>SUM(F34:F35)</f>
        <v>17539.6293213319</v>
      </c>
      <c r="G36" s="11">
        <f t="shared" ref="G36:O36" si="7">SUM(G34:G35)</f>
        <v>21261.506591713354</v>
      </c>
      <c r="H36" s="11">
        <f t="shared" si="7"/>
        <v>24405.232966249001</v>
      </c>
      <c r="I36" s="11">
        <f t="shared" si="7"/>
        <v>27922.604198569701</v>
      </c>
      <c r="J36" s="11">
        <f t="shared" si="7"/>
        <v>32216.021070930263</v>
      </c>
      <c r="K36" s="11">
        <f t="shared" si="7"/>
        <v>37456.704303478415</v>
      </c>
      <c r="L36" s="11">
        <f t="shared" si="7"/>
        <v>43853.65143449646</v>
      </c>
      <c r="M36" s="11">
        <f t="shared" si="7"/>
        <v>51661.971605975938</v>
      </c>
      <c r="N36" s="11">
        <f t="shared" si="7"/>
        <v>61193.05927194986</v>
      </c>
      <c r="O36" s="11">
        <f t="shared" si="7"/>
        <v>72827.01255530605</v>
      </c>
    </row>
    <row r="37" spans="1:15" x14ac:dyDescent="0.25">
      <c r="E37" s="28"/>
      <c r="I37" s="4"/>
      <c r="J37" s="4"/>
    </row>
    <row r="38" spans="1:15" x14ac:dyDescent="0.25">
      <c r="B38" s="4" t="s">
        <v>17</v>
      </c>
      <c r="C38" s="189">
        <v>22101</v>
      </c>
      <c r="D38" s="189">
        <v>42978</v>
      </c>
      <c r="E38" s="204">
        <v>79327</v>
      </c>
      <c r="F38" s="4">
        <f>Calcs!F17</f>
        <v>185912.50818046901</v>
      </c>
      <c r="G38" s="4">
        <f>Calcs!G17</f>
        <v>336292.1372438593</v>
      </c>
      <c r="H38" s="4">
        <f>Calcs!H17</f>
        <v>523643.90171001112</v>
      </c>
      <c r="I38" s="4">
        <f>Calcs!I17</f>
        <v>752376.68481833721</v>
      </c>
      <c r="J38" s="4">
        <f>Calcs!J17</f>
        <v>1031647.5632530272</v>
      </c>
      <c r="K38" s="4">
        <f>Calcs!K17</f>
        <v>1372633.9604194176</v>
      </c>
      <c r="L38" s="4">
        <f>Calcs!L17</f>
        <v>1788979.400150598</v>
      </c>
      <c r="M38" s="4">
        <f>Calcs!M17</f>
        <v>2297337.6080713128</v>
      </c>
      <c r="N38" s="4">
        <f>Calcs!N17</f>
        <v>2918036.6592871766</v>
      </c>
      <c r="O38" s="4">
        <f>Calcs!O17</f>
        <v>3675889.6584938439</v>
      </c>
    </row>
    <row r="39" spans="1:15" s="11" customFormat="1" x14ac:dyDescent="0.25">
      <c r="A39" s="11" t="s">
        <v>126</v>
      </c>
      <c r="B39" s="17" t="s">
        <v>83</v>
      </c>
      <c r="C39" s="18">
        <f t="shared" ref="C39:O39" si="8">SUM(C38,C36,C32)</f>
        <v>41182</v>
      </c>
      <c r="D39" s="18">
        <f t="shared" si="8"/>
        <v>65728</v>
      </c>
      <c r="E39" s="18">
        <f t="shared" si="8"/>
        <v>111601</v>
      </c>
      <c r="F39" s="18">
        <f t="shared" si="8"/>
        <v>231870.93163123823</v>
      </c>
      <c r="G39" s="18">
        <f t="shared" ref="G39" si="9">SUM(G38,G36,G32)</f>
        <v>397625.58145886392</v>
      </c>
      <c r="H39" s="18">
        <f t="shared" ref="H39" si="10">SUM(H38,H36,H32)</f>
        <v>597964.03376402834</v>
      </c>
      <c r="I39" s="18">
        <f t="shared" ref="I39" si="11">SUM(I38,I36,I32)</f>
        <v>841227.02617367078</v>
      </c>
      <c r="J39" s="18">
        <f t="shared" ref="J39" si="12">SUM(J38,J36,J32)</f>
        <v>1138233.9471392033</v>
      </c>
      <c r="K39" s="18">
        <f t="shared" ref="K39" si="13">SUM(K38,K36,K32)</f>
        <v>1500869.5303656571</v>
      </c>
      <c r="L39" s="18">
        <f t="shared" ref="L39" si="14">SUM(L38,L36,L32)</f>
        <v>1943640.6654709997</v>
      </c>
      <c r="M39" s="18">
        <f t="shared" ref="M39" si="15">SUM(M38,M36,M32)</f>
        <v>2484254.930227783</v>
      </c>
      <c r="N39" s="18">
        <f t="shared" ref="N39" si="16">SUM(N38,N36,N32)</f>
        <v>3144326.7656932138</v>
      </c>
      <c r="O39" s="18">
        <f t="shared" ref="O39" si="17">SUM(O38,O36,O32)</f>
        <v>3950239.4563693455</v>
      </c>
    </row>
    <row r="40" spans="1:15" x14ac:dyDescent="0.25">
      <c r="E40" s="28"/>
      <c r="I40" s="4"/>
      <c r="J40" s="4"/>
    </row>
    <row r="41" spans="1:15" x14ac:dyDescent="0.25">
      <c r="A41" s="4" t="s">
        <v>126</v>
      </c>
      <c r="B41" s="11" t="s">
        <v>84</v>
      </c>
      <c r="C41" s="47">
        <f>C39-C27</f>
        <v>0</v>
      </c>
      <c r="D41" s="47">
        <f t="shared" ref="D41:J41" si="18">D39-D27</f>
        <v>0</v>
      </c>
      <c r="E41" s="152">
        <f t="shared" si="18"/>
        <v>0</v>
      </c>
      <c r="F41" s="47">
        <f t="shared" si="18"/>
        <v>0</v>
      </c>
      <c r="G41" s="47">
        <f t="shared" ref="G41:O41" si="19">G39-G27</f>
        <v>0</v>
      </c>
      <c r="H41" s="47">
        <f t="shared" si="19"/>
        <v>0</v>
      </c>
      <c r="I41" s="47">
        <f t="shared" si="19"/>
        <v>0</v>
      </c>
      <c r="J41" s="47">
        <f t="shared" si="19"/>
        <v>0</v>
      </c>
      <c r="K41" s="47">
        <f t="shared" si="19"/>
        <v>0</v>
      </c>
      <c r="L41" s="47">
        <f t="shared" si="19"/>
        <v>0</v>
      </c>
      <c r="M41" s="47">
        <f t="shared" si="19"/>
        <v>0</v>
      </c>
      <c r="N41" s="47">
        <f t="shared" si="19"/>
        <v>0</v>
      </c>
      <c r="O41" s="47">
        <f t="shared" si="19"/>
        <v>0</v>
      </c>
    </row>
    <row r="42" spans="1:15" x14ac:dyDescent="0.25">
      <c r="I42" s="4"/>
      <c r="J42" s="4"/>
    </row>
    <row r="43" spans="1:15" x14ac:dyDescent="0.25">
      <c r="H43" s="6"/>
    </row>
    <row r="44" spans="1:15" x14ac:dyDescent="0.25">
      <c r="H44" s="6"/>
    </row>
    <row r="45" spans="1:15" x14ac:dyDescent="0.25">
      <c r="H45" s="6"/>
    </row>
    <row r="46" spans="1:15" x14ac:dyDescent="0.25">
      <c r="H46" s="6"/>
    </row>
    <row r="47" spans="1:15" x14ac:dyDescent="0.25">
      <c r="H47" s="6"/>
    </row>
    <row r="48" spans="1:15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</sheetData>
  <conditionalFormatting sqref="F4:O13">
    <cfRule type="expression" dxfId="0" priority="35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O23"/>
  <sheetViews>
    <sheetView showGridLines="0" zoomScaleNormal="100" workbookViewId="0">
      <selection activeCell="F23" sqref="F4:O23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0" width="11.7109375" style="6" customWidth="1"/>
    <col min="11" max="15" width="11.7109375" style="4" customWidth="1"/>
    <col min="16" max="256" width="8.85546875" style="4"/>
    <col min="257" max="257" width="1.7109375" style="4" customWidth="1"/>
    <col min="258" max="258" width="40.7109375" style="4" customWidth="1"/>
    <col min="259" max="264" width="10.7109375" style="4" customWidth="1"/>
    <col min="265" max="266" width="9.42578125" style="4" bestFit="1" customWidth="1"/>
    <col min="267" max="512" width="8.85546875" style="4"/>
    <col min="513" max="513" width="1.7109375" style="4" customWidth="1"/>
    <col min="514" max="514" width="40.7109375" style="4" customWidth="1"/>
    <col min="515" max="520" width="10.7109375" style="4" customWidth="1"/>
    <col min="521" max="522" width="9.42578125" style="4" bestFit="1" customWidth="1"/>
    <col min="523" max="768" width="8.85546875" style="4"/>
    <col min="769" max="769" width="1.7109375" style="4" customWidth="1"/>
    <col min="770" max="770" width="40.7109375" style="4" customWidth="1"/>
    <col min="771" max="776" width="10.7109375" style="4" customWidth="1"/>
    <col min="777" max="778" width="9.42578125" style="4" bestFit="1" customWidth="1"/>
    <col min="779" max="1024" width="8.85546875" style="4"/>
    <col min="1025" max="1025" width="1.7109375" style="4" customWidth="1"/>
    <col min="1026" max="1026" width="40.7109375" style="4" customWidth="1"/>
    <col min="1027" max="1032" width="10.7109375" style="4" customWidth="1"/>
    <col min="1033" max="1034" width="9.42578125" style="4" bestFit="1" customWidth="1"/>
    <col min="1035" max="1280" width="8.85546875" style="4"/>
    <col min="1281" max="1281" width="1.7109375" style="4" customWidth="1"/>
    <col min="1282" max="1282" width="40.7109375" style="4" customWidth="1"/>
    <col min="1283" max="1288" width="10.7109375" style="4" customWidth="1"/>
    <col min="1289" max="1290" width="9.42578125" style="4" bestFit="1" customWidth="1"/>
    <col min="1291" max="1536" width="8.85546875" style="4"/>
    <col min="1537" max="1537" width="1.7109375" style="4" customWidth="1"/>
    <col min="1538" max="1538" width="40.7109375" style="4" customWidth="1"/>
    <col min="1539" max="1544" width="10.7109375" style="4" customWidth="1"/>
    <col min="1545" max="1546" width="9.42578125" style="4" bestFit="1" customWidth="1"/>
    <col min="1547" max="1792" width="8.85546875" style="4"/>
    <col min="1793" max="1793" width="1.7109375" style="4" customWidth="1"/>
    <col min="1794" max="1794" width="40.7109375" style="4" customWidth="1"/>
    <col min="1795" max="1800" width="10.7109375" style="4" customWidth="1"/>
    <col min="1801" max="1802" width="9.42578125" style="4" bestFit="1" customWidth="1"/>
    <col min="1803" max="2048" width="8.85546875" style="4"/>
    <col min="2049" max="2049" width="1.7109375" style="4" customWidth="1"/>
    <col min="2050" max="2050" width="40.7109375" style="4" customWidth="1"/>
    <col min="2051" max="2056" width="10.7109375" style="4" customWidth="1"/>
    <col min="2057" max="2058" width="9.42578125" style="4" bestFit="1" customWidth="1"/>
    <col min="2059" max="2304" width="8.85546875" style="4"/>
    <col min="2305" max="2305" width="1.7109375" style="4" customWidth="1"/>
    <col min="2306" max="2306" width="40.7109375" style="4" customWidth="1"/>
    <col min="2307" max="2312" width="10.7109375" style="4" customWidth="1"/>
    <col min="2313" max="2314" width="9.42578125" style="4" bestFit="1" customWidth="1"/>
    <col min="2315" max="2560" width="8.85546875" style="4"/>
    <col min="2561" max="2561" width="1.7109375" style="4" customWidth="1"/>
    <col min="2562" max="2562" width="40.7109375" style="4" customWidth="1"/>
    <col min="2563" max="2568" width="10.7109375" style="4" customWidth="1"/>
    <col min="2569" max="2570" width="9.42578125" style="4" bestFit="1" customWidth="1"/>
    <col min="2571" max="2816" width="8.85546875" style="4"/>
    <col min="2817" max="2817" width="1.7109375" style="4" customWidth="1"/>
    <col min="2818" max="2818" width="40.7109375" style="4" customWidth="1"/>
    <col min="2819" max="2824" width="10.7109375" style="4" customWidth="1"/>
    <col min="2825" max="2826" width="9.42578125" style="4" bestFit="1" customWidth="1"/>
    <col min="2827" max="3072" width="8.85546875" style="4"/>
    <col min="3073" max="3073" width="1.7109375" style="4" customWidth="1"/>
    <col min="3074" max="3074" width="40.7109375" style="4" customWidth="1"/>
    <col min="3075" max="3080" width="10.7109375" style="4" customWidth="1"/>
    <col min="3081" max="3082" width="9.42578125" style="4" bestFit="1" customWidth="1"/>
    <col min="3083" max="3328" width="8.85546875" style="4"/>
    <col min="3329" max="3329" width="1.7109375" style="4" customWidth="1"/>
    <col min="3330" max="3330" width="40.7109375" style="4" customWidth="1"/>
    <col min="3331" max="3336" width="10.7109375" style="4" customWidth="1"/>
    <col min="3337" max="3338" width="9.42578125" style="4" bestFit="1" customWidth="1"/>
    <col min="3339" max="3584" width="8.85546875" style="4"/>
    <col min="3585" max="3585" width="1.7109375" style="4" customWidth="1"/>
    <col min="3586" max="3586" width="40.7109375" style="4" customWidth="1"/>
    <col min="3587" max="3592" width="10.7109375" style="4" customWidth="1"/>
    <col min="3593" max="3594" width="9.42578125" style="4" bestFit="1" customWidth="1"/>
    <col min="3595" max="3840" width="8.85546875" style="4"/>
    <col min="3841" max="3841" width="1.7109375" style="4" customWidth="1"/>
    <col min="3842" max="3842" width="40.7109375" style="4" customWidth="1"/>
    <col min="3843" max="3848" width="10.7109375" style="4" customWidth="1"/>
    <col min="3849" max="3850" width="9.42578125" style="4" bestFit="1" customWidth="1"/>
    <col min="3851" max="4096" width="8.85546875" style="4"/>
    <col min="4097" max="4097" width="1.7109375" style="4" customWidth="1"/>
    <col min="4098" max="4098" width="40.7109375" style="4" customWidth="1"/>
    <col min="4099" max="4104" width="10.7109375" style="4" customWidth="1"/>
    <col min="4105" max="4106" width="9.42578125" style="4" bestFit="1" customWidth="1"/>
    <col min="4107" max="4352" width="8.85546875" style="4"/>
    <col min="4353" max="4353" width="1.7109375" style="4" customWidth="1"/>
    <col min="4354" max="4354" width="40.7109375" style="4" customWidth="1"/>
    <col min="4355" max="4360" width="10.7109375" style="4" customWidth="1"/>
    <col min="4361" max="4362" width="9.42578125" style="4" bestFit="1" customWidth="1"/>
    <col min="4363" max="4608" width="8.85546875" style="4"/>
    <col min="4609" max="4609" width="1.7109375" style="4" customWidth="1"/>
    <col min="4610" max="4610" width="40.7109375" style="4" customWidth="1"/>
    <col min="4611" max="4616" width="10.7109375" style="4" customWidth="1"/>
    <col min="4617" max="4618" width="9.42578125" style="4" bestFit="1" customWidth="1"/>
    <col min="4619" max="4864" width="8.85546875" style="4"/>
    <col min="4865" max="4865" width="1.7109375" style="4" customWidth="1"/>
    <col min="4866" max="4866" width="40.7109375" style="4" customWidth="1"/>
    <col min="4867" max="4872" width="10.7109375" style="4" customWidth="1"/>
    <col min="4873" max="4874" width="9.42578125" style="4" bestFit="1" customWidth="1"/>
    <col min="4875" max="5120" width="8.85546875" style="4"/>
    <col min="5121" max="5121" width="1.7109375" style="4" customWidth="1"/>
    <col min="5122" max="5122" width="40.7109375" style="4" customWidth="1"/>
    <col min="5123" max="5128" width="10.7109375" style="4" customWidth="1"/>
    <col min="5129" max="5130" width="9.42578125" style="4" bestFit="1" customWidth="1"/>
    <col min="5131" max="5376" width="8.85546875" style="4"/>
    <col min="5377" max="5377" width="1.7109375" style="4" customWidth="1"/>
    <col min="5378" max="5378" width="40.7109375" style="4" customWidth="1"/>
    <col min="5379" max="5384" width="10.7109375" style="4" customWidth="1"/>
    <col min="5385" max="5386" width="9.42578125" style="4" bestFit="1" customWidth="1"/>
    <col min="5387" max="5632" width="8.85546875" style="4"/>
    <col min="5633" max="5633" width="1.7109375" style="4" customWidth="1"/>
    <col min="5634" max="5634" width="40.7109375" style="4" customWidth="1"/>
    <col min="5635" max="5640" width="10.7109375" style="4" customWidth="1"/>
    <col min="5641" max="5642" width="9.42578125" style="4" bestFit="1" customWidth="1"/>
    <col min="5643" max="5888" width="8.85546875" style="4"/>
    <col min="5889" max="5889" width="1.7109375" style="4" customWidth="1"/>
    <col min="5890" max="5890" width="40.7109375" style="4" customWidth="1"/>
    <col min="5891" max="5896" width="10.7109375" style="4" customWidth="1"/>
    <col min="5897" max="5898" width="9.42578125" style="4" bestFit="1" customWidth="1"/>
    <col min="5899" max="6144" width="8.85546875" style="4"/>
    <col min="6145" max="6145" width="1.7109375" style="4" customWidth="1"/>
    <col min="6146" max="6146" width="40.7109375" style="4" customWidth="1"/>
    <col min="6147" max="6152" width="10.7109375" style="4" customWidth="1"/>
    <col min="6153" max="6154" width="9.42578125" style="4" bestFit="1" customWidth="1"/>
    <col min="6155" max="6400" width="8.85546875" style="4"/>
    <col min="6401" max="6401" width="1.7109375" style="4" customWidth="1"/>
    <col min="6402" max="6402" width="40.7109375" style="4" customWidth="1"/>
    <col min="6403" max="6408" width="10.7109375" style="4" customWidth="1"/>
    <col min="6409" max="6410" width="9.42578125" style="4" bestFit="1" customWidth="1"/>
    <col min="6411" max="6656" width="8.85546875" style="4"/>
    <col min="6657" max="6657" width="1.7109375" style="4" customWidth="1"/>
    <col min="6658" max="6658" width="40.7109375" style="4" customWidth="1"/>
    <col min="6659" max="6664" width="10.7109375" style="4" customWidth="1"/>
    <col min="6665" max="6666" width="9.42578125" style="4" bestFit="1" customWidth="1"/>
    <col min="6667" max="6912" width="8.85546875" style="4"/>
    <col min="6913" max="6913" width="1.7109375" style="4" customWidth="1"/>
    <col min="6914" max="6914" width="40.7109375" style="4" customWidth="1"/>
    <col min="6915" max="6920" width="10.7109375" style="4" customWidth="1"/>
    <col min="6921" max="6922" width="9.42578125" style="4" bestFit="1" customWidth="1"/>
    <col min="6923" max="7168" width="8.85546875" style="4"/>
    <col min="7169" max="7169" width="1.7109375" style="4" customWidth="1"/>
    <col min="7170" max="7170" width="40.7109375" style="4" customWidth="1"/>
    <col min="7171" max="7176" width="10.7109375" style="4" customWidth="1"/>
    <col min="7177" max="7178" width="9.42578125" style="4" bestFit="1" customWidth="1"/>
    <col min="7179" max="7424" width="8.85546875" style="4"/>
    <col min="7425" max="7425" width="1.7109375" style="4" customWidth="1"/>
    <col min="7426" max="7426" width="40.7109375" style="4" customWidth="1"/>
    <col min="7427" max="7432" width="10.7109375" style="4" customWidth="1"/>
    <col min="7433" max="7434" width="9.42578125" style="4" bestFit="1" customWidth="1"/>
    <col min="7435" max="7680" width="8.85546875" style="4"/>
    <col min="7681" max="7681" width="1.7109375" style="4" customWidth="1"/>
    <col min="7682" max="7682" width="40.7109375" style="4" customWidth="1"/>
    <col min="7683" max="7688" width="10.7109375" style="4" customWidth="1"/>
    <col min="7689" max="7690" width="9.42578125" style="4" bestFit="1" customWidth="1"/>
    <col min="7691" max="7936" width="8.85546875" style="4"/>
    <col min="7937" max="7937" width="1.7109375" style="4" customWidth="1"/>
    <col min="7938" max="7938" width="40.7109375" style="4" customWidth="1"/>
    <col min="7939" max="7944" width="10.7109375" style="4" customWidth="1"/>
    <col min="7945" max="7946" width="9.42578125" style="4" bestFit="1" customWidth="1"/>
    <col min="7947" max="8192" width="8.85546875" style="4"/>
    <col min="8193" max="8193" width="1.7109375" style="4" customWidth="1"/>
    <col min="8194" max="8194" width="40.7109375" style="4" customWidth="1"/>
    <col min="8195" max="8200" width="10.7109375" style="4" customWidth="1"/>
    <col min="8201" max="8202" width="9.42578125" style="4" bestFit="1" customWidth="1"/>
    <col min="8203" max="8448" width="8.85546875" style="4"/>
    <col min="8449" max="8449" width="1.7109375" style="4" customWidth="1"/>
    <col min="8450" max="8450" width="40.7109375" style="4" customWidth="1"/>
    <col min="8451" max="8456" width="10.7109375" style="4" customWidth="1"/>
    <col min="8457" max="8458" width="9.42578125" style="4" bestFit="1" customWidth="1"/>
    <col min="8459" max="8704" width="8.85546875" style="4"/>
    <col min="8705" max="8705" width="1.7109375" style="4" customWidth="1"/>
    <col min="8706" max="8706" width="40.7109375" style="4" customWidth="1"/>
    <col min="8707" max="8712" width="10.7109375" style="4" customWidth="1"/>
    <col min="8713" max="8714" width="9.42578125" style="4" bestFit="1" customWidth="1"/>
    <col min="8715" max="8960" width="8.85546875" style="4"/>
    <col min="8961" max="8961" width="1.7109375" style="4" customWidth="1"/>
    <col min="8962" max="8962" width="40.7109375" style="4" customWidth="1"/>
    <col min="8963" max="8968" width="10.7109375" style="4" customWidth="1"/>
    <col min="8969" max="8970" width="9.42578125" style="4" bestFit="1" customWidth="1"/>
    <col min="8971" max="9216" width="8.85546875" style="4"/>
    <col min="9217" max="9217" width="1.7109375" style="4" customWidth="1"/>
    <col min="9218" max="9218" width="40.7109375" style="4" customWidth="1"/>
    <col min="9219" max="9224" width="10.7109375" style="4" customWidth="1"/>
    <col min="9225" max="9226" width="9.42578125" style="4" bestFit="1" customWidth="1"/>
    <col min="9227" max="9472" width="8.85546875" style="4"/>
    <col min="9473" max="9473" width="1.7109375" style="4" customWidth="1"/>
    <col min="9474" max="9474" width="40.7109375" style="4" customWidth="1"/>
    <col min="9475" max="9480" width="10.7109375" style="4" customWidth="1"/>
    <col min="9481" max="9482" width="9.42578125" style="4" bestFit="1" customWidth="1"/>
    <col min="9483" max="9728" width="8.85546875" style="4"/>
    <col min="9729" max="9729" width="1.7109375" style="4" customWidth="1"/>
    <col min="9730" max="9730" width="40.7109375" style="4" customWidth="1"/>
    <col min="9731" max="9736" width="10.7109375" style="4" customWidth="1"/>
    <col min="9737" max="9738" width="9.42578125" style="4" bestFit="1" customWidth="1"/>
    <col min="9739" max="9984" width="8.85546875" style="4"/>
    <col min="9985" max="9985" width="1.7109375" style="4" customWidth="1"/>
    <col min="9986" max="9986" width="40.7109375" style="4" customWidth="1"/>
    <col min="9987" max="9992" width="10.7109375" style="4" customWidth="1"/>
    <col min="9993" max="9994" width="9.42578125" style="4" bestFit="1" customWidth="1"/>
    <col min="9995" max="10240" width="8.85546875" style="4"/>
    <col min="10241" max="10241" width="1.7109375" style="4" customWidth="1"/>
    <col min="10242" max="10242" width="40.7109375" style="4" customWidth="1"/>
    <col min="10243" max="10248" width="10.7109375" style="4" customWidth="1"/>
    <col min="10249" max="10250" width="9.42578125" style="4" bestFit="1" customWidth="1"/>
    <col min="10251" max="10496" width="8.85546875" style="4"/>
    <col min="10497" max="10497" width="1.7109375" style="4" customWidth="1"/>
    <col min="10498" max="10498" width="40.7109375" style="4" customWidth="1"/>
    <col min="10499" max="10504" width="10.7109375" style="4" customWidth="1"/>
    <col min="10505" max="10506" width="9.42578125" style="4" bestFit="1" customWidth="1"/>
    <col min="10507" max="10752" width="8.85546875" style="4"/>
    <col min="10753" max="10753" width="1.7109375" style="4" customWidth="1"/>
    <col min="10754" max="10754" width="40.7109375" style="4" customWidth="1"/>
    <col min="10755" max="10760" width="10.7109375" style="4" customWidth="1"/>
    <col min="10761" max="10762" width="9.42578125" style="4" bestFit="1" customWidth="1"/>
    <col min="10763" max="11008" width="8.85546875" style="4"/>
    <col min="11009" max="11009" width="1.7109375" style="4" customWidth="1"/>
    <col min="11010" max="11010" width="40.7109375" style="4" customWidth="1"/>
    <col min="11011" max="11016" width="10.7109375" style="4" customWidth="1"/>
    <col min="11017" max="11018" width="9.42578125" style="4" bestFit="1" customWidth="1"/>
    <col min="11019" max="11264" width="8.85546875" style="4"/>
    <col min="11265" max="11265" width="1.7109375" style="4" customWidth="1"/>
    <col min="11266" max="11266" width="40.7109375" style="4" customWidth="1"/>
    <col min="11267" max="11272" width="10.7109375" style="4" customWidth="1"/>
    <col min="11273" max="11274" width="9.42578125" style="4" bestFit="1" customWidth="1"/>
    <col min="11275" max="11520" width="8.85546875" style="4"/>
    <col min="11521" max="11521" width="1.7109375" style="4" customWidth="1"/>
    <col min="11522" max="11522" width="40.7109375" style="4" customWidth="1"/>
    <col min="11523" max="11528" width="10.7109375" style="4" customWidth="1"/>
    <col min="11529" max="11530" width="9.42578125" style="4" bestFit="1" customWidth="1"/>
    <col min="11531" max="11776" width="8.85546875" style="4"/>
    <col min="11777" max="11777" width="1.7109375" style="4" customWidth="1"/>
    <col min="11778" max="11778" width="40.7109375" style="4" customWidth="1"/>
    <col min="11779" max="11784" width="10.7109375" style="4" customWidth="1"/>
    <col min="11785" max="11786" width="9.42578125" style="4" bestFit="1" customWidth="1"/>
    <col min="11787" max="12032" width="8.85546875" style="4"/>
    <col min="12033" max="12033" width="1.7109375" style="4" customWidth="1"/>
    <col min="12034" max="12034" width="40.7109375" style="4" customWidth="1"/>
    <col min="12035" max="12040" width="10.7109375" style="4" customWidth="1"/>
    <col min="12041" max="12042" width="9.42578125" style="4" bestFit="1" customWidth="1"/>
    <col min="12043" max="12288" width="8.85546875" style="4"/>
    <col min="12289" max="12289" width="1.7109375" style="4" customWidth="1"/>
    <col min="12290" max="12290" width="40.7109375" style="4" customWidth="1"/>
    <col min="12291" max="12296" width="10.7109375" style="4" customWidth="1"/>
    <col min="12297" max="12298" width="9.42578125" style="4" bestFit="1" customWidth="1"/>
    <col min="12299" max="12544" width="8.85546875" style="4"/>
    <col min="12545" max="12545" width="1.7109375" style="4" customWidth="1"/>
    <col min="12546" max="12546" width="40.7109375" style="4" customWidth="1"/>
    <col min="12547" max="12552" width="10.7109375" style="4" customWidth="1"/>
    <col min="12553" max="12554" width="9.42578125" style="4" bestFit="1" customWidth="1"/>
    <col min="12555" max="12800" width="8.85546875" style="4"/>
    <col min="12801" max="12801" width="1.7109375" style="4" customWidth="1"/>
    <col min="12802" max="12802" width="40.7109375" style="4" customWidth="1"/>
    <col min="12803" max="12808" width="10.7109375" style="4" customWidth="1"/>
    <col min="12809" max="12810" width="9.42578125" style="4" bestFit="1" customWidth="1"/>
    <col min="12811" max="13056" width="8.85546875" style="4"/>
    <col min="13057" max="13057" width="1.7109375" style="4" customWidth="1"/>
    <col min="13058" max="13058" width="40.7109375" style="4" customWidth="1"/>
    <col min="13059" max="13064" width="10.7109375" style="4" customWidth="1"/>
    <col min="13065" max="13066" width="9.42578125" style="4" bestFit="1" customWidth="1"/>
    <col min="13067" max="13312" width="8.85546875" style="4"/>
    <col min="13313" max="13313" width="1.7109375" style="4" customWidth="1"/>
    <col min="13314" max="13314" width="40.7109375" style="4" customWidth="1"/>
    <col min="13315" max="13320" width="10.7109375" style="4" customWidth="1"/>
    <col min="13321" max="13322" width="9.42578125" style="4" bestFit="1" customWidth="1"/>
    <col min="13323" max="13568" width="8.85546875" style="4"/>
    <col min="13569" max="13569" width="1.7109375" style="4" customWidth="1"/>
    <col min="13570" max="13570" width="40.7109375" style="4" customWidth="1"/>
    <col min="13571" max="13576" width="10.7109375" style="4" customWidth="1"/>
    <col min="13577" max="13578" width="9.42578125" style="4" bestFit="1" customWidth="1"/>
    <col min="13579" max="13824" width="8.85546875" style="4"/>
    <col min="13825" max="13825" width="1.7109375" style="4" customWidth="1"/>
    <col min="13826" max="13826" width="40.7109375" style="4" customWidth="1"/>
    <col min="13827" max="13832" width="10.7109375" style="4" customWidth="1"/>
    <col min="13833" max="13834" width="9.42578125" style="4" bestFit="1" customWidth="1"/>
    <col min="13835" max="14080" width="8.85546875" style="4"/>
    <col min="14081" max="14081" width="1.7109375" style="4" customWidth="1"/>
    <col min="14082" max="14082" width="40.7109375" style="4" customWidth="1"/>
    <col min="14083" max="14088" width="10.7109375" style="4" customWidth="1"/>
    <col min="14089" max="14090" width="9.42578125" style="4" bestFit="1" customWidth="1"/>
    <col min="14091" max="14336" width="8.85546875" style="4"/>
    <col min="14337" max="14337" width="1.7109375" style="4" customWidth="1"/>
    <col min="14338" max="14338" width="40.7109375" style="4" customWidth="1"/>
    <col min="14339" max="14344" width="10.7109375" style="4" customWidth="1"/>
    <col min="14345" max="14346" width="9.42578125" style="4" bestFit="1" customWidth="1"/>
    <col min="14347" max="14592" width="8.85546875" style="4"/>
    <col min="14593" max="14593" width="1.7109375" style="4" customWidth="1"/>
    <col min="14594" max="14594" width="40.7109375" style="4" customWidth="1"/>
    <col min="14595" max="14600" width="10.7109375" style="4" customWidth="1"/>
    <col min="14601" max="14602" width="9.42578125" style="4" bestFit="1" customWidth="1"/>
    <col min="14603" max="14848" width="8.85546875" style="4"/>
    <col min="14849" max="14849" width="1.7109375" style="4" customWidth="1"/>
    <col min="14850" max="14850" width="40.7109375" style="4" customWidth="1"/>
    <col min="14851" max="14856" width="10.7109375" style="4" customWidth="1"/>
    <col min="14857" max="14858" width="9.42578125" style="4" bestFit="1" customWidth="1"/>
    <col min="14859" max="15104" width="8.85546875" style="4"/>
    <col min="15105" max="15105" width="1.7109375" style="4" customWidth="1"/>
    <col min="15106" max="15106" width="40.7109375" style="4" customWidth="1"/>
    <col min="15107" max="15112" width="10.7109375" style="4" customWidth="1"/>
    <col min="15113" max="15114" width="9.42578125" style="4" bestFit="1" customWidth="1"/>
    <col min="15115" max="15360" width="8.85546875" style="4"/>
    <col min="15361" max="15361" width="1.7109375" style="4" customWidth="1"/>
    <col min="15362" max="15362" width="40.7109375" style="4" customWidth="1"/>
    <col min="15363" max="15368" width="10.7109375" style="4" customWidth="1"/>
    <col min="15369" max="15370" width="9.42578125" style="4" bestFit="1" customWidth="1"/>
    <col min="15371" max="15616" width="8.85546875" style="4"/>
    <col min="15617" max="15617" width="1.7109375" style="4" customWidth="1"/>
    <col min="15618" max="15618" width="40.7109375" style="4" customWidth="1"/>
    <col min="15619" max="15624" width="10.7109375" style="4" customWidth="1"/>
    <col min="15625" max="15626" width="9.42578125" style="4" bestFit="1" customWidth="1"/>
    <col min="15627" max="15872" width="8.85546875" style="4"/>
    <col min="15873" max="15873" width="1.7109375" style="4" customWidth="1"/>
    <col min="15874" max="15874" width="40.7109375" style="4" customWidth="1"/>
    <col min="15875" max="15880" width="10.7109375" style="4" customWidth="1"/>
    <col min="15881" max="15882" width="9.42578125" style="4" bestFit="1" customWidth="1"/>
    <col min="15883" max="16128" width="8.85546875" style="4"/>
    <col min="16129" max="16129" width="1.7109375" style="4" customWidth="1"/>
    <col min="16130" max="16130" width="40.7109375" style="4" customWidth="1"/>
    <col min="16131" max="16136" width="10.7109375" style="4" customWidth="1"/>
    <col min="16137" max="16138" width="9.42578125" style="4" bestFit="1" customWidth="1"/>
    <col min="16139" max="16384" width="8.85546875" style="4"/>
  </cols>
  <sheetData>
    <row r="1" spans="1:15" s="2" customFormat="1" ht="19.5" x14ac:dyDescent="0.3">
      <c r="A1" s="244" t="str">
        <f>CoName</f>
        <v>NVIDIA Corp.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  <c r="N1" s="42" t="s">
        <v>1</v>
      </c>
      <c r="O1" s="42" t="s">
        <v>1</v>
      </c>
    </row>
    <row r="2" spans="1:15" s="2" customFormat="1" x14ac:dyDescent="0.25">
      <c r="A2" s="179" t="s">
        <v>85</v>
      </c>
      <c r="B2" s="180"/>
      <c r="C2" s="183">
        <v>2023</v>
      </c>
      <c r="D2" s="183">
        <f>C2+1</f>
        <v>2024</v>
      </c>
      <c r="E2" s="183">
        <f t="shared" ref="E2:M2" si="0">D2+1</f>
        <v>2025</v>
      </c>
      <c r="F2" s="183">
        <f t="shared" si="0"/>
        <v>2026</v>
      </c>
      <c r="G2" s="183">
        <f t="shared" si="0"/>
        <v>2027</v>
      </c>
      <c r="H2" s="183">
        <f t="shared" si="0"/>
        <v>2028</v>
      </c>
      <c r="I2" s="183">
        <f t="shared" si="0"/>
        <v>2029</v>
      </c>
      <c r="J2" s="183">
        <f t="shared" si="0"/>
        <v>2030</v>
      </c>
      <c r="K2" s="183">
        <f t="shared" si="0"/>
        <v>2031</v>
      </c>
      <c r="L2" s="183">
        <f t="shared" si="0"/>
        <v>2032</v>
      </c>
      <c r="M2" s="183">
        <f t="shared" si="0"/>
        <v>2033</v>
      </c>
      <c r="N2" s="183">
        <f>M2+1</f>
        <v>2034</v>
      </c>
      <c r="O2" s="183">
        <f>N2+1</f>
        <v>2035</v>
      </c>
    </row>
    <row r="3" spans="1:15" x14ac:dyDescent="0.25">
      <c r="B3" s="4" t="s">
        <v>159</v>
      </c>
      <c r="F3" s="4">
        <f>IncState!F36</f>
        <v>107101.16318046901</v>
      </c>
      <c r="G3" s="4">
        <f>IncState!G36</f>
        <v>151018.05906339025</v>
      </c>
      <c r="H3" s="4">
        <f>IncState!H36</f>
        <v>188112.9694661519</v>
      </c>
      <c r="I3" s="4">
        <f>IncState!I36</f>
        <v>229616.76310832609</v>
      </c>
      <c r="J3" s="4">
        <f>IncState!J36</f>
        <v>280277.63343468995</v>
      </c>
      <c r="K3" s="4">
        <f>IncState!K36</f>
        <v>342115.92716639047</v>
      </c>
      <c r="L3" s="4">
        <f>IncState!L36</f>
        <v>417597.74473118043</v>
      </c>
      <c r="M3" s="4">
        <f>IncState!M36</f>
        <v>509733.28792071494</v>
      </c>
      <c r="N3" s="4">
        <f>IncState!N36</f>
        <v>622196.906215864</v>
      </c>
      <c r="O3" s="4">
        <f>IncState!O36</f>
        <v>759473.62920666742</v>
      </c>
    </row>
    <row r="4" spans="1:15" x14ac:dyDescent="0.25">
      <c r="B4" s="4" t="s">
        <v>15</v>
      </c>
      <c r="F4" s="4">
        <f>IncState!F23</f>
        <v>2370.5977186311789</v>
      </c>
      <c r="G4" s="4">
        <f>IncState!G23</f>
        <v>3892.4910612591248</v>
      </c>
      <c r="H4" s="4">
        <f>IncState!H23</f>
        <v>5877.0432008037278</v>
      </c>
      <c r="I4" s="4">
        <f>IncState!I23</f>
        <v>8047.1838572369015</v>
      </c>
      <c r="J4" s="4">
        <f>IncState!J23</f>
        <v>10439.731073550778</v>
      </c>
      <c r="K4" s="4">
        <f>IncState!K23</f>
        <v>13179.01655787458</v>
      </c>
      <c r="L4" s="4">
        <f>IncState!L23</f>
        <v>16394.711596446119</v>
      </c>
      <c r="M4" s="4">
        <f>IncState!M23</f>
        <v>20229.489939943105</v>
      </c>
      <c r="N4" s="4">
        <f>IncState!N23</f>
        <v>24846.477845977519</v>
      </c>
      <c r="O4" s="4">
        <f>IncState!O23</f>
        <v>30437.003070564046</v>
      </c>
    </row>
    <row r="5" spans="1:15" x14ac:dyDescent="0.25">
      <c r="B5" s="4" t="s">
        <v>54</v>
      </c>
      <c r="F5" s="4">
        <f>IncState!F24</f>
        <v>0</v>
      </c>
      <c r="G5" s="4">
        <f>IncState!G24</f>
        <v>0</v>
      </c>
      <c r="H5" s="4">
        <f>IncState!H24</f>
        <v>0</v>
      </c>
      <c r="I5" s="4">
        <f>IncState!I24</f>
        <v>0</v>
      </c>
      <c r="J5" s="4">
        <f>IncState!J24</f>
        <v>0</v>
      </c>
      <c r="K5" s="4">
        <f>IncState!K24</f>
        <v>0</v>
      </c>
      <c r="L5" s="4">
        <f>IncState!L24</f>
        <v>0</v>
      </c>
      <c r="M5" s="4">
        <f>IncState!M24</f>
        <v>0</v>
      </c>
      <c r="N5" s="4">
        <f>IncState!N24</f>
        <v>0</v>
      </c>
      <c r="O5" s="4">
        <f>IncState!O24</f>
        <v>0</v>
      </c>
    </row>
    <row r="6" spans="1:15" x14ac:dyDescent="0.25">
      <c r="B6" s="4" t="s">
        <v>223</v>
      </c>
      <c r="F6" s="4">
        <f>Calcs!F26</f>
        <v>-31866.215341122661</v>
      </c>
      <c r="G6" s="4">
        <f>Calcs!G26</f>
        <v>-35803.022634455003</v>
      </c>
      <c r="H6" s="4">
        <f>Calcs!H26</f>
        <v>-30241.434192293265</v>
      </c>
      <c r="I6" s="4">
        <f>Calcs!I26</f>
        <v>-33835.753491047304</v>
      </c>
      <c r="J6" s="4">
        <f>Calcs!J26</f>
        <v>-41301.012981688546</v>
      </c>
      <c r="K6" s="4">
        <f>Calcs!K26</f>
        <v>-50413.349706101348</v>
      </c>
      <c r="L6" s="4">
        <f>Calcs!L26</f>
        <v>-61536.162072259234</v>
      </c>
      <c r="M6" s="4">
        <f>Calcs!M26</f>
        <v>-75113.02590799809</v>
      </c>
      <c r="N6" s="4">
        <f>Calcs!N26</f>
        <v>-91685.384188088705</v>
      </c>
      <c r="O6" s="4">
        <f>Calcs!O26</f>
        <v>-111914.13968615455</v>
      </c>
    </row>
    <row r="7" spans="1:15" x14ac:dyDescent="0.25">
      <c r="B7" s="4" t="s">
        <v>224</v>
      </c>
      <c r="F7" s="4">
        <f>BalSheet!E24-BalSheet!F24</f>
        <v>-10002.25550112081</v>
      </c>
      <c r="G7" s="4">
        <f>BalSheet!F24-BalSheet!G24</f>
        <v>-11237.951425003281</v>
      </c>
      <c r="H7" s="4">
        <f>BalSheet!G24-BalSheet!H24</f>
        <v>-9492.2647158949258</v>
      </c>
      <c r="I7" s="4">
        <f>BalSheet!H24-BalSheet!I24</f>
        <v>-10620.459564071731</v>
      </c>
      <c r="J7" s="4">
        <f>BalSheet!I24-BalSheet!J24</f>
        <v>-12963.675788786124</v>
      </c>
      <c r="K7" s="4">
        <f>BalSheet!J24-BalSheet!K24</f>
        <v>-15823.881155320618</v>
      </c>
      <c r="L7" s="4">
        <f>BalSheet!K24-BalSheet!L24</f>
        <v>-19315.140157570801</v>
      </c>
      <c r="M7" s="4">
        <f>BalSheet!L24-BalSheet!M24</f>
        <v>-23576.683598964053</v>
      </c>
      <c r="N7" s="4">
        <f>BalSheet!M24-BalSheet!N24</f>
        <v>-28778.461092749829</v>
      </c>
      <c r="O7" s="4">
        <f>BalSheet!N24-BalSheet!O24</f>
        <v>-35127.918623097008</v>
      </c>
    </row>
    <row r="8" spans="1:15" x14ac:dyDescent="0.25">
      <c r="B8" s="4" t="s">
        <v>225</v>
      </c>
      <c r="F8" s="4">
        <f>BalSheet!F35-BalSheet!E35</f>
        <v>3312.6293213318986</v>
      </c>
      <c r="G8" s="4">
        <f>BalSheet!G35-BalSheet!F35</f>
        <v>3721.8772703814575</v>
      </c>
      <c r="H8" s="4">
        <f>BalSheet!H35-BalSheet!G35</f>
        <v>3143.7263745356449</v>
      </c>
      <c r="I8" s="4">
        <f>BalSheet!I35-BalSheet!H35</f>
        <v>3517.3712323207001</v>
      </c>
      <c r="J8" s="4">
        <f>BalSheet!J35-BalSheet!I35</f>
        <v>4293.4168723605617</v>
      </c>
      <c r="K8" s="4">
        <f>BalSheet!K35-BalSheet!J35</f>
        <v>5240.6832325481519</v>
      </c>
      <c r="L8" s="4">
        <f>BalSheet!L35-BalSheet!K35</f>
        <v>6396.9471310180452</v>
      </c>
      <c r="M8" s="4">
        <f>BalSheet!M35-BalSheet!L35</f>
        <v>7808.3201714794777</v>
      </c>
      <c r="N8" s="4">
        <f>BalSheet!N35-BalSheet!M35</f>
        <v>9531.0876659739224</v>
      </c>
      <c r="O8" s="4">
        <f>BalSheet!O35-BalSheet!N35</f>
        <v>11633.953283356183</v>
      </c>
    </row>
    <row r="9" spans="1:15" s="11" customFormat="1" x14ac:dyDescent="0.25">
      <c r="B9" s="11" t="s">
        <v>226</v>
      </c>
      <c r="F9" s="11">
        <f>SUM(F3:F8)</f>
        <v>70915.919378188628</v>
      </c>
      <c r="G9" s="11">
        <f t="shared" ref="G9:O9" si="1">SUM(G3:G8)</f>
        <v>111591.45333557254</v>
      </c>
      <c r="H9" s="11">
        <f t="shared" si="1"/>
        <v>157400.04013330309</v>
      </c>
      <c r="I9" s="11">
        <f t="shared" si="1"/>
        <v>196725.10514276466</v>
      </c>
      <c r="J9" s="11">
        <f t="shared" si="1"/>
        <v>240746.09261012662</v>
      </c>
      <c r="K9" s="11">
        <f t="shared" si="1"/>
        <v>294298.39609539125</v>
      </c>
      <c r="L9" s="11">
        <f t="shared" si="1"/>
        <v>359538.10122881457</v>
      </c>
      <c r="M9" s="11">
        <f t="shared" si="1"/>
        <v>439081.38852517534</v>
      </c>
      <c r="N9" s="11">
        <f t="shared" si="1"/>
        <v>536110.62644697691</v>
      </c>
      <c r="O9" s="11">
        <f t="shared" si="1"/>
        <v>654502.52725133603</v>
      </c>
    </row>
    <row r="10" spans="1:15" x14ac:dyDescent="0.25">
      <c r="I10" s="4"/>
      <c r="J10" s="4"/>
    </row>
    <row r="11" spans="1:15" x14ac:dyDescent="0.25">
      <c r="B11" s="4" t="s">
        <v>14</v>
      </c>
      <c r="F11" s="4">
        <f>Calcs!F7</f>
        <v>7555.2861786201665</v>
      </c>
      <c r="G11" s="4">
        <f>Calcs!G7</f>
        <v>10653.335785355379</v>
      </c>
      <c r="H11" s="4">
        <f>Calcs!H7</f>
        <v>13270.13896041415</v>
      </c>
      <c r="I11" s="4">
        <f>Calcs!I7</f>
        <v>16197.959995715522</v>
      </c>
      <c r="J11" s="4">
        <f>Calcs!J7</f>
        <v>19771.752866001036</v>
      </c>
      <c r="K11" s="4">
        <f>Calcs!K7</f>
        <v>24134.039811039285</v>
      </c>
      <c r="L11" s="4">
        <f>Calcs!L7</f>
        <v>29458.788077530415</v>
      </c>
      <c r="M11" s="4">
        <f>Calcs!M7</f>
        <v>35958.347702728723</v>
      </c>
      <c r="N11" s="4">
        <f>Calcs!N7</f>
        <v>43891.919997094839</v>
      </c>
      <c r="O11" s="4">
        <f>Calcs!O7</f>
        <v>53575.894447596656</v>
      </c>
    </row>
    <row r="12" spans="1:15" s="11" customFormat="1" x14ac:dyDescent="0.25">
      <c r="B12" s="11" t="s">
        <v>227</v>
      </c>
      <c r="F12" s="11">
        <f>-F11</f>
        <v>-7555.2861786201665</v>
      </c>
      <c r="G12" s="11">
        <f t="shared" ref="G12:O12" si="2">-G11</f>
        <v>-10653.335785355379</v>
      </c>
      <c r="H12" s="11">
        <f t="shared" si="2"/>
        <v>-13270.13896041415</v>
      </c>
      <c r="I12" s="11">
        <f t="shared" si="2"/>
        <v>-16197.959995715522</v>
      </c>
      <c r="J12" s="11">
        <f t="shared" si="2"/>
        <v>-19771.752866001036</v>
      </c>
      <c r="K12" s="11">
        <f t="shared" si="2"/>
        <v>-24134.039811039285</v>
      </c>
      <c r="L12" s="11">
        <f t="shared" si="2"/>
        <v>-29458.788077530415</v>
      </c>
      <c r="M12" s="11">
        <f t="shared" si="2"/>
        <v>-35958.347702728723</v>
      </c>
      <c r="N12" s="11">
        <f t="shared" si="2"/>
        <v>-43891.919997094839</v>
      </c>
      <c r="O12" s="11">
        <f t="shared" si="2"/>
        <v>-53575.894447596656</v>
      </c>
    </row>
    <row r="13" spans="1:15" x14ac:dyDescent="0.25">
      <c r="I13" s="4"/>
      <c r="J13" s="4"/>
    </row>
    <row r="14" spans="1:15" x14ac:dyDescent="0.25">
      <c r="B14" s="4" t="s">
        <v>228</v>
      </c>
      <c r="F14" s="4">
        <f>IncState!F38*-1</f>
        <v>-515.65500000000009</v>
      </c>
      <c r="G14" s="4">
        <f>IncState!G38*-1</f>
        <v>-638.43000000000006</v>
      </c>
      <c r="H14" s="4">
        <f>IncState!H38*-1</f>
        <v>-761.20500000000004</v>
      </c>
      <c r="I14" s="4">
        <f>IncState!I38*-1</f>
        <v>-883.98000000000013</v>
      </c>
      <c r="J14" s="4">
        <f>IncState!J38*-1</f>
        <v>-1006.755</v>
      </c>
      <c r="K14" s="4">
        <f>IncState!K38*-1</f>
        <v>-1129.53</v>
      </c>
      <c r="L14" s="4">
        <f>IncState!L38*-1</f>
        <v>-1252.3049999999998</v>
      </c>
      <c r="M14" s="4">
        <f>IncState!M38*-1</f>
        <v>-1375.08</v>
      </c>
      <c r="N14" s="4">
        <f>IncState!N38*-1</f>
        <v>-1497.8549999999998</v>
      </c>
      <c r="O14" s="4">
        <f>IncState!O38*-1</f>
        <v>-1620.6299999999997</v>
      </c>
    </row>
    <row r="15" spans="1:15" x14ac:dyDescent="0.25">
      <c r="B15" s="4" t="s">
        <v>229</v>
      </c>
      <c r="F15" s="4">
        <f>Calcs!F11</f>
        <v>0</v>
      </c>
      <c r="G15" s="4">
        <f>Calcs!G11</f>
        <v>0</v>
      </c>
      <c r="H15" s="4">
        <f>Calcs!H11</f>
        <v>0</v>
      </c>
      <c r="I15" s="4">
        <f>Calcs!I11</f>
        <v>0</v>
      </c>
      <c r="J15" s="4">
        <f>Calcs!J11</f>
        <v>0</v>
      </c>
      <c r="K15" s="4">
        <f>Calcs!K11</f>
        <v>0</v>
      </c>
      <c r="L15" s="4">
        <f>Calcs!L11</f>
        <v>0</v>
      </c>
      <c r="M15" s="4">
        <f>Calcs!M11</f>
        <v>0</v>
      </c>
      <c r="N15" s="4">
        <f>Calcs!N11</f>
        <v>0</v>
      </c>
      <c r="O15" s="4">
        <f>Calcs!O11</f>
        <v>0</v>
      </c>
    </row>
    <row r="16" spans="1:15" x14ac:dyDescent="0.25">
      <c r="B16" s="4" t="s">
        <v>230</v>
      </c>
      <c r="F16" s="4">
        <f>SUM(Debt!F8:F9)</f>
        <v>0</v>
      </c>
      <c r="G16" s="4">
        <f>SUM(Debt!G8:G9)</f>
        <v>0</v>
      </c>
      <c r="H16" s="4">
        <f>SUM(Debt!H8:H9)</f>
        <v>0</v>
      </c>
      <c r="I16" s="4">
        <f>SUM(Debt!I8:I9)</f>
        <v>0</v>
      </c>
      <c r="J16" s="4">
        <f>SUM(Debt!J8:J9)</f>
        <v>0</v>
      </c>
      <c r="K16" s="4">
        <f>SUM(Debt!K8:K9)</f>
        <v>0</v>
      </c>
      <c r="L16" s="4">
        <f>SUM(Debt!L8:L9)</f>
        <v>0</v>
      </c>
      <c r="M16" s="4">
        <f>SUM(Debt!M8:M9)</f>
        <v>0</v>
      </c>
      <c r="N16" s="4">
        <f>SUM(Debt!N8:N9)</f>
        <v>0</v>
      </c>
      <c r="O16" s="4">
        <f>SUM(Debt!O8:O9)</f>
        <v>0</v>
      </c>
    </row>
    <row r="17" spans="2:15" s="11" customFormat="1" x14ac:dyDescent="0.25">
      <c r="B17" s="11" t="s">
        <v>231</v>
      </c>
      <c r="F17" s="11">
        <f>SUM(F14:F16)</f>
        <v>-515.65500000000009</v>
      </c>
      <c r="G17" s="11">
        <f t="shared" ref="G17:O17" si="3">SUM(G14:G16)</f>
        <v>-638.43000000000006</v>
      </c>
      <c r="H17" s="11">
        <f t="shared" si="3"/>
        <v>-761.20500000000004</v>
      </c>
      <c r="I17" s="11">
        <f t="shared" si="3"/>
        <v>-883.98000000000013</v>
      </c>
      <c r="J17" s="11">
        <f t="shared" si="3"/>
        <v>-1006.755</v>
      </c>
      <c r="K17" s="11">
        <f t="shared" si="3"/>
        <v>-1129.53</v>
      </c>
      <c r="L17" s="11">
        <f t="shared" si="3"/>
        <v>-1252.3049999999998</v>
      </c>
      <c r="M17" s="11">
        <f t="shared" si="3"/>
        <v>-1375.08</v>
      </c>
      <c r="N17" s="11">
        <f t="shared" si="3"/>
        <v>-1497.8549999999998</v>
      </c>
      <c r="O17" s="11">
        <f t="shared" si="3"/>
        <v>-1620.6299999999997</v>
      </c>
    </row>
    <row r="18" spans="2:15" x14ac:dyDescent="0.25">
      <c r="I18" s="4"/>
      <c r="J18" s="4"/>
    </row>
    <row r="19" spans="2:15" x14ac:dyDescent="0.25">
      <c r="B19" s="4" t="s">
        <v>232</v>
      </c>
      <c r="F19" s="4">
        <f>SUM(F17,F12,F9)</f>
        <v>62844.978199568461</v>
      </c>
      <c r="G19" s="4">
        <f t="shared" ref="G19:O19" si="4">SUM(G17,G12,G9)</f>
        <v>100299.68755021716</v>
      </c>
      <c r="H19" s="4">
        <f t="shared" si="4"/>
        <v>143368.69617288894</v>
      </c>
      <c r="I19" s="4">
        <f t="shared" si="4"/>
        <v>179643.16514704915</v>
      </c>
      <c r="J19" s="4">
        <f t="shared" si="4"/>
        <v>219967.58474412558</v>
      </c>
      <c r="K19" s="4">
        <f t="shared" si="4"/>
        <v>269034.82628435199</v>
      </c>
      <c r="L19" s="4">
        <f t="shared" si="4"/>
        <v>328827.00815128419</v>
      </c>
      <c r="M19" s="4">
        <f t="shared" si="4"/>
        <v>401747.96082244662</v>
      </c>
      <c r="N19" s="4">
        <f t="shared" si="4"/>
        <v>490720.85144988209</v>
      </c>
      <c r="O19" s="4">
        <f t="shared" si="4"/>
        <v>599306.00280373939</v>
      </c>
    </row>
    <row r="20" spans="2:15" x14ac:dyDescent="0.25">
      <c r="I20" s="4"/>
      <c r="J20" s="4"/>
    </row>
    <row r="21" spans="2:15" x14ac:dyDescent="0.25">
      <c r="B21" s="4" t="s">
        <v>233</v>
      </c>
      <c r="F21" s="4">
        <f>BalSheet!E16</f>
        <v>6631.5450000000001</v>
      </c>
      <c r="G21" s="4">
        <f>BalSheet!F16</f>
        <v>69476.523199568459</v>
      </c>
      <c r="H21" s="4">
        <f>BalSheet!G16</f>
        <v>169776.21074978562</v>
      </c>
      <c r="I21" s="4">
        <f>BalSheet!H16</f>
        <v>313144.90692267456</v>
      </c>
      <c r="J21" s="4">
        <f>BalSheet!I16</f>
        <v>492788.07206972374</v>
      </c>
      <c r="K21" s="4">
        <f>BalSheet!J16</f>
        <v>712755.65681384935</v>
      </c>
      <c r="L21" s="4">
        <f>BalSheet!K16</f>
        <v>981790.48309820134</v>
      </c>
      <c r="M21" s="4">
        <f>BalSheet!L16</f>
        <v>1310617.4912494854</v>
      </c>
      <c r="N21" s="4">
        <f>BalSheet!M16</f>
        <v>1712365.4520719321</v>
      </c>
      <c r="O21" s="4">
        <f>BalSheet!N16</f>
        <v>2203086.3035218143</v>
      </c>
    </row>
    <row r="22" spans="2:15" x14ac:dyDescent="0.25">
      <c r="B22" s="4" t="s">
        <v>234</v>
      </c>
      <c r="F22" s="4">
        <f>F19</f>
        <v>62844.978199568461</v>
      </c>
      <c r="G22" s="4">
        <f t="shared" ref="G22:O22" si="5">G19</f>
        <v>100299.68755021716</v>
      </c>
      <c r="H22" s="4">
        <f t="shared" si="5"/>
        <v>143368.69617288894</v>
      </c>
      <c r="I22" s="4">
        <f t="shared" si="5"/>
        <v>179643.16514704915</v>
      </c>
      <c r="J22" s="4">
        <f t="shared" si="5"/>
        <v>219967.58474412558</v>
      </c>
      <c r="K22" s="4">
        <f t="shared" si="5"/>
        <v>269034.82628435199</v>
      </c>
      <c r="L22" s="4">
        <f t="shared" si="5"/>
        <v>328827.00815128419</v>
      </c>
      <c r="M22" s="4">
        <f t="shared" si="5"/>
        <v>401747.96082244662</v>
      </c>
      <c r="N22" s="4">
        <f t="shared" si="5"/>
        <v>490720.85144988209</v>
      </c>
      <c r="O22" s="4">
        <f t="shared" si="5"/>
        <v>599306.00280373939</v>
      </c>
    </row>
    <row r="23" spans="2:15" x14ac:dyDescent="0.25">
      <c r="B23" s="4" t="s">
        <v>235</v>
      </c>
      <c r="F23" s="4">
        <f>SUM(F21:F22)</f>
        <v>69476.523199568459</v>
      </c>
      <c r="G23" s="4">
        <f t="shared" ref="G23:O23" si="6">SUM(G21:G22)</f>
        <v>169776.21074978562</v>
      </c>
      <c r="H23" s="4">
        <f t="shared" si="6"/>
        <v>313144.90692267456</v>
      </c>
      <c r="I23" s="4">
        <f t="shared" si="6"/>
        <v>492788.07206972374</v>
      </c>
      <c r="J23" s="4">
        <f t="shared" si="6"/>
        <v>712755.65681384935</v>
      </c>
      <c r="K23" s="4">
        <f t="shared" si="6"/>
        <v>981790.48309820134</v>
      </c>
      <c r="L23" s="4">
        <f t="shared" si="6"/>
        <v>1310617.4912494854</v>
      </c>
      <c r="M23" s="4">
        <f t="shared" si="6"/>
        <v>1712365.4520719321</v>
      </c>
      <c r="N23" s="4">
        <f t="shared" si="6"/>
        <v>2203086.3035218143</v>
      </c>
      <c r="O23" s="4">
        <f t="shared" si="6"/>
        <v>2802392.3063255539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O30"/>
  <sheetViews>
    <sheetView showGridLines="0" zoomScaleNormal="100" workbookViewId="0">
      <selection activeCell="O16" sqref="O16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5" width="11.7109375" style="4" customWidth="1"/>
    <col min="16" max="256" width="8.85546875" style="4"/>
    <col min="257" max="257" width="1.7109375" style="4" customWidth="1"/>
    <col min="258" max="258" width="40.7109375" style="4" customWidth="1"/>
    <col min="259" max="264" width="10.7109375" style="4" customWidth="1"/>
    <col min="265" max="266" width="9.42578125" style="4" bestFit="1" customWidth="1"/>
    <col min="267" max="512" width="8.85546875" style="4"/>
    <col min="513" max="513" width="1.7109375" style="4" customWidth="1"/>
    <col min="514" max="514" width="40.7109375" style="4" customWidth="1"/>
    <col min="515" max="520" width="10.7109375" style="4" customWidth="1"/>
    <col min="521" max="522" width="9.42578125" style="4" bestFit="1" customWidth="1"/>
    <col min="523" max="768" width="8.85546875" style="4"/>
    <col min="769" max="769" width="1.7109375" style="4" customWidth="1"/>
    <col min="770" max="770" width="40.7109375" style="4" customWidth="1"/>
    <col min="771" max="776" width="10.7109375" style="4" customWidth="1"/>
    <col min="777" max="778" width="9.42578125" style="4" bestFit="1" customWidth="1"/>
    <col min="779" max="1024" width="8.85546875" style="4"/>
    <col min="1025" max="1025" width="1.7109375" style="4" customWidth="1"/>
    <col min="1026" max="1026" width="40.7109375" style="4" customWidth="1"/>
    <col min="1027" max="1032" width="10.7109375" style="4" customWidth="1"/>
    <col min="1033" max="1034" width="9.42578125" style="4" bestFit="1" customWidth="1"/>
    <col min="1035" max="1280" width="8.85546875" style="4"/>
    <col min="1281" max="1281" width="1.7109375" style="4" customWidth="1"/>
    <col min="1282" max="1282" width="40.7109375" style="4" customWidth="1"/>
    <col min="1283" max="1288" width="10.7109375" style="4" customWidth="1"/>
    <col min="1289" max="1290" width="9.42578125" style="4" bestFit="1" customWidth="1"/>
    <col min="1291" max="1536" width="8.85546875" style="4"/>
    <col min="1537" max="1537" width="1.7109375" style="4" customWidth="1"/>
    <col min="1538" max="1538" width="40.7109375" style="4" customWidth="1"/>
    <col min="1539" max="1544" width="10.7109375" style="4" customWidth="1"/>
    <col min="1545" max="1546" width="9.42578125" style="4" bestFit="1" customWidth="1"/>
    <col min="1547" max="1792" width="8.85546875" style="4"/>
    <col min="1793" max="1793" width="1.7109375" style="4" customWidth="1"/>
    <col min="1794" max="1794" width="40.7109375" style="4" customWidth="1"/>
    <col min="1795" max="1800" width="10.7109375" style="4" customWidth="1"/>
    <col min="1801" max="1802" width="9.42578125" style="4" bestFit="1" customWidth="1"/>
    <col min="1803" max="2048" width="8.85546875" style="4"/>
    <col min="2049" max="2049" width="1.7109375" style="4" customWidth="1"/>
    <col min="2050" max="2050" width="40.7109375" style="4" customWidth="1"/>
    <col min="2051" max="2056" width="10.7109375" style="4" customWidth="1"/>
    <col min="2057" max="2058" width="9.42578125" style="4" bestFit="1" customWidth="1"/>
    <col min="2059" max="2304" width="8.85546875" style="4"/>
    <col min="2305" max="2305" width="1.7109375" style="4" customWidth="1"/>
    <col min="2306" max="2306" width="40.7109375" style="4" customWidth="1"/>
    <col min="2307" max="2312" width="10.7109375" style="4" customWidth="1"/>
    <col min="2313" max="2314" width="9.42578125" style="4" bestFit="1" customWidth="1"/>
    <col min="2315" max="2560" width="8.85546875" style="4"/>
    <col min="2561" max="2561" width="1.7109375" style="4" customWidth="1"/>
    <col min="2562" max="2562" width="40.7109375" style="4" customWidth="1"/>
    <col min="2563" max="2568" width="10.7109375" style="4" customWidth="1"/>
    <col min="2569" max="2570" width="9.42578125" style="4" bestFit="1" customWidth="1"/>
    <col min="2571" max="2816" width="8.85546875" style="4"/>
    <col min="2817" max="2817" width="1.7109375" style="4" customWidth="1"/>
    <col min="2818" max="2818" width="40.7109375" style="4" customWidth="1"/>
    <col min="2819" max="2824" width="10.7109375" style="4" customWidth="1"/>
    <col min="2825" max="2826" width="9.42578125" style="4" bestFit="1" customWidth="1"/>
    <col min="2827" max="3072" width="8.85546875" style="4"/>
    <col min="3073" max="3073" width="1.7109375" style="4" customWidth="1"/>
    <col min="3074" max="3074" width="40.7109375" style="4" customWidth="1"/>
    <col min="3075" max="3080" width="10.7109375" style="4" customWidth="1"/>
    <col min="3081" max="3082" width="9.42578125" style="4" bestFit="1" customWidth="1"/>
    <col min="3083" max="3328" width="8.85546875" style="4"/>
    <col min="3329" max="3329" width="1.7109375" style="4" customWidth="1"/>
    <col min="3330" max="3330" width="40.7109375" style="4" customWidth="1"/>
    <col min="3331" max="3336" width="10.7109375" style="4" customWidth="1"/>
    <col min="3337" max="3338" width="9.42578125" style="4" bestFit="1" customWidth="1"/>
    <col min="3339" max="3584" width="8.85546875" style="4"/>
    <col min="3585" max="3585" width="1.7109375" style="4" customWidth="1"/>
    <col min="3586" max="3586" width="40.7109375" style="4" customWidth="1"/>
    <col min="3587" max="3592" width="10.7109375" style="4" customWidth="1"/>
    <col min="3593" max="3594" width="9.42578125" style="4" bestFit="1" customWidth="1"/>
    <col min="3595" max="3840" width="8.85546875" style="4"/>
    <col min="3841" max="3841" width="1.7109375" style="4" customWidth="1"/>
    <col min="3842" max="3842" width="40.7109375" style="4" customWidth="1"/>
    <col min="3843" max="3848" width="10.7109375" style="4" customWidth="1"/>
    <col min="3849" max="3850" width="9.42578125" style="4" bestFit="1" customWidth="1"/>
    <col min="3851" max="4096" width="8.85546875" style="4"/>
    <col min="4097" max="4097" width="1.7109375" style="4" customWidth="1"/>
    <col min="4098" max="4098" width="40.7109375" style="4" customWidth="1"/>
    <col min="4099" max="4104" width="10.7109375" style="4" customWidth="1"/>
    <col min="4105" max="4106" width="9.42578125" style="4" bestFit="1" customWidth="1"/>
    <col min="4107" max="4352" width="8.85546875" style="4"/>
    <col min="4353" max="4353" width="1.7109375" style="4" customWidth="1"/>
    <col min="4354" max="4354" width="40.7109375" style="4" customWidth="1"/>
    <col min="4355" max="4360" width="10.7109375" style="4" customWidth="1"/>
    <col min="4361" max="4362" width="9.42578125" style="4" bestFit="1" customWidth="1"/>
    <col min="4363" max="4608" width="8.85546875" style="4"/>
    <col min="4609" max="4609" width="1.7109375" style="4" customWidth="1"/>
    <col min="4610" max="4610" width="40.7109375" style="4" customWidth="1"/>
    <col min="4611" max="4616" width="10.7109375" style="4" customWidth="1"/>
    <col min="4617" max="4618" width="9.42578125" style="4" bestFit="1" customWidth="1"/>
    <col min="4619" max="4864" width="8.85546875" style="4"/>
    <col min="4865" max="4865" width="1.7109375" style="4" customWidth="1"/>
    <col min="4866" max="4866" width="40.7109375" style="4" customWidth="1"/>
    <col min="4867" max="4872" width="10.7109375" style="4" customWidth="1"/>
    <col min="4873" max="4874" width="9.42578125" style="4" bestFit="1" customWidth="1"/>
    <col min="4875" max="5120" width="8.85546875" style="4"/>
    <col min="5121" max="5121" width="1.7109375" style="4" customWidth="1"/>
    <col min="5122" max="5122" width="40.7109375" style="4" customWidth="1"/>
    <col min="5123" max="5128" width="10.7109375" style="4" customWidth="1"/>
    <col min="5129" max="5130" width="9.42578125" style="4" bestFit="1" customWidth="1"/>
    <col min="5131" max="5376" width="8.85546875" style="4"/>
    <col min="5377" max="5377" width="1.7109375" style="4" customWidth="1"/>
    <col min="5378" max="5378" width="40.7109375" style="4" customWidth="1"/>
    <col min="5379" max="5384" width="10.7109375" style="4" customWidth="1"/>
    <col min="5385" max="5386" width="9.42578125" style="4" bestFit="1" customWidth="1"/>
    <col min="5387" max="5632" width="8.85546875" style="4"/>
    <col min="5633" max="5633" width="1.7109375" style="4" customWidth="1"/>
    <col min="5634" max="5634" width="40.7109375" style="4" customWidth="1"/>
    <col min="5635" max="5640" width="10.7109375" style="4" customWidth="1"/>
    <col min="5641" max="5642" width="9.42578125" style="4" bestFit="1" customWidth="1"/>
    <col min="5643" max="5888" width="8.85546875" style="4"/>
    <col min="5889" max="5889" width="1.7109375" style="4" customWidth="1"/>
    <col min="5890" max="5890" width="40.7109375" style="4" customWidth="1"/>
    <col min="5891" max="5896" width="10.7109375" style="4" customWidth="1"/>
    <col min="5897" max="5898" width="9.42578125" style="4" bestFit="1" customWidth="1"/>
    <col min="5899" max="6144" width="8.85546875" style="4"/>
    <col min="6145" max="6145" width="1.7109375" style="4" customWidth="1"/>
    <col min="6146" max="6146" width="40.7109375" style="4" customWidth="1"/>
    <col min="6147" max="6152" width="10.7109375" style="4" customWidth="1"/>
    <col min="6153" max="6154" width="9.42578125" style="4" bestFit="1" customWidth="1"/>
    <col min="6155" max="6400" width="8.85546875" style="4"/>
    <col min="6401" max="6401" width="1.7109375" style="4" customWidth="1"/>
    <col min="6402" max="6402" width="40.7109375" style="4" customWidth="1"/>
    <col min="6403" max="6408" width="10.7109375" style="4" customWidth="1"/>
    <col min="6409" max="6410" width="9.42578125" style="4" bestFit="1" customWidth="1"/>
    <col min="6411" max="6656" width="8.85546875" style="4"/>
    <col min="6657" max="6657" width="1.7109375" style="4" customWidth="1"/>
    <col min="6658" max="6658" width="40.7109375" style="4" customWidth="1"/>
    <col min="6659" max="6664" width="10.7109375" style="4" customWidth="1"/>
    <col min="6665" max="6666" width="9.42578125" style="4" bestFit="1" customWidth="1"/>
    <col min="6667" max="6912" width="8.85546875" style="4"/>
    <col min="6913" max="6913" width="1.7109375" style="4" customWidth="1"/>
    <col min="6914" max="6914" width="40.7109375" style="4" customWidth="1"/>
    <col min="6915" max="6920" width="10.7109375" style="4" customWidth="1"/>
    <col min="6921" max="6922" width="9.42578125" style="4" bestFit="1" customWidth="1"/>
    <col min="6923" max="7168" width="8.85546875" style="4"/>
    <col min="7169" max="7169" width="1.7109375" style="4" customWidth="1"/>
    <col min="7170" max="7170" width="40.7109375" style="4" customWidth="1"/>
    <col min="7171" max="7176" width="10.7109375" style="4" customWidth="1"/>
    <col min="7177" max="7178" width="9.42578125" style="4" bestFit="1" customWidth="1"/>
    <col min="7179" max="7424" width="8.85546875" style="4"/>
    <col min="7425" max="7425" width="1.7109375" style="4" customWidth="1"/>
    <col min="7426" max="7426" width="40.7109375" style="4" customWidth="1"/>
    <col min="7427" max="7432" width="10.7109375" style="4" customWidth="1"/>
    <col min="7433" max="7434" width="9.42578125" style="4" bestFit="1" customWidth="1"/>
    <col min="7435" max="7680" width="8.85546875" style="4"/>
    <col min="7681" max="7681" width="1.7109375" style="4" customWidth="1"/>
    <col min="7682" max="7682" width="40.7109375" style="4" customWidth="1"/>
    <col min="7683" max="7688" width="10.7109375" style="4" customWidth="1"/>
    <col min="7689" max="7690" width="9.42578125" style="4" bestFit="1" customWidth="1"/>
    <col min="7691" max="7936" width="8.85546875" style="4"/>
    <col min="7937" max="7937" width="1.7109375" style="4" customWidth="1"/>
    <col min="7938" max="7938" width="40.7109375" style="4" customWidth="1"/>
    <col min="7939" max="7944" width="10.7109375" style="4" customWidth="1"/>
    <col min="7945" max="7946" width="9.42578125" style="4" bestFit="1" customWidth="1"/>
    <col min="7947" max="8192" width="8.85546875" style="4"/>
    <col min="8193" max="8193" width="1.7109375" style="4" customWidth="1"/>
    <col min="8194" max="8194" width="40.7109375" style="4" customWidth="1"/>
    <col min="8195" max="8200" width="10.7109375" style="4" customWidth="1"/>
    <col min="8201" max="8202" width="9.42578125" style="4" bestFit="1" customWidth="1"/>
    <col min="8203" max="8448" width="8.85546875" style="4"/>
    <col min="8449" max="8449" width="1.7109375" style="4" customWidth="1"/>
    <col min="8450" max="8450" width="40.7109375" style="4" customWidth="1"/>
    <col min="8451" max="8456" width="10.7109375" style="4" customWidth="1"/>
    <col min="8457" max="8458" width="9.42578125" style="4" bestFit="1" customWidth="1"/>
    <col min="8459" max="8704" width="8.85546875" style="4"/>
    <col min="8705" max="8705" width="1.7109375" style="4" customWidth="1"/>
    <col min="8706" max="8706" width="40.7109375" style="4" customWidth="1"/>
    <col min="8707" max="8712" width="10.7109375" style="4" customWidth="1"/>
    <col min="8713" max="8714" width="9.42578125" style="4" bestFit="1" customWidth="1"/>
    <col min="8715" max="8960" width="8.85546875" style="4"/>
    <col min="8961" max="8961" width="1.7109375" style="4" customWidth="1"/>
    <col min="8962" max="8962" width="40.7109375" style="4" customWidth="1"/>
    <col min="8963" max="8968" width="10.7109375" style="4" customWidth="1"/>
    <col min="8969" max="8970" width="9.42578125" style="4" bestFit="1" customWidth="1"/>
    <col min="8971" max="9216" width="8.85546875" style="4"/>
    <col min="9217" max="9217" width="1.7109375" style="4" customWidth="1"/>
    <col min="9218" max="9218" width="40.7109375" style="4" customWidth="1"/>
    <col min="9219" max="9224" width="10.7109375" style="4" customWidth="1"/>
    <col min="9225" max="9226" width="9.42578125" style="4" bestFit="1" customWidth="1"/>
    <col min="9227" max="9472" width="8.85546875" style="4"/>
    <col min="9473" max="9473" width="1.7109375" style="4" customWidth="1"/>
    <col min="9474" max="9474" width="40.7109375" style="4" customWidth="1"/>
    <col min="9475" max="9480" width="10.7109375" style="4" customWidth="1"/>
    <col min="9481" max="9482" width="9.42578125" style="4" bestFit="1" customWidth="1"/>
    <col min="9483" max="9728" width="8.85546875" style="4"/>
    <col min="9729" max="9729" width="1.7109375" style="4" customWidth="1"/>
    <col min="9730" max="9730" width="40.7109375" style="4" customWidth="1"/>
    <col min="9731" max="9736" width="10.7109375" style="4" customWidth="1"/>
    <col min="9737" max="9738" width="9.42578125" style="4" bestFit="1" customWidth="1"/>
    <col min="9739" max="9984" width="8.85546875" style="4"/>
    <col min="9985" max="9985" width="1.7109375" style="4" customWidth="1"/>
    <col min="9986" max="9986" width="40.7109375" style="4" customWidth="1"/>
    <col min="9987" max="9992" width="10.7109375" style="4" customWidth="1"/>
    <col min="9993" max="9994" width="9.42578125" style="4" bestFit="1" customWidth="1"/>
    <col min="9995" max="10240" width="8.85546875" style="4"/>
    <col min="10241" max="10241" width="1.7109375" style="4" customWidth="1"/>
    <col min="10242" max="10242" width="40.7109375" style="4" customWidth="1"/>
    <col min="10243" max="10248" width="10.7109375" style="4" customWidth="1"/>
    <col min="10249" max="10250" width="9.42578125" style="4" bestFit="1" customWidth="1"/>
    <col min="10251" max="10496" width="8.85546875" style="4"/>
    <col min="10497" max="10497" width="1.7109375" style="4" customWidth="1"/>
    <col min="10498" max="10498" width="40.7109375" style="4" customWidth="1"/>
    <col min="10499" max="10504" width="10.7109375" style="4" customWidth="1"/>
    <col min="10505" max="10506" width="9.42578125" style="4" bestFit="1" customWidth="1"/>
    <col min="10507" max="10752" width="8.85546875" style="4"/>
    <col min="10753" max="10753" width="1.7109375" style="4" customWidth="1"/>
    <col min="10754" max="10754" width="40.7109375" style="4" customWidth="1"/>
    <col min="10755" max="10760" width="10.7109375" style="4" customWidth="1"/>
    <col min="10761" max="10762" width="9.42578125" style="4" bestFit="1" customWidth="1"/>
    <col min="10763" max="11008" width="8.85546875" style="4"/>
    <col min="11009" max="11009" width="1.7109375" style="4" customWidth="1"/>
    <col min="11010" max="11010" width="40.7109375" style="4" customWidth="1"/>
    <col min="11011" max="11016" width="10.7109375" style="4" customWidth="1"/>
    <col min="11017" max="11018" width="9.42578125" style="4" bestFit="1" customWidth="1"/>
    <col min="11019" max="11264" width="8.85546875" style="4"/>
    <col min="11265" max="11265" width="1.7109375" style="4" customWidth="1"/>
    <col min="11266" max="11266" width="40.7109375" style="4" customWidth="1"/>
    <col min="11267" max="11272" width="10.7109375" style="4" customWidth="1"/>
    <col min="11273" max="11274" width="9.42578125" style="4" bestFit="1" customWidth="1"/>
    <col min="11275" max="11520" width="8.85546875" style="4"/>
    <col min="11521" max="11521" width="1.7109375" style="4" customWidth="1"/>
    <col min="11522" max="11522" width="40.7109375" style="4" customWidth="1"/>
    <col min="11523" max="11528" width="10.7109375" style="4" customWidth="1"/>
    <col min="11529" max="11530" width="9.42578125" style="4" bestFit="1" customWidth="1"/>
    <col min="11531" max="11776" width="8.85546875" style="4"/>
    <col min="11777" max="11777" width="1.7109375" style="4" customWidth="1"/>
    <col min="11778" max="11778" width="40.7109375" style="4" customWidth="1"/>
    <col min="11779" max="11784" width="10.7109375" style="4" customWidth="1"/>
    <col min="11785" max="11786" width="9.42578125" style="4" bestFit="1" customWidth="1"/>
    <col min="11787" max="12032" width="8.85546875" style="4"/>
    <col min="12033" max="12033" width="1.7109375" style="4" customWidth="1"/>
    <col min="12034" max="12034" width="40.7109375" style="4" customWidth="1"/>
    <col min="12035" max="12040" width="10.7109375" style="4" customWidth="1"/>
    <col min="12041" max="12042" width="9.42578125" style="4" bestFit="1" customWidth="1"/>
    <col min="12043" max="12288" width="8.85546875" style="4"/>
    <col min="12289" max="12289" width="1.7109375" style="4" customWidth="1"/>
    <col min="12290" max="12290" width="40.7109375" style="4" customWidth="1"/>
    <col min="12291" max="12296" width="10.7109375" style="4" customWidth="1"/>
    <col min="12297" max="12298" width="9.42578125" style="4" bestFit="1" customWidth="1"/>
    <col min="12299" max="12544" width="8.85546875" style="4"/>
    <col min="12545" max="12545" width="1.7109375" style="4" customWidth="1"/>
    <col min="12546" max="12546" width="40.7109375" style="4" customWidth="1"/>
    <col min="12547" max="12552" width="10.7109375" style="4" customWidth="1"/>
    <col min="12553" max="12554" width="9.42578125" style="4" bestFit="1" customWidth="1"/>
    <col min="12555" max="12800" width="8.85546875" style="4"/>
    <col min="12801" max="12801" width="1.7109375" style="4" customWidth="1"/>
    <col min="12802" max="12802" width="40.7109375" style="4" customWidth="1"/>
    <col min="12803" max="12808" width="10.7109375" style="4" customWidth="1"/>
    <col min="12809" max="12810" width="9.42578125" style="4" bestFit="1" customWidth="1"/>
    <col min="12811" max="13056" width="8.85546875" style="4"/>
    <col min="13057" max="13057" width="1.7109375" style="4" customWidth="1"/>
    <col min="13058" max="13058" width="40.7109375" style="4" customWidth="1"/>
    <col min="13059" max="13064" width="10.7109375" style="4" customWidth="1"/>
    <col min="13065" max="13066" width="9.42578125" style="4" bestFit="1" customWidth="1"/>
    <col min="13067" max="13312" width="8.85546875" style="4"/>
    <col min="13313" max="13313" width="1.7109375" style="4" customWidth="1"/>
    <col min="13314" max="13314" width="40.7109375" style="4" customWidth="1"/>
    <col min="13315" max="13320" width="10.7109375" style="4" customWidth="1"/>
    <col min="13321" max="13322" width="9.42578125" style="4" bestFit="1" customWidth="1"/>
    <col min="13323" max="13568" width="8.85546875" style="4"/>
    <col min="13569" max="13569" width="1.7109375" style="4" customWidth="1"/>
    <col min="13570" max="13570" width="40.7109375" style="4" customWidth="1"/>
    <col min="13571" max="13576" width="10.7109375" style="4" customWidth="1"/>
    <col min="13577" max="13578" width="9.42578125" style="4" bestFit="1" customWidth="1"/>
    <col min="13579" max="13824" width="8.85546875" style="4"/>
    <col min="13825" max="13825" width="1.7109375" style="4" customWidth="1"/>
    <col min="13826" max="13826" width="40.7109375" style="4" customWidth="1"/>
    <col min="13827" max="13832" width="10.7109375" style="4" customWidth="1"/>
    <col min="13833" max="13834" width="9.42578125" style="4" bestFit="1" customWidth="1"/>
    <col min="13835" max="14080" width="8.85546875" style="4"/>
    <col min="14081" max="14081" width="1.7109375" style="4" customWidth="1"/>
    <col min="14082" max="14082" width="40.7109375" style="4" customWidth="1"/>
    <col min="14083" max="14088" width="10.7109375" style="4" customWidth="1"/>
    <col min="14089" max="14090" width="9.42578125" style="4" bestFit="1" customWidth="1"/>
    <col min="14091" max="14336" width="8.85546875" style="4"/>
    <col min="14337" max="14337" width="1.7109375" style="4" customWidth="1"/>
    <col min="14338" max="14338" width="40.7109375" style="4" customWidth="1"/>
    <col min="14339" max="14344" width="10.7109375" style="4" customWidth="1"/>
    <col min="14345" max="14346" width="9.42578125" style="4" bestFit="1" customWidth="1"/>
    <col min="14347" max="14592" width="8.85546875" style="4"/>
    <col min="14593" max="14593" width="1.7109375" style="4" customWidth="1"/>
    <col min="14594" max="14594" width="40.7109375" style="4" customWidth="1"/>
    <col min="14595" max="14600" width="10.7109375" style="4" customWidth="1"/>
    <col min="14601" max="14602" width="9.42578125" style="4" bestFit="1" customWidth="1"/>
    <col min="14603" max="14848" width="8.85546875" style="4"/>
    <col min="14849" max="14849" width="1.7109375" style="4" customWidth="1"/>
    <col min="14850" max="14850" width="40.7109375" style="4" customWidth="1"/>
    <col min="14851" max="14856" width="10.7109375" style="4" customWidth="1"/>
    <col min="14857" max="14858" width="9.42578125" style="4" bestFit="1" customWidth="1"/>
    <col min="14859" max="15104" width="8.85546875" style="4"/>
    <col min="15105" max="15105" width="1.7109375" style="4" customWidth="1"/>
    <col min="15106" max="15106" width="40.7109375" style="4" customWidth="1"/>
    <col min="15107" max="15112" width="10.7109375" style="4" customWidth="1"/>
    <col min="15113" max="15114" width="9.42578125" style="4" bestFit="1" customWidth="1"/>
    <col min="15115" max="15360" width="8.85546875" style="4"/>
    <col min="15361" max="15361" width="1.7109375" style="4" customWidth="1"/>
    <col min="15362" max="15362" width="40.7109375" style="4" customWidth="1"/>
    <col min="15363" max="15368" width="10.7109375" style="4" customWidth="1"/>
    <col min="15369" max="15370" width="9.42578125" style="4" bestFit="1" customWidth="1"/>
    <col min="15371" max="15616" width="8.85546875" style="4"/>
    <col min="15617" max="15617" width="1.7109375" style="4" customWidth="1"/>
    <col min="15618" max="15618" width="40.7109375" style="4" customWidth="1"/>
    <col min="15619" max="15624" width="10.7109375" style="4" customWidth="1"/>
    <col min="15625" max="15626" width="9.42578125" style="4" bestFit="1" customWidth="1"/>
    <col min="15627" max="15872" width="8.85546875" style="4"/>
    <col min="15873" max="15873" width="1.7109375" style="4" customWidth="1"/>
    <col min="15874" max="15874" width="40.7109375" style="4" customWidth="1"/>
    <col min="15875" max="15880" width="10.7109375" style="4" customWidth="1"/>
    <col min="15881" max="15882" width="9.42578125" style="4" bestFit="1" customWidth="1"/>
    <col min="15883" max="16128" width="8.85546875" style="4"/>
    <col min="16129" max="16129" width="1.7109375" style="4" customWidth="1"/>
    <col min="16130" max="16130" width="40.7109375" style="4" customWidth="1"/>
    <col min="16131" max="16136" width="10.7109375" style="4" customWidth="1"/>
    <col min="16137" max="16138" width="9.42578125" style="4" bestFit="1" customWidth="1"/>
    <col min="16139" max="16384" width="8.85546875" style="4"/>
  </cols>
  <sheetData>
    <row r="1" spans="1:15" s="2" customFormat="1" ht="19.5" x14ac:dyDescent="0.3">
      <c r="A1" s="244" t="str">
        <f>CoName</f>
        <v>NVIDIA Corp.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  <c r="N1" s="42" t="s">
        <v>1</v>
      </c>
      <c r="O1" s="42" t="s">
        <v>1</v>
      </c>
    </row>
    <row r="2" spans="1:15" s="2" customFormat="1" ht="16.350000000000001" customHeight="1" x14ac:dyDescent="0.25">
      <c r="A2" s="179" t="s">
        <v>88</v>
      </c>
      <c r="B2" s="180"/>
      <c r="C2" s="183">
        <v>2023</v>
      </c>
      <c r="D2" s="183">
        <f>C2+1</f>
        <v>2024</v>
      </c>
      <c r="E2" s="183">
        <f t="shared" ref="E2:J2" si="0">D2+1</f>
        <v>2025</v>
      </c>
      <c r="F2" s="183">
        <f t="shared" si="0"/>
        <v>2026</v>
      </c>
      <c r="G2" s="183">
        <f t="shared" si="0"/>
        <v>2027</v>
      </c>
      <c r="H2" s="183">
        <f t="shared" si="0"/>
        <v>2028</v>
      </c>
      <c r="I2" s="183">
        <f t="shared" si="0"/>
        <v>2029</v>
      </c>
      <c r="J2" s="183">
        <f t="shared" si="0"/>
        <v>2030</v>
      </c>
      <c r="K2" s="183">
        <f>J2+1</f>
        <v>2031</v>
      </c>
      <c r="L2" s="183">
        <f>K2+1</f>
        <v>2032</v>
      </c>
      <c r="M2" s="183">
        <f>L2+1</f>
        <v>2033</v>
      </c>
      <c r="N2" s="183">
        <f>M2+1</f>
        <v>2034</v>
      </c>
      <c r="O2" s="183">
        <f>N2+1</f>
        <v>2035</v>
      </c>
    </row>
    <row r="3" spans="1:15" x14ac:dyDescent="0.25">
      <c r="A3" s="11" t="s">
        <v>126</v>
      </c>
      <c r="B3" s="4" t="s">
        <v>89</v>
      </c>
      <c r="D3" s="223"/>
      <c r="E3" s="24"/>
      <c r="F3" s="224">
        <f>IncState!F17</f>
        <v>205494.9508233603</v>
      </c>
      <c r="G3" s="224">
        <f>IncState!G17</f>
        <v>289758.27805323002</v>
      </c>
      <c r="H3" s="224">
        <f>IncState!H17</f>
        <v>360932.26498899999</v>
      </c>
      <c r="I3" s="224">
        <f>IncState!I17</f>
        <v>440565.57409797888</v>
      </c>
      <c r="J3" s="224">
        <f>IncState!J17</f>
        <v>537768.56188292615</v>
      </c>
      <c r="K3" s="224">
        <f>IncState!K17</f>
        <v>656417.6666361941</v>
      </c>
      <c r="L3" s="224">
        <f>IncState!L17</f>
        <v>801244.59407485859</v>
      </c>
      <c r="M3" s="224">
        <f>IncState!M17</f>
        <v>978025.01694396988</v>
      </c>
      <c r="N3" s="224">
        <f>IncState!N17</f>
        <v>1193808.9078437961</v>
      </c>
      <c r="O3" s="224">
        <f>IncState!O17</f>
        <v>1457201.6909142563</v>
      </c>
    </row>
    <row r="4" spans="1:15" x14ac:dyDescent="0.25">
      <c r="B4" s="4" t="s">
        <v>55</v>
      </c>
      <c r="E4" s="28"/>
      <c r="F4" s="4">
        <f>IncState!F21</f>
        <v>128264.86608439402</v>
      </c>
      <c r="G4" s="4">
        <f>IncState!G21</f>
        <v>180859.95097412006</v>
      </c>
      <c r="H4" s="4">
        <f>IncState!H21</f>
        <v>225284.99337263702</v>
      </c>
      <c r="I4" s="4">
        <f>IncState!I21</f>
        <v>274990.13545907318</v>
      </c>
      <c r="J4" s="4">
        <f>IncState!J21</f>
        <v>335661.83644873049</v>
      </c>
      <c r="K4" s="4">
        <f>IncState!K21</f>
        <v>409719.67325316224</v>
      </c>
      <c r="L4" s="4">
        <f>IncState!L21</f>
        <v>500117.05955829989</v>
      </c>
      <c r="M4" s="4">
        <f>IncState!M21</f>
        <v>610459.02744995803</v>
      </c>
      <c r="N4" s="4">
        <f>IncState!N21</f>
        <v>745145.99546810053</v>
      </c>
      <c r="O4" s="4">
        <f>IncState!O21</f>
        <v>909549.25653493113</v>
      </c>
    </row>
    <row r="5" spans="1:15" x14ac:dyDescent="0.25">
      <c r="B5" s="31" t="s">
        <v>94</v>
      </c>
      <c r="C5" s="31"/>
      <c r="D5" s="31"/>
      <c r="E5" s="40"/>
      <c r="F5" s="44">
        <f>IncState!F11</f>
        <v>0.16500000000000001</v>
      </c>
      <c r="G5" s="44">
        <f>IncState!G11</f>
        <v>0.16500000000000001</v>
      </c>
      <c r="H5" s="44">
        <f>IncState!H11</f>
        <v>0.16500000000000001</v>
      </c>
      <c r="I5" s="44">
        <f>IncState!I11</f>
        <v>0.16500000000000001</v>
      </c>
      <c r="J5" s="44">
        <f>IncState!J11</f>
        <v>0.16500000000000001</v>
      </c>
      <c r="K5" s="44">
        <f>IncState!K11</f>
        <v>0.16500000000000001</v>
      </c>
      <c r="L5" s="44">
        <f>IncState!L11</f>
        <v>0.16500000000000001</v>
      </c>
      <c r="M5" s="44">
        <f>IncState!M11</f>
        <v>0.16500000000000001</v>
      </c>
      <c r="N5" s="44">
        <f>IncState!N11</f>
        <v>0.16500000000000001</v>
      </c>
      <c r="O5" s="44">
        <f>IncState!O11</f>
        <v>0.16500000000000001</v>
      </c>
    </row>
    <row r="6" spans="1:15" x14ac:dyDescent="0.25">
      <c r="C6" s="5"/>
      <c r="D6" s="5"/>
      <c r="E6" s="24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25">
      <c r="A7" s="25" t="s">
        <v>126</v>
      </c>
      <c r="B7" s="22" t="s">
        <v>90</v>
      </c>
      <c r="C7" s="119"/>
      <c r="D7" s="119"/>
      <c r="E7" s="119"/>
      <c r="F7" s="134">
        <f t="shared" ref="F7:M7" si="1">F4*(1-F5)</f>
        <v>107101.163180469</v>
      </c>
      <c r="G7" s="134">
        <f t="shared" ref="G7:O7" si="2">G4*(1-G5)</f>
        <v>151018.05906339025</v>
      </c>
      <c r="H7" s="134">
        <f t="shared" si="2"/>
        <v>188112.9694661519</v>
      </c>
      <c r="I7" s="134">
        <f t="shared" si="2"/>
        <v>229616.76310832609</v>
      </c>
      <c r="J7" s="134">
        <f t="shared" si="2"/>
        <v>280277.63343468995</v>
      </c>
      <c r="K7" s="134">
        <f t="shared" si="2"/>
        <v>342115.92716639047</v>
      </c>
      <c r="L7" s="134">
        <f t="shared" si="2"/>
        <v>417597.74473118037</v>
      </c>
      <c r="M7" s="134">
        <f t="shared" si="2"/>
        <v>509733.28792071494</v>
      </c>
      <c r="N7" s="134">
        <f t="shared" si="2"/>
        <v>622196.90621586388</v>
      </c>
      <c r="O7" s="134">
        <f t="shared" si="2"/>
        <v>759473.62920666742</v>
      </c>
    </row>
    <row r="8" spans="1:15" x14ac:dyDescent="0.25">
      <c r="B8" s="4" t="s">
        <v>15</v>
      </c>
      <c r="C8" s="119"/>
      <c r="D8" s="119"/>
      <c r="E8" s="120"/>
      <c r="F8" s="135">
        <f>CashFlow!F4</f>
        <v>2370.5977186311789</v>
      </c>
      <c r="G8" s="135">
        <f>CashFlow!G4</f>
        <v>3892.4910612591248</v>
      </c>
      <c r="H8" s="135">
        <f>CashFlow!H4</f>
        <v>5877.0432008037278</v>
      </c>
      <c r="I8" s="135">
        <f>CashFlow!I4</f>
        <v>8047.1838572369015</v>
      </c>
      <c r="J8" s="135">
        <f>CashFlow!J4</f>
        <v>10439.731073550778</v>
      </c>
      <c r="K8" s="135">
        <f>CashFlow!K4</f>
        <v>13179.01655787458</v>
      </c>
      <c r="L8" s="135">
        <f>CashFlow!L4</f>
        <v>16394.711596446119</v>
      </c>
      <c r="M8" s="135">
        <f>CashFlow!M4</f>
        <v>20229.489939943105</v>
      </c>
      <c r="N8" s="135">
        <f>CashFlow!N4</f>
        <v>24846.477845977519</v>
      </c>
      <c r="O8" s="135">
        <f>CashFlow!O4</f>
        <v>30437.003070564046</v>
      </c>
    </row>
    <row r="9" spans="1:15" x14ac:dyDescent="0.25">
      <c r="B9" s="4" t="s">
        <v>54</v>
      </c>
      <c r="C9" s="5"/>
      <c r="D9" s="5"/>
      <c r="E9" s="24"/>
      <c r="F9" s="184">
        <f>CashFlow!F5</f>
        <v>0</v>
      </c>
      <c r="G9" s="184">
        <f>CashFlow!G5</f>
        <v>0</v>
      </c>
      <c r="H9" s="184">
        <f>CashFlow!H5</f>
        <v>0</v>
      </c>
      <c r="I9" s="184">
        <f>CashFlow!I5</f>
        <v>0</v>
      </c>
      <c r="J9" s="184">
        <f>CashFlow!J5</f>
        <v>0</v>
      </c>
      <c r="K9" s="184">
        <f>CashFlow!K5</f>
        <v>0</v>
      </c>
      <c r="L9" s="184">
        <f>CashFlow!L5</f>
        <v>0</v>
      </c>
      <c r="M9" s="184">
        <f>CashFlow!M5</f>
        <v>0</v>
      </c>
      <c r="N9" s="184">
        <f>CashFlow!N5</f>
        <v>0</v>
      </c>
      <c r="O9" s="184">
        <f>CashFlow!O5</f>
        <v>0</v>
      </c>
    </row>
    <row r="10" spans="1:15" x14ac:dyDescent="0.25">
      <c r="B10" s="4" t="s">
        <v>91</v>
      </c>
      <c r="C10" s="5"/>
      <c r="D10" s="5"/>
      <c r="E10" s="24"/>
      <c r="F10" s="184">
        <f>CashFlow!F6</f>
        <v>-31866.215341122661</v>
      </c>
      <c r="G10" s="184">
        <f>CashFlow!G6</f>
        <v>-35803.022634455003</v>
      </c>
      <c r="H10" s="184">
        <f>CashFlow!H6</f>
        <v>-30241.434192293265</v>
      </c>
      <c r="I10" s="184">
        <f>CashFlow!I6</f>
        <v>-33835.753491047304</v>
      </c>
      <c r="J10" s="184">
        <f>CashFlow!J6</f>
        <v>-41301.012981688546</v>
      </c>
      <c r="K10" s="184">
        <f>CashFlow!K6</f>
        <v>-50413.349706101348</v>
      </c>
      <c r="L10" s="184">
        <f>CashFlow!L6</f>
        <v>-61536.162072259234</v>
      </c>
      <c r="M10" s="184">
        <f>CashFlow!M6</f>
        <v>-75113.02590799809</v>
      </c>
      <c r="N10" s="184">
        <f>CashFlow!N6</f>
        <v>-91685.384188088705</v>
      </c>
      <c r="O10" s="184">
        <f>CashFlow!O6</f>
        <v>-111914.13968615455</v>
      </c>
    </row>
    <row r="11" spans="1:15" x14ac:dyDescent="0.25">
      <c r="B11" s="4" t="s">
        <v>166</v>
      </c>
      <c r="C11" s="5"/>
      <c r="D11" s="5"/>
      <c r="E11" s="24"/>
      <c r="F11" s="184">
        <f>CashFlow!F7</f>
        <v>-10002.25550112081</v>
      </c>
      <c r="G11" s="184">
        <f>CashFlow!G7</f>
        <v>-11237.951425003281</v>
      </c>
      <c r="H11" s="184">
        <f>CashFlow!H7</f>
        <v>-9492.2647158949258</v>
      </c>
      <c r="I11" s="184">
        <f>CashFlow!I7</f>
        <v>-10620.459564071731</v>
      </c>
      <c r="J11" s="184">
        <f>CashFlow!J7</f>
        <v>-12963.675788786124</v>
      </c>
      <c r="K11" s="184">
        <f>CashFlow!K7</f>
        <v>-15823.881155320618</v>
      </c>
      <c r="L11" s="184">
        <f>CashFlow!L7</f>
        <v>-19315.140157570801</v>
      </c>
      <c r="M11" s="184">
        <f>CashFlow!M7</f>
        <v>-23576.683598964053</v>
      </c>
      <c r="N11" s="184">
        <f>CashFlow!N7</f>
        <v>-28778.461092749829</v>
      </c>
      <c r="O11" s="184">
        <f>CashFlow!O7</f>
        <v>-35127.918623097008</v>
      </c>
    </row>
    <row r="12" spans="1:15" x14ac:dyDescent="0.25">
      <c r="B12" s="4" t="s">
        <v>167</v>
      </c>
      <c r="E12" s="28"/>
      <c r="F12" s="184">
        <f>CashFlow!F8</f>
        <v>3312.6293213318986</v>
      </c>
      <c r="G12" s="184">
        <f>CashFlow!G8</f>
        <v>3721.8772703814575</v>
      </c>
      <c r="H12" s="184">
        <f>CashFlow!H8</f>
        <v>3143.7263745356449</v>
      </c>
      <c r="I12" s="184">
        <f>CashFlow!I8</f>
        <v>3517.3712323207001</v>
      </c>
      <c r="J12" s="184">
        <f>CashFlow!J8</f>
        <v>4293.4168723605617</v>
      </c>
      <c r="K12" s="184">
        <f>CashFlow!K8</f>
        <v>5240.6832325481519</v>
      </c>
      <c r="L12" s="184">
        <f>CashFlow!L8</f>
        <v>6396.9471310180452</v>
      </c>
      <c r="M12" s="184">
        <f>CashFlow!M8</f>
        <v>7808.3201714794777</v>
      </c>
      <c r="N12" s="184">
        <f>CashFlow!N8</f>
        <v>9531.0876659739224</v>
      </c>
      <c r="O12" s="184">
        <f>CashFlow!O8</f>
        <v>11633.953283356183</v>
      </c>
    </row>
    <row r="13" spans="1:15" x14ac:dyDescent="0.25">
      <c r="B13" s="4" t="s">
        <v>92</v>
      </c>
      <c r="E13" s="28"/>
      <c r="F13" s="132">
        <f>CashFlow!F12</f>
        <v>-7555.2861786201665</v>
      </c>
      <c r="G13" s="132">
        <f>CashFlow!G12</f>
        <v>-10653.335785355379</v>
      </c>
      <c r="H13" s="132">
        <f>CashFlow!H12</f>
        <v>-13270.13896041415</v>
      </c>
      <c r="I13" s="132">
        <f>CashFlow!I12</f>
        <v>-16197.959995715522</v>
      </c>
      <c r="J13" s="132">
        <f>CashFlow!J12</f>
        <v>-19771.752866001036</v>
      </c>
      <c r="K13" s="132">
        <f>CashFlow!K12</f>
        <v>-24134.039811039285</v>
      </c>
      <c r="L13" s="132">
        <f>CashFlow!L12</f>
        <v>-29458.788077530415</v>
      </c>
      <c r="M13" s="132">
        <f>CashFlow!M12</f>
        <v>-35958.347702728723</v>
      </c>
      <c r="N13" s="132">
        <f>CashFlow!N12</f>
        <v>-43891.919997094839</v>
      </c>
      <c r="O13" s="132">
        <f>CashFlow!O12</f>
        <v>-53575.894447596656</v>
      </c>
    </row>
    <row r="14" spans="1:15" x14ac:dyDescent="0.25">
      <c r="E14" s="63"/>
      <c r="F14" s="136"/>
      <c r="G14" s="136"/>
      <c r="H14" s="136"/>
      <c r="I14" s="136"/>
      <c r="J14" s="136"/>
      <c r="K14" s="136"/>
      <c r="L14" s="136"/>
      <c r="M14" s="136"/>
      <c r="N14" s="136"/>
      <c r="O14" s="136"/>
    </row>
    <row r="15" spans="1:15" s="11" customFormat="1" x14ac:dyDescent="0.25">
      <c r="A15" s="25" t="s">
        <v>126</v>
      </c>
      <c r="B15" s="35" t="s">
        <v>93</v>
      </c>
      <c r="C15" s="35"/>
      <c r="D15" s="35"/>
      <c r="E15" s="35"/>
      <c r="F15" s="35">
        <f>SUM(F7:F13)</f>
        <v>63360.63319956843</v>
      </c>
      <c r="G15" s="35">
        <f t="shared" ref="G15:O15" si="3">SUM(G7:G13)</f>
        <v>100938.11755021717</v>
      </c>
      <c r="H15" s="35">
        <f t="shared" si="3"/>
        <v>144129.90117288893</v>
      </c>
      <c r="I15" s="35">
        <f t="shared" si="3"/>
        <v>180527.14514704913</v>
      </c>
      <c r="J15" s="18">
        <f t="shared" si="3"/>
        <v>220974.33974412558</v>
      </c>
      <c r="K15" s="18">
        <f t="shared" si="3"/>
        <v>270164.35628435196</v>
      </c>
      <c r="L15" s="18">
        <f t="shared" si="3"/>
        <v>330079.31315128406</v>
      </c>
      <c r="M15" s="18">
        <f t="shared" si="3"/>
        <v>403123.04082244664</v>
      </c>
      <c r="N15" s="35">
        <f t="shared" si="3"/>
        <v>492218.70644988195</v>
      </c>
      <c r="O15" s="19">
        <f t="shared" si="3"/>
        <v>600926.6328037394</v>
      </c>
    </row>
    <row r="16" spans="1:15" x14ac:dyDescent="0.25">
      <c r="B16" s="66"/>
      <c r="C16" s="66"/>
      <c r="D16" s="66"/>
      <c r="E16" s="66"/>
      <c r="F16" s="66"/>
      <c r="G16" s="66"/>
      <c r="H16" s="66"/>
      <c r="I16" s="84"/>
      <c r="J16" s="84"/>
      <c r="N16" s="66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E9" sqref="E9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44" t="str">
        <f>CoName</f>
        <v>NVIDIA Corp.</v>
      </c>
    </row>
    <row r="2" spans="1:13" x14ac:dyDescent="0.25">
      <c r="G2" s="145"/>
    </row>
    <row r="3" spans="1:13" x14ac:dyDescent="0.25">
      <c r="A3" s="28" t="s">
        <v>126</v>
      </c>
      <c r="B3" s="163" t="s">
        <v>102</v>
      </c>
      <c r="C3" s="164"/>
      <c r="D3" s="164"/>
      <c r="E3" s="165"/>
      <c r="F3" s="11"/>
      <c r="G3" s="77" t="s">
        <v>110</v>
      </c>
      <c r="H3" s="77" t="s">
        <v>105</v>
      </c>
      <c r="I3" s="77" t="s">
        <v>106</v>
      </c>
      <c r="J3" s="77" t="s">
        <v>107</v>
      </c>
      <c r="K3" s="77" t="s">
        <v>108</v>
      </c>
      <c r="L3" s="77" t="s">
        <v>113</v>
      </c>
      <c r="M3" s="77" t="s">
        <v>109</v>
      </c>
    </row>
    <row r="4" spans="1:13" x14ac:dyDescent="0.25">
      <c r="A4" s="28"/>
      <c r="B4" s="247" t="s">
        <v>168</v>
      </c>
      <c r="C4" s="67"/>
      <c r="D4" s="72"/>
      <c r="E4" s="248">
        <f>Assumptions!F17</f>
        <v>0.16500000000000001</v>
      </c>
      <c r="G4" s="138" t="s">
        <v>236</v>
      </c>
      <c r="H4" s="139">
        <f>1.35*0.66</f>
        <v>0.89100000000000013</v>
      </c>
      <c r="I4" s="80">
        <f>2496+44057</f>
        <v>46553</v>
      </c>
      <c r="J4" s="81">
        <f>37.8*4800</f>
        <v>181440</v>
      </c>
      <c r="K4" s="140">
        <f>I4/J4</f>
        <v>0.25657517636684302</v>
      </c>
      <c r="L4" s="153">
        <f>E4</f>
        <v>0.16500000000000001</v>
      </c>
      <c r="M4" s="141">
        <f>H4/((1+K4*(1-L4)))</f>
        <v>0.73379216646882972</v>
      </c>
    </row>
    <row r="5" spans="1:13" x14ac:dyDescent="0.25">
      <c r="A5" s="28"/>
      <c r="B5" s="67" t="s">
        <v>95</v>
      </c>
      <c r="C5" s="67"/>
      <c r="D5" s="72"/>
      <c r="E5" s="137">
        <v>0.04</v>
      </c>
      <c r="G5" s="138" t="s">
        <v>237</v>
      </c>
      <c r="H5" s="139">
        <f t="shared" ref="H5:H7" si="0">1.35*0.66</f>
        <v>0.89100000000000013</v>
      </c>
      <c r="I5" s="80">
        <f>873+2347</f>
        <v>3220</v>
      </c>
      <c r="J5" s="81">
        <f>255.17*1600</f>
        <v>408272</v>
      </c>
      <c r="K5" s="140">
        <f t="shared" ref="K5:K7" si="1">I5/J5</f>
        <v>7.886898930125015E-3</v>
      </c>
      <c r="L5" s="153">
        <f>L4</f>
        <v>0.16500000000000001</v>
      </c>
      <c r="M5" s="141">
        <f>H5/((1+K5*(1-L5)))</f>
        <v>0.88517065500423764</v>
      </c>
    </row>
    <row r="6" spans="1:13" x14ac:dyDescent="0.25">
      <c r="A6" s="28"/>
      <c r="B6" s="67" t="s">
        <v>96</v>
      </c>
      <c r="C6" s="67"/>
      <c r="D6" s="72"/>
      <c r="E6" s="137">
        <v>0.05</v>
      </c>
      <c r="G6" s="138" t="s">
        <v>238</v>
      </c>
      <c r="H6" s="139">
        <f t="shared" si="0"/>
        <v>0.89100000000000013</v>
      </c>
      <c r="I6" s="82">
        <f>1825+29229</f>
        <v>31054</v>
      </c>
      <c r="J6" s="81">
        <f>291.75*5200</f>
        <v>1517100</v>
      </c>
      <c r="K6" s="140">
        <f t="shared" si="1"/>
        <v>2.0469316459033684E-2</v>
      </c>
      <c r="L6" s="153">
        <f>L5</f>
        <v>0.16500000000000001</v>
      </c>
      <c r="M6" s="141">
        <f>H6/((1+K6*(1-L6)))</f>
        <v>0.87602705142321646</v>
      </c>
    </row>
    <row r="7" spans="1:13" x14ac:dyDescent="0.25">
      <c r="A7" s="28"/>
      <c r="B7" s="67" t="s">
        <v>97</v>
      </c>
      <c r="C7" s="67"/>
      <c r="D7" s="72"/>
      <c r="E7" s="206">
        <f>M11</f>
        <v>0.84554840339994697</v>
      </c>
      <c r="G7" s="138" t="s">
        <v>239</v>
      </c>
      <c r="H7" s="139">
        <f t="shared" si="0"/>
        <v>0.89100000000000013</v>
      </c>
      <c r="I7" s="82">
        <f>1045+3806</f>
        <v>4851</v>
      </c>
      <c r="J7" s="83">
        <f>1035.2*387.6</f>
        <v>401243.52</v>
      </c>
      <c r="K7" s="140">
        <f t="shared" si="1"/>
        <v>1.2089914872643924E-2</v>
      </c>
      <c r="L7" s="153">
        <f>L6</f>
        <v>0.16500000000000001</v>
      </c>
      <c r="M7" s="141">
        <f>H7/((1+K7*(1-L7)))</f>
        <v>0.88209517954868866</v>
      </c>
    </row>
    <row r="8" spans="1:13" x14ac:dyDescent="0.25">
      <c r="A8" s="28"/>
      <c r="B8" s="67" t="s">
        <v>98</v>
      </c>
      <c r="C8" s="67"/>
      <c r="D8" s="72"/>
      <c r="E8" s="137">
        <f>E5+E6*E7</f>
        <v>8.2277420169997353E-2</v>
      </c>
      <c r="H8" s="66"/>
      <c r="L8" s="66"/>
    </row>
    <row r="9" spans="1:13" x14ac:dyDescent="0.25">
      <c r="A9" s="28"/>
      <c r="B9" s="68" t="s">
        <v>99</v>
      </c>
      <c r="C9" s="68"/>
      <c r="D9" s="73"/>
      <c r="E9" s="142">
        <f>1-E10</f>
        <v>0.99818836741860328</v>
      </c>
      <c r="G9" s="4" t="s">
        <v>111</v>
      </c>
      <c r="L9" s="28"/>
      <c r="M9" s="205">
        <f>AVERAGE(M4:M7)</f>
        <v>0.84427126311124301</v>
      </c>
    </row>
    <row r="10" spans="1:13" x14ac:dyDescent="0.25">
      <c r="A10" s="28"/>
      <c r="B10" s="69" t="s">
        <v>100</v>
      </c>
      <c r="C10" s="69"/>
      <c r="D10" s="74"/>
      <c r="E10" s="143">
        <f>MAIN!F8/MAIN!F6</f>
        <v>1.8116325813966776E-3</v>
      </c>
      <c r="M10" s="66"/>
    </row>
    <row r="11" spans="1:13" x14ac:dyDescent="0.25">
      <c r="A11" s="28"/>
      <c r="B11" s="162" t="s">
        <v>183</v>
      </c>
      <c r="C11" s="70"/>
      <c r="D11" s="75"/>
      <c r="E11" s="144">
        <v>0</v>
      </c>
      <c r="G11" s="4" t="s">
        <v>112</v>
      </c>
      <c r="L11" s="28"/>
      <c r="M11" s="205">
        <f>M9*(1+E10*(1-E4))</f>
        <v>0.84554840339994697</v>
      </c>
    </row>
    <row r="12" spans="1:13" x14ac:dyDescent="0.25">
      <c r="A12" s="28"/>
      <c r="B12" s="71" t="s">
        <v>101</v>
      </c>
      <c r="C12" s="71"/>
      <c r="D12" s="76"/>
      <c r="E12" s="144">
        <f>E11*(1-E4)</f>
        <v>0</v>
      </c>
      <c r="M12" s="66"/>
    </row>
    <row r="13" spans="1:13" s="11" customFormat="1" x14ac:dyDescent="0.25">
      <c r="A13" s="25" t="s">
        <v>126</v>
      </c>
      <c r="B13" s="163" t="s">
        <v>102</v>
      </c>
      <c r="C13" s="164"/>
      <c r="D13" s="165"/>
      <c r="E13" s="159">
        <f>WACC!E8*WACC!E9+WACC!E12*WACC!E10</f>
        <v>8.2128363714904118E-2</v>
      </c>
      <c r="F13" s="4"/>
    </row>
    <row r="14" spans="1:13" s="11" customFormat="1" x14ac:dyDescent="0.25">
      <c r="A14" s="25"/>
      <c r="B14" s="77" t="s">
        <v>103</v>
      </c>
      <c r="C14" s="77"/>
      <c r="D14" s="114"/>
      <c r="E14" s="146">
        <v>2.5000000000000001E-2</v>
      </c>
      <c r="F14" s="4"/>
    </row>
    <row r="15" spans="1:13" x14ac:dyDescent="0.25">
      <c r="B15" s="66"/>
      <c r="C15" s="66"/>
      <c r="D15" s="66"/>
      <c r="E15" s="66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V45"/>
  <sheetViews>
    <sheetView showGridLines="0" topLeftCell="F1" zoomScaleNormal="100" workbookViewId="0">
      <selection activeCell="K14" sqref="K14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3" width="12.7109375" style="4" customWidth="1"/>
    <col min="4" max="4" width="15.85546875" style="4" customWidth="1"/>
    <col min="5" max="5" width="10.42578125" style="4" customWidth="1"/>
    <col min="6" max="6" width="12.140625" style="4" customWidth="1"/>
    <col min="7" max="7" width="11.42578125" style="4" bestFit="1" customWidth="1"/>
    <col min="8" max="13" width="11.7109375" style="4" customWidth="1"/>
    <col min="14" max="16384" width="9" style="4"/>
  </cols>
  <sheetData>
    <row r="1" spans="1:22" ht="19.5" x14ac:dyDescent="0.3">
      <c r="A1" s="244" t="str">
        <f>CoName</f>
        <v>NVIDIA Corp.</v>
      </c>
      <c r="B1" s="3"/>
      <c r="C1" s="3"/>
      <c r="D1" s="42" t="s">
        <v>1</v>
      </c>
      <c r="E1" s="42" t="s">
        <v>1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</row>
    <row r="2" spans="1:22" x14ac:dyDescent="0.25">
      <c r="A2" s="77" t="s">
        <v>114</v>
      </c>
      <c r="B2" s="20"/>
      <c r="C2" s="43"/>
      <c r="D2" s="77">
        <v>0.5</v>
      </c>
      <c r="E2" s="77">
        <f t="shared" ref="E2:M2" si="0">D2+1</f>
        <v>1.5</v>
      </c>
      <c r="F2" s="77">
        <f t="shared" si="0"/>
        <v>2.5</v>
      </c>
      <c r="G2" s="77">
        <f t="shared" si="0"/>
        <v>3.5</v>
      </c>
      <c r="H2" s="77">
        <f t="shared" si="0"/>
        <v>4.5</v>
      </c>
      <c r="I2" s="77">
        <f t="shared" si="0"/>
        <v>5.5</v>
      </c>
      <c r="J2" s="77">
        <f t="shared" si="0"/>
        <v>6.5</v>
      </c>
      <c r="K2" s="77">
        <f t="shared" si="0"/>
        <v>7.5</v>
      </c>
      <c r="L2" s="77">
        <f t="shared" si="0"/>
        <v>8.5</v>
      </c>
      <c r="M2" s="77">
        <f t="shared" si="0"/>
        <v>9.5</v>
      </c>
      <c r="N2" s="160"/>
    </row>
    <row r="3" spans="1:22" x14ac:dyDescent="0.25">
      <c r="B3" s="4" t="s">
        <v>240</v>
      </c>
      <c r="D3" s="8">
        <f>1/(1+$Q$3)^D2</f>
        <v>0.96130369084011791</v>
      </c>
      <c r="E3" s="8">
        <f>1/(1+$Q$3)^E2</f>
        <v>0.88834534152676681</v>
      </c>
      <c r="F3" s="8">
        <f>1/(1+$Q$3)^F2</f>
        <v>0.82092418174597348</v>
      </c>
      <c r="G3" s="8">
        <f>1/(1+$Q$3)^G2</f>
        <v>0.75861996531333209</v>
      </c>
      <c r="H3" s="8">
        <f>1/(1+$Q$3)^H2</f>
        <v>0.70104434071852584</v>
      </c>
      <c r="I3" s="8">
        <f>1/(1+$Q$3)^I2</f>
        <v>0.64783843047221146</v>
      </c>
      <c r="J3" s="8">
        <f>1/(1+$Q$3)^J2</f>
        <v>0.59867059416889101</v>
      </c>
      <c r="K3" s="8">
        <f>1/(1+$Q$3)^K2</f>
        <v>0.55323436132260528</v>
      </c>
      <c r="L3" s="8">
        <f>1/(1+$Q$3)^L2</f>
        <v>0.51124652109050495</v>
      </c>
      <c r="M3" s="8">
        <f>1/(1+$Q$3)^M2</f>
        <v>0.47244535697725887</v>
      </c>
      <c r="N3" s="163" t="s">
        <v>102</v>
      </c>
      <c r="O3" s="164"/>
      <c r="P3" s="165"/>
      <c r="Q3" s="159">
        <f>WACC!E13</f>
        <v>8.2128363714904118E-2</v>
      </c>
    </row>
    <row r="4" spans="1:22" x14ac:dyDescent="0.25">
      <c r="B4" s="4" t="s">
        <v>241</v>
      </c>
      <c r="D4" s="4">
        <f>D3*'Free Cash Flow'!F15</f>
        <v>60908.810548712041</v>
      </c>
      <c r="E4" s="4">
        <f>E3*'Free Cash Flow'!G15</f>
        <v>89667.906508216605</v>
      </c>
      <c r="F4" s="4">
        <f>F3*'Free Cash Flow'!H15</f>
        <v>118319.72118548187</v>
      </c>
      <c r="G4" s="4">
        <f>G3*'Free Cash Flow'!I15</f>
        <v>136951.49658956929</v>
      </c>
      <c r="H4" s="4">
        <f>H3*'Free Cash Flow'!J15</f>
        <v>154912.81032163205</v>
      </c>
      <c r="I4" s="4">
        <f>I3*'Free Cash Flow'!K15</f>
        <v>175022.8525447899</v>
      </c>
      <c r="J4" s="4">
        <f>J3*'Free Cash Flow'!L15</f>
        <v>197608.77852713867</v>
      </c>
      <c r="K4" s="4">
        <f>K3*'Free Cash Flow'!M15</f>
        <v>223021.51802383279</v>
      </c>
      <c r="L4" s="4">
        <f>L3*'Free Cash Flow'!N15</f>
        <v>251645.10128817064</v>
      </c>
      <c r="M4" s="4">
        <f>M3*'Free Cash Flow'!O15</f>
        <v>283904.99755210482</v>
      </c>
      <c r="N4" s="77" t="s">
        <v>103</v>
      </c>
      <c r="O4" s="77"/>
      <c r="P4" s="114"/>
      <c r="Q4" s="146">
        <v>2.5000000000000001E-2</v>
      </c>
    </row>
    <row r="5" spans="1:22" x14ac:dyDescent="0.25">
      <c r="G5" s="145"/>
      <c r="M5" s="4">
        <f>((M4*(1+Q4)))/(Q3-Q4)</f>
        <v>5093837.8691036841</v>
      </c>
    </row>
    <row r="6" spans="1:22" x14ac:dyDescent="0.25">
      <c r="A6" s="77" t="s">
        <v>115</v>
      </c>
      <c r="B6" s="20"/>
      <c r="C6" s="43"/>
      <c r="D6" s="86"/>
      <c r="E6" s="77" t="s">
        <v>173</v>
      </c>
      <c r="F6" s="20"/>
      <c r="G6" s="43"/>
      <c r="H6" s="86" t="s">
        <v>169</v>
      </c>
    </row>
    <row r="7" spans="1:22" x14ac:dyDescent="0.25">
      <c r="B7" s="4" t="s">
        <v>116</v>
      </c>
      <c r="C7" s="4">
        <f>SUM(D4:M4)</f>
        <v>1691963.9930896484</v>
      </c>
      <c r="E7" s="4" t="s">
        <v>116</v>
      </c>
      <c r="G7" s="4">
        <f>C7</f>
        <v>1691963.9930896484</v>
      </c>
    </row>
    <row r="8" spans="1:22" x14ac:dyDescent="0.25">
      <c r="B8" s="4" t="s">
        <v>117</v>
      </c>
      <c r="C8" s="4">
        <f>M5*M3</f>
        <v>2406560.0504529695</v>
      </c>
      <c r="E8" s="4" t="s">
        <v>174</v>
      </c>
      <c r="G8" s="4">
        <f>G10*M3*IncState!O25</f>
        <v>3108645.0078112553</v>
      </c>
      <c r="N8" s="170"/>
      <c r="O8" s="170"/>
      <c r="P8" s="170" t="s">
        <v>242</v>
      </c>
      <c r="Q8" s="170"/>
      <c r="U8" s="4" t="s">
        <v>244</v>
      </c>
    </row>
    <row r="9" spans="1:22" x14ac:dyDescent="0.25">
      <c r="B9" s="4" t="s">
        <v>118</v>
      </c>
      <c r="C9" s="4">
        <f>SUM(C7:C8)</f>
        <v>4098524.0435426179</v>
      </c>
      <c r="E9" s="4" t="s">
        <v>118</v>
      </c>
      <c r="G9" s="4">
        <f>SUM(G7:G8)</f>
        <v>4800609.0009009037</v>
      </c>
      <c r="N9" s="170">
        <f>C18</f>
        <v>167.18468970902347</v>
      </c>
      <c r="O9" s="214">
        <f>P9-E23</f>
        <v>2.2500000000000003E-2</v>
      </c>
      <c r="P9" s="214">
        <v>2.5000000000000001E-2</v>
      </c>
      <c r="Q9" s="214">
        <f>P9+E23</f>
        <v>2.75E-2</v>
      </c>
      <c r="S9" s="4">
        <f>G18</f>
        <v>195.49000164896404</v>
      </c>
      <c r="T9" s="85">
        <f>U9-1</f>
        <v>6</v>
      </c>
      <c r="U9" s="85">
        <v>7</v>
      </c>
      <c r="V9" s="85">
        <f>U9+1</f>
        <v>8</v>
      </c>
    </row>
    <row r="10" spans="1:22" x14ac:dyDescent="0.25">
      <c r="C10" s="85"/>
      <c r="E10" s="4" t="s">
        <v>119</v>
      </c>
      <c r="G10" s="85">
        <v>7</v>
      </c>
      <c r="N10" s="214">
        <f>N11+$E$22</f>
        <v>9.2128363714904127E-2</v>
      </c>
      <c r="O10" s="287">
        <f t="dataTable" ref="O10:Q14" dt2D="1" dtr="1" r1="Q4" r2="Q3"/>
        <v>133.11063332199859</v>
      </c>
      <c r="P10" s="288">
        <v>135.76292409078292</v>
      </c>
      <c r="Q10" s="287">
        <v>138.62041042822537</v>
      </c>
      <c r="S10" s="8">
        <f t="shared" ref="S10:S11" si="1">N10</f>
        <v>9.2128363714904127E-2</v>
      </c>
      <c r="T10" s="4">
        <f t="dataTable" ref="T10:V14" dt2D="1" dtr="1" r1="G10" r2="Q3" ca="1"/>
        <v>164.86884838493162</v>
      </c>
      <c r="U10" s="4">
        <v>181.2747371429781</v>
      </c>
      <c r="V10" s="4">
        <v>197.68062590102451</v>
      </c>
    </row>
    <row r="11" spans="1:22" x14ac:dyDescent="0.25">
      <c r="I11" s="160"/>
      <c r="N11" s="214">
        <f>N12+$E$22</f>
        <v>8.7128363714904122E-2</v>
      </c>
      <c r="O11" s="287">
        <v>146.64193000295845</v>
      </c>
      <c r="P11" s="288">
        <v>149.99522513758316</v>
      </c>
      <c r="Q11" s="287">
        <v>153.62970316284174</v>
      </c>
      <c r="S11" s="8">
        <f t="shared" si="1"/>
        <v>8.7128363714904122E-2</v>
      </c>
      <c r="T11" s="4">
        <v>171.08344625404479</v>
      </c>
      <c r="U11" s="4">
        <v>188.22033303830068</v>
      </c>
      <c r="V11" s="4">
        <v>205.35721982255654</v>
      </c>
    </row>
    <row r="12" spans="1:22" x14ac:dyDescent="0.25">
      <c r="B12" s="28" t="s">
        <v>120</v>
      </c>
      <c r="C12" s="38">
        <f>MAIN!F7</f>
        <v>56791</v>
      </c>
      <c r="E12" s="28" t="s">
        <v>120</v>
      </c>
      <c r="F12" s="156"/>
      <c r="G12" s="38">
        <f>C12</f>
        <v>56791</v>
      </c>
      <c r="I12" s="160"/>
      <c r="N12" s="214">
        <v>8.2128363714904118E-2</v>
      </c>
      <c r="O12" s="288">
        <v>162.89014614838197</v>
      </c>
      <c r="P12" s="288">
        <v>167.18468970902347</v>
      </c>
      <c r="Q12" s="288">
        <v>171.87230229723588</v>
      </c>
      <c r="S12" s="8">
        <f>N12</f>
        <v>8.2128363714904118E-2</v>
      </c>
      <c r="T12" s="4">
        <v>177.58594811029946</v>
      </c>
      <c r="U12" s="4">
        <v>195.49000164896404</v>
      </c>
      <c r="V12" s="4">
        <v>213.39405518762862</v>
      </c>
    </row>
    <row r="13" spans="1:22" x14ac:dyDescent="0.25">
      <c r="B13" s="28" t="s">
        <v>121</v>
      </c>
      <c r="C13" s="38">
        <f>MAIN!F8</f>
        <v>8466</v>
      </c>
      <c r="E13" s="28" t="s">
        <v>121</v>
      </c>
      <c r="F13" s="156"/>
      <c r="G13" s="38">
        <f>C13</f>
        <v>8466</v>
      </c>
      <c r="N13" s="214">
        <f>N12-$E$22</f>
        <v>7.7128363714904113E-2</v>
      </c>
      <c r="O13" s="287">
        <v>182.66094748753312</v>
      </c>
      <c r="P13" s="288">
        <v>188.24478964886274</v>
      </c>
      <c r="Q13" s="287">
        <v>194.39119742220885</v>
      </c>
      <c r="S13" s="8">
        <f t="shared" ref="S13:S14" si="2">N13</f>
        <v>7.7128363714904113E-2</v>
      </c>
      <c r="T13" s="4">
        <v>184.39144856578699</v>
      </c>
      <c r="U13" s="4">
        <v>203.10080684796065</v>
      </c>
      <c r="V13" s="4">
        <v>221.81016513013427</v>
      </c>
    </row>
    <row r="14" spans="1:22" x14ac:dyDescent="0.25">
      <c r="B14" s="28" t="s">
        <v>122</v>
      </c>
      <c r="C14" s="79">
        <v>0</v>
      </c>
      <c r="E14" s="4" t="s">
        <v>122</v>
      </c>
      <c r="G14" s="79">
        <v>0</v>
      </c>
      <c r="N14" s="214">
        <f>N13-$E$22</f>
        <v>7.2128363714904109E-2</v>
      </c>
      <c r="O14" s="287">
        <v>207.0924636026524</v>
      </c>
      <c r="P14" s="288">
        <v>214.48486054316137</v>
      </c>
      <c r="Q14" s="287">
        <v>222.70547482407451</v>
      </c>
      <c r="S14" s="8">
        <f t="shared" si="2"/>
        <v>7.2128363714904109E-2</v>
      </c>
      <c r="T14" s="4">
        <v>191.51591791323906</v>
      </c>
      <c r="U14" s="4">
        <v>211.07080528424197</v>
      </c>
      <c r="V14" s="4">
        <v>230.6256926552449</v>
      </c>
    </row>
    <row r="15" spans="1:22" x14ac:dyDescent="0.25">
      <c r="B15" s="4" t="s">
        <v>123</v>
      </c>
      <c r="C15" s="66">
        <f>C9+C12-C13-C14</f>
        <v>4146849.0435426179</v>
      </c>
      <c r="E15" s="4" t="s">
        <v>123</v>
      </c>
      <c r="G15" s="66">
        <f>G9+G12-G13-G14</f>
        <v>4848934.0009009037</v>
      </c>
      <c r="N15" s="170"/>
      <c r="O15" s="170"/>
      <c r="P15" s="170"/>
      <c r="Q15" s="170"/>
    </row>
    <row r="16" spans="1:22" x14ac:dyDescent="0.25">
      <c r="N16" s="170"/>
      <c r="O16" s="170"/>
      <c r="P16" s="171" t="s">
        <v>243</v>
      </c>
      <c r="Q16" s="170"/>
      <c r="U16" s="171" t="s">
        <v>243</v>
      </c>
    </row>
    <row r="17" spans="1:21" x14ac:dyDescent="0.25">
      <c r="B17" s="4" t="s">
        <v>124</v>
      </c>
      <c r="C17" s="4">
        <f>IncState!E41</f>
        <v>24804</v>
      </c>
      <c r="E17" s="4" t="s">
        <v>124</v>
      </c>
      <c r="G17" s="4">
        <f>C17</f>
        <v>24804</v>
      </c>
      <c r="N17" s="170"/>
      <c r="O17" s="170"/>
      <c r="P17" s="288">
        <f>AVERAGE(O10:Q14)</f>
        <v>171.28584652183497</v>
      </c>
      <c r="Q17" s="170"/>
      <c r="U17" s="288">
        <f>AVERAGE(T10:V14)</f>
        <v>195.83133679248911</v>
      </c>
    </row>
    <row r="18" spans="1:21" x14ac:dyDescent="0.25">
      <c r="A18" s="4" t="s">
        <v>126</v>
      </c>
      <c r="B18" s="147" t="s">
        <v>125</v>
      </c>
      <c r="C18" s="158">
        <f>C15/C17</f>
        <v>167.18468970902347</v>
      </c>
      <c r="E18" s="147" t="s">
        <v>125</v>
      </c>
      <c r="F18" s="156"/>
      <c r="G18" s="158">
        <f>G15/G17</f>
        <v>195.49000164896404</v>
      </c>
    </row>
    <row r="19" spans="1:21" x14ac:dyDescent="0.25">
      <c r="C19" s="22"/>
    </row>
    <row r="20" spans="1:21" x14ac:dyDescent="0.25">
      <c r="A20" s="115" t="s">
        <v>149</v>
      </c>
      <c r="B20" s="20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202"/>
    </row>
    <row r="21" spans="1:21" x14ac:dyDescent="0.25">
      <c r="B21" s="116"/>
      <c r="C21" s="116"/>
      <c r="D21" s="116"/>
      <c r="E21" s="116"/>
      <c r="F21" s="116"/>
      <c r="G21" s="116"/>
      <c r="H21" s="116"/>
      <c r="I21" s="116"/>
    </row>
    <row r="22" spans="1:21" x14ac:dyDescent="0.25">
      <c r="B22" s="116"/>
      <c r="C22" s="116" t="s">
        <v>150</v>
      </c>
      <c r="D22" s="116"/>
      <c r="E22" s="117">
        <v>5.0000000000000001E-3</v>
      </c>
      <c r="F22" s="116"/>
      <c r="G22" s="116"/>
      <c r="J22" s="116" t="s">
        <v>150</v>
      </c>
      <c r="K22" s="116"/>
      <c r="L22" s="117">
        <v>5.0000000000000001E-3</v>
      </c>
    </row>
    <row r="23" spans="1:21" x14ac:dyDescent="0.25">
      <c r="B23" s="116"/>
      <c r="C23" s="116" t="s">
        <v>151</v>
      </c>
      <c r="D23" s="116"/>
      <c r="E23" s="148">
        <v>2.5000000000000001E-3</v>
      </c>
      <c r="F23" s="116"/>
      <c r="G23" s="116"/>
      <c r="J23" s="116" t="s">
        <v>172</v>
      </c>
      <c r="K23" s="116"/>
      <c r="L23" s="155">
        <v>1</v>
      </c>
    </row>
    <row r="24" spans="1:21" x14ac:dyDescent="0.25">
      <c r="B24" s="116"/>
      <c r="C24" s="116"/>
      <c r="D24" s="116"/>
      <c r="E24" s="168"/>
      <c r="F24" s="116"/>
      <c r="G24" s="116"/>
      <c r="J24" s="116"/>
      <c r="K24" s="116"/>
      <c r="L24" s="167"/>
    </row>
    <row r="25" spans="1:21" x14ac:dyDescent="0.25">
      <c r="A25" s="151" t="s">
        <v>175</v>
      </c>
      <c r="B25" s="15"/>
      <c r="C25" s="149"/>
      <c r="D25" s="149"/>
      <c r="E25" s="150"/>
      <c r="F25" s="149"/>
      <c r="G25" s="149"/>
      <c r="H25" s="149"/>
      <c r="I25" s="149"/>
      <c r="J25" s="157"/>
      <c r="K25" s="15"/>
      <c r="L25" s="15"/>
      <c r="M25" s="15"/>
      <c r="N25" s="15"/>
      <c r="O25" s="15"/>
      <c r="P25" s="15"/>
    </row>
    <row r="26" spans="1:21" x14ac:dyDescent="0.25">
      <c r="B26" s="116"/>
      <c r="C26" s="116"/>
      <c r="D26" s="116"/>
      <c r="E26" s="116"/>
      <c r="F26" s="116"/>
      <c r="H26" s="116"/>
      <c r="I26" s="170"/>
      <c r="P26" s="170"/>
    </row>
    <row r="27" spans="1:21" x14ac:dyDescent="0.25">
      <c r="B27" s="160"/>
      <c r="C27" s="166"/>
      <c r="D27" s="116"/>
      <c r="E27" s="225"/>
      <c r="F27" s="226"/>
      <c r="G27" s="225"/>
      <c r="I27" s="116"/>
      <c r="J27" s="225"/>
    </row>
    <row r="28" spans="1:21" x14ac:dyDescent="0.25">
      <c r="B28" s="160"/>
      <c r="C28" s="227"/>
      <c r="E28" s="116"/>
      <c r="F28" s="228"/>
      <c r="G28" s="228"/>
      <c r="H28" s="228"/>
      <c r="I28" s="170"/>
      <c r="J28" s="170"/>
      <c r="N28" s="229"/>
      <c r="P28" s="170"/>
    </row>
    <row r="29" spans="1:21" x14ac:dyDescent="0.25">
      <c r="B29" s="160"/>
      <c r="C29" s="227"/>
      <c r="E29" s="230"/>
      <c r="F29" s="170"/>
      <c r="G29" s="170"/>
      <c r="H29" s="212"/>
      <c r="I29" s="212"/>
      <c r="J29" s="212"/>
      <c r="N29" s="231"/>
      <c r="O29" s="48"/>
      <c r="P29" s="48"/>
      <c r="Q29" s="48"/>
    </row>
    <row r="30" spans="1:21" x14ac:dyDescent="0.25">
      <c r="E30" s="208"/>
      <c r="F30" s="170"/>
      <c r="G30" s="232"/>
      <c r="H30" s="233"/>
      <c r="I30" s="233"/>
      <c r="J30" s="233"/>
      <c r="N30" s="234"/>
      <c r="O30" s="166"/>
      <c r="P30" s="166"/>
      <c r="Q30" s="166"/>
    </row>
    <row r="31" spans="1:21" x14ac:dyDescent="0.25">
      <c r="F31" s="212"/>
      <c r="G31" s="233"/>
      <c r="H31" s="213"/>
      <c r="I31" s="213"/>
      <c r="J31" s="213"/>
      <c r="K31" s="235"/>
      <c r="M31" s="48"/>
      <c r="N31" s="166"/>
      <c r="O31" s="85"/>
      <c r="P31" s="85"/>
      <c r="Q31" s="85"/>
    </row>
    <row r="32" spans="1:21" x14ac:dyDescent="0.25">
      <c r="F32" s="212"/>
      <c r="G32" s="233"/>
      <c r="H32" s="213"/>
      <c r="I32" s="213"/>
      <c r="J32" s="213"/>
      <c r="K32" s="235"/>
      <c r="M32" s="48"/>
      <c r="N32" s="166"/>
      <c r="O32" s="85"/>
      <c r="P32" s="85"/>
      <c r="Q32" s="85"/>
    </row>
    <row r="33" spans="2:17" x14ac:dyDescent="0.25">
      <c r="D33" s="48"/>
      <c r="E33" s="145"/>
      <c r="F33" s="212"/>
      <c r="G33" s="233"/>
      <c r="H33" s="213"/>
      <c r="I33" s="213"/>
      <c r="J33" s="213"/>
      <c r="K33" s="235"/>
      <c r="L33" s="145"/>
      <c r="M33" s="48"/>
      <c r="N33" s="166"/>
      <c r="O33" s="85"/>
      <c r="P33" s="85"/>
      <c r="Q33" s="85"/>
    </row>
    <row r="34" spans="2:17" x14ac:dyDescent="0.25">
      <c r="D34" s="48"/>
      <c r="E34" s="208"/>
      <c r="F34" s="212"/>
      <c r="G34" s="233"/>
      <c r="H34" s="213"/>
      <c r="I34" s="213"/>
      <c r="J34" s="213"/>
      <c r="K34" s="229"/>
      <c r="M34" s="48"/>
      <c r="N34" s="166"/>
      <c r="O34" s="85"/>
      <c r="P34" s="85"/>
      <c r="Q34" s="85"/>
    </row>
    <row r="35" spans="2:17" x14ac:dyDescent="0.25">
      <c r="D35" s="48"/>
      <c r="E35" s="208"/>
      <c r="F35" s="212"/>
      <c r="G35" s="233"/>
      <c r="H35" s="213"/>
      <c r="I35" s="213"/>
      <c r="J35" s="213"/>
      <c r="K35" s="229"/>
      <c r="M35" s="48"/>
      <c r="N35" s="166"/>
      <c r="O35" s="85"/>
      <c r="P35" s="85"/>
      <c r="Q35" s="85"/>
    </row>
    <row r="36" spans="2:17" x14ac:dyDescent="0.25">
      <c r="B36" s="236"/>
      <c r="C36" s="236"/>
      <c r="D36" s="236"/>
      <c r="E36" s="237"/>
      <c r="F36" s="238"/>
      <c r="G36" s="237"/>
    </row>
    <row r="37" spans="2:17" x14ac:dyDescent="0.25">
      <c r="B37" s="116"/>
      <c r="C37" s="116"/>
      <c r="D37" s="116"/>
      <c r="E37" s="116"/>
      <c r="F37" s="226"/>
      <c r="G37" s="226"/>
      <c r="H37" s="226"/>
      <c r="I37" s="170"/>
      <c r="J37" s="170"/>
      <c r="P37" s="170"/>
    </row>
    <row r="38" spans="2:17" x14ac:dyDescent="0.25">
      <c r="F38" s="214"/>
      <c r="G38" s="214"/>
      <c r="H38" s="212"/>
      <c r="I38" s="212"/>
      <c r="J38" s="212"/>
      <c r="M38" s="170"/>
      <c r="O38" s="85"/>
      <c r="P38" s="85"/>
      <c r="Q38" s="85"/>
    </row>
    <row r="39" spans="2:17" x14ac:dyDescent="0.25">
      <c r="E39" s="48"/>
      <c r="F39" s="211"/>
      <c r="G39" s="239"/>
      <c r="H39" s="233"/>
      <c r="I39" s="233"/>
      <c r="J39" s="233"/>
      <c r="L39" s="85"/>
      <c r="M39" s="85"/>
      <c r="N39" s="240"/>
      <c r="O39" s="169"/>
      <c r="P39" s="169"/>
      <c r="Q39" s="169"/>
    </row>
    <row r="40" spans="2:17" x14ac:dyDescent="0.25">
      <c r="E40" s="48"/>
      <c r="F40" s="212"/>
      <c r="G40" s="233"/>
      <c r="H40" s="211"/>
      <c r="I40" s="211"/>
      <c r="J40" s="211"/>
      <c r="K40" s="48"/>
      <c r="M40" s="48"/>
      <c r="N40" s="166"/>
      <c r="O40" s="241"/>
      <c r="P40" s="241"/>
      <c r="Q40" s="241"/>
    </row>
    <row r="41" spans="2:17" x14ac:dyDescent="0.25">
      <c r="D41" s="8"/>
      <c r="E41" s="48"/>
      <c r="F41" s="212"/>
      <c r="G41" s="233"/>
      <c r="H41" s="211"/>
      <c r="I41" s="211"/>
      <c r="J41" s="211"/>
      <c r="K41" s="8"/>
      <c r="L41" s="48"/>
      <c r="M41" s="48"/>
      <c r="N41" s="166"/>
      <c r="O41" s="241"/>
      <c r="P41" s="241"/>
      <c r="Q41" s="241"/>
    </row>
    <row r="42" spans="2:17" x14ac:dyDescent="0.25">
      <c r="D42" s="8"/>
      <c r="E42" s="145"/>
      <c r="F42" s="212"/>
      <c r="G42" s="233"/>
      <c r="H42" s="211"/>
      <c r="I42" s="211"/>
      <c r="J42" s="211"/>
      <c r="K42" s="8"/>
      <c r="L42" s="145"/>
      <c r="M42" s="48"/>
      <c r="N42" s="166"/>
      <c r="O42" s="241"/>
      <c r="P42" s="241"/>
      <c r="Q42" s="241"/>
    </row>
    <row r="43" spans="2:17" x14ac:dyDescent="0.25">
      <c r="D43" s="8"/>
      <c r="E43" s="48"/>
      <c r="F43" s="212"/>
      <c r="G43" s="233"/>
      <c r="H43" s="211"/>
      <c r="I43" s="211"/>
      <c r="J43" s="211"/>
      <c r="K43" s="8"/>
      <c r="L43" s="48"/>
      <c r="M43" s="48"/>
      <c r="N43" s="166"/>
      <c r="O43" s="241"/>
      <c r="P43" s="241"/>
      <c r="Q43" s="241"/>
    </row>
    <row r="44" spans="2:17" x14ac:dyDescent="0.25">
      <c r="D44" s="8"/>
      <c r="E44" s="8"/>
      <c r="F44" s="212"/>
      <c r="G44" s="233"/>
      <c r="H44" s="211"/>
      <c r="I44" s="211"/>
      <c r="J44" s="211"/>
      <c r="K44" s="8"/>
      <c r="L44" s="48"/>
      <c r="M44" s="48"/>
      <c r="N44" s="166"/>
      <c r="O44" s="241"/>
      <c r="P44" s="241"/>
      <c r="Q44" s="241"/>
    </row>
    <row r="45" spans="2:17" x14ac:dyDescent="0.25">
      <c r="D45" s="8"/>
      <c r="E45" s="8"/>
      <c r="F45" s="85"/>
      <c r="G45" s="85"/>
      <c r="H45" s="85"/>
      <c r="J45" s="8"/>
      <c r="K45" s="8"/>
      <c r="L45" s="48"/>
      <c r="M45" s="48"/>
      <c r="N45" s="48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9B163E-8FD9-4F0C-B1E1-F38F6A6548CE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88a26cf8-717e-46a4-ac0d-03f11284dc6b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Revenue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2025-11-12T19:09:07Z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