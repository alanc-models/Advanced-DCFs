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626" documentId="8_{83C63467-87A1-4AAE-B08D-DB33F2248F46}" xr6:coauthVersionLast="47" xr6:coauthVersionMax="47" xr10:uidLastSave="{0A3E91FC-49F0-4054-BC20-99CFA455140C}"/>
  <bookViews>
    <workbookView xWindow="-105" yWindow="0" windowWidth="19410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23" r:id="rId12"/>
    <sheet name="Presentation" sheetId="22" r:id="rId13"/>
  </sheets>
  <externalReferences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2" l="1"/>
  <c r="E3" i="12" s="1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F8" i="13"/>
  <c r="P16" i="12"/>
  <c r="J5" i="3" s="1"/>
  <c r="J6" i="3" s="1"/>
  <c r="N11" i="12"/>
  <c r="Q8" i="12"/>
  <c r="O8" i="12"/>
  <c r="K16" i="12"/>
  <c r="I5" i="3" s="1"/>
  <c r="I6" i="3" s="1"/>
  <c r="I12" i="12"/>
  <c r="N12" i="12" s="1"/>
  <c r="I10" i="12"/>
  <c r="N10" i="12" s="1"/>
  <c r="J8" i="12"/>
  <c r="L8" i="12"/>
  <c r="G17" i="12"/>
  <c r="G13" i="12"/>
  <c r="G14" i="12"/>
  <c r="G12" i="12"/>
  <c r="AC4" i="32"/>
  <c r="AD4" i="32"/>
  <c r="AE4" i="32"/>
  <c r="AF4" i="32" s="1"/>
  <c r="AG4" i="32" s="1"/>
  <c r="AH4" i="32" s="1"/>
  <c r="AI4" i="32" s="1"/>
  <c r="AJ4" i="32" s="1"/>
  <c r="AK4" i="32" s="1"/>
  <c r="AL4" i="32" s="1"/>
  <c r="AM4" i="32" s="1"/>
  <c r="AN4" i="32" s="1"/>
  <c r="AB4" i="32"/>
  <c r="C17" i="12"/>
  <c r="C13" i="12"/>
  <c r="C12" i="12"/>
  <c r="E4" i="11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F8" i="10"/>
  <c r="F5" i="10"/>
  <c r="G11" i="13"/>
  <c r="H11" i="13"/>
  <c r="I11" i="13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F11" i="13"/>
  <c r="G12" i="13"/>
  <c r="H12" i="13"/>
  <c r="I12" i="13"/>
  <c r="J12" i="13"/>
  <c r="K12" i="13"/>
  <c r="L12" i="13"/>
  <c r="M12" i="13"/>
  <c r="N12" i="13"/>
  <c r="O12" i="13"/>
  <c r="P12" i="13"/>
  <c r="Q12" i="13"/>
  <c r="R12" i="13" s="1"/>
  <c r="S12" i="13" s="1"/>
  <c r="T12" i="13" s="1"/>
  <c r="U12" i="13" s="1"/>
  <c r="F12" i="13"/>
  <c r="M13" i="13"/>
  <c r="N13" i="13"/>
  <c r="O13" i="13"/>
  <c r="P13" i="13"/>
  <c r="Q13" i="13"/>
  <c r="R13" i="13" s="1"/>
  <c r="S13" i="13" s="1"/>
  <c r="T13" i="13" s="1"/>
  <c r="U13" i="13" s="1"/>
  <c r="L13" i="13"/>
  <c r="G13" i="13"/>
  <c r="H13" i="13" s="1"/>
  <c r="I13" i="13" s="1"/>
  <c r="J13" i="13" s="1"/>
  <c r="K13" i="13" s="1"/>
  <c r="F13" i="13"/>
  <c r="G13" i="9"/>
  <c r="G15" i="9" s="1"/>
  <c r="H13" i="9"/>
  <c r="H15" i="9" s="1"/>
  <c r="I13" i="9"/>
  <c r="I15" i="9" s="1"/>
  <c r="J13" i="9"/>
  <c r="K13" i="9"/>
  <c r="L13" i="9"/>
  <c r="L15" i="9" s="1"/>
  <c r="M13" i="9"/>
  <c r="M15" i="9" s="1"/>
  <c r="N13" i="9"/>
  <c r="N15" i="9" s="1"/>
  <c r="O13" i="9"/>
  <c r="O15" i="9" s="1"/>
  <c r="P13" i="9"/>
  <c r="P15" i="9" s="1"/>
  <c r="Q13" i="9"/>
  <c r="Q15" i="9" s="1"/>
  <c r="R13" i="9"/>
  <c r="R15" i="9" s="1"/>
  <c r="S13" i="9"/>
  <c r="S15" i="9" s="1"/>
  <c r="T13" i="9"/>
  <c r="T15" i="9" s="1"/>
  <c r="U13" i="9"/>
  <c r="U15" i="9" s="1"/>
  <c r="G14" i="9"/>
  <c r="H14" i="9"/>
  <c r="I14" i="9"/>
  <c r="J14" i="9"/>
  <c r="J15" i="9" s="1"/>
  <c r="K14" i="9"/>
  <c r="K15" i="9" s="1"/>
  <c r="L14" i="9"/>
  <c r="M14" i="9"/>
  <c r="N14" i="9"/>
  <c r="O14" i="9"/>
  <c r="P14" i="9"/>
  <c r="Q14" i="9"/>
  <c r="R14" i="9"/>
  <c r="S14" i="9"/>
  <c r="T14" i="9"/>
  <c r="U14" i="9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F25" i="7"/>
  <c r="F32" i="6"/>
  <c r="F19" i="9"/>
  <c r="F15" i="9"/>
  <c r="F14" i="9"/>
  <c r="F13" i="9"/>
  <c r="E23" i="5"/>
  <c r="E22" i="5"/>
  <c r="E21" i="5"/>
  <c r="E20" i="5"/>
  <c r="E19" i="5"/>
  <c r="E18" i="5"/>
  <c r="F4" i="9"/>
  <c r="F15" i="5"/>
  <c r="E16" i="5"/>
  <c r="F13" i="5" s="1"/>
  <c r="C30" i="13"/>
  <c r="D30" i="13"/>
  <c r="E30" i="13"/>
  <c r="E9" i="5"/>
  <c r="F6" i="5" s="1"/>
  <c r="F35" i="7"/>
  <c r="F34" i="7"/>
  <c r="F23" i="7"/>
  <c r="E50" i="13"/>
  <c r="D50" i="13"/>
  <c r="C50" i="13"/>
  <c r="E49" i="13"/>
  <c r="D49" i="13"/>
  <c r="C49" i="13"/>
  <c r="C27" i="8"/>
  <c r="C48" i="13" s="1"/>
  <c r="E48" i="13"/>
  <c r="D48" i="13"/>
  <c r="E44" i="13"/>
  <c r="D44" i="13"/>
  <c r="C44" i="13"/>
  <c r="E43" i="13"/>
  <c r="D43" i="13"/>
  <c r="C43" i="13"/>
  <c r="E42" i="13"/>
  <c r="D42" i="13"/>
  <c r="C42" i="13"/>
  <c r="D31" i="13"/>
  <c r="E31" i="13"/>
  <c r="F31" i="13" s="1"/>
  <c r="G31" i="13" s="1"/>
  <c r="H31" i="13" s="1"/>
  <c r="I31" i="13" s="1"/>
  <c r="J31" i="13" s="1"/>
  <c r="K31" i="13" s="1"/>
  <c r="L31" i="13" s="1"/>
  <c r="M31" i="13" s="1"/>
  <c r="N31" i="13" s="1"/>
  <c r="O31" i="13" s="1"/>
  <c r="P31" i="13" s="1"/>
  <c r="Q31" i="13" s="1"/>
  <c r="R31" i="13" s="1"/>
  <c r="S31" i="13" s="1"/>
  <c r="T31" i="13" s="1"/>
  <c r="U31" i="13" s="1"/>
  <c r="D23" i="13"/>
  <c r="E17" i="13"/>
  <c r="E37" i="13" s="1"/>
  <c r="D17" i="13"/>
  <c r="D37" i="13" s="1"/>
  <c r="C17" i="13"/>
  <c r="C37" i="13" s="1"/>
  <c r="E16" i="13"/>
  <c r="E36" i="13" s="1"/>
  <c r="D16" i="13"/>
  <c r="D36" i="13" s="1"/>
  <c r="C16" i="13"/>
  <c r="C36" i="13" s="1"/>
  <c r="E15" i="13"/>
  <c r="D15" i="13"/>
  <c r="C15" i="13"/>
  <c r="E14" i="13"/>
  <c r="D14" i="13"/>
  <c r="C14" i="13"/>
  <c r="E13" i="13"/>
  <c r="D13" i="13"/>
  <c r="C13" i="13"/>
  <c r="E12" i="13"/>
  <c r="D12" i="13"/>
  <c r="C12" i="13"/>
  <c r="E11" i="13"/>
  <c r="D11" i="13"/>
  <c r="C11" i="13"/>
  <c r="H6" i="13"/>
  <c r="G6" i="13"/>
  <c r="G7" i="13" s="1"/>
  <c r="F6" i="13"/>
  <c r="Y5" i="32"/>
  <c r="X5" i="32"/>
  <c r="W5" i="32"/>
  <c r="V5" i="32"/>
  <c r="AA3" i="32"/>
  <c r="X4" i="32"/>
  <c r="Y4" i="32"/>
  <c r="W4" i="32"/>
  <c r="W3" i="32"/>
  <c r="X3" i="32"/>
  <c r="V3" i="32"/>
  <c r="Y3" i="32"/>
  <c r="V4" i="32"/>
  <c r="T4" i="32"/>
  <c r="S4" i="32"/>
  <c r="R4" i="32"/>
  <c r="Q4" i="32"/>
  <c r="O4" i="32"/>
  <c r="N4" i="32"/>
  <c r="M4" i="32"/>
  <c r="L4" i="32"/>
  <c r="L5" i="32"/>
  <c r="T5" i="32"/>
  <c r="S5" i="32"/>
  <c r="R5" i="32"/>
  <c r="Q5" i="32"/>
  <c r="O5" i="32"/>
  <c r="N5" i="32"/>
  <c r="M5" i="32"/>
  <c r="I5" i="32"/>
  <c r="J5" i="32"/>
  <c r="H5" i="32"/>
  <c r="G5" i="32"/>
  <c r="P4" i="32"/>
  <c r="K4" i="32"/>
  <c r="G4" i="32"/>
  <c r="H4" i="32"/>
  <c r="I4" i="32"/>
  <c r="J4" i="32"/>
  <c r="F4" i="32"/>
  <c r="E4" i="32"/>
  <c r="C4" i="32"/>
  <c r="D4" i="32"/>
  <c r="U3" i="32"/>
  <c r="U4" i="32" s="1"/>
  <c r="P3" i="32"/>
  <c r="K3" i="32"/>
  <c r="Z2" i="32"/>
  <c r="AA2" i="32" s="1"/>
  <c r="AB2" i="32" s="1"/>
  <c r="AC2" i="32" s="1"/>
  <c r="AD2" i="32" s="1"/>
  <c r="AE2" i="32" s="1"/>
  <c r="AF2" i="32" s="1"/>
  <c r="AG2" i="32" s="1"/>
  <c r="AH2" i="32" s="1"/>
  <c r="AI2" i="32" s="1"/>
  <c r="AJ2" i="32" s="1"/>
  <c r="AK2" i="32" s="1"/>
  <c r="AL2" i="32" s="1"/>
  <c r="AM2" i="32" s="1"/>
  <c r="AN2" i="32" s="1"/>
  <c r="A1" i="32"/>
  <c r="C10" i="13"/>
  <c r="D10" i="13"/>
  <c r="E10" i="13"/>
  <c r="C20" i="8"/>
  <c r="C22" i="8" s="1"/>
  <c r="D20" i="8"/>
  <c r="D22" i="8" s="1"/>
  <c r="D27" i="8"/>
  <c r="D28" i="8" s="1"/>
  <c r="E27" i="8"/>
  <c r="E20" i="8"/>
  <c r="E22" i="8" s="1"/>
  <c r="D14" i="8"/>
  <c r="D15" i="8" s="1"/>
  <c r="D18" i="8" s="1"/>
  <c r="C14" i="8"/>
  <c r="E14" i="8"/>
  <c r="E15" i="8" s="1"/>
  <c r="E18" i="8" s="1"/>
  <c r="C17" i="7"/>
  <c r="C18" i="7" s="1"/>
  <c r="C28" i="7" s="1"/>
  <c r="C31" i="7" s="1"/>
  <c r="C37" i="7" s="1"/>
  <c r="D17" i="7"/>
  <c r="D18" i="7" s="1"/>
  <c r="D28" i="7" s="1"/>
  <c r="D31" i="7" s="1"/>
  <c r="D37" i="7" s="1"/>
  <c r="E17" i="7"/>
  <c r="F7" i="3"/>
  <c r="N2" i="7"/>
  <c r="O2" i="7" s="1"/>
  <c r="P2" i="7" s="1"/>
  <c r="Q2" i="7" s="1"/>
  <c r="R2" i="7" s="1"/>
  <c r="S2" i="7" s="1"/>
  <c r="T2" i="7" s="1"/>
  <c r="U2" i="7" s="1"/>
  <c r="N2" i="10"/>
  <c r="O2" i="10" s="1"/>
  <c r="P2" i="10" s="1"/>
  <c r="Q2" i="10" s="1"/>
  <c r="R2" i="10" s="1"/>
  <c r="S2" i="10" s="1"/>
  <c r="T2" i="10" s="1"/>
  <c r="U2" i="10" s="1"/>
  <c r="N8" i="7"/>
  <c r="O8" i="7"/>
  <c r="P8" i="7"/>
  <c r="Q8" i="7"/>
  <c r="R8" i="7"/>
  <c r="S8" i="7"/>
  <c r="T8" i="7"/>
  <c r="U8" i="7"/>
  <c r="N2" i="6"/>
  <c r="O2" i="6" s="1"/>
  <c r="N8" i="6"/>
  <c r="O8" i="6"/>
  <c r="P8" i="6"/>
  <c r="Q8" i="6"/>
  <c r="R8" i="6"/>
  <c r="S8" i="6"/>
  <c r="T8" i="6"/>
  <c r="U8" i="6"/>
  <c r="N9" i="6"/>
  <c r="O9" i="6"/>
  <c r="P9" i="6"/>
  <c r="Q9" i="6"/>
  <c r="R9" i="6"/>
  <c r="S9" i="6"/>
  <c r="T9" i="6"/>
  <c r="U9" i="6"/>
  <c r="N11" i="5"/>
  <c r="O11" i="5"/>
  <c r="P11" i="5"/>
  <c r="Q11" i="5"/>
  <c r="R11" i="5"/>
  <c r="S11" i="5"/>
  <c r="T11" i="5"/>
  <c r="U11" i="5"/>
  <c r="N19" i="13"/>
  <c r="O19" i="13" s="1"/>
  <c r="P19" i="13" s="1"/>
  <c r="Q19" i="13" s="1"/>
  <c r="R19" i="13" s="1"/>
  <c r="S19" i="13" s="1"/>
  <c r="T19" i="13" s="1"/>
  <c r="U19" i="13" s="1"/>
  <c r="N2" i="13"/>
  <c r="O2" i="13" s="1"/>
  <c r="N28" i="13"/>
  <c r="O28" i="13" s="1"/>
  <c r="P28" i="13" s="1"/>
  <c r="Q28" i="13" s="1"/>
  <c r="R28" i="13" s="1"/>
  <c r="S28" i="13" s="1"/>
  <c r="T28" i="13" s="1"/>
  <c r="U28" i="13" s="1"/>
  <c r="G8" i="7"/>
  <c r="H8" i="7"/>
  <c r="I8" i="7"/>
  <c r="J8" i="7"/>
  <c r="K8" i="7"/>
  <c r="L8" i="7"/>
  <c r="M8" i="7"/>
  <c r="A1" i="10"/>
  <c r="C10" i="5"/>
  <c r="C17" i="5" s="1"/>
  <c r="D2" i="5"/>
  <c r="E2" i="5" s="1"/>
  <c r="F6" i="3"/>
  <c r="F9" i="3" s="1"/>
  <c r="G15" i="13"/>
  <c r="A1" i="22"/>
  <c r="A1" i="23"/>
  <c r="K2" i="6"/>
  <c r="K11" i="6" s="1"/>
  <c r="K8" i="6"/>
  <c r="L8" i="6"/>
  <c r="M8" i="6"/>
  <c r="K9" i="6"/>
  <c r="L9" i="6"/>
  <c r="M9" i="6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K11" i="5"/>
  <c r="L11" i="5"/>
  <c r="M11" i="5"/>
  <c r="F22" i="13"/>
  <c r="G22" i="13" s="1"/>
  <c r="F21" i="13"/>
  <c r="F4" i="6" s="1"/>
  <c r="L46" i="13"/>
  <c r="M46" i="13" s="1"/>
  <c r="N46" i="13" s="1"/>
  <c r="O46" i="13" s="1"/>
  <c r="P46" i="13" s="1"/>
  <c r="Q46" i="13" s="1"/>
  <c r="R46" i="13" s="1"/>
  <c r="S46" i="13" s="1"/>
  <c r="T46" i="13" s="1"/>
  <c r="U46" i="13" s="1"/>
  <c r="L39" i="13"/>
  <c r="M39" i="13" s="1"/>
  <c r="N39" i="13" s="1"/>
  <c r="O39" i="13" s="1"/>
  <c r="P39" i="13" s="1"/>
  <c r="Q39" i="13" s="1"/>
  <c r="R39" i="13" s="1"/>
  <c r="S39" i="13" s="1"/>
  <c r="T39" i="13" s="1"/>
  <c r="U39" i="13" s="1"/>
  <c r="L34" i="13"/>
  <c r="M34" i="13"/>
  <c r="N34" i="13" s="1"/>
  <c r="O34" i="13" s="1"/>
  <c r="P34" i="13" s="1"/>
  <c r="Q34" i="13" s="1"/>
  <c r="R34" i="13" s="1"/>
  <c r="S34" i="13" s="1"/>
  <c r="T34" i="13" s="1"/>
  <c r="U34" i="13" s="1"/>
  <c r="L28" i="13"/>
  <c r="M28" i="13" s="1"/>
  <c r="M19" i="13"/>
  <c r="L19" i="13"/>
  <c r="K19" i="13"/>
  <c r="D2" i="10"/>
  <c r="E2" i="10" s="1"/>
  <c r="F2" i="10" s="1"/>
  <c r="G2" i="10" s="1"/>
  <c r="H2" i="10" s="1"/>
  <c r="I2" i="10" s="1"/>
  <c r="J2" i="10" s="1"/>
  <c r="K2" i="10" s="1"/>
  <c r="L2" i="10" s="1"/>
  <c r="M2" i="10" s="1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J13" i="8"/>
  <c r="I13" i="8"/>
  <c r="H13" i="8"/>
  <c r="G13" i="8"/>
  <c r="F13" i="8"/>
  <c r="E13" i="8"/>
  <c r="D13" i="8"/>
  <c r="C13" i="8"/>
  <c r="K2" i="8"/>
  <c r="K13" i="8" s="1"/>
  <c r="L2" i="8"/>
  <c r="M2" i="8" s="1"/>
  <c r="M13" i="8" s="1"/>
  <c r="K13" i="7"/>
  <c r="F8" i="7"/>
  <c r="J13" i="7"/>
  <c r="I13" i="7"/>
  <c r="H13" i="7"/>
  <c r="G13" i="7"/>
  <c r="F13" i="7"/>
  <c r="E13" i="7"/>
  <c r="D13" i="7"/>
  <c r="C13" i="7"/>
  <c r="F48" i="13"/>
  <c r="F9" i="8" s="1"/>
  <c r="A1" i="3"/>
  <c r="A1" i="13"/>
  <c r="A1" i="5"/>
  <c r="A1" i="6"/>
  <c r="A1" i="7"/>
  <c r="A1" i="8"/>
  <c r="A1" i="9"/>
  <c r="A1" i="11"/>
  <c r="A1" i="12"/>
  <c r="F43" i="13"/>
  <c r="F8" i="6"/>
  <c r="F11" i="5"/>
  <c r="B19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G11" i="5"/>
  <c r="I9" i="12" l="1"/>
  <c r="N9" i="12" s="1"/>
  <c r="I13" i="12"/>
  <c r="N13" i="12" s="1"/>
  <c r="G3" i="12"/>
  <c r="D3" i="12"/>
  <c r="F3" i="12"/>
  <c r="H2" i="12"/>
  <c r="AB3" i="32"/>
  <c r="AC3" i="32" s="1"/>
  <c r="AD3" i="32" s="1"/>
  <c r="I6" i="13"/>
  <c r="I7" i="13" s="1"/>
  <c r="E23" i="13"/>
  <c r="F23" i="13" s="1"/>
  <c r="F6" i="6" s="1"/>
  <c r="F30" i="13"/>
  <c r="F3" i="5" s="1"/>
  <c r="D41" i="13"/>
  <c r="D29" i="8"/>
  <c r="D32" i="8" s="1"/>
  <c r="D33" i="8" s="1"/>
  <c r="D36" i="8" s="1"/>
  <c r="C28" i="8"/>
  <c r="C29" i="8" s="1"/>
  <c r="C32" i="8" s="1"/>
  <c r="C33" i="8" s="1"/>
  <c r="C36" i="8" s="1"/>
  <c r="E28" i="8"/>
  <c r="E29" i="8" s="1"/>
  <c r="E32" i="8" s="1"/>
  <c r="E33" i="8" s="1"/>
  <c r="E36" i="8" s="1"/>
  <c r="C41" i="13"/>
  <c r="E41" i="13"/>
  <c r="C15" i="8"/>
  <c r="C23" i="13" s="1"/>
  <c r="F7" i="13"/>
  <c r="H7" i="13"/>
  <c r="J6" i="13"/>
  <c r="J7" i="13" s="1"/>
  <c r="Z3" i="32"/>
  <c r="Z4" i="32" s="1"/>
  <c r="D36" i="7"/>
  <c r="C36" i="7"/>
  <c r="L13" i="7"/>
  <c r="D21" i="7"/>
  <c r="N2" i="8"/>
  <c r="P2" i="6"/>
  <c r="O11" i="6"/>
  <c r="N11" i="6"/>
  <c r="P2" i="13"/>
  <c r="G30" i="6"/>
  <c r="E30" i="6"/>
  <c r="F5" i="6"/>
  <c r="G9" i="7"/>
  <c r="H15" i="13"/>
  <c r="G5" i="6"/>
  <c r="H22" i="13"/>
  <c r="G23" i="13"/>
  <c r="G6" i="6" s="1"/>
  <c r="G48" i="13"/>
  <c r="G21" i="13"/>
  <c r="G4" i="6" s="1"/>
  <c r="D10" i="5"/>
  <c r="D17" i="5" s="1"/>
  <c r="E10" i="5"/>
  <c r="E17" i="5" s="1"/>
  <c r="F2" i="5"/>
  <c r="F16" i="6"/>
  <c r="F24" i="6" s="1"/>
  <c r="L2" i="6"/>
  <c r="L11" i="6" s="1"/>
  <c r="L30" i="6" s="1"/>
  <c r="K16" i="6"/>
  <c r="K24" i="6" s="1"/>
  <c r="K30" i="6"/>
  <c r="D30" i="6"/>
  <c r="M2" i="6"/>
  <c r="M11" i="6" s="1"/>
  <c r="J16" i="6"/>
  <c r="J24" i="6" s="1"/>
  <c r="D24" i="8"/>
  <c r="L13" i="8"/>
  <c r="C16" i="6"/>
  <c r="C24" i="6" s="1"/>
  <c r="I16" i="6"/>
  <c r="I24" i="6" s="1"/>
  <c r="H30" i="6"/>
  <c r="E24" i="8"/>
  <c r="G30" i="13"/>
  <c r="F4" i="5"/>
  <c r="C21" i="7"/>
  <c r="F6" i="8"/>
  <c r="G43" i="13"/>
  <c r="F41" i="13"/>
  <c r="F49" i="13"/>
  <c r="F42" i="13"/>
  <c r="E18" i="7"/>
  <c r="F44" i="13"/>
  <c r="F50" i="13"/>
  <c r="H3" i="12" l="1"/>
  <c r="I2" i="12"/>
  <c r="G4" i="5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F8" i="5"/>
  <c r="C18" i="8"/>
  <c r="C24" i="8" s="1"/>
  <c r="C38" i="8" s="1"/>
  <c r="D38" i="8"/>
  <c r="K6" i="13"/>
  <c r="M13" i="7"/>
  <c r="E38" i="8"/>
  <c r="N13" i="8"/>
  <c r="O2" i="8"/>
  <c r="O30" i="6"/>
  <c r="O16" i="6"/>
  <c r="O24" i="6" s="1"/>
  <c r="Q2" i="6"/>
  <c r="P11" i="6"/>
  <c r="N30" i="6"/>
  <c r="N16" i="6"/>
  <c r="N24" i="6" s="1"/>
  <c r="Q2" i="13"/>
  <c r="H23" i="13"/>
  <c r="I23" i="13" s="1"/>
  <c r="H9" i="7"/>
  <c r="I15" i="13"/>
  <c r="H5" i="6"/>
  <c r="I22" i="13"/>
  <c r="G6" i="7"/>
  <c r="H21" i="13"/>
  <c r="H4" i="6" s="1"/>
  <c r="G9" i="8"/>
  <c r="H48" i="13"/>
  <c r="G2" i="5"/>
  <c r="F10" i="5"/>
  <c r="F17" i="5" s="1"/>
  <c r="L16" i="6"/>
  <c r="L24" i="6" s="1"/>
  <c r="M16" i="6"/>
  <c r="M24" i="6" s="1"/>
  <c r="M30" i="6"/>
  <c r="H30" i="13"/>
  <c r="G3" i="5"/>
  <c r="F5" i="8"/>
  <c r="G42" i="13"/>
  <c r="G41" i="13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F4" i="8"/>
  <c r="F6" i="7"/>
  <c r="F11" i="8"/>
  <c r="G50" i="13"/>
  <c r="G44" i="13"/>
  <c r="F7" i="8"/>
  <c r="E28" i="7"/>
  <c r="E31" i="7" s="1"/>
  <c r="E21" i="7"/>
  <c r="F10" i="8"/>
  <c r="G49" i="13"/>
  <c r="G6" i="8"/>
  <c r="H43" i="13"/>
  <c r="I3" i="12" l="1"/>
  <c r="J2" i="12"/>
  <c r="F20" i="7"/>
  <c r="L6" i="13"/>
  <c r="K7" i="13"/>
  <c r="AE3" i="32"/>
  <c r="E36" i="7"/>
  <c r="E37" i="7"/>
  <c r="I21" i="13"/>
  <c r="I4" i="6" s="1"/>
  <c r="N13" i="7"/>
  <c r="O13" i="8"/>
  <c r="P2" i="8"/>
  <c r="P30" i="6"/>
  <c r="P16" i="6"/>
  <c r="P24" i="6" s="1"/>
  <c r="Q11" i="6"/>
  <c r="R2" i="6"/>
  <c r="R2" i="13"/>
  <c r="H6" i="6"/>
  <c r="I9" i="7"/>
  <c r="J15" i="13"/>
  <c r="J22" i="13"/>
  <c r="I5" i="6"/>
  <c r="H9" i="8"/>
  <c r="I48" i="13"/>
  <c r="G5" i="7"/>
  <c r="G7" i="7"/>
  <c r="H6" i="7"/>
  <c r="H2" i="5"/>
  <c r="G10" i="5"/>
  <c r="G17" i="5" s="1"/>
  <c r="I30" i="13"/>
  <c r="H3" i="5"/>
  <c r="J23" i="13"/>
  <c r="I6" i="6"/>
  <c r="H49" i="13"/>
  <c r="G10" i="8"/>
  <c r="F5" i="7"/>
  <c r="H44" i="13"/>
  <c r="G7" i="8"/>
  <c r="H50" i="13"/>
  <c r="G11" i="8"/>
  <c r="I43" i="13"/>
  <c r="H6" i="8"/>
  <c r="F7" i="7"/>
  <c r="G4" i="8"/>
  <c r="H42" i="13"/>
  <c r="G5" i="8"/>
  <c r="J3" i="12" l="1"/>
  <c r="K2" i="12"/>
  <c r="M6" i="13"/>
  <c r="L7" i="13"/>
  <c r="AF3" i="32"/>
  <c r="AG3" i="32" s="1"/>
  <c r="J21" i="13"/>
  <c r="J4" i="6" s="1"/>
  <c r="O13" i="7"/>
  <c r="Q2" i="8"/>
  <c r="P13" i="8"/>
  <c r="Q16" i="6"/>
  <c r="Q24" i="6" s="1"/>
  <c r="Q30" i="6"/>
  <c r="S2" i="6"/>
  <c r="R11" i="6"/>
  <c r="S2" i="13"/>
  <c r="J9" i="7"/>
  <c r="K15" i="13"/>
  <c r="K22" i="13"/>
  <c r="J5" i="6"/>
  <c r="I6" i="7"/>
  <c r="H7" i="7"/>
  <c r="H5" i="7"/>
  <c r="J48" i="13"/>
  <c r="I9" i="8"/>
  <c r="I2" i="5"/>
  <c r="H10" i="5"/>
  <c r="H17" i="5" s="1"/>
  <c r="I3" i="5"/>
  <c r="J30" i="13"/>
  <c r="J6" i="6"/>
  <c r="K23" i="13"/>
  <c r="F16" i="13"/>
  <c r="G16" i="13" s="1"/>
  <c r="J43" i="13"/>
  <c r="I6" i="8"/>
  <c r="H11" i="8"/>
  <c r="I50" i="13"/>
  <c r="I44" i="13"/>
  <c r="H7" i="8"/>
  <c r="I42" i="13"/>
  <c r="H5" i="8"/>
  <c r="H4" i="8"/>
  <c r="L4" i="11"/>
  <c r="L5" i="11" s="1"/>
  <c r="L6" i="11" s="1"/>
  <c r="L7" i="11" s="1"/>
  <c r="I49" i="13"/>
  <c r="H10" i="8"/>
  <c r="L2" i="12" l="1"/>
  <c r="K3" i="12"/>
  <c r="N6" i="13"/>
  <c r="M7" i="13"/>
  <c r="K21" i="13"/>
  <c r="K4" i="6" s="1"/>
  <c r="P13" i="7"/>
  <c r="R2" i="8"/>
  <c r="Q13" i="8"/>
  <c r="R30" i="6"/>
  <c r="R16" i="6"/>
  <c r="R24" i="6" s="1"/>
  <c r="T2" i="6"/>
  <c r="S11" i="6"/>
  <c r="T2" i="13"/>
  <c r="K9" i="7"/>
  <c r="L15" i="13"/>
  <c r="L22" i="13"/>
  <c r="K5" i="6"/>
  <c r="H16" i="13"/>
  <c r="G10" i="7"/>
  <c r="J9" i="8"/>
  <c r="K48" i="13"/>
  <c r="I5" i="7"/>
  <c r="I7" i="7"/>
  <c r="J6" i="7"/>
  <c r="J2" i="5"/>
  <c r="I10" i="5"/>
  <c r="I17" i="5" s="1"/>
  <c r="K30" i="13"/>
  <c r="J3" i="5"/>
  <c r="K6" i="6"/>
  <c r="L23" i="13"/>
  <c r="I4" i="8"/>
  <c r="F17" i="13"/>
  <c r="G17" i="13" s="1"/>
  <c r="I5" i="8"/>
  <c r="J42" i="13"/>
  <c r="J44" i="13"/>
  <c r="I7" i="8"/>
  <c r="I11" i="8"/>
  <c r="J50" i="13"/>
  <c r="J6" i="8"/>
  <c r="K43" i="13"/>
  <c r="J49" i="13"/>
  <c r="I10" i="8"/>
  <c r="F9" i="7"/>
  <c r="E12" i="11"/>
  <c r="F36" i="13"/>
  <c r="F10" i="7"/>
  <c r="M2" i="12" l="1"/>
  <c r="L3" i="12"/>
  <c r="N7" i="13"/>
  <c r="O6" i="13"/>
  <c r="AH3" i="32"/>
  <c r="AI3" i="32" s="1"/>
  <c r="L21" i="13"/>
  <c r="L4" i="6" s="1"/>
  <c r="Q13" i="7"/>
  <c r="S2" i="8"/>
  <c r="R13" i="8"/>
  <c r="S30" i="6"/>
  <c r="S16" i="6"/>
  <c r="S24" i="6" s="1"/>
  <c r="U2" i="6"/>
  <c r="U11" i="6" s="1"/>
  <c r="T11" i="6"/>
  <c r="U2" i="13"/>
  <c r="L9" i="7"/>
  <c r="M15" i="13"/>
  <c r="M22" i="13"/>
  <c r="L5" i="6"/>
  <c r="G11" i="7"/>
  <c r="H17" i="13"/>
  <c r="K6" i="7"/>
  <c r="J7" i="7"/>
  <c r="L48" i="13"/>
  <c r="K9" i="8"/>
  <c r="J5" i="7"/>
  <c r="I16" i="13"/>
  <c r="H10" i="7"/>
  <c r="K2" i="5"/>
  <c r="J10" i="5"/>
  <c r="J17" i="5" s="1"/>
  <c r="L30" i="13"/>
  <c r="K3" i="5"/>
  <c r="M23" i="13"/>
  <c r="L6" i="6"/>
  <c r="K44" i="13"/>
  <c r="J7" i="8"/>
  <c r="G36" i="13"/>
  <c r="M4" i="11"/>
  <c r="J11" i="8"/>
  <c r="K50" i="13"/>
  <c r="K49" i="13"/>
  <c r="J10" i="8"/>
  <c r="L43" i="13"/>
  <c r="K6" i="8"/>
  <c r="J5" i="8"/>
  <c r="K42" i="13"/>
  <c r="F37" i="13"/>
  <c r="F11" i="7"/>
  <c r="J4" i="8"/>
  <c r="N2" i="12" l="1"/>
  <c r="M3" i="12"/>
  <c r="O7" i="13"/>
  <c r="P6" i="13"/>
  <c r="M21" i="13"/>
  <c r="M4" i="6" s="1"/>
  <c r="R13" i="7"/>
  <c r="T2" i="8"/>
  <c r="S13" i="8"/>
  <c r="T30" i="6"/>
  <c r="T16" i="6"/>
  <c r="T24" i="6" s="1"/>
  <c r="U30" i="6"/>
  <c r="U16" i="6"/>
  <c r="U24" i="6" s="1"/>
  <c r="M6" i="6"/>
  <c r="N23" i="13"/>
  <c r="M5" i="6"/>
  <c r="N22" i="13"/>
  <c r="M9" i="7"/>
  <c r="N15" i="13"/>
  <c r="H11" i="7"/>
  <c r="I17" i="13"/>
  <c r="J16" i="13"/>
  <c r="I10" i="7"/>
  <c r="K5" i="7"/>
  <c r="M48" i="13"/>
  <c r="L9" i="8"/>
  <c r="K7" i="7"/>
  <c r="L6" i="7"/>
  <c r="L2" i="5"/>
  <c r="K10" i="5"/>
  <c r="K17" i="5" s="1"/>
  <c r="M30" i="13"/>
  <c r="L3" i="5"/>
  <c r="L42" i="13"/>
  <c r="K5" i="8"/>
  <c r="M5" i="11"/>
  <c r="H36" i="13"/>
  <c r="K11" i="8"/>
  <c r="L50" i="13"/>
  <c r="G37" i="13"/>
  <c r="L6" i="8"/>
  <c r="M43" i="13"/>
  <c r="K10" i="8"/>
  <c r="L49" i="13"/>
  <c r="K7" i="8"/>
  <c r="L44" i="13"/>
  <c r="K4" i="8"/>
  <c r="O2" i="12" l="1"/>
  <c r="N3" i="12"/>
  <c r="Q6" i="13"/>
  <c r="P7" i="13"/>
  <c r="AJ3" i="32"/>
  <c r="AK3" i="32" s="1"/>
  <c r="N21" i="13"/>
  <c r="O21" i="13" s="1"/>
  <c r="O15" i="13"/>
  <c r="N9" i="7"/>
  <c r="O22" i="13"/>
  <c r="N5" i="6"/>
  <c r="O23" i="13"/>
  <c r="N6" i="6"/>
  <c r="S13" i="7"/>
  <c r="T13" i="8"/>
  <c r="U2" i="8"/>
  <c r="U13" i="8" s="1"/>
  <c r="M3" i="5"/>
  <c r="N30" i="13"/>
  <c r="M6" i="7"/>
  <c r="M9" i="8"/>
  <c r="N48" i="13"/>
  <c r="M6" i="8"/>
  <c r="N43" i="13"/>
  <c r="L7" i="7"/>
  <c r="K16" i="13"/>
  <c r="J10" i="7"/>
  <c r="L5" i="7"/>
  <c r="J17" i="13"/>
  <c r="I11" i="7"/>
  <c r="M2" i="5"/>
  <c r="L10" i="5"/>
  <c r="L17" i="5" s="1"/>
  <c r="H37" i="13"/>
  <c r="L5" i="8"/>
  <c r="M42" i="13"/>
  <c r="L4" i="8"/>
  <c r="M50" i="13"/>
  <c r="L11" i="8"/>
  <c r="L7" i="8"/>
  <c r="M44" i="13"/>
  <c r="M6" i="11"/>
  <c r="M7" i="11"/>
  <c r="M49" i="13"/>
  <c r="L10" i="8"/>
  <c r="I36" i="13"/>
  <c r="P2" i="12" l="1"/>
  <c r="O3" i="12"/>
  <c r="Q7" i="13"/>
  <c r="AL3" i="32"/>
  <c r="R6" i="13"/>
  <c r="N4" i="6"/>
  <c r="M10" i="5"/>
  <c r="M17" i="5" s="1"/>
  <c r="N2" i="5"/>
  <c r="O43" i="13"/>
  <c r="N6" i="8"/>
  <c r="O48" i="13"/>
  <c r="N9" i="8"/>
  <c r="N6" i="7"/>
  <c r="O30" i="13"/>
  <c r="N3" i="5"/>
  <c r="P21" i="13"/>
  <c r="O4" i="6"/>
  <c r="P23" i="13"/>
  <c r="O6" i="6"/>
  <c r="P22" i="13"/>
  <c r="O5" i="6"/>
  <c r="P15" i="13"/>
  <c r="O9" i="7"/>
  <c r="U13" i="7"/>
  <c r="T13" i="7"/>
  <c r="M10" i="8"/>
  <c r="N49" i="13"/>
  <c r="M7" i="7"/>
  <c r="M7" i="8"/>
  <c r="N44" i="13"/>
  <c r="M11" i="8"/>
  <c r="N50" i="13"/>
  <c r="M5" i="8"/>
  <c r="N42" i="13"/>
  <c r="M5" i="7"/>
  <c r="K17" i="13"/>
  <c r="J11" i="7"/>
  <c r="L16" i="13"/>
  <c r="K10" i="7"/>
  <c r="M9" i="11"/>
  <c r="M11" i="11" s="1"/>
  <c r="E8" i="11" s="1"/>
  <c r="E13" i="11" s="1"/>
  <c r="M4" i="8"/>
  <c r="N4" i="8" s="1"/>
  <c r="O4" i="8" s="1"/>
  <c r="P4" i="8" s="1"/>
  <c r="Q4" i="8" s="1"/>
  <c r="R4" i="8" s="1"/>
  <c r="S4" i="8" s="1"/>
  <c r="T4" i="8" s="1"/>
  <c r="U4" i="8" s="1"/>
  <c r="I37" i="13"/>
  <c r="J36" i="13"/>
  <c r="Q2" i="12" l="1"/>
  <c r="P3" i="12"/>
  <c r="R7" i="13"/>
  <c r="S6" i="13"/>
  <c r="O2" i="5"/>
  <c r="N10" i="5"/>
  <c r="N17" i="5" s="1"/>
  <c r="O50" i="13"/>
  <c r="N11" i="8"/>
  <c r="N7" i="7"/>
  <c r="O49" i="13"/>
  <c r="N10" i="8"/>
  <c r="Q15" i="13"/>
  <c r="P9" i="7"/>
  <c r="P43" i="13"/>
  <c r="O6" i="8"/>
  <c r="N5" i="7"/>
  <c r="O42" i="13"/>
  <c r="N5" i="8"/>
  <c r="Q22" i="13"/>
  <c r="P5" i="6"/>
  <c r="Q23" i="13"/>
  <c r="P6" i="6"/>
  <c r="Q21" i="13"/>
  <c r="P4" i="6"/>
  <c r="P30" i="13"/>
  <c r="O3" i="5"/>
  <c r="O6" i="7"/>
  <c r="O44" i="13"/>
  <c r="N7" i="8"/>
  <c r="P48" i="13"/>
  <c r="O9" i="8"/>
  <c r="M16" i="13"/>
  <c r="L10" i="7"/>
  <c r="L17" i="13"/>
  <c r="K11" i="7"/>
  <c r="K36" i="13"/>
  <c r="J37" i="13"/>
  <c r="R2" i="12" l="1"/>
  <c r="Q3" i="12"/>
  <c r="T6" i="13"/>
  <c r="U6" i="13"/>
  <c r="S7" i="13"/>
  <c r="AM3" i="32"/>
  <c r="AN3" i="32" s="1"/>
  <c r="P2" i="5"/>
  <c r="O10" i="5"/>
  <c r="O17" i="5" s="1"/>
  <c r="Q30" i="13"/>
  <c r="P3" i="5"/>
  <c r="R22" i="13"/>
  <c r="Q5" i="6"/>
  <c r="P42" i="13"/>
  <c r="O5" i="8"/>
  <c r="O5" i="7"/>
  <c r="R15" i="13"/>
  <c r="Q9" i="7"/>
  <c r="O7" i="7"/>
  <c r="Q48" i="13"/>
  <c r="P9" i="8"/>
  <c r="P6" i="7"/>
  <c r="R23" i="13"/>
  <c r="Q6" i="6"/>
  <c r="Q43" i="13"/>
  <c r="P6" i="8"/>
  <c r="P49" i="13"/>
  <c r="O10" i="8"/>
  <c r="P44" i="13"/>
  <c r="O7" i="8"/>
  <c r="R21" i="13"/>
  <c r="Q4" i="6"/>
  <c r="P50" i="13"/>
  <c r="O11" i="8"/>
  <c r="M10" i="7"/>
  <c r="N16" i="13"/>
  <c r="N10" i="7" s="1"/>
  <c r="M17" i="13"/>
  <c r="L11" i="7"/>
  <c r="K37" i="13"/>
  <c r="L36" i="13"/>
  <c r="S2" i="12" l="1"/>
  <c r="S3" i="12" s="1"/>
  <c r="R3" i="12"/>
  <c r="U7" i="13"/>
  <c r="T7" i="13"/>
  <c r="Q2" i="5"/>
  <c r="P10" i="5"/>
  <c r="P17" i="5" s="1"/>
  <c r="Q44" i="13"/>
  <c r="P7" i="8"/>
  <c r="Q49" i="13"/>
  <c r="P10" i="8"/>
  <c r="R43" i="13"/>
  <c r="Q6" i="8"/>
  <c r="Q6" i="7"/>
  <c r="R48" i="13"/>
  <c r="Q9" i="8"/>
  <c r="P7" i="7"/>
  <c r="S15" i="13"/>
  <c r="R9" i="7"/>
  <c r="S21" i="13"/>
  <c r="R4" i="6"/>
  <c r="S22" i="13"/>
  <c r="R5" i="6"/>
  <c r="Q42" i="13"/>
  <c r="P5" i="8"/>
  <c r="Q50" i="13"/>
  <c r="P11" i="8"/>
  <c r="S23" i="13"/>
  <c r="R6" i="6"/>
  <c r="P5" i="7"/>
  <c r="R30" i="13"/>
  <c r="Q3" i="5"/>
  <c r="N36" i="13"/>
  <c r="O16" i="13"/>
  <c r="O10" i="7" s="1"/>
  <c r="M11" i="7"/>
  <c r="N17" i="13"/>
  <c r="N11" i="7" s="1"/>
  <c r="M36" i="13"/>
  <c r="L37" i="13"/>
  <c r="R2" i="5" l="1"/>
  <c r="Q10" i="5"/>
  <c r="Q17" i="5" s="1"/>
  <c r="R50" i="13"/>
  <c r="Q11" i="8"/>
  <c r="R42" i="13"/>
  <c r="Q5" i="8"/>
  <c r="S48" i="13"/>
  <c r="R9" i="8"/>
  <c r="R6" i="7"/>
  <c r="S30" i="13"/>
  <c r="R3" i="5"/>
  <c r="Q5" i="7"/>
  <c r="T23" i="13"/>
  <c r="S6" i="6"/>
  <c r="T22" i="13"/>
  <c r="S5" i="6"/>
  <c r="T21" i="13"/>
  <c r="S4" i="6"/>
  <c r="T15" i="13"/>
  <c r="S9" i="7"/>
  <c r="Q7" i="7"/>
  <c r="S43" i="13"/>
  <c r="R6" i="8"/>
  <c r="R49" i="13"/>
  <c r="Q10" i="8"/>
  <c r="R44" i="13"/>
  <c r="Q7" i="8"/>
  <c r="N37" i="13"/>
  <c r="O17" i="13"/>
  <c r="O11" i="7" s="1"/>
  <c r="O36" i="13"/>
  <c r="P16" i="13"/>
  <c r="P10" i="7" s="1"/>
  <c r="M37" i="13"/>
  <c r="S2" i="5" l="1"/>
  <c r="R10" i="5"/>
  <c r="R17" i="5" s="1"/>
  <c r="R5" i="7"/>
  <c r="S44" i="13"/>
  <c r="R7" i="8"/>
  <c r="U21" i="13"/>
  <c r="U4" i="6" s="1"/>
  <c r="T4" i="6"/>
  <c r="U22" i="13"/>
  <c r="U5" i="6" s="1"/>
  <c r="T5" i="6"/>
  <c r="U23" i="13"/>
  <c r="U6" i="6" s="1"/>
  <c r="T6" i="6"/>
  <c r="T30" i="13"/>
  <c r="S3" i="5"/>
  <c r="T48" i="13"/>
  <c r="S9" i="8"/>
  <c r="S42" i="13"/>
  <c r="R5" i="8"/>
  <c r="S49" i="13"/>
  <c r="R10" i="8"/>
  <c r="T43" i="13"/>
  <c r="S6" i="8"/>
  <c r="R7" i="7"/>
  <c r="U15" i="13"/>
  <c r="U9" i="7" s="1"/>
  <c r="T9" i="7"/>
  <c r="S6" i="7"/>
  <c r="S50" i="13"/>
  <c r="R11" i="8"/>
  <c r="P36" i="13"/>
  <c r="Q16" i="13"/>
  <c r="Q10" i="7" s="1"/>
  <c r="O37" i="13"/>
  <c r="P17" i="13"/>
  <c r="P11" i="7" s="1"/>
  <c r="T2" i="5" l="1"/>
  <c r="S10" i="5"/>
  <c r="S17" i="5" s="1"/>
  <c r="U43" i="13"/>
  <c r="U6" i="8" s="1"/>
  <c r="T6" i="8"/>
  <c r="U30" i="13"/>
  <c r="U3" i="5" s="1"/>
  <c r="T3" i="5"/>
  <c r="T50" i="13"/>
  <c r="S11" i="8"/>
  <c r="U48" i="13"/>
  <c r="U9" i="8" s="1"/>
  <c r="T9" i="8"/>
  <c r="U6" i="7"/>
  <c r="T6" i="7"/>
  <c r="S7" i="7"/>
  <c r="T49" i="13"/>
  <c r="S10" i="8"/>
  <c r="T42" i="13"/>
  <c r="S5" i="8"/>
  <c r="T44" i="13"/>
  <c r="S7" i="8"/>
  <c r="S5" i="7"/>
  <c r="P37" i="13"/>
  <c r="Q17" i="13"/>
  <c r="Q11" i="7" s="1"/>
  <c r="Q36" i="13"/>
  <c r="R16" i="13"/>
  <c r="R10" i="7" s="1"/>
  <c r="U2" i="5" l="1"/>
  <c r="U10" i="5" s="1"/>
  <c r="U17" i="5" s="1"/>
  <c r="T10" i="5"/>
  <c r="T17" i="5" s="1"/>
  <c r="U5" i="7"/>
  <c r="T5" i="7"/>
  <c r="U49" i="13"/>
  <c r="U10" i="8" s="1"/>
  <c r="T10" i="8"/>
  <c r="U42" i="13"/>
  <c r="U5" i="8" s="1"/>
  <c r="T5" i="8"/>
  <c r="U50" i="13"/>
  <c r="U11" i="8" s="1"/>
  <c r="T11" i="8"/>
  <c r="U44" i="13"/>
  <c r="U7" i="8" s="1"/>
  <c r="T7" i="8"/>
  <c r="U7" i="7"/>
  <c r="T7" i="7"/>
  <c r="R36" i="13"/>
  <c r="S16" i="13"/>
  <c r="S10" i="7" s="1"/>
  <c r="Q37" i="13"/>
  <c r="R17" i="13"/>
  <c r="R11" i="7" s="1"/>
  <c r="S17" i="13" l="1"/>
  <c r="S11" i="7" s="1"/>
  <c r="R37" i="13"/>
  <c r="T16" i="13"/>
  <c r="T10" i="7" s="1"/>
  <c r="S36" i="13"/>
  <c r="U16" i="13" l="1"/>
  <c r="T36" i="13"/>
  <c r="T17" i="13"/>
  <c r="T11" i="7" s="1"/>
  <c r="S37" i="13"/>
  <c r="U36" i="13" l="1"/>
  <c r="U10" i="7"/>
  <c r="U17" i="13"/>
  <c r="T37" i="13"/>
  <c r="U37" i="13" l="1"/>
  <c r="U11" i="7"/>
  <c r="F10" i="13" l="1"/>
  <c r="F4" i="7" l="1"/>
  <c r="F14" i="7" s="1"/>
  <c r="F28" i="8" l="1"/>
  <c r="F22" i="5" s="1"/>
  <c r="F32" i="8"/>
  <c r="F3" i="10"/>
  <c r="F21" i="8"/>
  <c r="F16" i="8"/>
  <c r="F19" i="5" s="1"/>
  <c r="F14" i="8"/>
  <c r="F18" i="5" s="1"/>
  <c r="F17" i="8"/>
  <c r="F20" i="5" s="1"/>
  <c r="F7" i="5"/>
  <c r="F16" i="7"/>
  <c r="F17" i="7"/>
  <c r="F15" i="7"/>
  <c r="F27" i="8" s="1"/>
  <c r="F21" i="5" s="1"/>
  <c r="F23" i="5" l="1"/>
  <c r="F10" i="9"/>
  <c r="F11" i="9" s="1"/>
  <c r="F12" i="10" s="1"/>
  <c r="F9" i="5"/>
  <c r="F18" i="7"/>
  <c r="F6" i="9"/>
  <c r="F10" i="10" s="1"/>
  <c r="F7" i="9"/>
  <c r="F11" i="10" s="1"/>
  <c r="F33" i="8"/>
  <c r="F24" i="5"/>
  <c r="F5" i="9" s="1"/>
  <c r="F9" i="10" s="1"/>
  <c r="F21" i="7" l="1"/>
  <c r="F4" i="10"/>
  <c r="F7" i="10" s="1"/>
  <c r="F14" i="10" s="1"/>
  <c r="D4" i="12" s="1"/>
  <c r="F28" i="7"/>
  <c r="F30" i="7" s="1"/>
  <c r="F31" i="7" s="1"/>
  <c r="F20" i="8"/>
  <c r="F22" i="8" s="1"/>
  <c r="G6" i="5"/>
  <c r="G8" i="5" l="1"/>
  <c r="F3" i="9"/>
  <c r="F8" i="9" s="1"/>
  <c r="F17" i="9" s="1"/>
  <c r="F20" i="9" s="1"/>
  <c r="F21" i="9" s="1"/>
  <c r="F36" i="7"/>
  <c r="F14" i="5"/>
  <c r="F16" i="5" s="1"/>
  <c r="F37" i="7"/>
  <c r="G4" i="9" l="1"/>
  <c r="G8" i="10" s="1"/>
  <c r="G20" i="7"/>
  <c r="G13" i="5"/>
  <c r="F35" i="8"/>
  <c r="F26" i="8"/>
  <c r="F29" i="8" s="1"/>
  <c r="F15" i="8"/>
  <c r="F36" i="8" l="1"/>
  <c r="G19" i="9"/>
  <c r="F18" i="8"/>
  <c r="F24" i="8" s="1"/>
  <c r="F38" i="8" s="1"/>
  <c r="F31" i="6"/>
  <c r="F33" i="6" s="1"/>
  <c r="N10" i="13"/>
  <c r="N4" i="7" s="1"/>
  <c r="I10" i="13"/>
  <c r="I4" i="7" s="1"/>
  <c r="L10" i="13"/>
  <c r="L4" i="7" s="1"/>
  <c r="U10" i="13"/>
  <c r="U4" i="7" s="1"/>
  <c r="S10" i="13"/>
  <c r="S4" i="7" s="1"/>
  <c r="J10" i="13"/>
  <c r="J4" i="7" s="1"/>
  <c r="T10" i="13"/>
  <c r="O10" i="13"/>
  <c r="O4" i="7" s="1"/>
  <c r="M10" i="13"/>
  <c r="M4" i="7" s="1"/>
  <c r="P10" i="13"/>
  <c r="K10" i="13"/>
  <c r="K4" i="7" s="1"/>
  <c r="H10" i="13"/>
  <c r="H4" i="7" s="1"/>
  <c r="Q10" i="13"/>
  <c r="Q4" i="7" s="1"/>
  <c r="R10" i="13"/>
  <c r="R4" i="7" s="1"/>
  <c r="G10" i="13"/>
  <c r="G4" i="7" s="1"/>
  <c r="G14" i="7" s="1"/>
  <c r="G14" i="8" l="1"/>
  <c r="G7" i="5"/>
  <c r="H14" i="7"/>
  <c r="G3" i="10"/>
  <c r="G21" i="8"/>
  <c r="G16" i="7"/>
  <c r="G17" i="7"/>
  <c r="G16" i="8"/>
  <c r="G19" i="5" s="1"/>
  <c r="G32" i="8"/>
  <c r="G15" i="7"/>
  <c r="G27" i="8" s="1"/>
  <c r="G21" i="5" s="1"/>
  <c r="G17" i="8"/>
  <c r="G20" i="5" s="1"/>
  <c r="G28" i="8"/>
  <c r="G22" i="5" s="1"/>
  <c r="G18" i="7"/>
  <c r="T4" i="7"/>
  <c r="P4" i="7"/>
  <c r="G4" i="10" l="1"/>
  <c r="G7" i="10" s="1"/>
  <c r="G28" i="7"/>
  <c r="G21" i="7"/>
  <c r="G33" i="8"/>
  <c r="G7" i="9"/>
  <c r="G11" i="10" s="1"/>
  <c r="G10" i="9"/>
  <c r="G11" i="9" s="1"/>
  <c r="G9" i="5"/>
  <c r="G6" i="9"/>
  <c r="G10" i="10" s="1"/>
  <c r="H17" i="7"/>
  <c r="H17" i="8"/>
  <c r="H20" i="5" s="1"/>
  <c r="H3" i="10"/>
  <c r="I14" i="7"/>
  <c r="H16" i="7"/>
  <c r="H15" i="7"/>
  <c r="H27" i="8" s="1"/>
  <c r="H21" i="5" s="1"/>
  <c r="H21" i="8"/>
  <c r="H6" i="9" s="1"/>
  <c r="H10" i="10" s="1"/>
  <c r="H28" i="8"/>
  <c r="H22" i="5" s="1"/>
  <c r="H14" i="8"/>
  <c r="H7" i="5"/>
  <c r="H10" i="9" s="1"/>
  <c r="H11" i="9" s="1"/>
  <c r="H16" i="8"/>
  <c r="H19" i="5" s="1"/>
  <c r="H32" i="8"/>
  <c r="G18" i="5"/>
  <c r="G23" i="5" s="1"/>
  <c r="H33" i="8" l="1"/>
  <c r="H7" i="9"/>
  <c r="H11" i="10" s="1"/>
  <c r="I7" i="5"/>
  <c r="I10" i="9" s="1"/>
  <c r="I11" i="9" s="1"/>
  <c r="I16" i="7"/>
  <c r="J14" i="7"/>
  <c r="I28" i="8"/>
  <c r="I22" i="5" s="1"/>
  <c r="I3" i="10"/>
  <c r="I16" i="8"/>
  <c r="I19" i="5" s="1"/>
  <c r="I14" i="8"/>
  <c r="I17" i="8"/>
  <c r="I20" i="5" s="1"/>
  <c r="I21" i="8"/>
  <c r="I17" i="7"/>
  <c r="I32" i="8"/>
  <c r="I15" i="7"/>
  <c r="I27" i="8" s="1"/>
  <c r="I21" i="5" s="1"/>
  <c r="H18" i="5"/>
  <c r="H23" i="5" s="1"/>
  <c r="H24" i="5" s="1"/>
  <c r="H5" i="9" s="1"/>
  <c r="H9" i="10" s="1"/>
  <c r="H12" i="10"/>
  <c r="H18" i="7"/>
  <c r="G12" i="10"/>
  <c r="H6" i="5"/>
  <c r="G20" i="8"/>
  <c r="G22" i="8" s="1"/>
  <c r="G30" i="7"/>
  <c r="G31" i="7" s="1"/>
  <c r="G24" i="5"/>
  <c r="G5" i="9" s="1"/>
  <c r="G9" i="10" s="1"/>
  <c r="G14" i="10" s="1"/>
  <c r="E4" i="12" s="1"/>
  <c r="I6" i="9"/>
  <c r="I10" i="10" s="1"/>
  <c r="H28" i="7" l="1"/>
  <c r="H4" i="10"/>
  <c r="H7" i="10" s="1"/>
  <c r="I33" i="8"/>
  <c r="I7" i="9"/>
  <c r="I11" i="10" s="1"/>
  <c r="G14" i="5"/>
  <c r="G16" i="5" s="1"/>
  <c r="G37" i="7"/>
  <c r="G3" i="9"/>
  <c r="G8" i="9" s="1"/>
  <c r="G17" i="9" s="1"/>
  <c r="G20" i="9" s="1"/>
  <c r="G21" i="9" s="1"/>
  <c r="G36" i="7"/>
  <c r="I18" i="5"/>
  <c r="I23" i="5" s="1"/>
  <c r="I12" i="10"/>
  <c r="J7" i="5"/>
  <c r="J10" i="9" s="1"/>
  <c r="J11" i="9" s="1"/>
  <c r="K14" i="7"/>
  <c r="J16" i="7"/>
  <c r="J17" i="7"/>
  <c r="J16" i="8"/>
  <c r="J19" i="5" s="1"/>
  <c r="J28" i="8"/>
  <c r="J22" i="5" s="1"/>
  <c r="J21" i="8"/>
  <c r="J6" i="9" s="1"/>
  <c r="J10" i="10" s="1"/>
  <c r="J3" i="10"/>
  <c r="J14" i="8"/>
  <c r="J32" i="8"/>
  <c r="J17" i="8"/>
  <c r="J20" i="5" s="1"/>
  <c r="J15" i="7"/>
  <c r="J27" i="8" s="1"/>
  <c r="J21" i="5" s="1"/>
  <c r="H8" i="5"/>
  <c r="I18" i="7"/>
  <c r="J7" i="9" l="1"/>
  <c r="J11" i="10" s="1"/>
  <c r="J33" i="8"/>
  <c r="K32" i="8"/>
  <c r="K28" i="8"/>
  <c r="K22" i="5" s="1"/>
  <c r="K14" i="8"/>
  <c r="K7" i="5"/>
  <c r="K10" i="9" s="1"/>
  <c r="K11" i="9" s="1"/>
  <c r="K16" i="8"/>
  <c r="K19" i="5" s="1"/>
  <c r="K16" i="7"/>
  <c r="K3" i="10"/>
  <c r="L14" i="7"/>
  <c r="K21" i="8"/>
  <c r="K15" i="7"/>
  <c r="K27" i="8" s="1"/>
  <c r="K21" i="5" s="1"/>
  <c r="K17" i="7"/>
  <c r="K17" i="8"/>
  <c r="K20" i="5" s="1"/>
  <c r="G15" i="8"/>
  <c r="G26" i="8"/>
  <c r="G29" i="8" s="1"/>
  <c r="H13" i="5"/>
  <c r="G35" i="8"/>
  <c r="H20" i="7"/>
  <c r="H21" i="7" s="1"/>
  <c r="H4" i="9"/>
  <c r="H8" i="10" s="1"/>
  <c r="H14" i="10" s="1"/>
  <c r="F4" i="12" s="1"/>
  <c r="H9" i="5"/>
  <c r="J18" i="5"/>
  <c r="J23" i="5" s="1"/>
  <c r="K6" i="9"/>
  <c r="K10" i="10" s="1"/>
  <c r="H30" i="7"/>
  <c r="H31" i="7" s="1"/>
  <c r="J18" i="7"/>
  <c r="J12" i="10"/>
  <c r="J24" i="5"/>
  <c r="J5" i="9" s="1"/>
  <c r="J9" i="10" s="1"/>
  <c r="I24" i="5"/>
  <c r="I5" i="9" s="1"/>
  <c r="I9" i="10" s="1"/>
  <c r="I28" i="7"/>
  <c r="I4" i="10"/>
  <c r="I7" i="10" s="1"/>
  <c r="G36" i="8" l="1"/>
  <c r="H3" i="9"/>
  <c r="H8" i="9" s="1"/>
  <c r="H17" i="9" s="1"/>
  <c r="H20" i="9" s="1"/>
  <c r="H36" i="7"/>
  <c r="H37" i="7"/>
  <c r="H14" i="5"/>
  <c r="H16" i="5" s="1"/>
  <c r="J28" i="7"/>
  <c r="J4" i="10"/>
  <c r="J7" i="10" s="1"/>
  <c r="I6" i="5"/>
  <c r="H20" i="8"/>
  <c r="H22" i="8" s="1"/>
  <c r="G31" i="6"/>
  <c r="G33" i="6" s="1"/>
  <c r="H19" i="9"/>
  <c r="H21" i="9" s="1"/>
  <c r="G18" i="8"/>
  <c r="G24" i="8" s="1"/>
  <c r="G38" i="8" s="1"/>
  <c r="L21" i="8"/>
  <c r="L6" i="9" s="1"/>
  <c r="L10" i="10" s="1"/>
  <c r="L17" i="8"/>
  <c r="L20" i="5" s="1"/>
  <c r="L7" i="5"/>
  <c r="L10" i="9" s="1"/>
  <c r="L11" i="9" s="1"/>
  <c r="L17" i="7"/>
  <c r="L28" i="8"/>
  <c r="L22" i="5" s="1"/>
  <c r="L16" i="7"/>
  <c r="L14" i="8"/>
  <c r="M14" i="7"/>
  <c r="L15" i="7"/>
  <c r="L27" i="8" s="1"/>
  <c r="L21" i="5" s="1"/>
  <c r="L3" i="10"/>
  <c r="L32" i="8"/>
  <c r="L16" i="8"/>
  <c r="L19" i="5" s="1"/>
  <c r="K33" i="8"/>
  <c r="K7" i="9"/>
  <c r="K11" i="10" s="1"/>
  <c r="K18" i="5"/>
  <c r="K23" i="5" s="1"/>
  <c r="K24" i="5" s="1"/>
  <c r="K5" i="9" s="1"/>
  <c r="K9" i="10" s="1"/>
  <c r="I30" i="7"/>
  <c r="I31" i="7" s="1"/>
  <c r="K12" i="10"/>
  <c r="K18" i="7"/>
  <c r="I13" i="5" l="1"/>
  <c r="H35" i="8"/>
  <c r="H15" i="8"/>
  <c r="H26" i="8"/>
  <c r="H29" i="8" s="1"/>
  <c r="M7" i="5"/>
  <c r="M10" i="9" s="1"/>
  <c r="M11" i="9" s="1"/>
  <c r="M28" i="8"/>
  <c r="M22" i="5" s="1"/>
  <c r="M17" i="7"/>
  <c r="M14" i="8"/>
  <c r="M15" i="7"/>
  <c r="M27" i="8" s="1"/>
  <c r="M21" i="5" s="1"/>
  <c r="M32" i="8"/>
  <c r="M21" i="8"/>
  <c r="M16" i="8"/>
  <c r="M19" i="5" s="1"/>
  <c r="M3" i="10"/>
  <c r="M16" i="7"/>
  <c r="M18" i="7" s="1"/>
  <c r="N14" i="7"/>
  <c r="M17" i="8"/>
  <c r="M20" i="5" s="1"/>
  <c r="L18" i="7"/>
  <c r="L12" i="10"/>
  <c r="L18" i="5"/>
  <c r="L23" i="5" s="1"/>
  <c r="M6" i="9"/>
  <c r="M10" i="10" s="1"/>
  <c r="I8" i="5"/>
  <c r="J30" i="7"/>
  <c r="J31" i="7" s="1"/>
  <c r="L33" i="8"/>
  <c r="L7" i="9"/>
  <c r="L11" i="10" s="1"/>
  <c r="I14" i="5"/>
  <c r="I3" i="9"/>
  <c r="I36" i="7"/>
  <c r="I37" i="7"/>
  <c r="K28" i="7"/>
  <c r="K4" i="10"/>
  <c r="K7" i="10" s="1"/>
  <c r="M28" i="7" l="1"/>
  <c r="M4" i="10"/>
  <c r="M7" i="10" s="1"/>
  <c r="J36" i="7"/>
  <c r="J37" i="7"/>
  <c r="J14" i="5"/>
  <c r="J3" i="9"/>
  <c r="I4" i="9"/>
  <c r="I8" i="10" s="1"/>
  <c r="I14" i="10" s="1"/>
  <c r="G4" i="12" s="1"/>
  <c r="I20" i="7"/>
  <c r="I21" i="7" s="1"/>
  <c r="L28" i="7"/>
  <c r="L4" i="10"/>
  <c r="L7" i="10" s="1"/>
  <c r="I9" i="5"/>
  <c r="N7" i="5"/>
  <c r="N10" i="9" s="1"/>
  <c r="N11" i="9" s="1"/>
  <c r="N17" i="8"/>
  <c r="N20" i="5" s="1"/>
  <c r="N21" i="8"/>
  <c r="N32" i="8"/>
  <c r="N16" i="7"/>
  <c r="N15" i="7"/>
  <c r="N27" i="8" s="1"/>
  <c r="N21" i="5" s="1"/>
  <c r="N14" i="8"/>
  <c r="O14" i="7"/>
  <c r="N28" i="8"/>
  <c r="N22" i="5" s="1"/>
  <c r="N17" i="7"/>
  <c r="N3" i="10"/>
  <c r="N16" i="8"/>
  <c r="N19" i="5" s="1"/>
  <c r="K30" i="7"/>
  <c r="K31" i="7" s="1"/>
  <c r="H31" i="6"/>
  <c r="H33" i="6" s="1"/>
  <c r="I19" i="9"/>
  <c r="H18" i="8"/>
  <c r="H24" i="8" s="1"/>
  <c r="L24" i="5"/>
  <c r="L5" i="9" s="1"/>
  <c r="L9" i="10" s="1"/>
  <c r="M12" i="10"/>
  <c r="H36" i="8"/>
  <c r="M33" i="8"/>
  <c r="M7" i="9"/>
  <c r="M11" i="10" s="1"/>
  <c r="M18" i="5"/>
  <c r="M23" i="5" s="1"/>
  <c r="M24" i="5" s="1"/>
  <c r="M5" i="9" s="1"/>
  <c r="M9" i="10" s="1"/>
  <c r="I16" i="5"/>
  <c r="N18" i="7" l="1"/>
  <c r="H38" i="8"/>
  <c r="I8" i="9"/>
  <c r="I17" i="9" s="1"/>
  <c r="I20" i="9" s="1"/>
  <c r="I21" i="9" s="1"/>
  <c r="K14" i="5"/>
  <c r="K37" i="7"/>
  <c r="K3" i="9"/>
  <c r="K36" i="7"/>
  <c r="N4" i="10"/>
  <c r="N7" i="10" s="1"/>
  <c r="N28" i="7"/>
  <c r="O3" i="10"/>
  <c r="O17" i="7"/>
  <c r="O16" i="7"/>
  <c r="O14" i="8"/>
  <c r="O21" i="8"/>
  <c r="O6" i="9" s="1"/>
  <c r="O10" i="10" s="1"/>
  <c r="P14" i="7"/>
  <c r="O7" i="5"/>
  <c r="O10" i="9" s="1"/>
  <c r="O11" i="9" s="1"/>
  <c r="O28" i="8"/>
  <c r="O22" i="5" s="1"/>
  <c r="O32" i="8"/>
  <c r="O17" i="8"/>
  <c r="O20" i="5" s="1"/>
  <c r="O15" i="7"/>
  <c r="O27" i="8" s="1"/>
  <c r="O21" i="5" s="1"/>
  <c r="O16" i="8"/>
  <c r="O19" i="5" s="1"/>
  <c r="J13" i="5"/>
  <c r="J16" i="5" s="1"/>
  <c r="I35" i="8"/>
  <c r="N18" i="5"/>
  <c r="N23" i="5" s="1"/>
  <c r="N12" i="10"/>
  <c r="I20" i="8"/>
  <c r="I22" i="8" s="1"/>
  <c r="J6" i="5"/>
  <c r="L30" i="7"/>
  <c r="L31" i="7" s="1"/>
  <c r="N6" i="9"/>
  <c r="N10" i="10" s="1"/>
  <c r="N33" i="8"/>
  <c r="N7" i="9"/>
  <c r="N11" i="10" s="1"/>
  <c r="M30" i="7"/>
  <c r="M31" i="7" s="1"/>
  <c r="I26" i="8" l="1"/>
  <c r="I29" i="8" s="1"/>
  <c r="I15" i="8"/>
  <c r="I36" i="8"/>
  <c r="L3" i="9"/>
  <c r="L36" i="7"/>
  <c r="L14" i="5"/>
  <c r="L37" i="7"/>
  <c r="M14" i="5"/>
  <c r="M36" i="7"/>
  <c r="M3" i="9"/>
  <c r="M37" i="7"/>
  <c r="O33" i="8"/>
  <c r="O7" i="9"/>
  <c r="O11" i="10" s="1"/>
  <c r="K13" i="5"/>
  <c r="K16" i="5" s="1"/>
  <c r="J35" i="8"/>
  <c r="J8" i="5"/>
  <c r="J9" i="5" s="1"/>
  <c r="O12" i="10"/>
  <c r="P3" i="10"/>
  <c r="P7" i="5"/>
  <c r="P10" i="9" s="1"/>
  <c r="P11" i="9" s="1"/>
  <c r="P14" i="8"/>
  <c r="P17" i="7"/>
  <c r="P16" i="8"/>
  <c r="P19" i="5" s="1"/>
  <c r="P28" i="8"/>
  <c r="P22" i="5" s="1"/>
  <c r="P32" i="8"/>
  <c r="Q14" i="7"/>
  <c r="P16" i="7"/>
  <c r="P21" i="8"/>
  <c r="P6" i="9" s="1"/>
  <c r="P10" i="10" s="1"/>
  <c r="P17" i="8"/>
  <c r="P20" i="5" s="1"/>
  <c r="P15" i="7"/>
  <c r="P27" i="8" s="1"/>
  <c r="P21" i="5" s="1"/>
  <c r="O18" i="7"/>
  <c r="O18" i="5"/>
  <c r="O23" i="5" s="1"/>
  <c r="O24" i="5" s="1"/>
  <c r="O5" i="9" s="1"/>
  <c r="O9" i="10" s="1"/>
  <c r="N30" i="7"/>
  <c r="N31" i="7" s="1"/>
  <c r="N24" i="5"/>
  <c r="N5" i="9" s="1"/>
  <c r="N9" i="10" s="1"/>
  <c r="J19" i="9"/>
  <c r="I31" i="6"/>
  <c r="I33" i="6" s="1"/>
  <c r="I18" i="8"/>
  <c r="I24" i="8" s="1"/>
  <c r="I38" i="8" s="1"/>
  <c r="K6" i="5" l="1"/>
  <c r="J20" i="8"/>
  <c r="J22" i="8" s="1"/>
  <c r="P12" i="10"/>
  <c r="J4" i="9"/>
  <c r="J20" i="7"/>
  <c r="J21" i="7" s="1"/>
  <c r="P33" i="8"/>
  <c r="P7" i="9"/>
  <c r="P11" i="10" s="1"/>
  <c r="P18" i="7"/>
  <c r="P18" i="5"/>
  <c r="P23" i="5" s="1"/>
  <c r="P24" i="5" s="1"/>
  <c r="P5" i="9" s="1"/>
  <c r="P9" i="10" s="1"/>
  <c r="O4" i="10"/>
  <c r="O7" i="10" s="1"/>
  <c r="O28" i="7"/>
  <c r="Q28" i="8"/>
  <c r="Q22" i="5" s="1"/>
  <c r="Q32" i="8"/>
  <c r="Q17" i="7"/>
  <c r="Q7" i="5"/>
  <c r="Q10" i="9" s="1"/>
  <c r="Q11" i="9" s="1"/>
  <c r="Q14" i="8"/>
  <c r="Q16" i="8"/>
  <c r="Q19" i="5" s="1"/>
  <c r="Q17" i="8"/>
  <c r="Q20" i="5" s="1"/>
  <c r="Q3" i="10"/>
  <c r="Q15" i="7"/>
  <c r="Q27" i="8" s="1"/>
  <c r="Q21" i="5" s="1"/>
  <c r="Q21" i="8"/>
  <c r="R14" i="7"/>
  <c r="Q16" i="7"/>
  <c r="L13" i="5"/>
  <c r="L16" i="5" s="1"/>
  <c r="K35" i="8"/>
  <c r="N37" i="7"/>
  <c r="N36" i="7"/>
  <c r="N14" i="5"/>
  <c r="N3" i="9"/>
  <c r="Q18" i="5" l="1"/>
  <c r="Q23" i="5" s="1"/>
  <c r="O30" i="7"/>
  <c r="O31" i="7" s="1"/>
  <c r="P4" i="10"/>
  <c r="P7" i="10" s="1"/>
  <c r="P28" i="7"/>
  <c r="Q6" i="9"/>
  <c r="Q10" i="10" s="1"/>
  <c r="Q18" i="7"/>
  <c r="R21" i="8"/>
  <c r="R28" i="8"/>
  <c r="R22" i="5" s="1"/>
  <c r="R3" i="10"/>
  <c r="S14" i="7"/>
  <c r="R17" i="8"/>
  <c r="R20" i="5" s="1"/>
  <c r="R17" i="7"/>
  <c r="R16" i="8"/>
  <c r="R19" i="5" s="1"/>
  <c r="R15" i="7"/>
  <c r="R27" i="8" s="1"/>
  <c r="R21" i="5" s="1"/>
  <c r="R32" i="8"/>
  <c r="R7" i="5"/>
  <c r="R10" i="9" s="1"/>
  <c r="R11" i="9" s="1"/>
  <c r="R14" i="8"/>
  <c r="R16" i="7"/>
  <c r="Q7" i="9"/>
  <c r="Q11" i="10" s="1"/>
  <c r="Q33" i="8"/>
  <c r="Q12" i="10"/>
  <c r="Q24" i="5"/>
  <c r="Q5" i="9" s="1"/>
  <c r="Q9" i="10" s="1"/>
  <c r="J8" i="10"/>
  <c r="J14" i="10" s="1"/>
  <c r="H4" i="12" s="1"/>
  <c r="J8" i="9"/>
  <c r="J17" i="9" s="1"/>
  <c r="J20" i="9" s="1"/>
  <c r="J21" i="9" s="1"/>
  <c r="L35" i="8"/>
  <c r="M13" i="5"/>
  <c r="M16" i="5" s="1"/>
  <c r="K8" i="5"/>
  <c r="K9" i="5" s="1"/>
  <c r="R18" i="7" l="1"/>
  <c r="R4" i="10"/>
  <c r="R7" i="10" s="1"/>
  <c r="R28" i="7"/>
  <c r="R7" i="9"/>
  <c r="R11" i="10" s="1"/>
  <c r="R33" i="8"/>
  <c r="R12" i="10"/>
  <c r="Q4" i="10"/>
  <c r="Q7" i="10" s="1"/>
  <c r="Q28" i="7"/>
  <c r="R18" i="5"/>
  <c r="R23" i="5" s="1"/>
  <c r="R24" i="5" s="1"/>
  <c r="R5" i="9" s="1"/>
  <c r="R9" i="10" s="1"/>
  <c r="K20" i="8"/>
  <c r="K22" i="8" s="1"/>
  <c r="L6" i="5"/>
  <c r="P30" i="7"/>
  <c r="P31" i="7" s="1"/>
  <c r="K4" i="9"/>
  <c r="K20" i="7"/>
  <c r="K21" i="7" s="1"/>
  <c r="M35" i="8"/>
  <c r="N13" i="5"/>
  <c r="N16" i="5" s="1"/>
  <c r="S16" i="8"/>
  <c r="S19" i="5" s="1"/>
  <c r="S17" i="7"/>
  <c r="S3" i="10"/>
  <c r="S14" i="8"/>
  <c r="S28" i="8"/>
  <c r="S22" i="5" s="1"/>
  <c r="S7" i="5"/>
  <c r="S10" i="9" s="1"/>
  <c r="S11" i="9" s="1"/>
  <c r="S15" i="7"/>
  <c r="S27" i="8" s="1"/>
  <c r="S21" i="5" s="1"/>
  <c r="S16" i="7"/>
  <c r="S21" i="8"/>
  <c r="S6" i="9" s="1"/>
  <c r="S10" i="10" s="1"/>
  <c r="T14" i="7"/>
  <c r="S32" i="8"/>
  <c r="S17" i="8"/>
  <c r="S20" i="5" s="1"/>
  <c r="O37" i="7"/>
  <c r="O14" i="5"/>
  <c r="O36" i="7"/>
  <c r="O3" i="9"/>
  <c r="J26" i="8"/>
  <c r="J29" i="8" s="1"/>
  <c r="J36" i="8" s="1"/>
  <c r="J15" i="8"/>
  <c r="R6" i="9"/>
  <c r="R10" i="10" s="1"/>
  <c r="S18" i="7" l="1"/>
  <c r="S4" i="10" s="1"/>
  <c r="S7" i="10" s="1"/>
  <c r="K19" i="9"/>
  <c r="J31" i="6"/>
  <c r="J33" i="6" s="1"/>
  <c r="J18" i="8"/>
  <c r="J24" i="8" s="1"/>
  <c r="J38" i="8" s="1"/>
  <c r="S12" i="10"/>
  <c r="K8" i="10"/>
  <c r="K14" i="10" s="1"/>
  <c r="I4" i="12" s="1"/>
  <c r="K8" i="9"/>
  <c r="K17" i="9" s="1"/>
  <c r="K20" i="9" s="1"/>
  <c r="O13" i="5"/>
  <c r="O16" i="5" s="1"/>
  <c r="N35" i="8"/>
  <c r="R30" i="7"/>
  <c r="R31" i="7" s="1"/>
  <c r="S18" i="5"/>
  <c r="S23" i="5" s="1"/>
  <c r="P36" i="7"/>
  <c r="P14" i="5"/>
  <c r="P37" i="7"/>
  <c r="P3" i="9"/>
  <c r="L8" i="5"/>
  <c r="L9" i="5" s="1"/>
  <c r="Q30" i="7"/>
  <c r="Q31" i="7" s="1"/>
  <c r="T16" i="8"/>
  <c r="T19" i="5" s="1"/>
  <c r="T3" i="10"/>
  <c r="T16" i="7"/>
  <c r="T17" i="7"/>
  <c r="T14" i="8"/>
  <c r="T32" i="8"/>
  <c r="T7" i="5"/>
  <c r="T10" i="9" s="1"/>
  <c r="T11" i="9" s="1"/>
  <c r="T21" i="8"/>
  <c r="T6" i="9" s="1"/>
  <c r="T10" i="10" s="1"/>
  <c r="U14" i="7"/>
  <c r="T15" i="7"/>
  <c r="T27" i="8" s="1"/>
  <c r="T21" i="5" s="1"/>
  <c r="T17" i="8"/>
  <c r="T20" i="5" s="1"/>
  <c r="T28" i="8"/>
  <c r="T22" i="5" s="1"/>
  <c r="S7" i="9"/>
  <c r="S11" i="10" s="1"/>
  <c r="S33" i="8"/>
  <c r="S28" i="7" l="1"/>
  <c r="M6" i="5"/>
  <c r="L20" i="8"/>
  <c r="L22" i="8" s="1"/>
  <c r="L4" i="9"/>
  <c r="L20" i="7"/>
  <c r="L21" i="7" s="1"/>
  <c r="Q14" i="5"/>
  <c r="Q36" i="7"/>
  <c r="Q37" i="7"/>
  <c r="Q3" i="9"/>
  <c r="T24" i="5"/>
  <c r="T5" i="9" s="1"/>
  <c r="T9" i="10" s="1"/>
  <c r="R14" i="5"/>
  <c r="R36" i="7"/>
  <c r="R3" i="9"/>
  <c r="R37" i="7"/>
  <c r="U16" i="8"/>
  <c r="U19" i="5" s="1"/>
  <c r="U21" i="8"/>
  <c r="U6" i="9" s="1"/>
  <c r="U10" i="10" s="1"/>
  <c r="U32" i="8"/>
  <c r="U7" i="5"/>
  <c r="U10" i="9" s="1"/>
  <c r="U11" i="9" s="1"/>
  <c r="U15" i="7"/>
  <c r="U27" i="8" s="1"/>
  <c r="U21" i="5" s="1"/>
  <c r="U16" i="7"/>
  <c r="U28" i="8"/>
  <c r="U22" i="5" s="1"/>
  <c r="U3" i="10"/>
  <c r="U14" i="8"/>
  <c r="U17" i="7"/>
  <c r="U17" i="8"/>
  <c r="U20" i="5" s="1"/>
  <c r="S30" i="7"/>
  <c r="S31" i="7" s="1"/>
  <c r="P13" i="5"/>
  <c r="P16" i="5" s="1"/>
  <c r="O35" i="8"/>
  <c r="T12" i="10"/>
  <c r="S24" i="5"/>
  <c r="S5" i="9" s="1"/>
  <c r="S9" i="10" s="1"/>
  <c r="T18" i="7"/>
  <c r="K21" i="9"/>
  <c r="T33" i="8"/>
  <c r="T7" i="9"/>
  <c r="T11" i="10" s="1"/>
  <c r="T18" i="5"/>
  <c r="T23" i="5" s="1"/>
  <c r="S36" i="7" l="1"/>
  <c r="S37" i="7"/>
  <c r="S3" i="9"/>
  <c r="S14" i="5"/>
  <c r="U18" i="7"/>
  <c r="U33" i="8"/>
  <c r="U7" i="9"/>
  <c r="U11" i="10" s="1"/>
  <c r="P35" i="8"/>
  <c r="Q13" i="5"/>
  <c r="Q16" i="5" s="1"/>
  <c r="U18" i="5"/>
  <c r="U23" i="5" s="1"/>
  <c r="U24" i="5" s="1"/>
  <c r="U5" i="9" s="1"/>
  <c r="U9" i="10" s="1"/>
  <c r="T28" i="7"/>
  <c r="T4" i="10"/>
  <c r="T7" i="10" s="1"/>
  <c r="L8" i="10"/>
  <c r="L14" i="10" s="1"/>
  <c r="J4" i="12" s="1"/>
  <c r="L8" i="9"/>
  <c r="L17" i="9" s="1"/>
  <c r="L20" i="9" s="1"/>
  <c r="K15" i="8"/>
  <c r="K26" i="8"/>
  <c r="K29" i="8" s="1"/>
  <c r="K36" i="8" s="1"/>
  <c r="U12" i="10"/>
  <c r="M8" i="5"/>
  <c r="M9" i="5" s="1"/>
  <c r="M20" i="8" l="1"/>
  <c r="M22" i="8" s="1"/>
  <c r="N6" i="5"/>
  <c r="Q35" i="8"/>
  <c r="R13" i="5"/>
  <c r="R16" i="5" s="1"/>
  <c r="M4" i="9"/>
  <c r="M20" i="7"/>
  <c r="M21" i="7" s="1"/>
  <c r="L19" i="9"/>
  <c r="L21" i="9" s="1"/>
  <c r="K31" i="6"/>
  <c r="K33" i="6" s="1"/>
  <c r="K18" i="8"/>
  <c r="K24" i="8" s="1"/>
  <c r="K38" i="8" s="1"/>
  <c r="T30" i="7"/>
  <c r="T31" i="7" s="1"/>
  <c r="U28" i="7"/>
  <c r="U4" i="10"/>
  <c r="U7" i="10" s="1"/>
  <c r="U30" i="7" l="1"/>
  <c r="U31" i="7"/>
  <c r="T3" i="9"/>
  <c r="T36" i="7"/>
  <c r="T14" i="5"/>
  <c r="T37" i="7"/>
  <c r="M8" i="10"/>
  <c r="M14" i="10" s="1"/>
  <c r="K4" i="12" s="1"/>
  <c r="M8" i="9"/>
  <c r="M17" i="9" s="1"/>
  <c r="M20" i="9" s="1"/>
  <c r="N8" i="5"/>
  <c r="L15" i="8"/>
  <c r="L26" i="8"/>
  <c r="L29" i="8" s="1"/>
  <c r="L36" i="8" s="1"/>
  <c r="R35" i="8"/>
  <c r="S13" i="5"/>
  <c r="S16" i="5" s="1"/>
  <c r="N4" i="9" l="1"/>
  <c r="N20" i="7"/>
  <c r="N21" i="7" s="1"/>
  <c r="N9" i="5"/>
  <c r="T13" i="5"/>
  <c r="T16" i="5" s="1"/>
  <c r="S35" i="8"/>
  <c r="M19" i="9"/>
  <c r="M21" i="9" s="1"/>
  <c r="L31" i="6"/>
  <c r="L33" i="6" s="1"/>
  <c r="L18" i="8"/>
  <c r="L24" i="8" s="1"/>
  <c r="L38" i="8" s="1"/>
  <c r="U14" i="5"/>
  <c r="U36" i="7"/>
  <c r="U3" i="9"/>
  <c r="U37" i="7"/>
  <c r="O6" i="5" l="1"/>
  <c r="N20" i="8"/>
  <c r="N22" i="8" s="1"/>
  <c r="T35" i="8"/>
  <c r="U13" i="5"/>
  <c r="U16" i="5" s="1"/>
  <c r="U35" i="8" s="1"/>
  <c r="M26" i="8"/>
  <c r="M29" i="8" s="1"/>
  <c r="M36" i="8" s="1"/>
  <c r="M15" i="8"/>
  <c r="N8" i="10"/>
  <c r="N14" i="10" s="1"/>
  <c r="L4" i="12" s="1"/>
  <c r="N8" i="9"/>
  <c r="N17" i="9" s="1"/>
  <c r="N20" i="9" s="1"/>
  <c r="M31" i="6" l="1"/>
  <c r="M33" i="6" s="1"/>
  <c r="N19" i="9"/>
  <c r="N21" i="9" s="1"/>
  <c r="M18" i="8"/>
  <c r="M24" i="8" s="1"/>
  <c r="M38" i="8" s="1"/>
  <c r="O8" i="5"/>
  <c r="O20" i="7" l="1"/>
  <c r="O21" i="7" s="1"/>
  <c r="O4" i="9"/>
  <c r="O9" i="5"/>
  <c r="N15" i="8"/>
  <c r="N26" i="8"/>
  <c r="N29" i="8" s="1"/>
  <c r="N36" i="8" s="1"/>
  <c r="O8" i="10" l="1"/>
  <c r="O14" i="10" s="1"/>
  <c r="M4" i="12" s="1"/>
  <c r="O8" i="9"/>
  <c r="O17" i="9" s="1"/>
  <c r="O20" i="9" s="1"/>
  <c r="N31" i="6"/>
  <c r="N33" i="6" s="1"/>
  <c r="O19" i="9"/>
  <c r="N18" i="8"/>
  <c r="N24" i="8" s="1"/>
  <c r="N38" i="8" s="1"/>
  <c r="O20" i="8"/>
  <c r="O22" i="8" s="1"/>
  <c r="P6" i="5"/>
  <c r="O21" i="9" l="1"/>
  <c r="P8" i="5"/>
  <c r="O15" i="8"/>
  <c r="O26" i="8"/>
  <c r="O29" i="8" s="1"/>
  <c r="O36" i="8" s="1"/>
  <c r="P19" i="9" l="1"/>
  <c r="O31" i="6"/>
  <c r="O33" i="6" s="1"/>
  <c r="O18" i="8"/>
  <c r="O24" i="8" s="1"/>
  <c r="O38" i="8" s="1"/>
  <c r="P20" i="7"/>
  <c r="P21" i="7" s="1"/>
  <c r="P4" i="9"/>
  <c r="P9" i="5"/>
  <c r="P8" i="10" l="1"/>
  <c r="P14" i="10" s="1"/>
  <c r="N4" i="12" s="1"/>
  <c r="P8" i="9"/>
  <c r="P17" i="9" s="1"/>
  <c r="P20" i="9" s="1"/>
  <c r="P21" i="9" s="1"/>
  <c r="Q6" i="5"/>
  <c r="P20" i="8"/>
  <c r="P22" i="8" s="1"/>
  <c r="P15" i="8" l="1"/>
  <c r="P26" i="8"/>
  <c r="P29" i="8" s="1"/>
  <c r="P36" i="8" s="1"/>
  <c r="Q8" i="5"/>
  <c r="Q20" i="7" l="1"/>
  <c r="Q21" i="7" s="1"/>
  <c r="Q4" i="9"/>
  <c r="Q9" i="5"/>
  <c r="Q19" i="9"/>
  <c r="P31" i="6"/>
  <c r="P33" i="6" s="1"/>
  <c r="P18" i="8"/>
  <c r="P24" i="8" s="1"/>
  <c r="P38" i="8" s="1"/>
  <c r="R6" i="5" l="1"/>
  <c r="Q20" i="8"/>
  <c r="Q22" i="8" s="1"/>
  <c r="Q8" i="10"/>
  <c r="Q14" i="10" s="1"/>
  <c r="O4" i="12" s="1"/>
  <c r="Q8" i="9"/>
  <c r="Q17" i="9" s="1"/>
  <c r="Q20" i="9" s="1"/>
  <c r="Q21" i="9" s="1"/>
  <c r="Q26" i="8" l="1"/>
  <c r="Q29" i="8" s="1"/>
  <c r="Q36" i="8" s="1"/>
  <c r="Q15" i="8"/>
  <c r="R8" i="5"/>
  <c r="R9" i="5"/>
  <c r="R20" i="8" l="1"/>
  <c r="R22" i="8" s="1"/>
  <c r="S6" i="5"/>
  <c r="R19" i="9"/>
  <c r="Q31" i="6"/>
  <c r="Q33" i="6" s="1"/>
  <c r="Q18" i="8"/>
  <c r="Q24" i="8" s="1"/>
  <c r="Q38" i="8" s="1"/>
  <c r="R20" i="7"/>
  <c r="R21" i="7" s="1"/>
  <c r="R4" i="9"/>
  <c r="R8" i="10" l="1"/>
  <c r="R14" i="10" s="1"/>
  <c r="P4" i="12" s="1"/>
  <c r="R8" i="9"/>
  <c r="R17" i="9" s="1"/>
  <c r="R20" i="9" s="1"/>
  <c r="R21" i="9" s="1"/>
  <c r="S8" i="5"/>
  <c r="S9" i="5"/>
  <c r="R15" i="8" l="1"/>
  <c r="R26" i="8"/>
  <c r="R29" i="8" s="1"/>
  <c r="R36" i="8" s="1"/>
  <c r="T6" i="5"/>
  <c r="S20" i="8"/>
  <c r="S22" i="8" s="1"/>
  <c r="S4" i="9"/>
  <c r="S20" i="7"/>
  <c r="S21" i="7" s="1"/>
  <c r="S8" i="10" l="1"/>
  <c r="S14" i="10" s="1"/>
  <c r="Q4" i="12" s="1"/>
  <c r="S8" i="9"/>
  <c r="S17" i="9" s="1"/>
  <c r="S20" i="9" s="1"/>
  <c r="T8" i="5"/>
  <c r="S19" i="9"/>
  <c r="R31" i="6"/>
  <c r="R33" i="6" s="1"/>
  <c r="R18" i="8"/>
  <c r="R24" i="8" s="1"/>
  <c r="R38" i="8" s="1"/>
  <c r="S21" i="9" l="1"/>
  <c r="T4" i="9"/>
  <c r="T20" i="7"/>
  <c r="T21" i="7" s="1"/>
  <c r="T9" i="5"/>
  <c r="S15" i="8"/>
  <c r="S26" i="8"/>
  <c r="S29" i="8" s="1"/>
  <c r="S36" i="8" s="1"/>
  <c r="T19" i="9" l="1"/>
  <c r="S31" i="6"/>
  <c r="S33" i="6" s="1"/>
  <c r="S18" i="8"/>
  <c r="S24" i="8" s="1"/>
  <c r="S38" i="8" s="1"/>
  <c r="T20" i="8"/>
  <c r="T22" i="8" s="1"/>
  <c r="U6" i="5"/>
  <c r="T8" i="10"/>
  <c r="T14" i="10" s="1"/>
  <c r="R4" i="12" s="1"/>
  <c r="T8" i="9"/>
  <c r="T17" i="9" s="1"/>
  <c r="T20" i="9" s="1"/>
  <c r="U8" i="5" l="1"/>
  <c r="U9" i="5"/>
  <c r="U20" i="8" s="1"/>
  <c r="U22" i="8" s="1"/>
  <c r="T21" i="9"/>
  <c r="T15" i="8" l="1"/>
  <c r="T26" i="8"/>
  <c r="T29" i="8" s="1"/>
  <c r="T36" i="8" s="1"/>
  <c r="U4" i="9"/>
  <c r="U20" i="7"/>
  <c r="U21" i="7" s="1"/>
  <c r="G8" i="12" s="1"/>
  <c r="U8" i="10" l="1"/>
  <c r="U14" i="10" s="1"/>
  <c r="S4" i="12" s="1"/>
  <c r="U8" i="9"/>
  <c r="U17" i="9" s="1"/>
  <c r="U20" i="9" s="1"/>
  <c r="U19" i="9"/>
  <c r="T31" i="6"/>
  <c r="T33" i="6" s="1"/>
  <c r="T18" i="8"/>
  <c r="T24" i="8" s="1"/>
  <c r="T38" i="8" s="1"/>
  <c r="U21" i="9" l="1"/>
  <c r="S5" i="12"/>
  <c r="C8" i="12" s="1"/>
  <c r="C7" i="12"/>
  <c r="C9" i="12" l="1"/>
  <c r="C15" i="12" s="1"/>
  <c r="C18" i="12" s="1"/>
  <c r="I8" i="12" s="1"/>
  <c r="G7" i="12"/>
  <c r="G9" i="12" s="1"/>
  <c r="G15" i="12" s="1"/>
  <c r="G18" i="12" s="1"/>
  <c r="N8" i="12" s="1"/>
  <c r="U15" i="8"/>
  <c r="U26" i="8"/>
  <c r="U29" i="8" s="1"/>
  <c r="U36" i="8" s="1"/>
  <c r="U31" i="6" l="1"/>
  <c r="U33" i="6" s="1"/>
  <c r="U18" i="8"/>
  <c r="U24" i="8" s="1"/>
  <c r="U3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<sst xmlns="http://schemas.openxmlformats.org/spreadsheetml/2006/main" count="450" uniqueCount="228">
  <si>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</si>
  <si>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</si>
  <si>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</si>
  <si>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</si>
  <si>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</si>
  <si>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</si>
  <si>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</si>
  <si>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</si>
  <si>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</si>
  <si>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</si>
  <si>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</si>
  <si>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</si>
  <si>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</si>
  <si>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</si>
  <si>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</si>
  <si>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</si>
  <si>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</si>
  <si>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</si>
  <si>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</si>
  <si>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</si>
  <si>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</si>
  <si>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</si>
  <si>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</si>
  <si>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</si>
  <si>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</si>
  <si>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</si>
  <si>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</si>
  <si>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</si>
  <si>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</si>
  <si>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</si>
  <si>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</si>
  <si>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</si>
  <si>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</si>
  <si>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</si>
  <si>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</si>
  <si>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</si>
  <si>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</si>
  <si>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</si>
  <si>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</si>
  <si>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</si>
  <si>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</si>
  <si>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</si>
  <si>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</si>
  <si>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</si>
  <si>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Effective tax rate</t>
  </si>
  <si>
    <t>Basic WASO</t>
  </si>
  <si>
    <t>Diluted WASO</t>
  </si>
  <si>
    <t>Revenue</t>
  </si>
  <si>
    <t>SG&amp;A</t>
  </si>
  <si>
    <t>EBITDA</t>
  </si>
  <si>
    <t>EBIT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</si>
  <si>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</si>
  <si>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</si>
  <si>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</si>
  <si>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</si>
  <si>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</si>
  <si>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</si>
  <si>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</si>
  <si>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</si>
  <si>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</si>
  <si>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</si>
  <si>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</si>
  <si>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</si>
  <si>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</si>
  <si>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</si>
  <si>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</si>
  <si>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</si>
  <si>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</si>
  <si>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</si>
  <si>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</si>
  <si>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</si>
  <si>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</si>
  <si>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</si>
  <si>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</si>
  <si>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</si>
  <si>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</si>
  <si>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</si>
  <si>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</si>
  <si>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</si>
  <si>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</si>
  <si>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</si>
  <si>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</si>
  <si>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</si>
  <si>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</si>
  <si>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</si>
  <si>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</si>
  <si>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</si>
  <si>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</si>
  <si>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</si>
  <si>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</si>
  <si>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</si>
  <si>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</si>
  <si>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</si>
  <si>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</si>
  <si>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</si>
  <si>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</si>
  <si>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</si>
  <si>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</si>
  <si>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</si>
  <si>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</si>
  <si>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</si>
  <si>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</si>
  <si>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</si>
  <si>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</si>
  <si>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</si>
  <si>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</si>
  <si>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</si>
  <si>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</si>
  <si>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</si>
  <si>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</si>
  <si>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</si>
  <si>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</si>
  <si>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</si>
  <si>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</si>
  <si>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</si>
  <si>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</si>
  <si>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</si>
  <si>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</si>
  <si>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</si>
  <si>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</si>
  <si>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</si>
  <si>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</si>
  <si>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</si>
  <si>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</si>
  <si>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</si>
  <si>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</si>
  <si>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</si>
  <si>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</si>
  <si>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</si>
  <si>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</si>
  <si>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</si>
  <si>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</si>
  <si>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</si>
  <si>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</si>
  <si>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</si>
  <si>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</si>
  <si>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</si>
  <si>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</si>
  <si>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</si>
  <si>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</si>
  <si>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</si>
  <si>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</si>
  <si>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</si>
  <si>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</si>
  <si>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</si>
  <si>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</si>
  <si>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</si>
  <si>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</si>
  <si>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</si>
  <si>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</si>
  <si>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</si>
  <si>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</si>
  <si>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</si>
  <si>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</si>
  <si>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</si>
  <si>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</si>
  <si>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</si>
  <si>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</si>
  <si>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</si>
  <si>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</si>
  <si>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</si>
  <si>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</si>
  <si>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</si>
  <si>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</si>
  <si>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Implied Price</t>
  </si>
  <si>
    <t>Difference</t>
  </si>
  <si>
    <t>R&amp;D</t>
  </si>
  <si>
    <t>R&amp;D % of sales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</si>
  <si>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</si>
  <si>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</si>
  <si>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</si>
  <si>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</si>
  <si>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</si>
  <si>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</si>
  <si>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</si>
  <si>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</si>
  <si>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</si>
  <si>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</si>
  <si>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</si>
  <si>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</si>
  <si>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</si>
  <si>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</si>
  <si>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</si>
  <si>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</si>
  <si>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</si>
  <si>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Perpetuity</t>
  </si>
  <si>
    <t>DCF Analysis (Sensitivity tables)</t>
  </si>
  <si>
    <t>Projection ranges</t>
  </si>
  <si>
    <t>Model Details</t>
  </si>
  <si>
    <t>Current price</t>
  </si>
  <si>
    <t>Terminal Value</t>
  </si>
  <si>
    <t>Palantir Technologies Inc</t>
  </si>
  <si>
    <t>t</t>
  </si>
  <si>
    <t>Revenues</t>
  </si>
  <si>
    <t>TOTAL REVENUE</t>
  </si>
  <si>
    <t>Q123</t>
  </si>
  <si>
    <t>Q223</t>
  </si>
  <si>
    <t>Q423</t>
  </si>
  <si>
    <t>Q323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</si>
  <si>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</si>
  <si>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</si>
  <si>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</si>
  <si>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</si>
  <si>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</si>
  <si>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</si>
  <si>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</si>
  <si>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</si>
  <si>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</si>
  <si>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</si>
  <si>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</si>
  <si>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</si>
  <si>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y/y</t>
  </si>
  <si>
    <t>q/q</t>
  </si>
  <si>
    <t>(inc) / dec in LT assets</t>
  </si>
  <si>
    <t>inc / (dec) in LT liabilities</t>
  </si>
  <si>
    <t>Cash Flow From Operations</t>
  </si>
  <si>
    <t>Cash Flow From Investing</t>
  </si>
  <si>
    <t>Share Issuance / (repurchases)</t>
  </si>
  <si>
    <t>Debt Issuance / (repayments)</t>
  </si>
  <si>
    <t>Cash Flow From Financing</t>
  </si>
  <si>
    <t>Net changes in cash</t>
  </si>
  <si>
    <t>Beginning cash</t>
  </si>
  <si>
    <t>Changes</t>
  </si>
  <si>
    <t>Ending cash</t>
  </si>
  <si>
    <t>Discount Factor</t>
  </si>
  <si>
    <t>PV FCF</t>
  </si>
  <si>
    <t>LTGR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</si>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</sst>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[$$-409]#,##0.00_);\([$$-409]#,##0.00\)"/>
    <numFmt numFmtId="184" formatCode="&quot;$&quot;#,##0.00"/>
    <numFmt numFmtId="185" formatCode="0_);[Red]\(0\)"/>
  </numFmts>
  <fonts count="7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sz val="11"/>
      <color rgb="FF34A853"/>
      <name val="Calibri"/>
      <family val="2"/>
      <scheme val="minor"/>
    </font>
    <font>
      <b/>
      <sz val="11"/>
      <color rgb="FFEA4335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37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75" fontId="34" fillId="34" borderId="0" xfId="0" applyNumberFormat="1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75" fontId="34" fillId="35" borderId="0" xfId="0" applyNumberFormat="1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75" fontId="34" fillId="35" borderId="0" xfId="0" applyNumberFormat="1" applyFont="1" applyFill="1" applyAlignment="1">
      <alignment horizontal="right"/>
    </xf>
    <xf numFmtId="167" fontId="34" fillId="34" borderId="17" xfId="0" applyFont="1" applyFill="1" applyBorder="1"/>
    <xf numFmtId="175" fontId="59" fillId="35" borderId="0" xfId="0" applyNumberFormat="1" applyFont="1" applyFill="1"/>
    <xf numFmtId="175" fontId="60" fillId="35" borderId="0" xfId="3" applyNumberFormat="1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5" fontId="34" fillId="34" borderId="0" xfId="52" applyNumberFormat="1" applyFont="1" applyFill="1" applyBorder="1" applyAlignment="1">
      <alignment horizontal="right" vertical="center"/>
    </xf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38" fillId="33" borderId="1" xfId="3" applyNumberFormat="1" applyFont="1" applyAlignment="1">
      <alignment horizontal="center"/>
    </xf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7" fontId="2" fillId="0" borderId="0" xfId="0" applyFont="1"/>
    <xf numFmtId="166" fontId="2" fillId="0" borderId="0" xfId="57" applyFont="1" applyBorder="1"/>
    <xf numFmtId="166" fontId="2" fillId="0" borderId="0" xfId="57" applyFont="1"/>
    <xf numFmtId="169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0" fontId="34" fillId="34" borderId="0" xfId="0" applyNumberFormat="1" applyFont="1" applyFill="1"/>
    <xf numFmtId="0" fontId="34" fillId="34" borderId="0" xfId="52" applyNumberFormat="1" applyFont="1" applyFill="1" applyBorder="1" applyAlignment="1">
      <alignment horizontal="right" vertical="center"/>
    </xf>
    <xf numFmtId="0" fontId="34" fillId="35" borderId="0" xfId="0" applyNumberFormat="1" applyFont="1" applyFill="1" applyAlignment="1">
      <alignment horizontal="right"/>
    </xf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40" fillId="0" borderId="0" xfId="0" applyNumberFormat="1" applyFont="1"/>
    <xf numFmtId="9" fontId="31" fillId="0" borderId="18" xfId="0" applyNumberFormat="1" applyFont="1" applyBorder="1"/>
    <xf numFmtId="169" fontId="41" fillId="0" borderId="0" xfId="4" applyFont="1" applyBorder="1"/>
    <xf numFmtId="0" fontId="60" fillId="35" borderId="0" xfId="3" applyNumberFormat="1" applyFont="1" applyFill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0" fontId="34" fillId="35" borderId="0" xfId="0" applyNumberFormat="1" applyFont="1" applyFill="1"/>
    <xf numFmtId="167" fontId="46" fillId="35" borderId="0" xfId="0" applyFont="1" applyFill="1"/>
    <xf numFmtId="175" fontId="34" fillId="0" borderId="0" xfId="0" applyNumberFormat="1" applyFont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3" fontId="57" fillId="40" borderId="1" xfId="0" applyNumberFormat="1" applyFont="1" applyFill="1" applyBorder="1"/>
    <xf numFmtId="0" fontId="34" fillId="0" borderId="0" xfId="0" applyNumberFormat="1" applyFont="1"/>
    <xf numFmtId="167" fontId="31" fillId="40" borderId="1" xfId="0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3" fontId="38" fillId="33" borderId="1" xfId="3" applyNumberFormat="1" applyFont="1" applyAlignment="1">
      <alignment horizontal="center"/>
    </xf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3" fontId="57" fillId="40" borderId="16" xfId="0" applyNumberFormat="1" applyFont="1" applyFill="1" applyBorder="1"/>
    <xf numFmtId="175" fontId="34" fillId="35" borderId="0" xfId="4" applyNumberFormat="1" applyFont="1" applyFill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84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167" fontId="34" fillId="0" borderId="0" xfId="53" applyFont="1" applyFill="1" applyBorder="1">
      <alignment horizontal="left" vertical="center"/>
    </xf>
    <xf numFmtId="185" fontId="34" fillId="35" borderId="0" xfId="0" applyNumberFormat="1" applyFont="1" applyFill="1"/>
    <xf numFmtId="185" fontId="60" fillId="35" borderId="0" xfId="3" applyNumberFormat="1" applyFont="1" applyFill="1" applyBorder="1"/>
    <xf numFmtId="39" fontId="39" fillId="0" borderId="17" xfId="57" applyNumberFormat="1" applyFont="1" applyBorder="1"/>
    <xf numFmtId="166" fontId="38" fillId="0" borderId="0" xfId="0" applyNumberFormat="1" applyFont="1" applyBorder="1"/>
    <xf numFmtId="9" fontId="31" fillId="0" borderId="0" xfId="0" applyNumberFormat="1" applyFont="1" applyBorder="1"/>
    <xf numFmtId="178" fontId="34" fillId="44" borderId="0" xfId="0" applyNumberFormat="1" applyFont="1" applyFill="1"/>
    <xf numFmtId="178" fontId="34" fillId="0" borderId="0" xfId="0" applyNumberFormat="1" applyFont="1" applyFill="1"/>
    <xf numFmtId="178" fontId="34" fillId="44" borderId="0" xfId="0" applyNumberFormat="1" applyFont="1" applyFill="1" applyAlignment="1">
      <alignment horizontal="right"/>
    </xf>
    <xf numFmtId="9" fontId="40" fillId="0" borderId="18" xfId="0" applyNumberFormat="1" applyFont="1" applyBorder="1"/>
    <xf numFmtId="167" fontId="46" fillId="0" borderId="21" xfId="0" applyFont="1" applyBorder="1"/>
    <xf numFmtId="9" fontId="40" fillId="0" borderId="21" xfId="0" applyNumberFormat="1" applyFont="1" applyBorder="1"/>
    <xf numFmtId="9" fontId="40" fillId="45" borderId="18" xfId="0" applyNumberFormat="1" applyFont="1" applyFill="1" applyBorder="1"/>
    <xf numFmtId="9" fontId="40" fillId="45" borderId="0" xfId="0" applyNumberFormat="1" applyFont="1" applyFill="1"/>
    <xf numFmtId="9" fontId="38" fillId="45" borderId="0" xfId="0" applyNumberFormat="1" applyFont="1" applyFill="1"/>
    <xf numFmtId="9" fontId="38" fillId="0" borderId="21" xfId="0" applyNumberFormat="1" applyFont="1" applyFill="1" applyBorder="1"/>
    <xf numFmtId="9" fontId="38" fillId="45" borderId="17" xfId="0" applyNumberFormat="1" applyFont="1" applyFill="1" applyBorder="1"/>
    <xf numFmtId="9" fontId="38" fillId="45" borderId="23" xfId="0" applyNumberFormat="1" applyFont="1" applyFill="1" applyBorder="1"/>
    <xf numFmtId="9" fontId="38" fillId="45" borderId="0" xfId="0" applyNumberFormat="1" applyFont="1" applyFill="1" applyBorder="1"/>
    <xf numFmtId="173" fontId="40" fillId="0" borderId="0" xfId="0" applyNumberFormat="1" applyFont="1" applyBorder="1"/>
    <xf numFmtId="39" fontId="39" fillId="0" borderId="24" xfId="57" applyNumberFormat="1" applyFont="1" applyBorder="1"/>
    <xf numFmtId="179" fontId="40" fillId="0" borderId="0" xfId="0" applyNumberFormat="1" applyFont="1" applyBorder="1"/>
    <xf numFmtId="167" fontId="40" fillId="0" borderId="0" xfId="0" applyFont="1" applyBorder="1"/>
    <xf numFmtId="167" fontId="40" fillId="0" borderId="0" xfId="0" applyFont="1" applyFill="1"/>
    <xf numFmtId="180" fontId="40" fillId="0" borderId="0" xfId="0" applyNumberFormat="1" applyFont="1" applyAlignment="1">
      <alignment horizontal="center"/>
    </xf>
    <xf numFmtId="173" fontId="73" fillId="33" borderId="1" xfId="3" applyNumberFormat="1" applyFont="1" applyAlignment="1">
      <alignment horizontal="center"/>
    </xf>
    <xf numFmtId="173" fontId="74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4335"/>
      <color rgb="FF34A853"/>
      <color rgb="FF0000FF"/>
      <color rgb="FF44546A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"/>
  <sheetViews>
    <sheetView showGridLines="0" tabSelected="1" topLeftCell="C1" zoomScaleNormal="100" workbookViewId="0">
      <selection activeCell="K7" sqref="K7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3.42578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7.4257812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0" customFormat="1" ht="19.5" x14ac:dyDescent="0.3">
      <c r="A1" s="300" t="str">
        <f>CoName</f>
        <v>Palantir Technologies Inc</v>
      </c>
      <c r="B1" s="2"/>
      <c r="C1" s="2"/>
      <c r="D1" s="160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6" customFormat="1" x14ac:dyDescent="0.25">
      <c r="A2" s="66" t="s">
        <v>188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25">
      <c r="B4" s="4" t="s">
        <v>3</v>
      </c>
      <c r="C4" s="52" t="s">
        <v>191</v>
      </c>
      <c r="E4" s="4" t="s">
        <v>156</v>
      </c>
      <c r="F4" s="252">
        <v>178.12</v>
      </c>
      <c r="H4" s="177"/>
      <c r="I4" s="177" t="s">
        <v>185</v>
      </c>
      <c r="J4" s="177" t="s">
        <v>190</v>
      </c>
    </row>
    <row r="5" spans="1:15" x14ac:dyDescent="0.25">
      <c r="B5" s="4" t="s">
        <v>4</v>
      </c>
      <c r="C5" s="53">
        <v>247.43</v>
      </c>
      <c r="E5" s="4" t="s">
        <v>162</v>
      </c>
      <c r="F5" s="168">
        <v>2562.9119999999998</v>
      </c>
      <c r="H5" s="177" t="s">
        <v>164</v>
      </c>
      <c r="I5" s="252">
        <f>'DCF Model'!K16</f>
        <v>77.022348366566959</v>
      </c>
      <c r="J5" s="252">
        <f>'DCF Model'!P16</f>
        <v>215.16780078004865</v>
      </c>
    </row>
    <row r="6" spans="1:15" x14ac:dyDescent="0.25">
      <c r="B6" s="4" t="s">
        <v>5</v>
      </c>
      <c r="C6" s="52" t="s">
        <v>8</v>
      </c>
      <c r="E6" s="4" t="s">
        <v>95</v>
      </c>
      <c r="F6" s="168">
        <f>F5*F4</f>
        <v>456505.88543999998</v>
      </c>
      <c r="H6" s="177" t="s">
        <v>165</v>
      </c>
      <c r="I6" s="336">
        <f>I5/$F$4-1</f>
        <v>-0.56758169567388861</v>
      </c>
      <c r="J6" s="335">
        <f>J5/$F$4-1</f>
        <v>0.20799349191583572</v>
      </c>
    </row>
    <row r="7" spans="1:15" x14ac:dyDescent="0.25">
      <c r="B7" s="4" t="s">
        <v>6</v>
      </c>
      <c r="C7" s="52" t="s">
        <v>192</v>
      </c>
      <c r="E7" s="4" t="s">
        <v>163</v>
      </c>
      <c r="F7" s="52">
        <f>929.547+5070.875</f>
        <v>6000.4220000000005</v>
      </c>
    </row>
    <row r="8" spans="1:15" x14ac:dyDescent="0.25">
      <c r="B8" s="4" t="s">
        <v>2</v>
      </c>
      <c r="C8" s="52" t="s">
        <v>78</v>
      </c>
      <c r="E8" s="4" t="s">
        <v>134</v>
      </c>
      <c r="F8" s="52">
        <v>0</v>
      </c>
    </row>
    <row r="9" spans="1:15" x14ac:dyDescent="0.25">
      <c r="B9" s="4" t="s">
        <v>7</v>
      </c>
      <c r="C9" s="52">
        <v>0</v>
      </c>
      <c r="E9" s="4" t="s">
        <v>109</v>
      </c>
      <c r="F9" s="52">
        <f>F6-F7+F8</f>
        <v>450505.46343999996</v>
      </c>
    </row>
    <row r="11" spans="1:15" x14ac:dyDescent="0.25">
      <c r="B11" s="11"/>
      <c r="C11" s="177"/>
      <c r="D11" s="177"/>
      <c r="E11" s="177"/>
      <c r="F11" s="177"/>
    </row>
    <row r="12" spans="1:15" x14ac:dyDescent="0.25">
      <c r="C12" s="308"/>
      <c r="D12" s="308"/>
      <c r="E12" s="308"/>
      <c r="F12" s="308"/>
    </row>
    <row r="13" spans="1:15" x14ac:dyDescent="0.25">
      <c r="A13" s="255"/>
      <c r="C13" s="309"/>
      <c r="D13" s="309"/>
      <c r="E13" s="309"/>
      <c r="F13" s="309"/>
      <c r="G13" s="310"/>
      <c r="H13" s="255"/>
      <c r="I13" s="255"/>
      <c r="J13" s="255"/>
      <c r="K13" s="255"/>
      <c r="L13" s="255"/>
      <c r="M13" s="255"/>
      <c r="N13" s="255"/>
      <c r="O13" s="255"/>
    </row>
    <row r="14" spans="1:15" x14ac:dyDescent="0.25">
      <c r="A14" s="87"/>
      <c r="C14" s="177"/>
      <c r="D14" s="177"/>
      <c r="E14" s="177"/>
      <c r="F14" s="177"/>
    </row>
    <row r="15" spans="1:15" x14ac:dyDescent="0.25">
      <c r="B15" s="11"/>
      <c r="C15" s="177"/>
      <c r="D15" s="177"/>
      <c r="E15" s="177"/>
      <c r="F15" s="177"/>
    </row>
    <row r="16" spans="1:15" x14ac:dyDescent="0.25">
      <c r="C16" s="308"/>
      <c r="D16" s="308"/>
      <c r="E16" s="308"/>
      <c r="F16" s="308"/>
    </row>
    <row r="17" spans="2:6" x14ac:dyDescent="0.25">
      <c r="C17" s="309"/>
      <c r="D17" s="309"/>
      <c r="E17" s="309"/>
      <c r="F17" s="309"/>
    </row>
    <row r="18" spans="2:6" x14ac:dyDescent="0.25">
      <c r="C18" s="177"/>
      <c r="D18" s="177"/>
      <c r="E18" s="177"/>
      <c r="F18" s="177"/>
    </row>
    <row r="19" spans="2:6" x14ac:dyDescent="0.25">
      <c r="B19" s="11"/>
      <c r="C19" s="177"/>
      <c r="D19" s="177"/>
      <c r="E19" s="177"/>
      <c r="F19" s="177"/>
    </row>
    <row r="20" spans="2:6" x14ac:dyDescent="0.25">
      <c r="C20" s="308"/>
      <c r="D20" s="308"/>
      <c r="E20" s="308"/>
      <c r="F20" s="308"/>
    </row>
    <row r="21" spans="2:6" x14ac:dyDescent="0.25">
      <c r="C21" s="309"/>
      <c r="D21" s="309"/>
      <c r="E21" s="309"/>
      <c r="F21" s="309"/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U53"/>
  <sheetViews>
    <sheetView showGridLines="0" topLeftCell="D1" zoomScaleNormal="100" workbookViewId="0">
      <selection activeCell="E5" sqref="E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21" width="11.7109375" style="4" customWidth="1"/>
    <col min="22" max="16384" width="9" style="4"/>
  </cols>
  <sheetData>
    <row r="1" spans="1:2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x14ac:dyDescent="0.25">
      <c r="A2" s="65" t="s">
        <v>117</v>
      </c>
      <c r="B2" s="108" t="s">
        <v>118</v>
      </c>
      <c r="C2" s="109">
        <v>44926</v>
      </c>
      <c r="D2" s="109">
        <v>45291</v>
      </c>
      <c r="E2" s="109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109">
        <v>47848</v>
      </c>
      <c r="L2" s="109">
        <v>48213</v>
      </c>
      <c r="M2" s="109">
        <v>48579</v>
      </c>
      <c r="N2" s="311">
        <f>2032+1</f>
        <v>2033</v>
      </c>
      <c r="O2" s="311">
        <f>N2+1</f>
        <v>2034</v>
      </c>
      <c r="P2" s="311">
        <f t="shared" ref="P2:U2" si="0">O2+1</f>
        <v>2035</v>
      </c>
      <c r="Q2" s="311">
        <f t="shared" si="0"/>
        <v>2036</v>
      </c>
      <c r="R2" s="311">
        <f t="shared" si="0"/>
        <v>2037</v>
      </c>
      <c r="S2" s="311">
        <f t="shared" si="0"/>
        <v>2038</v>
      </c>
      <c r="T2" s="311">
        <f t="shared" si="0"/>
        <v>2039</v>
      </c>
      <c r="U2" s="311">
        <f t="shared" si="0"/>
        <v>2040</v>
      </c>
    </row>
    <row r="3" spans="1:21" x14ac:dyDescent="0.25">
      <c r="A3" s="87"/>
      <c r="B3" s="167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</row>
    <row r="4" spans="1:21" x14ac:dyDescent="0.25">
      <c r="B4" s="95" t="s">
        <v>124</v>
      </c>
      <c r="C4"/>
      <c r="D4" s="305">
        <v>1</v>
      </c>
      <c r="E4"/>
      <c r="F4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</row>
    <row r="5" spans="1:21" x14ac:dyDescent="0.25">
      <c r="B5" s="89"/>
      <c r="C5" s="91"/>
      <c r="D5" s="115" t="s">
        <v>119</v>
      </c>
      <c r="E5" s="92"/>
    </row>
    <row r="6" spans="1:21" x14ac:dyDescent="0.25">
      <c r="B6" s="93" t="s">
        <v>125</v>
      </c>
      <c r="D6" s="102">
        <v>0</v>
      </c>
      <c r="E6" s="94"/>
      <c r="F6" s="102">
        <f>Revenue!U4</f>
        <v>0.52823537623900596</v>
      </c>
      <c r="G6" s="102">
        <f>Revenue!Z4</f>
        <v>0.52129290354582403</v>
      </c>
      <c r="H6" s="102">
        <f>Revenue!AA4</f>
        <v>0.42</v>
      </c>
      <c r="I6" s="102">
        <f>Revenue!AB4</f>
        <v>0.41499999999999998</v>
      </c>
      <c r="J6" s="102">
        <f>Revenue!AC4</f>
        <v>0.41</v>
      </c>
      <c r="K6" s="102">
        <f>Revenue!AD4</f>
        <v>0.40499999999999997</v>
      </c>
      <c r="L6" s="102">
        <f>Revenue!AE4</f>
        <v>0.39999999999999997</v>
      </c>
      <c r="M6" s="102">
        <f>Revenue!AF4</f>
        <v>0.39499999999999996</v>
      </c>
      <c r="N6" s="102">
        <f>Revenue!AG4</f>
        <v>0.38999999999999996</v>
      </c>
      <c r="O6" s="102">
        <f>Revenue!AH4</f>
        <v>0.38499999999999995</v>
      </c>
      <c r="P6" s="102">
        <f>Revenue!AI4</f>
        <v>0.37999999999999995</v>
      </c>
      <c r="Q6" s="102">
        <f>Revenue!AJ4</f>
        <v>0.37499999999999994</v>
      </c>
      <c r="R6" s="102">
        <f>Revenue!AK4</f>
        <v>0.36999999999999994</v>
      </c>
      <c r="S6" s="102">
        <f>Revenue!AL4</f>
        <v>0.36499999999999994</v>
      </c>
      <c r="T6" s="102">
        <f>Revenue!AM4</f>
        <v>0.35999999999999993</v>
      </c>
      <c r="U6" s="102">
        <f>Revenue!AN4</f>
        <v>0.35499999999999993</v>
      </c>
    </row>
    <row r="7" spans="1:21" x14ac:dyDescent="0.25">
      <c r="B7" s="4" t="s">
        <v>121</v>
      </c>
      <c r="D7" s="102">
        <v>2.5000000000000001E-2</v>
      </c>
      <c r="E7" s="94"/>
      <c r="F7" s="102">
        <f>F6+$D$7</f>
        <v>0.55323537623900598</v>
      </c>
      <c r="G7" s="102">
        <f t="shared" ref="G7:U7" si="1">G6+$D$7</f>
        <v>0.54629290354582405</v>
      </c>
      <c r="H7" s="102">
        <f t="shared" si="1"/>
        <v>0.44500000000000001</v>
      </c>
      <c r="I7" s="102">
        <f t="shared" si="1"/>
        <v>0.44</v>
      </c>
      <c r="J7" s="102">
        <f t="shared" si="1"/>
        <v>0.435</v>
      </c>
      <c r="K7" s="102">
        <f t="shared" si="1"/>
        <v>0.43</v>
      </c>
      <c r="L7" s="102">
        <f t="shared" si="1"/>
        <v>0.42499999999999999</v>
      </c>
      <c r="M7" s="102">
        <f t="shared" si="1"/>
        <v>0.42</v>
      </c>
      <c r="N7" s="102">
        <f t="shared" si="1"/>
        <v>0.41499999999999998</v>
      </c>
      <c r="O7" s="102">
        <f t="shared" si="1"/>
        <v>0.41</v>
      </c>
      <c r="P7" s="102">
        <f t="shared" si="1"/>
        <v>0.40499999999999997</v>
      </c>
      <c r="Q7" s="102">
        <f t="shared" si="1"/>
        <v>0.39999999999999997</v>
      </c>
      <c r="R7" s="102">
        <f t="shared" si="1"/>
        <v>0.39499999999999996</v>
      </c>
      <c r="S7" s="102">
        <f t="shared" si="1"/>
        <v>0.38999999999999996</v>
      </c>
      <c r="T7" s="102">
        <f t="shared" si="1"/>
        <v>0.38499999999999995</v>
      </c>
      <c r="U7" s="102">
        <f t="shared" si="1"/>
        <v>0.37999999999999995</v>
      </c>
    </row>
    <row r="8" spans="1:21" x14ac:dyDescent="0.25">
      <c r="B8" s="4" t="s">
        <v>120</v>
      </c>
      <c r="D8" s="102">
        <v>-2.5000000000000001E-2</v>
      </c>
      <c r="E8" s="94"/>
      <c r="F8" s="102">
        <f>F6+$D$8</f>
        <v>0.50323537623900594</v>
      </c>
      <c r="G8" s="102">
        <f t="shared" ref="G8:U8" si="2">G6+$D$8</f>
        <v>0.496292903545824</v>
      </c>
      <c r="H8" s="102">
        <f t="shared" si="2"/>
        <v>0.39499999999999996</v>
      </c>
      <c r="I8" s="102">
        <f t="shared" si="2"/>
        <v>0.38999999999999996</v>
      </c>
      <c r="J8" s="102">
        <f t="shared" si="2"/>
        <v>0.38499999999999995</v>
      </c>
      <c r="K8" s="102">
        <f t="shared" si="2"/>
        <v>0.37999999999999995</v>
      </c>
      <c r="L8" s="102">
        <f t="shared" si="2"/>
        <v>0.37499999999999994</v>
      </c>
      <c r="M8" s="102">
        <f t="shared" si="2"/>
        <v>0.36999999999999994</v>
      </c>
      <c r="N8" s="102">
        <f t="shared" si="2"/>
        <v>0.36499999999999994</v>
      </c>
      <c r="O8" s="102">
        <f t="shared" si="2"/>
        <v>0.35999999999999993</v>
      </c>
      <c r="P8" s="102">
        <f t="shared" si="2"/>
        <v>0.35499999999999993</v>
      </c>
      <c r="Q8" s="102">
        <f t="shared" si="2"/>
        <v>0.34999999999999992</v>
      </c>
      <c r="R8" s="102">
        <f t="shared" si="2"/>
        <v>0.34499999999999992</v>
      </c>
      <c r="S8" s="102">
        <f t="shared" si="2"/>
        <v>0.33999999999999991</v>
      </c>
      <c r="T8" s="102">
        <f t="shared" si="2"/>
        <v>0.33499999999999991</v>
      </c>
      <c r="U8" s="102">
        <f t="shared" si="2"/>
        <v>0.3299999999999999</v>
      </c>
    </row>
    <row r="10" spans="1:21" x14ac:dyDescent="0.25">
      <c r="B10" s="123" t="s">
        <v>139</v>
      </c>
      <c r="C10" s="205">
        <f>IncState!C14/1540-1</f>
        <v>0.23757857142857142</v>
      </c>
      <c r="D10" s="315">
        <f>IncState!D14/IncState!C14-1</f>
        <v>0.16745152216493153</v>
      </c>
      <c r="E10" s="206">
        <f>IncState!E14/IncState!D14-1</f>
        <v>0.2878613688375613</v>
      </c>
      <c r="F10" s="106">
        <f t="shared" ref="F10" si="3">CHOOSE(ScenarioREV,F6,F7,F8)</f>
        <v>0.52823537623900596</v>
      </c>
      <c r="G10" s="106">
        <f t="shared" ref="G10:M10" si="4">CHOOSE(ScenarioREV,G6,G7,G8)</f>
        <v>0.52129290354582403</v>
      </c>
      <c r="H10" s="106">
        <f t="shared" si="4"/>
        <v>0.42</v>
      </c>
      <c r="I10" s="106">
        <f t="shared" si="4"/>
        <v>0.41499999999999998</v>
      </c>
      <c r="J10" s="106">
        <f t="shared" si="4"/>
        <v>0.41</v>
      </c>
      <c r="K10" s="106">
        <f t="shared" si="4"/>
        <v>0.40499999999999997</v>
      </c>
      <c r="L10" s="106">
        <f t="shared" si="4"/>
        <v>0.39999999999999997</v>
      </c>
      <c r="M10" s="106">
        <f t="shared" si="4"/>
        <v>0.39499999999999996</v>
      </c>
      <c r="N10" s="106">
        <f t="shared" ref="N10:U10" si="5">CHOOSE(ScenarioREV,N6,N7,N8)</f>
        <v>0.38999999999999996</v>
      </c>
      <c r="O10" s="106">
        <f t="shared" si="5"/>
        <v>0.38499999999999995</v>
      </c>
      <c r="P10" s="106">
        <f t="shared" si="5"/>
        <v>0.37999999999999995</v>
      </c>
      <c r="Q10" s="106">
        <f t="shared" si="5"/>
        <v>0.37499999999999994</v>
      </c>
      <c r="R10" s="106">
        <f t="shared" si="5"/>
        <v>0.36999999999999994</v>
      </c>
      <c r="S10" s="106">
        <f t="shared" si="5"/>
        <v>0.36499999999999994</v>
      </c>
      <c r="T10" s="106">
        <f t="shared" si="5"/>
        <v>0.35999999999999993</v>
      </c>
      <c r="U10" s="106">
        <f t="shared" si="5"/>
        <v>0.35499999999999993</v>
      </c>
    </row>
    <row r="11" spans="1:21" x14ac:dyDescent="0.25">
      <c r="B11" s="4" t="s">
        <v>126</v>
      </c>
      <c r="C11" s="8">
        <f>IncState!C15/IncState!C14</f>
        <v>0.21436288185296906</v>
      </c>
      <c r="D11" s="8">
        <f>IncState!D15/IncState!D14</f>
        <v>0.19375401121432154</v>
      </c>
      <c r="E11" s="8">
        <f>IncState!E15/IncState!E14</f>
        <v>0.19751827512548389</v>
      </c>
      <c r="F11" s="102">
        <f>E11-0.001</f>
        <v>0.19651827512548389</v>
      </c>
      <c r="G11" s="102">
        <f t="shared" ref="G11:U11" si="6">F11-0.001</f>
        <v>0.19551827512548389</v>
      </c>
      <c r="H11" s="102">
        <f t="shared" si="6"/>
        <v>0.19451827512548389</v>
      </c>
      <c r="I11" s="102">
        <f t="shared" si="6"/>
        <v>0.19351827512548389</v>
      </c>
      <c r="J11" s="102">
        <f t="shared" si="6"/>
        <v>0.19251827512548389</v>
      </c>
      <c r="K11" s="102">
        <f t="shared" si="6"/>
        <v>0.19151827512548389</v>
      </c>
      <c r="L11" s="102">
        <f t="shared" si="6"/>
        <v>0.19051827512548389</v>
      </c>
      <c r="M11" s="102">
        <f t="shared" si="6"/>
        <v>0.18951827512548389</v>
      </c>
      <c r="N11" s="102">
        <f t="shared" si="6"/>
        <v>0.18851827512548389</v>
      </c>
      <c r="O11" s="102">
        <f t="shared" si="6"/>
        <v>0.18751827512548389</v>
      </c>
      <c r="P11" s="102">
        <f t="shared" si="6"/>
        <v>0.18651827512548388</v>
      </c>
      <c r="Q11" s="102">
        <f t="shared" si="6"/>
        <v>0.18551827512548388</v>
      </c>
      <c r="R11" s="102">
        <f t="shared" si="6"/>
        <v>0.18451827512548388</v>
      </c>
      <c r="S11" s="102">
        <f t="shared" si="6"/>
        <v>0.18351827512548388</v>
      </c>
      <c r="T11" s="102">
        <f t="shared" si="6"/>
        <v>0.18251827512548388</v>
      </c>
      <c r="U11" s="102">
        <f t="shared" si="6"/>
        <v>0.18151827512548388</v>
      </c>
    </row>
    <row r="12" spans="1:21" x14ac:dyDescent="0.25">
      <c r="B12" s="4" t="s">
        <v>167</v>
      </c>
      <c r="C12" s="8">
        <f>IncState!C16/IncState!C14</f>
        <v>0.18872158713784928</v>
      </c>
      <c r="D12" s="8">
        <f>IncState!D16/IncState!D14</f>
        <v>0.18185250236852654</v>
      </c>
      <c r="E12" s="8">
        <f>IncState!E16/IncState!E14</f>
        <v>0.17723844331910549</v>
      </c>
      <c r="F12" s="102">
        <f>E12-0.001</f>
        <v>0.17623844331910549</v>
      </c>
      <c r="G12" s="102">
        <f t="shared" ref="G12:U12" si="7">F12-0.001</f>
        <v>0.17523844331910549</v>
      </c>
      <c r="H12" s="102">
        <f t="shared" si="7"/>
        <v>0.17423844331910548</v>
      </c>
      <c r="I12" s="102">
        <f t="shared" si="7"/>
        <v>0.17323844331910548</v>
      </c>
      <c r="J12" s="102">
        <f t="shared" si="7"/>
        <v>0.17223844331910548</v>
      </c>
      <c r="K12" s="102">
        <f t="shared" si="7"/>
        <v>0.17123844331910548</v>
      </c>
      <c r="L12" s="102">
        <f t="shared" si="7"/>
        <v>0.17023844331910548</v>
      </c>
      <c r="M12" s="102">
        <f t="shared" si="7"/>
        <v>0.16923844331910548</v>
      </c>
      <c r="N12" s="102">
        <f t="shared" si="7"/>
        <v>0.16823844331910548</v>
      </c>
      <c r="O12" s="102">
        <f t="shared" si="7"/>
        <v>0.16723844331910548</v>
      </c>
      <c r="P12" s="102">
        <f t="shared" si="7"/>
        <v>0.16623844331910548</v>
      </c>
      <c r="Q12" s="102">
        <f t="shared" si="7"/>
        <v>0.16523844331910548</v>
      </c>
      <c r="R12" s="102">
        <f t="shared" si="7"/>
        <v>0.16423844331910548</v>
      </c>
      <c r="S12" s="102">
        <f t="shared" si="7"/>
        <v>0.16323844331910548</v>
      </c>
      <c r="T12" s="102">
        <f t="shared" si="7"/>
        <v>0.16223844331910547</v>
      </c>
      <c r="U12" s="102">
        <f t="shared" si="7"/>
        <v>0.16123844331910547</v>
      </c>
    </row>
    <row r="13" spans="1:21" x14ac:dyDescent="0.25">
      <c r="B13" s="4" t="s">
        <v>43</v>
      </c>
      <c r="C13" s="8">
        <f>IncState!C17/IncState!C14</f>
        <v>0.68149628175254251</v>
      </c>
      <c r="D13" s="8">
        <f>IncState!D17/IncState!D14</f>
        <v>0.57047647383474787</v>
      </c>
      <c r="E13" s="8">
        <f>IncState!E17/IncState!E14</f>
        <v>0.51691934446504573</v>
      </c>
      <c r="F13" s="102">
        <f>E13-0.025</f>
        <v>0.4919193444650457</v>
      </c>
      <c r="G13" s="102">
        <f t="shared" ref="G13:U13" si="8">F13-0.025</f>
        <v>0.46691934446504568</v>
      </c>
      <c r="H13" s="102">
        <f t="shared" si="8"/>
        <v>0.44191934446504566</v>
      </c>
      <c r="I13" s="102">
        <f t="shared" si="8"/>
        <v>0.41691934446504564</v>
      </c>
      <c r="J13" s="102">
        <f t="shared" si="8"/>
        <v>0.39191934446504562</v>
      </c>
      <c r="K13" s="102">
        <f t="shared" si="8"/>
        <v>0.36691934446504559</v>
      </c>
      <c r="L13" s="102">
        <f>K13</f>
        <v>0.36691934446504559</v>
      </c>
      <c r="M13" s="102">
        <f t="shared" ref="G12:M13" si="9">L13</f>
        <v>0.36691934446504559</v>
      </c>
      <c r="N13" s="102">
        <f t="shared" ref="N11:N13" si="10">M13</f>
        <v>0.36691934446504559</v>
      </c>
      <c r="O13" s="102">
        <f t="shared" ref="O11:O13" si="11">N13</f>
        <v>0.36691934446504559</v>
      </c>
      <c r="P13" s="102">
        <f t="shared" ref="P11:P13" si="12">O13</f>
        <v>0.36691934446504559</v>
      </c>
      <c r="Q13" s="102">
        <f t="shared" ref="Q11:Q13" si="13">P13</f>
        <v>0.36691934446504559</v>
      </c>
      <c r="R13" s="102">
        <f t="shared" ref="R11:R13" si="14">Q13</f>
        <v>0.36691934446504559</v>
      </c>
      <c r="S13" s="102">
        <f t="shared" ref="S11:S13" si="15">R13</f>
        <v>0.36691934446504559</v>
      </c>
      <c r="T13" s="102">
        <f t="shared" ref="T11:T13" si="16">S13</f>
        <v>0.36691934446504559</v>
      </c>
      <c r="U13" s="102">
        <f t="shared" ref="U11:U13" si="17">T13</f>
        <v>0.36691934446504559</v>
      </c>
    </row>
    <row r="14" spans="1:21" x14ac:dyDescent="0.25">
      <c r="B14" s="4" t="s">
        <v>129</v>
      </c>
      <c r="C14" s="4">
        <f>IncState!C23</f>
        <v>-220.13499999999999</v>
      </c>
      <c r="D14" s="4">
        <f>IncState!D23</f>
        <v>-15.446999999999999</v>
      </c>
      <c r="E14" s="4">
        <f>IncState!E23</f>
        <v>-18.021999999999998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</row>
    <row r="15" spans="1:21" x14ac:dyDescent="0.25">
      <c r="B15" s="4" t="s">
        <v>44</v>
      </c>
      <c r="C15" s="8">
        <f>IncState!C30/IncState!C28</f>
        <v>-2.7884418296743183E-2</v>
      </c>
      <c r="D15" s="8">
        <f>IncState!D30/IncState!D28</f>
        <v>8.3157943574408186E-2</v>
      </c>
      <c r="E15" s="8">
        <f>IncState!E30/IncState!E28</f>
        <v>4.3450885474055172E-2</v>
      </c>
      <c r="F15" s="102">
        <v>0.23</v>
      </c>
      <c r="G15" s="102">
        <f t="shared" ref="G15:M15" si="18">F15</f>
        <v>0.23</v>
      </c>
      <c r="H15" s="102">
        <f t="shared" si="18"/>
        <v>0.23</v>
      </c>
      <c r="I15" s="102">
        <f t="shared" si="18"/>
        <v>0.23</v>
      </c>
      <c r="J15" s="102">
        <f t="shared" si="18"/>
        <v>0.23</v>
      </c>
      <c r="K15" s="102">
        <f t="shared" si="18"/>
        <v>0.23</v>
      </c>
      <c r="L15" s="102">
        <f t="shared" si="18"/>
        <v>0.23</v>
      </c>
      <c r="M15" s="102">
        <f t="shared" si="18"/>
        <v>0.23</v>
      </c>
      <c r="N15" s="102">
        <f t="shared" ref="N15:N17" si="19">M15</f>
        <v>0.23</v>
      </c>
      <c r="O15" s="102">
        <f t="shared" ref="O15:O17" si="20">N15</f>
        <v>0.23</v>
      </c>
      <c r="P15" s="102">
        <f t="shared" ref="P15:P17" si="21">O15</f>
        <v>0.23</v>
      </c>
      <c r="Q15" s="102">
        <f t="shared" ref="Q15:Q17" si="22">P15</f>
        <v>0.23</v>
      </c>
      <c r="R15" s="102">
        <f t="shared" ref="R15:R17" si="23">Q15</f>
        <v>0.23</v>
      </c>
      <c r="S15" s="102">
        <f t="shared" ref="S15:S17" si="24">R15</f>
        <v>0.23</v>
      </c>
      <c r="T15" s="102">
        <f t="shared" ref="T15:T17" si="25">S15</f>
        <v>0.23</v>
      </c>
      <c r="U15" s="102">
        <f t="shared" ref="U15:U17" si="26">T15</f>
        <v>0.23</v>
      </c>
    </row>
    <row r="16" spans="1:21" x14ac:dyDescent="0.25">
      <c r="B16" s="4" t="s">
        <v>45</v>
      </c>
      <c r="C16" s="4">
        <f>IncState!C34</f>
        <v>2063.7930000000001</v>
      </c>
      <c r="D16" s="4">
        <f>IncState!D34</f>
        <v>2147.4459999999999</v>
      </c>
      <c r="E16" s="4">
        <f>IncState!E34</f>
        <v>2250.163</v>
      </c>
      <c r="F16" s="103">
        <f>E16</f>
        <v>2250.163</v>
      </c>
      <c r="G16" s="103">
        <f t="shared" ref="G16:M16" si="27">F16</f>
        <v>2250.163</v>
      </c>
      <c r="H16" s="103">
        <f t="shared" si="27"/>
        <v>2250.163</v>
      </c>
      <c r="I16" s="103">
        <f t="shared" si="27"/>
        <v>2250.163</v>
      </c>
      <c r="J16" s="103">
        <f t="shared" si="27"/>
        <v>2250.163</v>
      </c>
      <c r="K16" s="103">
        <f t="shared" si="27"/>
        <v>2250.163</v>
      </c>
      <c r="L16" s="103">
        <f t="shared" si="27"/>
        <v>2250.163</v>
      </c>
      <c r="M16" s="103">
        <f t="shared" si="27"/>
        <v>2250.163</v>
      </c>
      <c r="N16" s="103">
        <f t="shared" si="19"/>
        <v>2250.163</v>
      </c>
      <c r="O16" s="103">
        <f t="shared" si="20"/>
        <v>2250.163</v>
      </c>
      <c r="P16" s="103">
        <f t="shared" si="21"/>
        <v>2250.163</v>
      </c>
      <c r="Q16" s="103">
        <f t="shared" si="22"/>
        <v>2250.163</v>
      </c>
      <c r="R16" s="103">
        <f t="shared" si="23"/>
        <v>2250.163</v>
      </c>
      <c r="S16" s="103">
        <f t="shared" si="24"/>
        <v>2250.163</v>
      </c>
      <c r="T16" s="103">
        <f t="shared" si="25"/>
        <v>2250.163</v>
      </c>
      <c r="U16" s="103">
        <f t="shared" si="26"/>
        <v>2250.163</v>
      </c>
    </row>
    <row r="17" spans="1:21" x14ac:dyDescent="0.25">
      <c r="B17" s="4" t="s">
        <v>46</v>
      </c>
      <c r="C17" s="4">
        <f>IncState!C35</f>
        <v>2063.7930000000001</v>
      </c>
      <c r="D17" s="4">
        <f>IncState!D35</f>
        <v>2297.9270000000001</v>
      </c>
      <c r="E17" s="4">
        <f>IncState!E35</f>
        <v>2450.8180000000002</v>
      </c>
      <c r="F17" s="103">
        <f>E17</f>
        <v>2450.8180000000002</v>
      </c>
      <c r="G17" s="103">
        <f t="shared" ref="G17:M17" si="28">F17</f>
        <v>2450.8180000000002</v>
      </c>
      <c r="H17" s="103">
        <f t="shared" si="28"/>
        <v>2450.8180000000002</v>
      </c>
      <c r="I17" s="103">
        <f t="shared" si="28"/>
        <v>2450.8180000000002</v>
      </c>
      <c r="J17" s="103">
        <f t="shared" si="28"/>
        <v>2450.8180000000002</v>
      </c>
      <c r="K17" s="103">
        <f t="shared" si="28"/>
        <v>2450.8180000000002</v>
      </c>
      <c r="L17" s="103">
        <f t="shared" si="28"/>
        <v>2450.8180000000002</v>
      </c>
      <c r="M17" s="103">
        <f t="shared" si="28"/>
        <v>2450.8180000000002</v>
      </c>
      <c r="N17" s="103">
        <f t="shared" si="19"/>
        <v>2450.8180000000002</v>
      </c>
      <c r="O17" s="103">
        <f t="shared" si="20"/>
        <v>2450.8180000000002</v>
      </c>
      <c r="P17" s="103">
        <f t="shared" si="21"/>
        <v>2450.8180000000002</v>
      </c>
      <c r="Q17" s="103">
        <f t="shared" si="22"/>
        <v>2450.8180000000002</v>
      </c>
      <c r="R17" s="103">
        <f t="shared" si="23"/>
        <v>2450.8180000000002</v>
      </c>
      <c r="S17" s="103">
        <f t="shared" si="24"/>
        <v>2450.8180000000002</v>
      </c>
      <c r="T17" s="103">
        <f t="shared" si="25"/>
        <v>2450.8180000000002</v>
      </c>
      <c r="U17" s="103">
        <f t="shared" si="26"/>
        <v>2450.8180000000002</v>
      </c>
    </row>
    <row r="18" spans="1:21" x14ac:dyDescent="0.25"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</row>
    <row r="19" spans="1:21" x14ac:dyDescent="0.25">
      <c r="A19" s="65" t="s">
        <v>117</v>
      </c>
      <c r="B19" s="108" t="s">
        <v>134</v>
      </c>
      <c r="C19" s="109">
        <v>44926</v>
      </c>
      <c r="D19" s="109">
        <v>45291</v>
      </c>
      <c r="E19" s="109">
        <v>45657</v>
      </c>
      <c r="F19" s="119">
        <v>46022</v>
      </c>
      <c r="G19" s="119">
        <v>46387</v>
      </c>
      <c r="H19" s="119">
        <v>46752</v>
      </c>
      <c r="I19" s="119">
        <v>47118</v>
      </c>
      <c r="J19" s="119">
        <v>47483</v>
      </c>
      <c r="K19" s="119">
        <f>K2</f>
        <v>47848</v>
      </c>
      <c r="L19" s="119">
        <f>L2</f>
        <v>48213</v>
      </c>
      <c r="M19" s="119">
        <f>M2</f>
        <v>48579</v>
      </c>
      <c r="N19" s="312">
        <f>2032+1</f>
        <v>2033</v>
      </c>
      <c r="O19" s="312">
        <f>N19+1</f>
        <v>2034</v>
      </c>
      <c r="P19" s="312">
        <f t="shared" ref="P19:U19" si="29">O19+1</f>
        <v>2035</v>
      </c>
      <c r="Q19" s="312">
        <f t="shared" si="29"/>
        <v>2036</v>
      </c>
      <c r="R19" s="312">
        <f t="shared" si="29"/>
        <v>2037</v>
      </c>
      <c r="S19" s="312">
        <f t="shared" si="29"/>
        <v>2038</v>
      </c>
      <c r="T19" s="312">
        <f t="shared" si="29"/>
        <v>2039</v>
      </c>
      <c r="U19" s="312">
        <f t="shared" si="29"/>
        <v>2040</v>
      </c>
    </row>
    <row r="20" spans="1:21" x14ac:dyDescent="0.25">
      <c r="A20" s="87"/>
      <c r="B20" s="167"/>
      <c r="C20" s="214"/>
      <c r="D20" s="214"/>
      <c r="E20" s="214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</row>
    <row r="21" spans="1:21" x14ac:dyDescent="0.25">
      <c r="B21" s="4" t="s">
        <v>128</v>
      </c>
      <c r="E21" s="8"/>
      <c r="F21" s="102">
        <f>E21</f>
        <v>0</v>
      </c>
      <c r="G21" s="102">
        <f t="shared" ref="G21:M21" si="30">F21</f>
        <v>0</v>
      </c>
      <c r="H21" s="102">
        <f t="shared" si="30"/>
        <v>0</v>
      </c>
      <c r="I21" s="102">
        <f t="shared" si="30"/>
        <v>0</v>
      </c>
      <c r="J21" s="102">
        <f t="shared" si="30"/>
        <v>0</v>
      </c>
      <c r="K21" s="102">
        <f t="shared" si="30"/>
        <v>0</v>
      </c>
      <c r="L21" s="102">
        <f t="shared" si="30"/>
        <v>0</v>
      </c>
      <c r="M21" s="102">
        <f t="shared" si="30"/>
        <v>0</v>
      </c>
      <c r="N21" s="102">
        <f t="shared" ref="N21:N23" si="31">M21</f>
        <v>0</v>
      </c>
      <c r="O21" s="102">
        <f t="shared" ref="O21:O23" si="32">N21</f>
        <v>0</v>
      </c>
      <c r="P21" s="102">
        <f t="shared" ref="P21:P23" si="33">O21</f>
        <v>0</v>
      </c>
      <c r="Q21" s="102">
        <f t="shared" ref="Q21:Q23" si="34">P21</f>
        <v>0</v>
      </c>
      <c r="R21" s="102">
        <f t="shared" ref="R21:R23" si="35">Q21</f>
        <v>0</v>
      </c>
      <c r="S21" s="102">
        <f t="shared" ref="S21:S23" si="36">R21</f>
        <v>0</v>
      </c>
      <c r="T21" s="102">
        <f t="shared" ref="T21:T23" si="37">S21</f>
        <v>0</v>
      </c>
      <c r="U21" s="102">
        <f t="shared" ref="U21:U23" si="38">T21</f>
        <v>0</v>
      </c>
    </row>
    <row r="22" spans="1:21" x14ac:dyDescent="0.25">
      <c r="B22" s="4" t="s">
        <v>24</v>
      </c>
      <c r="E22" s="8"/>
      <c r="F22" s="102">
        <f>E22</f>
        <v>0</v>
      </c>
      <c r="G22" s="102">
        <f t="shared" ref="G22:M22" si="39">F22</f>
        <v>0</v>
      </c>
      <c r="H22" s="102">
        <f t="shared" si="39"/>
        <v>0</v>
      </c>
      <c r="I22" s="102">
        <f t="shared" si="39"/>
        <v>0</v>
      </c>
      <c r="J22" s="102">
        <f t="shared" si="39"/>
        <v>0</v>
      </c>
      <c r="K22" s="102">
        <f t="shared" si="39"/>
        <v>0</v>
      </c>
      <c r="L22" s="102">
        <f t="shared" si="39"/>
        <v>0</v>
      </c>
      <c r="M22" s="102">
        <f t="shared" si="39"/>
        <v>0</v>
      </c>
      <c r="N22" s="102">
        <f t="shared" si="31"/>
        <v>0</v>
      </c>
      <c r="O22" s="102">
        <f t="shared" si="32"/>
        <v>0</v>
      </c>
      <c r="P22" s="102">
        <f t="shared" si="33"/>
        <v>0</v>
      </c>
      <c r="Q22" s="102">
        <f t="shared" si="34"/>
        <v>0</v>
      </c>
      <c r="R22" s="102">
        <f t="shared" si="35"/>
        <v>0</v>
      </c>
      <c r="S22" s="102">
        <f t="shared" si="36"/>
        <v>0</v>
      </c>
      <c r="T22" s="102">
        <f t="shared" si="37"/>
        <v>0</v>
      </c>
      <c r="U22" s="102">
        <f t="shared" si="38"/>
        <v>0</v>
      </c>
    </row>
    <row r="23" spans="1:21" x14ac:dyDescent="0.25">
      <c r="B23" s="4" t="s">
        <v>25</v>
      </c>
      <c r="C23" s="8">
        <f>IncState!C25/BalSheet!C15</f>
        <v>8.0007675757321657E-3</v>
      </c>
      <c r="D23" s="8">
        <f>IncState!D25/BalSheet!D15</f>
        <v>3.7208718536134486E-2</v>
      </c>
      <c r="E23" s="8">
        <f>IncState!E25/BalSheet!E15</f>
        <v>3.8687469143252891E-2</v>
      </c>
      <c r="F23" s="131">
        <f>E23</f>
        <v>3.8687469143252891E-2</v>
      </c>
      <c r="G23" s="131">
        <f t="shared" ref="G23:M23" si="40">F23</f>
        <v>3.8687469143252891E-2</v>
      </c>
      <c r="H23" s="131">
        <f t="shared" si="40"/>
        <v>3.8687469143252891E-2</v>
      </c>
      <c r="I23" s="131">
        <f t="shared" si="40"/>
        <v>3.8687469143252891E-2</v>
      </c>
      <c r="J23" s="131">
        <f t="shared" si="40"/>
        <v>3.8687469143252891E-2</v>
      </c>
      <c r="K23" s="131">
        <f t="shared" si="40"/>
        <v>3.8687469143252891E-2</v>
      </c>
      <c r="L23" s="131">
        <f t="shared" si="40"/>
        <v>3.8687469143252891E-2</v>
      </c>
      <c r="M23" s="102">
        <f t="shared" si="40"/>
        <v>3.8687469143252891E-2</v>
      </c>
      <c r="N23" s="102">
        <f t="shared" si="31"/>
        <v>3.8687469143252891E-2</v>
      </c>
      <c r="O23" s="102">
        <f t="shared" si="32"/>
        <v>3.8687469143252891E-2</v>
      </c>
      <c r="P23" s="102">
        <f t="shared" si="33"/>
        <v>3.8687469143252891E-2</v>
      </c>
      <c r="Q23" s="102">
        <f t="shared" si="34"/>
        <v>3.8687469143252891E-2</v>
      </c>
      <c r="R23" s="102">
        <f t="shared" si="35"/>
        <v>3.8687469143252891E-2</v>
      </c>
      <c r="S23" s="102">
        <f t="shared" si="36"/>
        <v>3.8687469143252891E-2</v>
      </c>
      <c r="T23" s="102">
        <f t="shared" si="37"/>
        <v>3.8687469143252891E-2</v>
      </c>
      <c r="U23" s="102">
        <f t="shared" si="38"/>
        <v>3.8687469143252891E-2</v>
      </c>
    </row>
    <row r="24" spans="1:21" x14ac:dyDescent="0.25"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x14ac:dyDescent="0.25">
      <c r="B25" s="4" t="s">
        <v>26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</row>
    <row r="26" spans="1:21" x14ac:dyDescent="0.25">
      <c r="B26" s="4" t="s">
        <v>27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103">
        <v>0</v>
      </c>
      <c r="O26" s="103">
        <v>0</v>
      </c>
      <c r="P26" s="103">
        <v>0</v>
      </c>
      <c r="Q26" s="103">
        <v>0</v>
      </c>
      <c r="R26" s="103">
        <v>0</v>
      </c>
      <c r="S26" s="103">
        <v>0</v>
      </c>
      <c r="T26" s="103">
        <v>0</v>
      </c>
      <c r="U26" s="103">
        <v>0</v>
      </c>
    </row>
    <row r="27" spans="1:21" x14ac:dyDescent="0.25"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1:21" x14ac:dyDescent="0.25">
      <c r="A28" s="65" t="s">
        <v>117</v>
      </c>
      <c r="B28" s="108" t="s">
        <v>131</v>
      </c>
      <c r="C28" s="109">
        <v>44926</v>
      </c>
      <c r="D28" s="109">
        <v>45291</v>
      </c>
      <c r="E28" s="109">
        <v>45657</v>
      </c>
      <c r="F28" s="119">
        <v>46022</v>
      </c>
      <c r="G28" s="119">
        <v>46387</v>
      </c>
      <c r="H28" s="119">
        <v>46752</v>
      </c>
      <c r="I28" s="119">
        <v>47118</v>
      </c>
      <c r="J28" s="119">
        <v>47483</v>
      </c>
      <c r="K28" s="208">
        <v>2030</v>
      </c>
      <c r="L28" s="208">
        <f>K28+1</f>
        <v>2031</v>
      </c>
      <c r="M28" s="208">
        <f t="shared" ref="M28" si="41">L28+1</f>
        <v>2032</v>
      </c>
      <c r="N28" s="208">
        <f t="shared" ref="N28" si="42">M28+1</f>
        <v>2033</v>
      </c>
      <c r="O28" s="208">
        <f t="shared" ref="O28" si="43">N28+1</f>
        <v>2034</v>
      </c>
      <c r="P28" s="208">
        <f t="shared" ref="P28" si="44">O28+1</f>
        <v>2035</v>
      </c>
      <c r="Q28" s="208">
        <f t="shared" ref="Q28" si="45">P28+1</f>
        <v>2036</v>
      </c>
      <c r="R28" s="208">
        <f t="shared" ref="R28" si="46">Q28+1</f>
        <v>2037</v>
      </c>
      <c r="S28" s="208">
        <f t="shared" ref="S28" si="47">R28+1</f>
        <v>2038</v>
      </c>
      <c r="T28" s="208">
        <f t="shared" ref="T28" si="48">S28+1</f>
        <v>2039</v>
      </c>
      <c r="U28" s="208">
        <f t="shared" ref="U28" si="49">T28+1</f>
        <v>2040</v>
      </c>
    </row>
    <row r="29" spans="1:21" x14ac:dyDescent="0.25">
      <c r="A29" s="87"/>
      <c r="B29" s="167"/>
      <c r="C29" s="214"/>
      <c r="D29" s="214"/>
      <c r="E29" s="214"/>
      <c r="F29" s="215"/>
      <c r="G29" s="215"/>
      <c r="H29" s="215"/>
      <c r="I29" s="215"/>
      <c r="J29" s="215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</row>
    <row r="30" spans="1:21" x14ac:dyDescent="0.25">
      <c r="B30" s="4" t="s">
        <v>132</v>
      </c>
      <c r="C30" s="48">
        <f>12.624/IncState!C14</f>
        <v>6.6237431599515395E-3</v>
      </c>
      <c r="D30" s="48">
        <f>15.114/IncState!D14</f>
        <v>6.792772353587306E-3</v>
      </c>
      <c r="E30" s="48">
        <f>40.027/IncState!E14</f>
        <v>1.3968557745627563E-2</v>
      </c>
      <c r="F30" s="240">
        <f>E30</f>
        <v>1.3968557745627563E-2</v>
      </c>
      <c r="G30" s="240">
        <f t="shared" ref="G30:M30" si="50">F30</f>
        <v>1.3968557745627563E-2</v>
      </c>
      <c r="H30" s="240">
        <f t="shared" si="50"/>
        <v>1.3968557745627563E-2</v>
      </c>
      <c r="I30" s="240">
        <f t="shared" si="50"/>
        <v>1.3968557745627563E-2</v>
      </c>
      <c r="J30" s="240">
        <f t="shared" si="50"/>
        <v>1.3968557745627563E-2</v>
      </c>
      <c r="K30" s="240">
        <f t="shared" si="50"/>
        <v>1.3968557745627563E-2</v>
      </c>
      <c r="L30" s="240">
        <f t="shared" si="50"/>
        <v>1.3968557745627563E-2</v>
      </c>
      <c r="M30" s="240">
        <f t="shared" si="50"/>
        <v>1.3968557745627563E-2</v>
      </c>
      <c r="N30" s="240">
        <f t="shared" ref="N30:N31" si="51">M30</f>
        <v>1.3968557745627563E-2</v>
      </c>
      <c r="O30" s="240">
        <f t="shared" ref="O30:O31" si="52">N30</f>
        <v>1.3968557745627563E-2</v>
      </c>
      <c r="P30" s="240">
        <f t="shared" ref="P30:P31" si="53">O30</f>
        <v>1.3968557745627563E-2</v>
      </c>
      <c r="Q30" s="240">
        <f t="shared" ref="Q30:Q31" si="54">P30</f>
        <v>1.3968557745627563E-2</v>
      </c>
      <c r="R30" s="240">
        <f t="shared" ref="R30:R31" si="55">Q30</f>
        <v>1.3968557745627563E-2</v>
      </c>
      <c r="S30" s="240">
        <f t="shared" ref="S30:S31" si="56">R30</f>
        <v>1.3968557745627563E-2</v>
      </c>
      <c r="T30" s="240">
        <f t="shared" ref="T30:T31" si="57">S30</f>
        <v>1.3968557745627563E-2</v>
      </c>
      <c r="U30" s="240">
        <f t="shared" ref="U30:U31" si="58">T30</f>
        <v>1.3968557745627563E-2</v>
      </c>
    </row>
    <row r="31" spans="1:21" x14ac:dyDescent="0.25">
      <c r="B31" s="4" t="s">
        <v>145</v>
      </c>
      <c r="D31" s="329">
        <f>IncState!D20/BalSheet!C20</f>
        <v>0.12380386771092386</v>
      </c>
      <c r="E31" s="8">
        <f>IncState!E20/BalSheet!D20</f>
        <v>0.13696497717033573</v>
      </c>
      <c r="F31" s="102">
        <f>E31</f>
        <v>0.13696497717033573</v>
      </c>
      <c r="G31" s="102">
        <f t="shared" ref="G31:M31" si="59">F31</f>
        <v>0.13696497717033573</v>
      </c>
      <c r="H31" s="102">
        <f t="shared" si="59"/>
        <v>0.13696497717033573</v>
      </c>
      <c r="I31" s="102">
        <f t="shared" si="59"/>
        <v>0.13696497717033573</v>
      </c>
      <c r="J31" s="102">
        <f t="shared" si="59"/>
        <v>0.13696497717033573</v>
      </c>
      <c r="K31" s="102">
        <f t="shared" si="59"/>
        <v>0.13696497717033573</v>
      </c>
      <c r="L31" s="102">
        <f t="shared" si="59"/>
        <v>0.13696497717033573</v>
      </c>
      <c r="M31" s="102">
        <f t="shared" si="59"/>
        <v>0.13696497717033573</v>
      </c>
      <c r="N31" s="102">
        <f t="shared" si="51"/>
        <v>0.13696497717033573</v>
      </c>
      <c r="O31" s="102">
        <f t="shared" si="52"/>
        <v>0.13696497717033573</v>
      </c>
      <c r="P31" s="102">
        <f t="shared" si="53"/>
        <v>0.13696497717033573</v>
      </c>
      <c r="Q31" s="102">
        <f t="shared" si="54"/>
        <v>0.13696497717033573</v>
      </c>
      <c r="R31" s="102">
        <f t="shared" si="55"/>
        <v>0.13696497717033573</v>
      </c>
      <c r="S31" s="102">
        <f t="shared" si="56"/>
        <v>0.13696497717033573</v>
      </c>
      <c r="T31" s="102">
        <f t="shared" si="57"/>
        <v>0.13696497717033573</v>
      </c>
      <c r="U31" s="102">
        <f t="shared" si="58"/>
        <v>0.13696497717033573</v>
      </c>
    </row>
    <row r="32" spans="1:21" x14ac:dyDescent="0.25">
      <c r="B32" s="4" t="s">
        <v>133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</row>
    <row r="33" spans="1:21" x14ac:dyDescent="0.25"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x14ac:dyDescent="0.25">
      <c r="A34" s="65" t="s">
        <v>117</v>
      </c>
      <c r="B34" s="108" t="s">
        <v>54</v>
      </c>
      <c r="C34" s="109">
        <v>44926</v>
      </c>
      <c r="D34" s="109">
        <v>45291</v>
      </c>
      <c r="E34" s="109">
        <v>45657</v>
      </c>
      <c r="F34" s="118">
        <v>46022</v>
      </c>
      <c r="G34" s="118">
        <v>46387</v>
      </c>
      <c r="H34" s="118">
        <v>46752</v>
      </c>
      <c r="I34" s="118">
        <v>47118</v>
      </c>
      <c r="J34" s="118">
        <v>47483</v>
      </c>
      <c r="K34" s="208">
        <v>2030</v>
      </c>
      <c r="L34" s="208">
        <f>K34+1</f>
        <v>2031</v>
      </c>
      <c r="M34" s="208">
        <f t="shared" ref="M34" si="60">L34+1</f>
        <v>2032</v>
      </c>
      <c r="N34" s="208">
        <f t="shared" ref="N34" si="61">M34+1</f>
        <v>2033</v>
      </c>
      <c r="O34" s="208">
        <f t="shared" ref="O34" si="62">N34+1</f>
        <v>2034</v>
      </c>
      <c r="P34" s="208">
        <f t="shared" ref="P34" si="63">O34+1</f>
        <v>2035</v>
      </c>
      <c r="Q34" s="208">
        <f t="shared" ref="Q34" si="64">P34+1</f>
        <v>2036</v>
      </c>
      <c r="R34" s="208">
        <f t="shared" ref="R34" si="65">Q34+1</f>
        <v>2037</v>
      </c>
      <c r="S34" s="208">
        <f t="shared" ref="S34" si="66">R34+1</f>
        <v>2038</v>
      </c>
      <c r="T34" s="208">
        <f t="shared" ref="T34" si="67">S34+1</f>
        <v>2039</v>
      </c>
      <c r="U34" s="208">
        <f t="shared" ref="U34" si="68">T34+1</f>
        <v>2040</v>
      </c>
    </row>
    <row r="35" spans="1:21" x14ac:dyDescent="0.25">
      <c r="A35" s="87"/>
      <c r="B35" s="167"/>
      <c r="C35" s="214"/>
      <c r="D35" s="214"/>
      <c r="E35" s="214"/>
      <c r="F35" s="306"/>
      <c r="G35" s="306"/>
      <c r="H35" s="306"/>
      <c r="I35" s="306"/>
      <c r="J35" s="30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</row>
    <row r="36" spans="1:21" x14ac:dyDescent="0.25">
      <c r="B36" s="4" t="s">
        <v>45</v>
      </c>
      <c r="C36" s="4">
        <f>C16</f>
        <v>2063.7930000000001</v>
      </c>
      <c r="D36" s="4">
        <f t="shared" ref="D36:E36" si="69">D16</f>
        <v>2147.4459999999999</v>
      </c>
      <c r="E36" s="4">
        <f t="shared" si="69"/>
        <v>2250.163</v>
      </c>
      <c r="F36" s="103">
        <f>F16</f>
        <v>2250.163</v>
      </c>
      <c r="G36" s="103">
        <f>G16</f>
        <v>2250.163</v>
      </c>
      <c r="H36" s="103">
        <f>H16</f>
        <v>2250.163</v>
      </c>
      <c r="I36" s="103">
        <f>I16</f>
        <v>2250.163</v>
      </c>
      <c r="J36" s="103">
        <f>J16</f>
        <v>2250.163</v>
      </c>
      <c r="K36" s="103">
        <f>K16</f>
        <v>2250.163</v>
      </c>
      <c r="L36" s="103">
        <f>L16</f>
        <v>2250.163</v>
      </c>
      <c r="M36" s="103">
        <f>M16</f>
        <v>2250.163</v>
      </c>
      <c r="N36" s="103">
        <f>N16</f>
        <v>2250.163</v>
      </c>
      <c r="O36" s="103">
        <f>O16</f>
        <v>2250.163</v>
      </c>
      <c r="P36" s="103">
        <f>P16</f>
        <v>2250.163</v>
      </c>
      <c r="Q36" s="103">
        <f>Q16</f>
        <v>2250.163</v>
      </c>
      <c r="R36" s="103">
        <f>R16</f>
        <v>2250.163</v>
      </c>
      <c r="S36" s="103">
        <f>S16</f>
        <v>2250.163</v>
      </c>
      <c r="T36" s="103">
        <f>T16</f>
        <v>2250.163</v>
      </c>
      <c r="U36" s="103">
        <f>U16</f>
        <v>2250.163</v>
      </c>
    </row>
    <row r="37" spans="1:21" x14ac:dyDescent="0.25">
      <c r="B37" s="4" t="s">
        <v>46</v>
      </c>
      <c r="C37" s="4">
        <f t="shared" ref="C37:E37" si="70">C17</f>
        <v>2063.7930000000001</v>
      </c>
      <c r="D37" s="4">
        <f t="shared" si="70"/>
        <v>2297.9270000000001</v>
      </c>
      <c r="E37" s="4">
        <f t="shared" si="70"/>
        <v>2450.8180000000002</v>
      </c>
      <c r="F37" s="103">
        <f>F17</f>
        <v>2450.8180000000002</v>
      </c>
      <c r="G37" s="103">
        <f>G17</f>
        <v>2450.8180000000002</v>
      </c>
      <c r="H37" s="103">
        <f>H17</f>
        <v>2450.8180000000002</v>
      </c>
      <c r="I37" s="103">
        <f>I17</f>
        <v>2450.8180000000002</v>
      </c>
      <c r="J37" s="103">
        <f>J17</f>
        <v>2450.8180000000002</v>
      </c>
      <c r="K37" s="103">
        <f>K17</f>
        <v>2450.8180000000002</v>
      </c>
      <c r="L37" s="103">
        <f>L17</f>
        <v>2450.8180000000002</v>
      </c>
      <c r="M37" s="103">
        <f>M17</f>
        <v>2450.8180000000002</v>
      </c>
      <c r="N37" s="103">
        <f>N17</f>
        <v>2450.8180000000002</v>
      </c>
      <c r="O37" s="103">
        <f>O17</f>
        <v>2450.8180000000002</v>
      </c>
      <c r="P37" s="103">
        <f>P17</f>
        <v>2450.8180000000002</v>
      </c>
      <c r="Q37" s="103">
        <f>Q17</f>
        <v>2450.8180000000002</v>
      </c>
      <c r="R37" s="103">
        <f>R17</f>
        <v>2450.8180000000002</v>
      </c>
      <c r="S37" s="103">
        <f>S17</f>
        <v>2450.8180000000002</v>
      </c>
      <c r="T37" s="103">
        <f>T17</f>
        <v>2450.8180000000002</v>
      </c>
      <c r="U37" s="103">
        <f>U17</f>
        <v>2450.8180000000002</v>
      </c>
    </row>
    <row r="38" spans="1:21" x14ac:dyDescent="0.25"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x14ac:dyDescent="0.25">
      <c r="A39" s="65" t="s">
        <v>117</v>
      </c>
      <c r="B39" s="108" t="s">
        <v>122</v>
      </c>
      <c r="C39" s="109">
        <v>44926</v>
      </c>
      <c r="D39" s="109">
        <v>45291</v>
      </c>
      <c r="E39" s="109">
        <v>45657</v>
      </c>
      <c r="F39" s="118">
        <v>46022</v>
      </c>
      <c r="G39" s="118">
        <v>46387</v>
      </c>
      <c r="H39" s="118">
        <v>46752</v>
      </c>
      <c r="I39" s="118">
        <v>47118</v>
      </c>
      <c r="J39" s="118">
        <v>47483</v>
      </c>
      <c r="K39" s="208">
        <v>2030</v>
      </c>
      <c r="L39" s="208">
        <f>K39+1</f>
        <v>2031</v>
      </c>
      <c r="M39" s="208">
        <f t="shared" ref="M39" si="71">L39+1</f>
        <v>2032</v>
      </c>
      <c r="N39" s="208">
        <f t="shared" ref="N39" si="72">M39+1</f>
        <v>2033</v>
      </c>
      <c r="O39" s="208">
        <f t="shared" ref="O39" si="73">N39+1</f>
        <v>2034</v>
      </c>
      <c r="P39" s="208">
        <f t="shared" ref="P39" si="74">O39+1</f>
        <v>2035</v>
      </c>
      <c r="Q39" s="208">
        <f t="shared" ref="Q39" si="75">P39+1</f>
        <v>2036</v>
      </c>
      <c r="R39" s="208">
        <f t="shared" ref="R39" si="76">Q39+1</f>
        <v>2037</v>
      </c>
      <c r="S39" s="208">
        <f t="shared" ref="S39" si="77">R39+1</f>
        <v>2038</v>
      </c>
      <c r="T39" s="208">
        <f t="shared" ref="T39" si="78">S39+1</f>
        <v>2039</v>
      </c>
      <c r="U39" s="208">
        <f t="shared" ref="U39" si="79">T39+1</f>
        <v>2040</v>
      </c>
    </row>
    <row r="40" spans="1:21" x14ac:dyDescent="0.25">
      <c r="A40" s="87"/>
      <c r="B40" s="167"/>
      <c r="C40" s="214"/>
      <c r="D40" s="214"/>
      <c r="E40" s="214"/>
      <c r="F40" s="306"/>
      <c r="G40" s="306"/>
      <c r="H40" s="306"/>
      <c r="I40" s="306"/>
      <c r="J40" s="30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</row>
    <row r="41" spans="1:21" x14ac:dyDescent="0.25">
      <c r="B41" s="4" t="s">
        <v>130</v>
      </c>
      <c r="C41" s="8">
        <f>BalSheet!C14/IncState!C14</f>
        <v>0.05</v>
      </c>
      <c r="D41" s="8">
        <f>BalSheet!D14/IncState!D14</f>
        <v>0.05</v>
      </c>
      <c r="E41" s="8">
        <f>BalSheet!E14/IncState!E14</f>
        <v>0.05</v>
      </c>
      <c r="F41" s="102">
        <f>E41</f>
        <v>0.05</v>
      </c>
      <c r="G41" s="102">
        <f t="shared" ref="G41:M41" si="80">F41</f>
        <v>0.05</v>
      </c>
      <c r="H41" s="102">
        <f t="shared" si="80"/>
        <v>0.05</v>
      </c>
      <c r="I41" s="102">
        <f t="shared" si="80"/>
        <v>0.05</v>
      </c>
      <c r="J41" s="102">
        <f t="shared" si="80"/>
        <v>0.05</v>
      </c>
      <c r="K41" s="102">
        <f t="shared" si="80"/>
        <v>0.05</v>
      </c>
      <c r="L41" s="102">
        <f t="shared" si="80"/>
        <v>0.05</v>
      </c>
      <c r="M41" s="102">
        <f t="shared" si="80"/>
        <v>0.05</v>
      </c>
      <c r="N41" s="102">
        <f t="shared" ref="N41:N43" si="81">M41</f>
        <v>0.05</v>
      </c>
      <c r="O41" s="102">
        <f t="shared" ref="O41:O43" si="82">N41</f>
        <v>0.05</v>
      </c>
      <c r="P41" s="102">
        <f t="shared" ref="P41:P43" si="83">O41</f>
        <v>0.05</v>
      </c>
      <c r="Q41" s="102">
        <f t="shared" ref="Q41:Q43" si="84">P41</f>
        <v>0.05</v>
      </c>
      <c r="R41" s="102">
        <f t="shared" ref="R41:R43" si="85">Q41</f>
        <v>0.05</v>
      </c>
      <c r="S41" s="102">
        <f t="shared" ref="S41:S43" si="86">R41</f>
        <v>0.05</v>
      </c>
      <c r="T41" s="102">
        <f t="shared" ref="T41:T43" si="87">S41</f>
        <v>0.05</v>
      </c>
      <c r="U41" s="102">
        <f t="shared" ref="U41:U43" si="88">T41</f>
        <v>0.05</v>
      </c>
    </row>
    <row r="42" spans="1:21" x14ac:dyDescent="0.25">
      <c r="B42" s="4" t="s">
        <v>143</v>
      </c>
      <c r="C42" s="8">
        <f>BalSheet!C16/IncState!C14</f>
        <v>0.13555272103935681</v>
      </c>
      <c r="D42" s="8">
        <f>BalSheet!D16/IncState!D14</f>
        <v>0.16394698096010268</v>
      </c>
      <c r="E42" s="8">
        <f>BalSheet!E16/IncState!E14</f>
        <v>0.20067932132079941</v>
      </c>
      <c r="F42" s="102">
        <f>E42</f>
        <v>0.20067932132079941</v>
      </c>
      <c r="G42" s="102">
        <f t="shared" ref="G42:M42" si="89">F42</f>
        <v>0.20067932132079941</v>
      </c>
      <c r="H42" s="102">
        <f t="shared" si="89"/>
        <v>0.20067932132079941</v>
      </c>
      <c r="I42" s="102">
        <f t="shared" si="89"/>
        <v>0.20067932132079941</v>
      </c>
      <c r="J42" s="102">
        <f t="shared" si="89"/>
        <v>0.20067932132079941</v>
      </c>
      <c r="K42" s="102">
        <f t="shared" si="89"/>
        <v>0.20067932132079941</v>
      </c>
      <c r="L42" s="102">
        <f t="shared" si="89"/>
        <v>0.20067932132079941</v>
      </c>
      <c r="M42" s="102">
        <f t="shared" si="89"/>
        <v>0.20067932132079941</v>
      </c>
      <c r="N42" s="102">
        <f t="shared" si="81"/>
        <v>0.20067932132079941</v>
      </c>
      <c r="O42" s="102">
        <f t="shared" si="82"/>
        <v>0.20067932132079941</v>
      </c>
      <c r="P42" s="102">
        <f t="shared" si="83"/>
        <v>0.20067932132079941</v>
      </c>
      <c r="Q42" s="102">
        <f t="shared" si="84"/>
        <v>0.20067932132079941</v>
      </c>
      <c r="R42" s="102">
        <f t="shared" si="85"/>
        <v>0.20067932132079941</v>
      </c>
      <c r="S42" s="102">
        <f t="shared" si="86"/>
        <v>0.20067932132079941</v>
      </c>
      <c r="T42" s="102">
        <f t="shared" si="87"/>
        <v>0.20067932132079941</v>
      </c>
      <c r="U42" s="102">
        <f t="shared" si="88"/>
        <v>0.20067932132079941</v>
      </c>
    </row>
    <row r="43" spans="1:21" x14ac:dyDescent="0.25">
      <c r="B43" s="4" t="s">
        <v>58</v>
      </c>
      <c r="C43" s="8">
        <f>BalSheet!C17/IncState!C14</f>
        <v>7.847645512209378E-2</v>
      </c>
      <c r="D43" s="8">
        <f>BalSheet!D17/IncState!D14</f>
        <v>4.4788522488867472E-2</v>
      </c>
      <c r="E43" s="8">
        <f>BalSheet!E17/IncState!E14</f>
        <v>4.5106851946269885E-2</v>
      </c>
      <c r="F43" s="102">
        <f t="shared" ref="F43:M43" si="90">E43</f>
        <v>4.5106851946269885E-2</v>
      </c>
      <c r="G43" s="102">
        <f t="shared" si="90"/>
        <v>4.5106851946269885E-2</v>
      </c>
      <c r="H43" s="102">
        <f t="shared" si="90"/>
        <v>4.5106851946269885E-2</v>
      </c>
      <c r="I43" s="102">
        <f t="shared" si="90"/>
        <v>4.5106851946269885E-2</v>
      </c>
      <c r="J43" s="102">
        <f t="shared" si="90"/>
        <v>4.5106851946269885E-2</v>
      </c>
      <c r="K43" s="102">
        <f t="shared" si="90"/>
        <v>4.5106851946269885E-2</v>
      </c>
      <c r="L43" s="102">
        <f t="shared" si="90"/>
        <v>4.5106851946269885E-2</v>
      </c>
      <c r="M43" s="102">
        <f t="shared" si="90"/>
        <v>4.5106851946269885E-2</v>
      </c>
      <c r="N43" s="102">
        <f t="shared" si="81"/>
        <v>4.5106851946269885E-2</v>
      </c>
      <c r="O43" s="102">
        <f t="shared" si="82"/>
        <v>4.5106851946269885E-2</v>
      </c>
      <c r="P43" s="102">
        <f t="shared" si="83"/>
        <v>4.5106851946269885E-2</v>
      </c>
      <c r="Q43" s="102">
        <f t="shared" si="84"/>
        <v>4.5106851946269885E-2</v>
      </c>
      <c r="R43" s="102">
        <f t="shared" si="85"/>
        <v>4.5106851946269885E-2</v>
      </c>
      <c r="S43" s="102">
        <f t="shared" si="86"/>
        <v>4.5106851946269885E-2</v>
      </c>
      <c r="T43" s="102">
        <f t="shared" si="87"/>
        <v>4.5106851946269885E-2</v>
      </c>
      <c r="U43" s="102">
        <f t="shared" si="88"/>
        <v>4.5106851946269885E-2</v>
      </c>
    </row>
    <row r="44" spans="1:21" x14ac:dyDescent="0.25">
      <c r="B44" s="4" t="s">
        <v>59</v>
      </c>
      <c r="C44" s="8">
        <f>BalSheet!C21/IncState!C14</f>
        <v>7.8836395537788234E-2</v>
      </c>
      <c r="D44" s="8">
        <f>BalSheet!D21/IncState!D14</f>
        <v>6.8847269138323744E-2</v>
      </c>
      <c r="E44" s="8">
        <f>BalSheet!E21/IncState!E14</f>
        <v>5.8006139925674584E-2</v>
      </c>
      <c r="F44" s="102">
        <f>E44</f>
        <v>5.8006139925674584E-2</v>
      </c>
      <c r="G44" s="102">
        <f t="shared" ref="G44:M44" si="91">F44</f>
        <v>5.8006139925674584E-2</v>
      </c>
      <c r="H44" s="102">
        <f t="shared" si="91"/>
        <v>5.8006139925674584E-2</v>
      </c>
      <c r="I44" s="102">
        <f t="shared" si="91"/>
        <v>5.8006139925674584E-2</v>
      </c>
      <c r="J44" s="102">
        <f t="shared" si="91"/>
        <v>5.8006139925674584E-2</v>
      </c>
      <c r="K44" s="102">
        <f t="shared" si="91"/>
        <v>5.8006139925674584E-2</v>
      </c>
      <c r="L44" s="102">
        <f t="shared" si="91"/>
        <v>5.8006139925674584E-2</v>
      </c>
      <c r="M44" s="102">
        <f t="shared" si="91"/>
        <v>5.8006139925674584E-2</v>
      </c>
      <c r="N44" s="102">
        <f t="shared" ref="N44" si="92">M44</f>
        <v>5.8006139925674584E-2</v>
      </c>
      <c r="O44" s="102">
        <f t="shared" ref="O44" si="93">N44</f>
        <v>5.8006139925674584E-2</v>
      </c>
      <c r="P44" s="102">
        <f t="shared" ref="P44" si="94">O44</f>
        <v>5.8006139925674584E-2</v>
      </c>
      <c r="Q44" s="102">
        <f t="shared" ref="Q44" si="95">P44</f>
        <v>5.8006139925674584E-2</v>
      </c>
      <c r="R44" s="102">
        <f t="shared" ref="R44" si="96">Q44</f>
        <v>5.8006139925674584E-2</v>
      </c>
      <c r="S44" s="102">
        <f t="shared" ref="S44" si="97">R44</f>
        <v>5.8006139925674584E-2</v>
      </c>
      <c r="T44" s="102">
        <f t="shared" ref="T44" si="98">S44</f>
        <v>5.8006139925674584E-2</v>
      </c>
      <c r="U44" s="102">
        <f t="shared" ref="U44" si="99">T44</f>
        <v>5.8006139925674584E-2</v>
      </c>
    </row>
    <row r="45" spans="1:21" x14ac:dyDescent="0.25"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x14ac:dyDescent="0.25">
      <c r="A46" s="65" t="s">
        <v>117</v>
      </c>
      <c r="B46" s="108" t="s">
        <v>123</v>
      </c>
      <c r="C46" s="109">
        <v>44926</v>
      </c>
      <c r="D46" s="109">
        <v>45291</v>
      </c>
      <c r="E46" s="109">
        <v>45657</v>
      </c>
      <c r="F46" s="118">
        <v>46022</v>
      </c>
      <c r="G46" s="118">
        <v>46387</v>
      </c>
      <c r="H46" s="118">
        <v>46752</v>
      </c>
      <c r="I46" s="118">
        <v>47118</v>
      </c>
      <c r="J46" s="118">
        <v>47483</v>
      </c>
      <c r="K46" s="208">
        <v>2030</v>
      </c>
      <c r="L46" s="208">
        <f>K46+1</f>
        <v>2031</v>
      </c>
      <c r="M46" s="208">
        <f t="shared" ref="M46" si="100">L46+1</f>
        <v>2032</v>
      </c>
      <c r="N46" s="208">
        <f t="shared" ref="N46" si="101">M46+1</f>
        <v>2033</v>
      </c>
      <c r="O46" s="208">
        <f t="shared" ref="O46" si="102">N46+1</f>
        <v>2034</v>
      </c>
      <c r="P46" s="208">
        <f t="shared" ref="P46" si="103">O46+1</f>
        <v>2035</v>
      </c>
      <c r="Q46" s="208">
        <f t="shared" ref="Q46" si="104">P46+1</f>
        <v>2036</v>
      </c>
      <c r="R46" s="208">
        <f t="shared" ref="R46" si="105">Q46+1</f>
        <v>2037</v>
      </c>
      <c r="S46" s="208">
        <f t="shared" ref="S46" si="106">R46+1</f>
        <v>2038</v>
      </c>
      <c r="T46" s="208">
        <f t="shared" ref="T46" si="107">S46+1</f>
        <v>2039</v>
      </c>
      <c r="U46" s="208">
        <f t="shared" ref="U46" si="108">T46+1</f>
        <v>2040</v>
      </c>
    </row>
    <row r="47" spans="1:21" x14ac:dyDescent="0.25">
      <c r="A47" s="87"/>
      <c r="B47" s="167"/>
      <c r="C47" s="214"/>
      <c r="D47" s="214"/>
      <c r="E47" s="214"/>
      <c r="F47" s="306"/>
      <c r="G47" s="306"/>
      <c r="H47" s="306"/>
      <c r="I47" s="306"/>
      <c r="J47" s="30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</row>
    <row r="48" spans="1:21" x14ac:dyDescent="0.25">
      <c r="B48" s="4" t="s">
        <v>144</v>
      </c>
      <c r="C48" s="8">
        <f>BalSheet!C27/IncState!C15</f>
        <v>0.53238052811419956</v>
      </c>
      <c r="D48" s="8">
        <f>BalSheet!D27/IncState!D15</f>
        <v>0.54537293698750877</v>
      </c>
      <c r="E48" s="8">
        <f>BalSheet!E27/IncState!E15</f>
        <v>0.75469354582236436</v>
      </c>
      <c r="F48" s="102">
        <f t="shared" ref="F48:M48" si="109">E48</f>
        <v>0.75469354582236436</v>
      </c>
      <c r="G48" s="102">
        <f t="shared" si="109"/>
        <v>0.75469354582236436</v>
      </c>
      <c r="H48" s="102">
        <f t="shared" si="109"/>
        <v>0.75469354582236436</v>
      </c>
      <c r="I48" s="102">
        <f t="shared" si="109"/>
        <v>0.75469354582236436</v>
      </c>
      <c r="J48" s="102">
        <f t="shared" si="109"/>
        <v>0.75469354582236436</v>
      </c>
      <c r="K48" s="102">
        <f t="shared" si="109"/>
        <v>0.75469354582236436</v>
      </c>
      <c r="L48" s="102">
        <f t="shared" si="109"/>
        <v>0.75469354582236436</v>
      </c>
      <c r="M48" s="102">
        <f t="shared" si="109"/>
        <v>0.75469354582236436</v>
      </c>
      <c r="N48" s="102">
        <f t="shared" ref="N48:N50" si="110">M48</f>
        <v>0.75469354582236436</v>
      </c>
      <c r="O48" s="102">
        <f t="shared" ref="O48:O50" si="111">N48</f>
        <v>0.75469354582236436</v>
      </c>
      <c r="P48" s="102">
        <f t="shared" ref="P48:P50" si="112">O48</f>
        <v>0.75469354582236436</v>
      </c>
      <c r="Q48" s="102">
        <f t="shared" ref="Q48:Q50" si="113">P48</f>
        <v>0.75469354582236436</v>
      </c>
      <c r="R48" s="102">
        <f t="shared" ref="R48:R50" si="114">Q48</f>
        <v>0.75469354582236436</v>
      </c>
      <c r="S48" s="102">
        <f t="shared" ref="S48:S50" si="115">R48</f>
        <v>0.75469354582236436</v>
      </c>
      <c r="T48" s="102">
        <f t="shared" ref="T48:T50" si="116">S48</f>
        <v>0.75469354582236436</v>
      </c>
      <c r="U48" s="102">
        <f t="shared" ref="U48:U50" si="117">T48</f>
        <v>0.75469354582236436</v>
      </c>
    </row>
    <row r="49" spans="2:21" x14ac:dyDescent="0.25">
      <c r="B49" s="4" t="s">
        <v>60</v>
      </c>
      <c r="C49" s="8">
        <f>BalSheet!C28/IncState!C14</f>
        <v>0.19436677508603678</v>
      </c>
      <c r="D49" s="8">
        <f>BalSheet!D28/IncState!D14</f>
        <v>0.22961898632456812</v>
      </c>
      <c r="E49" s="8">
        <f>BalSheet!E28/IncState!E14</f>
        <v>0.19852298389080886</v>
      </c>
      <c r="F49" s="102">
        <f t="shared" ref="F49:M49" si="118">E49</f>
        <v>0.19852298389080886</v>
      </c>
      <c r="G49" s="102">
        <f t="shared" si="118"/>
        <v>0.19852298389080886</v>
      </c>
      <c r="H49" s="102">
        <f t="shared" si="118"/>
        <v>0.19852298389080886</v>
      </c>
      <c r="I49" s="102">
        <f t="shared" si="118"/>
        <v>0.19852298389080886</v>
      </c>
      <c r="J49" s="102">
        <f t="shared" si="118"/>
        <v>0.19852298389080886</v>
      </c>
      <c r="K49" s="102">
        <f t="shared" si="118"/>
        <v>0.19852298389080886</v>
      </c>
      <c r="L49" s="102">
        <f t="shared" si="118"/>
        <v>0.19852298389080886</v>
      </c>
      <c r="M49" s="102">
        <f t="shared" si="118"/>
        <v>0.19852298389080886</v>
      </c>
      <c r="N49" s="102">
        <f t="shared" si="110"/>
        <v>0.19852298389080886</v>
      </c>
      <c r="O49" s="102">
        <f t="shared" si="111"/>
        <v>0.19852298389080886</v>
      </c>
      <c r="P49" s="102">
        <f t="shared" si="112"/>
        <v>0.19852298389080886</v>
      </c>
      <c r="Q49" s="102">
        <f t="shared" si="113"/>
        <v>0.19852298389080886</v>
      </c>
      <c r="R49" s="102">
        <f t="shared" si="114"/>
        <v>0.19852298389080886</v>
      </c>
      <c r="S49" s="102">
        <f t="shared" si="115"/>
        <v>0.19852298389080886</v>
      </c>
      <c r="T49" s="102">
        <f t="shared" si="116"/>
        <v>0.19852298389080886</v>
      </c>
      <c r="U49" s="102">
        <f t="shared" si="117"/>
        <v>0.19852298389080886</v>
      </c>
    </row>
    <row r="50" spans="2:21" x14ac:dyDescent="0.25">
      <c r="B50" s="4" t="s">
        <v>61</v>
      </c>
      <c r="C50" s="8">
        <f>BalSheet!C32/IncState!C14</f>
        <v>0.12113149315982036</v>
      </c>
      <c r="D50" s="8">
        <f>BalSheet!D32/IncState!D14</f>
        <v>9.682734295365597E-2</v>
      </c>
      <c r="E50" s="8">
        <f>BalSheet!E32/IncState!E14</f>
        <v>8.740477688590538E-2</v>
      </c>
      <c r="F50" s="102">
        <f t="shared" ref="F50:M50" si="119">E50</f>
        <v>8.740477688590538E-2</v>
      </c>
      <c r="G50" s="102">
        <f t="shared" si="119"/>
        <v>8.740477688590538E-2</v>
      </c>
      <c r="H50" s="102">
        <f t="shared" si="119"/>
        <v>8.740477688590538E-2</v>
      </c>
      <c r="I50" s="102">
        <f t="shared" si="119"/>
        <v>8.740477688590538E-2</v>
      </c>
      <c r="J50" s="102">
        <f t="shared" si="119"/>
        <v>8.740477688590538E-2</v>
      </c>
      <c r="K50" s="102">
        <f t="shared" si="119"/>
        <v>8.740477688590538E-2</v>
      </c>
      <c r="L50" s="102">
        <f t="shared" si="119"/>
        <v>8.740477688590538E-2</v>
      </c>
      <c r="M50" s="102">
        <f t="shared" si="119"/>
        <v>8.740477688590538E-2</v>
      </c>
      <c r="N50" s="102">
        <f t="shared" si="110"/>
        <v>8.740477688590538E-2</v>
      </c>
      <c r="O50" s="102">
        <f t="shared" si="111"/>
        <v>8.740477688590538E-2</v>
      </c>
      <c r="P50" s="102">
        <f t="shared" si="112"/>
        <v>8.740477688590538E-2</v>
      </c>
      <c r="Q50" s="102">
        <f t="shared" si="113"/>
        <v>8.740477688590538E-2</v>
      </c>
      <c r="R50" s="102">
        <f t="shared" si="114"/>
        <v>8.740477688590538E-2</v>
      </c>
      <c r="S50" s="102">
        <f t="shared" si="115"/>
        <v>8.740477688590538E-2</v>
      </c>
      <c r="T50" s="102">
        <f t="shared" si="116"/>
        <v>8.740477688590538E-2</v>
      </c>
      <c r="U50" s="102">
        <f t="shared" si="117"/>
        <v>8.740477688590538E-2</v>
      </c>
    </row>
    <row r="51" spans="2:21" x14ac:dyDescent="0.25">
      <c r="F51" s="127"/>
      <c r="G51" s="31"/>
      <c r="H51" s="31"/>
      <c r="I51" s="31"/>
      <c r="J51" s="31"/>
    </row>
    <row r="52" spans="2:21" x14ac:dyDescent="0.25">
      <c r="F52" s="128"/>
      <c r="G52" s="96"/>
      <c r="H52" s="96"/>
      <c r="I52" s="96"/>
      <c r="J52" s="96"/>
    </row>
    <row r="53" spans="2:21" x14ac:dyDescent="0.25">
      <c r="F53" s="96"/>
      <c r="G53" s="96"/>
      <c r="H53" s="96"/>
      <c r="I53" s="96"/>
      <c r="J53" s="96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D7:D8 F48:U50 F52:J53 F36:U37 F41:U44 F11:U32 F6:U8">
    <cfRule type="expression" dxfId="7" priority="14">
      <formula>$E$10&gt;1</formula>
    </cfRule>
  </conditionalFormatting>
  <conditionalFormatting sqref="E7">
    <cfRule type="expression" dxfId="6" priority="32">
      <formula>$E$10&lt;&gt;2</formula>
    </cfRule>
  </conditionalFormatting>
  <conditionalFormatting sqref="E8">
    <cfRule type="expression" dxfId="5" priority="33">
      <formula>$E$10&lt;&gt;3</formula>
    </cfRule>
  </conditionalFormatting>
  <conditionalFormatting sqref="K34:U35">
    <cfRule type="expression" dxfId="4" priority="3">
      <formula>$E$10&gt;1</formula>
    </cfRule>
  </conditionalFormatting>
  <conditionalFormatting sqref="K39:U40">
    <cfRule type="expression" dxfId="3" priority="2">
      <formula>$E$10&gt;1</formula>
    </cfRule>
  </conditionalFormatting>
  <conditionalFormatting sqref="K46:U47">
    <cfRule type="expression" dxfId="2" priority="1">
      <formula>$E$10&gt;1</formula>
    </cfRule>
  </conditionalFormatting>
  <dataValidations count="1">
    <dataValidation type="list" allowBlank="1" showInputMessage="1" showErrorMessage="1" sqref="D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N6"/>
  <sheetViews>
    <sheetView showGridLines="0" topLeftCell="Y1" workbookViewId="0">
      <selection activeCell="AB4" sqref="AB4"/>
    </sheetView>
  </sheetViews>
  <sheetFormatPr defaultColWidth="11.7109375" defaultRowHeight="15" x14ac:dyDescent="0.25"/>
  <cols>
    <col min="1" max="1" width="2" style="4" bestFit="1" customWidth="1"/>
    <col min="2" max="2" width="15.28515625" style="4" bestFit="1" customWidth="1"/>
    <col min="3" max="16384" width="11.7109375" style="4"/>
  </cols>
  <sheetData>
    <row r="1" spans="1:40" ht="19.5" x14ac:dyDescent="0.3">
      <c r="A1" s="300" t="str">
        <f>CoName</f>
        <v>Palantir Technologies Inc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40" s="317" customFormat="1" x14ac:dyDescent="0.25">
      <c r="A2" s="316" t="s">
        <v>193</v>
      </c>
      <c r="B2" s="316"/>
      <c r="C2" s="318">
        <v>2019</v>
      </c>
      <c r="D2" s="318">
        <v>2020</v>
      </c>
      <c r="E2" s="318">
        <v>2021</v>
      </c>
      <c r="F2" s="318">
        <v>2022</v>
      </c>
      <c r="G2" s="318" t="s">
        <v>195</v>
      </c>
      <c r="H2" s="318" t="s">
        <v>196</v>
      </c>
      <c r="I2" s="318" t="s">
        <v>198</v>
      </c>
      <c r="J2" s="318" t="s">
        <v>197</v>
      </c>
      <c r="K2" s="318">
        <v>2023</v>
      </c>
      <c r="L2" s="318" t="s">
        <v>199</v>
      </c>
      <c r="M2" s="318" t="s">
        <v>200</v>
      </c>
      <c r="N2" s="318" t="s">
        <v>201</v>
      </c>
      <c r="O2" s="318" t="s">
        <v>202</v>
      </c>
      <c r="P2" s="318">
        <v>2024</v>
      </c>
      <c r="Q2" s="318" t="s">
        <v>203</v>
      </c>
      <c r="R2" s="318" t="s">
        <v>204</v>
      </c>
      <c r="S2" s="318" t="s">
        <v>205</v>
      </c>
      <c r="T2" s="318" t="s">
        <v>206</v>
      </c>
      <c r="U2" s="318">
        <v>2025</v>
      </c>
      <c r="V2" s="318" t="s">
        <v>207</v>
      </c>
      <c r="W2" s="318" t="s">
        <v>208</v>
      </c>
      <c r="X2" s="318" t="s">
        <v>209</v>
      </c>
      <c r="Y2" s="318" t="s">
        <v>210</v>
      </c>
      <c r="Z2" s="318">
        <f>U2+1</f>
        <v>2026</v>
      </c>
      <c r="AA2" s="318">
        <f t="shared" ref="AA2:AN2" si="0">Z2+1</f>
        <v>2027</v>
      </c>
      <c r="AB2" s="318">
        <f t="shared" si="0"/>
        <v>2028</v>
      </c>
      <c r="AC2" s="318">
        <f t="shared" si="0"/>
        <v>2029</v>
      </c>
      <c r="AD2" s="318">
        <f t="shared" si="0"/>
        <v>2030</v>
      </c>
      <c r="AE2" s="318">
        <f t="shared" si="0"/>
        <v>2031</v>
      </c>
      <c r="AF2" s="318">
        <f t="shared" si="0"/>
        <v>2032</v>
      </c>
      <c r="AG2" s="318">
        <f t="shared" si="0"/>
        <v>2033</v>
      </c>
      <c r="AH2" s="318">
        <f t="shared" si="0"/>
        <v>2034</v>
      </c>
      <c r="AI2" s="318">
        <f t="shared" si="0"/>
        <v>2035</v>
      </c>
      <c r="AJ2" s="318">
        <f t="shared" si="0"/>
        <v>2036</v>
      </c>
      <c r="AK2" s="318">
        <f t="shared" si="0"/>
        <v>2037</v>
      </c>
      <c r="AL2" s="318">
        <f t="shared" si="0"/>
        <v>2038</v>
      </c>
      <c r="AM2" s="318">
        <f t="shared" si="0"/>
        <v>2039</v>
      </c>
      <c r="AN2" s="318">
        <f t="shared" si="0"/>
        <v>2040</v>
      </c>
    </row>
    <row r="3" spans="1:40" s="11" customFormat="1" x14ac:dyDescent="0.25">
      <c r="A3" s="11" t="s">
        <v>117</v>
      </c>
      <c r="B3" s="11" t="s">
        <v>194</v>
      </c>
      <c r="C3" s="11">
        <v>742.55499999999995</v>
      </c>
      <c r="D3" s="11">
        <v>1092.673</v>
      </c>
      <c r="E3" s="11">
        <v>1541.8889999999999</v>
      </c>
      <c r="F3" s="25">
        <v>1905.8710000000001</v>
      </c>
      <c r="G3" s="4">
        <v>525.20000000000005</v>
      </c>
      <c r="H3" s="4">
        <v>533.29999999999995</v>
      </c>
      <c r="I3" s="4">
        <v>558.20000000000005</v>
      </c>
      <c r="J3" s="28">
        <v>608.4</v>
      </c>
      <c r="K3" s="320">
        <f>SUM(G3:J3)</f>
        <v>2225.1</v>
      </c>
      <c r="L3" s="4">
        <v>634.1</v>
      </c>
      <c r="M3" s="4">
        <v>678.1</v>
      </c>
      <c r="N3" s="4">
        <v>725.5</v>
      </c>
      <c r="O3" s="28">
        <v>827.5</v>
      </c>
      <c r="P3" s="320">
        <f>SUM(L3:O3)</f>
        <v>2865.2</v>
      </c>
      <c r="Q3" s="4">
        <v>883.9</v>
      </c>
      <c r="R3" s="4">
        <v>1003.7</v>
      </c>
      <c r="S3" s="4">
        <v>1181.0999999999999</v>
      </c>
      <c r="T3" s="28">
        <v>1310</v>
      </c>
      <c r="U3" s="320">
        <f>SUM(Q3:T3)</f>
        <v>4378.7</v>
      </c>
      <c r="V3" s="4">
        <f>Q3*(1+V4)</f>
        <v>1344.6707974441535</v>
      </c>
      <c r="W3" s="4">
        <f t="shared" ref="W3:Y3" si="1">R3*(1+W4)</f>
        <v>1526.9216872889435</v>
      </c>
      <c r="X3" s="4">
        <f t="shared" si="1"/>
        <v>1796.7990483779724</v>
      </c>
      <c r="Y3" s="28">
        <f t="shared" si="1"/>
        <v>1992.8937036450293</v>
      </c>
      <c r="Z3" s="11">
        <f>SUM(V3:Y3)</f>
        <v>6661.285236756099</v>
      </c>
      <c r="AA3" s="11">
        <f>Z3*(1+AA4)</f>
        <v>9459.0250361936596</v>
      </c>
      <c r="AB3" s="11">
        <f t="shared" ref="AB3:AN3" si="2">AA3*(1+AB4)</f>
        <v>13384.520426214029</v>
      </c>
      <c r="AC3" s="11">
        <f t="shared" si="2"/>
        <v>18872.17380096178</v>
      </c>
      <c r="AD3" s="11">
        <f t="shared" si="2"/>
        <v>26515.404190351303</v>
      </c>
      <c r="AE3" s="11">
        <f t="shared" si="2"/>
        <v>37121.565866491823</v>
      </c>
      <c r="AF3" s="11">
        <f t="shared" si="2"/>
        <v>51784.584383756097</v>
      </c>
      <c r="AG3" s="11">
        <f t="shared" si="2"/>
        <v>71980.572293420963</v>
      </c>
      <c r="AH3" s="11">
        <f t="shared" si="2"/>
        <v>99693.092626388039</v>
      </c>
      <c r="AI3" s="11">
        <f t="shared" si="2"/>
        <v>137576.46782441548</v>
      </c>
      <c r="AJ3" s="11">
        <f t="shared" si="2"/>
        <v>189167.64325857128</v>
      </c>
      <c r="AK3" s="11">
        <f t="shared" si="2"/>
        <v>259159.67126424261</v>
      </c>
      <c r="AL3" s="11">
        <f t="shared" si="2"/>
        <v>353752.95127569116</v>
      </c>
      <c r="AM3" s="11">
        <f t="shared" si="2"/>
        <v>481104.01373493992</v>
      </c>
      <c r="AN3" s="25">
        <f t="shared" si="2"/>
        <v>651895.93861084362</v>
      </c>
    </row>
    <row r="4" spans="1:40" s="205" customFormat="1" x14ac:dyDescent="0.25">
      <c r="B4" s="205" t="s">
        <v>211</v>
      </c>
      <c r="C4" s="205">
        <f>C3/595.4-1</f>
        <v>0.24715317433658046</v>
      </c>
      <c r="D4" s="205">
        <f>D3/C3-1</f>
        <v>0.47150446768252863</v>
      </c>
      <c r="E4" s="205">
        <f t="shared" ref="E4:F4" si="3">E3/D3-1</f>
        <v>0.41111659206368234</v>
      </c>
      <c r="F4" s="319">
        <f t="shared" si="3"/>
        <v>0.23606238840798532</v>
      </c>
      <c r="G4" s="205">
        <f>G3/432.9-1</f>
        <v>0.2132132132132134</v>
      </c>
      <c r="H4" s="205">
        <f>H3/473-1</f>
        <v>0.12748414376321349</v>
      </c>
      <c r="I4" s="205">
        <f>I3/477.9-1</f>
        <v>0.16802678384599301</v>
      </c>
      <c r="J4" s="319">
        <f>J3/508.6-1</f>
        <v>0.19622493118364126</v>
      </c>
      <c r="K4" s="321">
        <f>K3/F3-1</f>
        <v>0.16749769527948111</v>
      </c>
      <c r="L4" s="205">
        <f>L3/G3-1</f>
        <v>0.20734958111195723</v>
      </c>
      <c r="M4" s="205">
        <f t="shared" ref="M4:O4" si="4">M3/H3-1</f>
        <v>0.27151696981061324</v>
      </c>
      <c r="N4" s="205">
        <f t="shared" si="4"/>
        <v>0.29971336438552476</v>
      </c>
      <c r="O4" s="205">
        <f t="shared" si="4"/>
        <v>0.36012491781722566</v>
      </c>
      <c r="P4" s="321">
        <f>P3/K3-1</f>
        <v>0.28767246415891412</v>
      </c>
      <c r="Q4" s="205">
        <f>Q3/L3-1</f>
        <v>0.39394417284340011</v>
      </c>
      <c r="R4" s="205">
        <f t="shared" ref="R4" si="5">R3/M3-1</f>
        <v>0.48016516737944248</v>
      </c>
      <c r="S4" s="205">
        <f t="shared" ref="S4" si="6">S3/N3-1</f>
        <v>0.62798070296347341</v>
      </c>
      <c r="T4" s="205">
        <f t="shared" ref="T4" si="7">T3/O3-1</f>
        <v>0.58308157099697877</v>
      </c>
      <c r="U4" s="325">
        <f>U3/P3-1</f>
        <v>0.52823537623900596</v>
      </c>
      <c r="V4" s="324">
        <f>AVERAGE(Q4:T4)</f>
        <v>0.52129290354582369</v>
      </c>
      <c r="W4" s="324">
        <f>V4</f>
        <v>0.52129290354582369</v>
      </c>
      <c r="X4" s="324">
        <f t="shared" ref="X4:Y4" si="8">W4</f>
        <v>0.52129290354582369</v>
      </c>
      <c r="Y4" s="324">
        <f t="shared" si="8"/>
        <v>0.52129290354582369</v>
      </c>
      <c r="Z4" s="327">
        <f>Z3/U3-1</f>
        <v>0.52129290354582403</v>
      </c>
      <c r="AA4" s="328">
        <v>0.42</v>
      </c>
      <c r="AB4" s="324">
        <f>AA4-0.005</f>
        <v>0.41499999999999998</v>
      </c>
      <c r="AC4" s="324">
        <f t="shared" ref="AC4:AN4" si="9">AB4-0.005</f>
        <v>0.41</v>
      </c>
      <c r="AD4" s="324">
        <f t="shared" si="9"/>
        <v>0.40499999999999997</v>
      </c>
      <c r="AE4" s="324">
        <f t="shared" si="9"/>
        <v>0.39999999999999997</v>
      </c>
      <c r="AF4" s="324">
        <f t="shared" si="9"/>
        <v>0.39499999999999996</v>
      </c>
      <c r="AG4" s="324">
        <f t="shared" si="9"/>
        <v>0.38999999999999996</v>
      </c>
      <c r="AH4" s="324">
        <f t="shared" si="9"/>
        <v>0.38499999999999995</v>
      </c>
      <c r="AI4" s="324">
        <f t="shared" si="9"/>
        <v>0.37999999999999995</v>
      </c>
      <c r="AJ4" s="324">
        <f t="shared" si="9"/>
        <v>0.37499999999999994</v>
      </c>
      <c r="AK4" s="324">
        <f t="shared" si="9"/>
        <v>0.36999999999999994</v>
      </c>
      <c r="AL4" s="324">
        <f t="shared" si="9"/>
        <v>0.36499999999999994</v>
      </c>
      <c r="AM4" s="324">
        <f t="shared" si="9"/>
        <v>0.35999999999999993</v>
      </c>
      <c r="AN4" s="324">
        <f t="shared" si="9"/>
        <v>0.35499999999999993</v>
      </c>
    </row>
    <row r="5" spans="1:40" s="205" customFormat="1" x14ac:dyDescent="0.25">
      <c r="B5" s="205" t="s">
        <v>212</v>
      </c>
      <c r="F5" s="319"/>
      <c r="G5" s="205">
        <f>G3/508.6-1</f>
        <v>3.2638615808100679E-2</v>
      </c>
      <c r="H5" s="205">
        <f>H3/G3-1</f>
        <v>1.54226961157653E-2</v>
      </c>
      <c r="I5" s="205">
        <f t="shared" ref="I5:O5" si="10">I3/H3-1</f>
        <v>4.6690418151134727E-2</v>
      </c>
      <c r="J5" s="205">
        <f t="shared" si="10"/>
        <v>8.9931924041562139E-2</v>
      </c>
      <c r="K5" s="321"/>
      <c r="L5" s="205">
        <f>L3/J3-1</f>
        <v>4.2241946088100057E-2</v>
      </c>
      <c r="M5" s="205">
        <f>M3/L3-1</f>
        <v>6.938968616937391E-2</v>
      </c>
      <c r="N5" s="205">
        <f t="shared" si="10"/>
        <v>6.9901194514083498E-2</v>
      </c>
      <c r="O5" s="205">
        <f t="shared" si="10"/>
        <v>0.14059269469331492</v>
      </c>
      <c r="P5" s="321"/>
      <c r="Q5" s="205">
        <f>Q3/L3-1</f>
        <v>0.39394417284340011</v>
      </c>
      <c r="R5" s="205">
        <f>R3/Q3-1</f>
        <v>0.13553569408304122</v>
      </c>
      <c r="S5" s="205">
        <f t="shared" ref="S5:T5" si="11">S3/R3-1</f>
        <v>0.17674603965328273</v>
      </c>
      <c r="T5" s="205">
        <f t="shared" si="11"/>
        <v>0.10913555160443655</v>
      </c>
      <c r="U5" s="325"/>
      <c r="V5" s="323">
        <f>V3/Q3-1</f>
        <v>0.5212929035458238</v>
      </c>
      <c r="W5" s="323">
        <f>W3/V3-1</f>
        <v>0.13553569408304122</v>
      </c>
      <c r="X5" s="323">
        <f t="shared" ref="X5:Y5" si="12">X3/W3-1</f>
        <v>0.17674603965328273</v>
      </c>
      <c r="Y5" s="322">
        <f t="shared" si="12"/>
        <v>0.10913555160443655</v>
      </c>
      <c r="Z5" s="324"/>
      <c r="AA5" s="324"/>
      <c r="AB5" s="324"/>
      <c r="AC5" s="324"/>
      <c r="AD5" s="324"/>
      <c r="AE5" s="324"/>
      <c r="AF5" s="324"/>
      <c r="AG5" s="324"/>
      <c r="AH5" s="324"/>
      <c r="AI5" s="324"/>
      <c r="AJ5" s="324"/>
      <c r="AK5" s="324"/>
      <c r="AL5" s="324"/>
      <c r="AM5" s="324"/>
      <c r="AN5" s="326"/>
    </row>
    <row r="6" spans="1:40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U38"/>
  <sheetViews>
    <sheetView showGridLines="0" topLeftCell="K13" zoomScaleNormal="100" workbookViewId="0">
      <selection activeCell="F18" sqref="F18:U2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1" width="11.7109375" style="4" customWidth="1"/>
    <col min="22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x14ac:dyDescent="0.25">
      <c r="A2" s="21" t="s">
        <v>10</v>
      </c>
      <c r="B2" s="20"/>
      <c r="C2" s="211">
        <v>2022</v>
      </c>
      <c r="D2" s="297">
        <f>C2+1</f>
        <v>2023</v>
      </c>
      <c r="E2" s="297">
        <f t="shared" ref="E2:M2" si="0">D2+1</f>
        <v>2024</v>
      </c>
      <c r="F2" s="297">
        <f t="shared" si="0"/>
        <v>2025</v>
      </c>
      <c r="G2" s="297">
        <f t="shared" si="0"/>
        <v>2026</v>
      </c>
      <c r="H2" s="297">
        <f t="shared" si="0"/>
        <v>2027</v>
      </c>
      <c r="I2" s="297">
        <f t="shared" si="0"/>
        <v>2028</v>
      </c>
      <c r="J2" s="297">
        <f t="shared" si="0"/>
        <v>2029</v>
      </c>
      <c r="K2" s="297">
        <f t="shared" si="0"/>
        <v>2030</v>
      </c>
      <c r="L2" s="297">
        <f t="shared" si="0"/>
        <v>2031</v>
      </c>
      <c r="M2" s="297">
        <f t="shared" si="0"/>
        <v>2032</v>
      </c>
      <c r="N2" s="297">
        <f t="shared" ref="N2" si="1">M2+1</f>
        <v>2033</v>
      </c>
      <c r="O2" s="297">
        <f t="shared" ref="O2" si="2">N2+1</f>
        <v>2034</v>
      </c>
      <c r="P2" s="297">
        <f t="shared" ref="P2" si="3">O2+1</f>
        <v>2035</v>
      </c>
      <c r="Q2" s="297">
        <f t="shared" ref="Q2" si="4">P2+1</f>
        <v>2036</v>
      </c>
      <c r="R2" s="297">
        <f t="shared" ref="R2" si="5">Q2+1</f>
        <v>2037</v>
      </c>
      <c r="S2" s="297">
        <f t="shared" ref="S2" si="6">R2+1</f>
        <v>2038</v>
      </c>
      <c r="T2" s="297">
        <f t="shared" ref="T2" si="7">S2+1</f>
        <v>2039</v>
      </c>
      <c r="U2" s="297">
        <f t="shared" ref="U2" si="8">T2+1</f>
        <v>2040</v>
      </c>
    </row>
    <row r="3" spans="1:21" x14ac:dyDescent="0.25">
      <c r="B3" s="4" t="s">
        <v>11</v>
      </c>
      <c r="C3" s="30"/>
      <c r="D3" s="30"/>
      <c r="E3" s="41"/>
      <c r="F3" s="217">
        <f>Assumptions!F30</f>
        <v>1.3968557745627563E-2</v>
      </c>
      <c r="G3" s="217">
        <f>Assumptions!G30</f>
        <v>1.3968557745627563E-2</v>
      </c>
      <c r="H3" s="217">
        <f>Assumptions!H30</f>
        <v>1.3968557745627563E-2</v>
      </c>
      <c r="I3" s="217">
        <f>Assumptions!I30</f>
        <v>1.3968557745627563E-2</v>
      </c>
      <c r="J3" s="217">
        <f>Assumptions!J30</f>
        <v>1.3968557745627563E-2</v>
      </c>
      <c r="K3" s="217">
        <f>Assumptions!K30</f>
        <v>1.3968557745627563E-2</v>
      </c>
      <c r="L3" s="217">
        <f>Assumptions!L30</f>
        <v>1.3968557745627563E-2</v>
      </c>
      <c r="M3" s="298">
        <f>Assumptions!M30</f>
        <v>1.3968557745627563E-2</v>
      </c>
      <c r="N3" s="298">
        <f>Assumptions!N30</f>
        <v>1.3968557745627563E-2</v>
      </c>
      <c r="O3" s="298">
        <f>Assumptions!O30</f>
        <v>1.3968557745627563E-2</v>
      </c>
      <c r="P3" s="298">
        <f>Assumptions!P30</f>
        <v>1.3968557745627563E-2</v>
      </c>
      <c r="Q3" s="298">
        <f>Assumptions!Q30</f>
        <v>1.3968557745627563E-2</v>
      </c>
      <c r="R3" s="298">
        <f>Assumptions!R30</f>
        <v>1.3968557745627563E-2</v>
      </c>
      <c r="S3" s="298">
        <f>Assumptions!S30</f>
        <v>1.3968557745627563E-2</v>
      </c>
      <c r="T3" s="298">
        <f>Assumptions!T30</f>
        <v>1.3968557745627563E-2</v>
      </c>
      <c r="U3" s="298">
        <f>Assumptions!U30</f>
        <v>1.3968557745627563E-2</v>
      </c>
    </row>
    <row r="4" spans="1:21" x14ac:dyDescent="0.25">
      <c r="B4" s="4" t="s">
        <v>127</v>
      </c>
      <c r="C4" s="30"/>
      <c r="D4" s="30"/>
      <c r="E4" s="41"/>
      <c r="F4" s="217">
        <f>Assumptions!F31</f>
        <v>0.13696497717033573</v>
      </c>
      <c r="G4" s="217">
        <f>F4</f>
        <v>0.13696497717033573</v>
      </c>
      <c r="H4" s="217">
        <f t="shared" ref="H4:J4" si="9">G4</f>
        <v>0.13696497717033573</v>
      </c>
      <c r="I4" s="217">
        <f t="shared" si="9"/>
        <v>0.13696497717033573</v>
      </c>
      <c r="J4" s="217">
        <f t="shared" si="9"/>
        <v>0.13696497717033573</v>
      </c>
      <c r="K4" s="217">
        <f t="shared" ref="K4" si="10">J4</f>
        <v>0.13696497717033573</v>
      </c>
      <c r="L4" s="217">
        <f t="shared" ref="L4" si="11">K4</f>
        <v>0.13696497717033573</v>
      </c>
      <c r="M4" s="217">
        <f t="shared" ref="M4" si="12">L4</f>
        <v>0.13696497717033573</v>
      </c>
      <c r="N4" s="217">
        <f t="shared" ref="N4" si="13">M4</f>
        <v>0.13696497717033573</v>
      </c>
      <c r="O4" s="217">
        <f t="shared" ref="O4" si="14">N4</f>
        <v>0.13696497717033573</v>
      </c>
      <c r="P4" s="217">
        <f t="shared" ref="P4" si="15">O4</f>
        <v>0.13696497717033573</v>
      </c>
      <c r="Q4" s="217">
        <f t="shared" ref="Q4" si="16">P4</f>
        <v>0.13696497717033573</v>
      </c>
      <c r="R4" s="217">
        <f t="shared" ref="R4" si="17">Q4</f>
        <v>0.13696497717033573</v>
      </c>
      <c r="S4" s="217">
        <f t="shared" ref="S4" si="18">R4</f>
        <v>0.13696497717033573</v>
      </c>
      <c r="T4" s="217">
        <f t="shared" ref="T4" si="19">S4</f>
        <v>0.13696497717033573</v>
      </c>
      <c r="U4" s="217">
        <f t="shared" ref="U4" si="20">T4</f>
        <v>0.13696497717033573</v>
      </c>
    </row>
    <row r="5" spans="1:21" x14ac:dyDescent="0.25">
      <c r="E5" s="28"/>
      <c r="F5" s="79"/>
      <c r="G5" s="67"/>
      <c r="H5" s="85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 spans="1:21" x14ac:dyDescent="0.25">
      <c r="B6" s="4" t="s">
        <v>12</v>
      </c>
      <c r="E6" s="28"/>
      <c r="F6" s="4">
        <f>E9</f>
        <v>240.37800000000001</v>
      </c>
      <c r="G6" s="4">
        <f t="shared" ref="G6:U6" si="21">F9</f>
        <v>268.62531012246774</v>
      </c>
      <c r="H6" s="4">
        <f t="shared" si="21"/>
        <v>324.89156809505903</v>
      </c>
      <c r="I6" s="4">
        <f t="shared" si="21"/>
        <v>412.53589665414768</v>
      </c>
      <c r="J6" s="4">
        <f t="shared" si="21"/>
        <v>543.01540608094751</v>
      </c>
      <c r="K6" s="4">
        <f t="shared" si="21"/>
        <v>732.28660890644051</v>
      </c>
      <c r="L6" s="4">
        <f t="shared" si="21"/>
        <v>1002.4106304445547</v>
      </c>
      <c r="M6" s="4">
        <f t="shared" si="21"/>
        <v>1383.7057776231927</v>
      </c>
      <c r="N6" s="4">
        <f t="shared" si="21"/>
        <v>1917.6200107089962</v>
      </c>
      <c r="O6" s="4">
        <f t="shared" si="21"/>
        <v>2660.545743747371</v>
      </c>
      <c r="P6" s="4">
        <f t="shared" si="21"/>
        <v>3688.862088621097</v>
      </c>
      <c r="Q6" s="4">
        <f t="shared" si="21"/>
        <v>5105.567922927462</v>
      </c>
      <c r="R6" s="4">
        <f t="shared" si="21"/>
        <v>7048.966204753051</v>
      </c>
      <c r="S6" s="4">
        <f t="shared" si="21"/>
        <v>9703.9794273329808</v>
      </c>
      <c r="T6" s="4">
        <f t="shared" si="21"/>
        <v>13316.822096524575</v>
      </c>
      <c r="U6" s="4">
        <f t="shared" si="21"/>
        <v>18213.933128380686</v>
      </c>
    </row>
    <row r="7" spans="1:21" x14ac:dyDescent="0.25">
      <c r="B7" s="4" t="s">
        <v>13</v>
      </c>
      <c r="C7" s="13"/>
      <c r="D7" s="13"/>
      <c r="E7" s="132"/>
      <c r="F7" s="4">
        <f>F3*IncState!F14</f>
        <v>61.170677404718688</v>
      </c>
      <c r="G7" s="4">
        <f>G3*IncState!G14</f>
        <v>93.058517440889432</v>
      </c>
      <c r="H7" s="4">
        <f>H3*IncState!H14</f>
        <v>132.14309476606297</v>
      </c>
      <c r="I7" s="4">
        <f>I3*IncState!I14</f>
        <v>186.98247909397912</v>
      </c>
      <c r="J7" s="4">
        <f>J3*IncState!J14</f>
        <v>263.64529552251054</v>
      </c>
      <c r="K7" s="4">
        <f>K3*IncState!K14</f>
        <v>370.4216402091273</v>
      </c>
      <c r="L7" s="4">
        <f>L3*IncState!L14</f>
        <v>518.59029629277813</v>
      </c>
      <c r="M7" s="4">
        <f>M3*IncState!M14</f>
        <v>723.43346332842555</v>
      </c>
      <c r="N7" s="4">
        <f>N3*IncState!N14</f>
        <v>1005.5725140265114</v>
      </c>
      <c r="O7" s="4">
        <f>O3*IncState!O14</f>
        <v>1392.7179319267182</v>
      </c>
      <c r="P7" s="4">
        <f>P3*IncState!P14</f>
        <v>1921.9507460588709</v>
      </c>
      <c r="Q7" s="4">
        <f>Q3*IncState!Q14</f>
        <v>2642.6822758309477</v>
      </c>
      <c r="R7" s="4">
        <f>R3*IncState!R14</f>
        <v>3620.4747178883981</v>
      </c>
      <c r="S7" s="4">
        <f>S3*IncState!S14</f>
        <v>4941.9479899176631</v>
      </c>
      <c r="T7" s="4">
        <f>T3*IncState!T14</f>
        <v>6721.0492662880215</v>
      </c>
      <c r="U7" s="4">
        <f>U3*IncState!U14</f>
        <v>9107.0217558202694</v>
      </c>
    </row>
    <row r="8" spans="1:21" x14ac:dyDescent="0.25">
      <c r="B8" s="4" t="s">
        <v>14</v>
      </c>
      <c r="E8" s="28"/>
      <c r="F8" s="4">
        <f>F4*F6</f>
        <v>32.923367282250965</v>
      </c>
      <c r="G8" s="4">
        <f t="shared" ref="G8:U8" si="22">G4*G6</f>
        <v>36.792259468298148</v>
      </c>
      <c r="H8" s="4">
        <f t="shared" si="22"/>
        <v>44.498766206974338</v>
      </c>
      <c r="I8" s="4">
        <f t="shared" si="22"/>
        <v>56.502969667179315</v>
      </c>
      <c r="J8" s="4">
        <f t="shared" si="22"/>
        <v>74.374092697017559</v>
      </c>
      <c r="K8" s="4">
        <f t="shared" si="22"/>
        <v>100.2976186710132</v>
      </c>
      <c r="L8" s="4">
        <f t="shared" si="22"/>
        <v>137.29514911414029</v>
      </c>
      <c r="M8" s="4">
        <f t="shared" si="22"/>
        <v>189.51923024262226</v>
      </c>
      <c r="N8" s="4">
        <f t="shared" si="22"/>
        <v>262.64678098813664</v>
      </c>
      <c r="O8" s="4">
        <f t="shared" si="22"/>
        <v>364.40158705299257</v>
      </c>
      <c r="P8" s="4">
        <f t="shared" si="22"/>
        <v>505.24491175250552</v>
      </c>
      <c r="Q8" s="4">
        <f t="shared" si="22"/>
        <v>699.28399400535829</v>
      </c>
      <c r="R8" s="4">
        <f t="shared" si="22"/>
        <v>965.46149530846969</v>
      </c>
      <c r="S8" s="4">
        <f t="shared" si="22"/>
        <v>1329.1053207260693</v>
      </c>
      <c r="T8" s="4">
        <f t="shared" si="22"/>
        <v>1823.9382344319108</v>
      </c>
      <c r="U8" s="4">
        <f t="shared" si="22"/>
        <v>2494.6709351106824</v>
      </c>
    </row>
    <row r="9" spans="1:21" x14ac:dyDescent="0.25">
      <c r="B9" s="4" t="s">
        <v>15</v>
      </c>
      <c r="E9" s="28">
        <f>BalSheet!E20</f>
        <v>240.37800000000001</v>
      </c>
      <c r="F9" s="4">
        <f>F6+F7-F8</f>
        <v>268.62531012246774</v>
      </c>
      <c r="G9" s="4">
        <f t="shared" ref="G9:U9" si="23">G6+G7-G8</f>
        <v>324.89156809505903</v>
      </c>
      <c r="H9" s="4">
        <f t="shared" si="23"/>
        <v>412.53589665414768</v>
      </c>
      <c r="I9" s="4">
        <f t="shared" si="23"/>
        <v>543.01540608094751</v>
      </c>
      <c r="J9" s="4">
        <f t="shared" si="23"/>
        <v>732.28660890644051</v>
      </c>
      <c r="K9" s="4">
        <f t="shared" si="23"/>
        <v>1002.4106304445547</v>
      </c>
      <c r="L9" s="4">
        <f t="shared" si="23"/>
        <v>1383.7057776231927</v>
      </c>
      <c r="M9" s="4">
        <f t="shared" si="23"/>
        <v>1917.6200107089962</v>
      </c>
      <c r="N9" s="4">
        <f t="shared" si="23"/>
        <v>2660.545743747371</v>
      </c>
      <c r="O9" s="4">
        <f t="shared" si="23"/>
        <v>3688.862088621097</v>
      </c>
      <c r="P9" s="4">
        <f t="shared" si="23"/>
        <v>5105.567922927462</v>
      </c>
      <c r="Q9" s="4">
        <f t="shared" si="23"/>
        <v>7048.966204753051</v>
      </c>
      <c r="R9" s="4">
        <f t="shared" si="23"/>
        <v>9703.9794273329808</v>
      </c>
      <c r="S9" s="4">
        <f t="shared" si="23"/>
        <v>13316.822096524575</v>
      </c>
      <c r="T9" s="4">
        <f t="shared" si="23"/>
        <v>18213.933128380686</v>
      </c>
      <c r="U9" s="4">
        <f t="shared" si="23"/>
        <v>24826.28394909027</v>
      </c>
    </row>
    <row r="10" spans="1:21" x14ac:dyDescent="0.25">
      <c r="A10" s="21" t="s">
        <v>16</v>
      </c>
      <c r="B10" s="43"/>
      <c r="C10" s="271">
        <f t="shared" ref="C10:M10" si="24">C2</f>
        <v>2022</v>
      </c>
      <c r="D10" s="271">
        <f t="shared" si="24"/>
        <v>2023</v>
      </c>
      <c r="E10" s="271">
        <f t="shared" si="24"/>
        <v>2024</v>
      </c>
      <c r="F10" s="271">
        <f t="shared" si="24"/>
        <v>2025</v>
      </c>
      <c r="G10" s="271">
        <f t="shared" si="24"/>
        <v>2026</v>
      </c>
      <c r="H10" s="271">
        <f t="shared" si="24"/>
        <v>2027</v>
      </c>
      <c r="I10" s="271">
        <f t="shared" si="24"/>
        <v>2028</v>
      </c>
      <c r="J10" s="271">
        <f t="shared" si="24"/>
        <v>2029</v>
      </c>
      <c r="K10" s="271">
        <f t="shared" si="24"/>
        <v>2030</v>
      </c>
      <c r="L10" s="271">
        <f t="shared" si="24"/>
        <v>2031</v>
      </c>
      <c r="M10" s="271">
        <f t="shared" si="24"/>
        <v>2032</v>
      </c>
      <c r="N10" s="271">
        <f t="shared" ref="N10:U10" si="25">N2</f>
        <v>2033</v>
      </c>
      <c r="O10" s="271">
        <f t="shared" si="25"/>
        <v>2034</v>
      </c>
      <c r="P10" s="271">
        <f t="shared" si="25"/>
        <v>2035</v>
      </c>
      <c r="Q10" s="271">
        <f t="shared" si="25"/>
        <v>2036</v>
      </c>
      <c r="R10" s="271">
        <f t="shared" si="25"/>
        <v>2037</v>
      </c>
      <c r="S10" s="271">
        <f t="shared" si="25"/>
        <v>2038</v>
      </c>
      <c r="T10" s="271">
        <f t="shared" si="25"/>
        <v>2039</v>
      </c>
      <c r="U10" s="271">
        <f t="shared" si="25"/>
        <v>2040</v>
      </c>
    </row>
    <row r="11" spans="1:21" x14ac:dyDescent="0.25">
      <c r="B11" s="4" t="s">
        <v>17</v>
      </c>
      <c r="E11" s="28"/>
      <c r="F11" s="301">
        <f>Assumptions!F32</f>
        <v>0</v>
      </c>
      <c r="G11" s="301">
        <f>Assumptions!G32</f>
        <v>0</v>
      </c>
      <c r="H11" s="301">
        <f>Assumptions!H32</f>
        <v>0</v>
      </c>
      <c r="I11" s="301">
        <f>Assumptions!I32</f>
        <v>0</v>
      </c>
      <c r="J11" s="301">
        <f>Assumptions!J32</f>
        <v>0</v>
      </c>
      <c r="K11" s="301">
        <f>Assumptions!K32</f>
        <v>0</v>
      </c>
      <c r="L11" s="301">
        <f>Assumptions!L32</f>
        <v>0</v>
      </c>
      <c r="M11" s="301">
        <f>Assumptions!M32</f>
        <v>0</v>
      </c>
      <c r="N11" s="301">
        <f>Assumptions!N32</f>
        <v>0</v>
      </c>
      <c r="O11" s="301">
        <f>Assumptions!O32</f>
        <v>0</v>
      </c>
      <c r="P11" s="301">
        <f>Assumptions!P32</f>
        <v>0</v>
      </c>
      <c r="Q11" s="301">
        <f>Assumptions!Q32</f>
        <v>0</v>
      </c>
      <c r="R11" s="301">
        <f>Assumptions!R32</f>
        <v>0</v>
      </c>
      <c r="S11" s="301">
        <f>Assumptions!S32</f>
        <v>0</v>
      </c>
      <c r="T11" s="301">
        <f>Assumptions!T32</f>
        <v>0</v>
      </c>
      <c r="U11" s="301">
        <f>Assumptions!U32</f>
        <v>0</v>
      </c>
    </row>
    <row r="12" spans="1:21" x14ac:dyDescent="0.25">
      <c r="E12" s="28"/>
      <c r="F12" s="79"/>
      <c r="G12" s="67"/>
      <c r="H12" s="85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</row>
    <row r="13" spans="1:21" x14ac:dyDescent="0.25">
      <c r="B13" s="4" t="s">
        <v>18</v>
      </c>
      <c r="E13" s="28"/>
      <c r="F13" s="4">
        <f>E16</f>
        <v>5094.4070000000002</v>
      </c>
      <c r="G13" s="4">
        <f t="shared" ref="G13:U13" si="26">F16</f>
        <v>5550.7139380359877</v>
      </c>
      <c r="H13" s="4">
        <f t="shared" si="26"/>
        <v>6383.3934034843778</v>
      </c>
      <c r="I13" s="4">
        <f t="shared" si="26"/>
        <v>7762.4724458823266</v>
      </c>
      <c r="J13" s="4">
        <f t="shared" si="26"/>
        <v>9992.163285943072</v>
      </c>
      <c r="K13" s="4">
        <f t="shared" si="26"/>
        <v>13528.421903474105</v>
      </c>
      <c r="L13" s="4">
        <f t="shared" si="26"/>
        <v>19048.179580033971</v>
      </c>
      <c r="M13" s="4">
        <f t="shared" si="26"/>
        <v>26833.013663995582</v>
      </c>
      <c r="N13" s="4">
        <f t="shared" si="26"/>
        <v>37772.614015927051</v>
      </c>
      <c r="O13" s="4">
        <f t="shared" si="26"/>
        <v>53089.520463790781</v>
      </c>
      <c r="P13" s="4">
        <f t="shared" si="26"/>
        <v>74456.979706852449</v>
      </c>
      <c r="Q13" s="4">
        <f t="shared" si="26"/>
        <v>104155.96392390071</v>
      </c>
      <c r="R13" s="4">
        <f t="shared" si="26"/>
        <v>145283.41660707389</v>
      </c>
      <c r="S13" s="4">
        <f t="shared" si="26"/>
        <v>202027.17544010375</v>
      </c>
      <c r="T13" s="4">
        <f t="shared" si="26"/>
        <v>280027.24416410725</v>
      </c>
      <c r="U13" s="4">
        <f t="shared" si="26"/>
        <v>386848.3171957602</v>
      </c>
    </row>
    <row r="14" spans="1:21" x14ac:dyDescent="0.25">
      <c r="B14" s="4" t="s">
        <v>19</v>
      </c>
      <c r="E14" s="28"/>
      <c r="F14" s="4">
        <f>IncState!F31</f>
        <v>456.30693803598786</v>
      </c>
      <c r="G14" s="4">
        <f>IncState!G31</f>
        <v>832.67946544839049</v>
      </c>
      <c r="H14" s="4">
        <f>IncState!H31</f>
        <v>1379.079042397949</v>
      </c>
      <c r="I14" s="4">
        <f>IncState!I31</f>
        <v>2229.6908400607444</v>
      </c>
      <c r="J14" s="4">
        <f>IncState!J31</f>
        <v>3536.258617531033</v>
      </c>
      <c r="K14" s="4">
        <f>IncState!K31</f>
        <v>5519.7576765598651</v>
      </c>
      <c r="L14" s="4">
        <f>IncState!L31</f>
        <v>7784.8340839616085</v>
      </c>
      <c r="M14" s="4">
        <f>IncState!M31</f>
        <v>10939.600351931471</v>
      </c>
      <c r="N14" s="4">
        <f>IncState!N31</f>
        <v>15316.90644786373</v>
      </c>
      <c r="O14" s="4">
        <f>IncState!O31</f>
        <v>21367.459243061672</v>
      </c>
      <c r="P14" s="4">
        <f>IncState!P31</f>
        <v>29698.984217048255</v>
      </c>
      <c r="Q14" s="4">
        <f>IncState!Q31</f>
        <v>41127.452683173171</v>
      </c>
      <c r="R14" s="4">
        <f>IncState!R31</f>
        <v>56743.758833029868</v>
      </c>
      <c r="S14" s="4">
        <f>IncState!S31</f>
        <v>78000.068724003504</v>
      </c>
      <c r="T14" s="4">
        <f>IncState!T31</f>
        <v>106821.07303165298</v>
      </c>
      <c r="U14" s="4">
        <f>IncState!U31</f>
        <v>145746.5812711858</v>
      </c>
    </row>
    <row r="15" spans="1:21" x14ac:dyDescent="0.25">
      <c r="B15" s="4" t="s">
        <v>20</v>
      </c>
      <c r="E15" s="28"/>
      <c r="F15" s="4">
        <f>F11</f>
        <v>0</v>
      </c>
      <c r="G15" s="4">
        <f t="shared" ref="G15:U15" si="27">G11</f>
        <v>0</v>
      </c>
      <c r="H15" s="4">
        <f t="shared" si="27"/>
        <v>0</v>
      </c>
      <c r="I15" s="4">
        <f t="shared" si="27"/>
        <v>0</v>
      </c>
      <c r="J15" s="4">
        <f t="shared" si="27"/>
        <v>0</v>
      </c>
      <c r="K15" s="4">
        <f t="shared" si="27"/>
        <v>0</v>
      </c>
      <c r="L15" s="4">
        <f t="shared" si="27"/>
        <v>0</v>
      </c>
      <c r="M15" s="4">
        <f t="shared" si="27"/>
        <v>0</v>
      </c>
      <c r="N15" s="4">
        <f t="shared" si="27"/>
        <v>0</v>
      </c>
      <c r="O15" s="4">
        <f t="shared" si="27"/>
        <v>0</v>
      </c>
      <c r="P15" s="4">
        <f t="shared" si="27"/>
        <v>0</v>
      </c>
      <c r="Q15" s="4">
        <f t="shared" si="27"/>
        <v>0</v>
      </c>
      <c r="R15" s="4">
        <f t="shared" si="27"/>
        <v>0</v>
      </c>
      <c r="S15" s="4">
        <f t="shared" si="27"/>
        <v>0</v>
      </c>
      <c r="T15" s="4">
        <f t="shared" si="27"/>
        <v>0</v>
      </c>
      <c r="U15" s="4">
        <f t="shared" si="27"/>
        <v>0</v>
      </c>
    </row>
    <row r="16" spans="1:21" x14ac:dyDescent="0.25">
      <c r="B16" s="4" t="s">
        <v>21</v>
      </c>
      <c r="E16" s="28">
        <f>BalSheet!E35</f>
        <v>5094.4070000000002</v>
      </c>
      <c r="F16" s="4">
        <f>SUM(F13:F15)</f>
        <v>5550.7139380359877</v>
      </c>
      <c r="G16" s="4">
        <f t="shared" ref="G16:U16" si="28">SUM(G13:G15)</f>
        <v>6383.3934034843778</v>
      </c>
      <c r="H16" s="4">
        <f t="shared" si="28"/>
        <v>7762.4724458823266</v>
      </c>
      <c r="I16" s="4">
        <f t="shared" si="28"/>
        <v>9992.163285943072</v>
      </c>
      <c r="J16" s="4">
        <f t="shared" si="28"/>
        <v>13528.421903474105</v>
      </c>
      <c r="K16" s="4">
        <f t="shared" si="28"/>
        <v>19048.179580033971</v>
      </c>
      <c r="L16" s="4">
        <f t="shared" si="28"/>
        <v>26833.013663995582</v>
      </c>
      <c r="M16" s="4">
        <f t="shared" si="28"/>
        <v>37772.614015927051</v>
      </c>
      <c r="N16" s="4">
        <f t="shared" si="28"/>
        <v>53089.520463790781</v>
      </c>
      <c r="O16" s="4">
        <f t="shared" si="28"/>
        <v>74456.979706852449</v>
      </c>
      <c r="P16" s="4">
        <f t="shared" si="28"/>
        <v>104155.96392390071</v>
      </c>
      <c r="Q16" s="4">
        <f t="shared" si="28"/>
        <v>145283.41660707389</v>
      </c>
      <c r="R16" s="4">
        <f t="shared" si="28"/>
        <v>202027.17544010375</v>
      </c>
      <c r="S16" s="4">
        <f t="shared" si="28"/>
        <v>280027.24416410725</v>
      </c>
      <c r="T16" s="4">
        <f t="shared" si="28"/>
        <v>386848.3171957602</v>
      </c>
      <c r="U16" s="4">
        <f t="shared" si="28"/>
        <v>532594.89846694598</v>
      </c>
    </row>
    <row r="17" spans="1:21" x14ac:dyDescent="0.25">
      <c r="A17" s="21" t="s">
        <v>22</v>
      </c>
      <c r="B17" s="43"/>
      <c r="C17" s="271">
        <f>C10</f>
        <v>2022</v>
      </c>
      <c r="D17" s="271">
        <f t="shared" ref="D17:M17" si="29">D10</f>
        <v>2023</v>
      </c>
      <c r="E17" s="271">
        <f t="shared" si="29"/>
        <v>2024</v>
      </c>
      <c r="F17" s="271">
        <f t="shared" si="29"/>
        <v>2025</v>
      </c>
      <c r="G17" s="271">
        <f t="shared" si="29"/>
        <v>2026</v>
      </c>
      <c r="H17" s="271">
        <f t="shared" si="29"/>
        <v>2027</v>
      </c>
      <c r="I17" s="271">
        <f t="shared" si="29"/>
        <v>2028</v>
      </c>
      <c r="J17" s="271">
        <f t="shared" si="29"/>
        <v>2029</v>
      </c>
      <c r="K17" s="271">
        <f t="shared" si="29"/>
        <v>2030</v>
      </c>
      <c r="L17" s="271">
        <f t="shared" si="29"/>
        <v>2031</v>
      </c>
      <c r="M17" s="271">
        <f t="shared" si="29"/>
        <v>2032</v>
      </c>
      <c r="N17" s="271">
        <f t="shared" ref="N17:U17" si="30">N10</f>
        <v>2033</v>
      </c>
      <c r="O17" s="271">
        <f t="shared" si="30"/>
        <v>2034</v>
      </c>
      <c r="P17" s="271">
        <f t="shared" si="30"/>
        <v>2035</v>
      </c>
      <c r="Q17" s="271">
        <f t="shared" si="30"/>
        <v>2036</v>
      </c>
      <c r="R17" s="271">
        <f t="shared" si="30"/>
        <v>2037</v>
      </c>
      <c r="S17" s="271">
        <f t="shared" si="30"/>
        <v>2038</v>
      </c>
      <c r="T17" s="271">
        <f t="shared" si="30"/>
        <v>2039</v>
      </c>
      <c r="U17" s="271">
        <f t="shared" si="30"/>
        <v>2040</v>
      </c>
    </row>
    <row r="18" spans="1:21" x14ac:dyDescent="0.25">
      <c r="A18" s="88"/>
      <c r="B18" s="187" t="s">
        <v>148</v>
      </c>
      <c r="C18" s="214"/>
      <c r="D18" s="214"/>
      <c r="E18" s="221">
        <f>BalSheet!E14</f>
        <v>143.27535</v>
      </c>
      <c r="F18" s="331">
        <f>BalSheet!F14</f>
        <v>218.95845841302526</v>
      </c>
      <c r="G18" s="331">
        <f>BalSheet!G14</f>
        <v>333.09994895506878</v>
      </c>
      <c r="H18" s="331">
        <f>BalSheet!H14</f>
        <v>473.00192751619761</v>
      </c>
      <c r="I18" s="331">
        <f>BalSheet!I14</f>
        <v>669.29772743541969</v>
      </c>
      <c r="J18" s="331">
        <f>BalSheet!J14</f>
        <v>943.70979568394159</v>
      </c>
      <c r="K18" s="331">
        <f>BalSheet!K14</f>
        <v>1325.9122629359381</v>
      </c>
      <c r="L18" s="331">
        <f>BalSheet!L14</f>
        <v>1856.2771681103129</v>
      </c>
      <c r="M18" s="331">
        <f>BalSheet!M14</f>
        <v>2589.5066495138867</v>
      </c>
      <c r="N18" s="331">
        <f>BalSheet!N14</f>
        <v>3599.4142428243017</v>
      </c>
      <c r="O18" s="331">
        <f>BalSheet!O14</f>
        <v>4985.1887263116587</v>
      </c>
      <c r="P18" s="331">
        <f>BalSheet!P14</f>
        <v>6879.5604423100876</v>
      </c>
      <c r="Q18" s="331">
        <f>BalSheet!Q14</f>
        <v>9459.3956081763699</v>
      </c>
      <c r="R18" s="331">
        <f>BalSheet!R14</f>
        <v>12959.371983201627</v>
      </c>
      <c r="S18" s="331">
        <f>BalSheet!S14</f>
        <v>17689.54275707022</v>
      </c>
      <c r="T18" s="331">
        <f>BalSheet!T14</f>
        <v>24057.778149615497</v>
      </c>
      <c r="U18" s="331">
        <f>BalSheet!U14</f>
        <v>32598.289392728999</v>
      </c>
    </row>
    <row r="19" spans="1:21" x14ac:dyDescent="0.25">
      <c r="B19" s="4" t="str">
        <f>BalSheet!B16</f>
        <v>Accounts receivable</v>
      </c>
      <c r="C19" s="99"/>
      <c r="D19" s="99"/>
      <c r="E19" s="100">
        <f>BalSheet!E16</f>
        <v>575.048</v>
      </c>
      <c r="F19" s="332">
        <f>BalSheet!F16</f>
        <v>878.80869663548776</v>
      </c>
      <c r="G19" s="332">
        <f>BalSheet!G16</f>
        <v>1336.9254337659224</v>
      </c>
      <c r="H19" s="332">
        <f>BalSheet!H16</f>
        <v>1898.4341159476098</v>
      </c>
      <c r="I19" s="332">
        <f>BalSheet!I16</f>
        <v>2686.284274065868</v>
      </c>
      <c r="J19" s="332">
        <f>BalSheet!J16</f>
        <v>3787.6608264328734</v>
      </c>
      <c r="K19" s="332">
        <f>BalSheet!K16</f>
        <v>5321.6634611381869</v>
      </c>
      <c r="L19" s="332">
        <f>BalSheet!L16</f>
        <v>7450.3288455934608</v>
      </c>
      <c r="M19" s="332">
        <f>BalSheet!M16</f>
        <v>10393.208739602878</v>
      </c>
      <c r="N19" s="332">
        <f>BalSheet!N16</f>
        <v>14446.560148047998</v>
      </c>
      <c r="O19" s="332">
        <f>BalSheet!O16</f>
        <v>20008.485805046479</v>
      </c>
      <c r="P19" s="332">
        <f>BalSheet!P16</f>
        <v>27611.710410964137</v>
      </c>
      <c r="Q19" s="332">
        <f>BalSheet!Q16</f>
        <v>37966.101815075686</v>
      </c>
      <c r="R19" s="332">
        <f>BalSheet!R16</f>
        <v>52013.559486653692</v>
      </c>
      <c r="S19" s="332">
        <f>BalSheet!S16</f>
        <v>70998.508699282291</v>
      </c>
      <c r="T19" s="332">
        <f>BalSheet!T16</f>
        <v>96557.971831023897</v>
      </c>
      <c r="U19" s="332">
        <f>BalSheet!U16</f>
        <v>130836.0518310374</v>
      </c>
    </row>
    <row r="20" spans="1:21" x14ac:dyDescent="0.25">
      <c r="B20" s="4" t="s">
        <v>63</v>
      </c>
      <c r="C20" s="99"/>
      <c r="D20" s="99"/>
      <c r="E20" s="100">
        <f>BalSheet!E17</f>
        <v>129.25399999999999</v>
      </c>
      <c r="F20" s="332">
        <f>BalSheet!F17</f>
        <v>197.53053532039644</v>
      </c>
      <c r="G20" s="332">
        <f>BalSheet!G17</f>
        <v>300.50180161652685</v>
      </c>
      <c r="H20" s="332">
        <f>BalSheet!H17</f>
        <v>426.71255829546811</v>
      </c>
      <c r="I20" s="332">
        <f>BalSheet!I17</f>
        <v>603.79826998808733</v>
      </c>
      <c r="J20" s="332">
        <f>BalSheet!J17</f>
        <v>851.35556068320318</v>
      </c>
      <c r="K20" s="332">
        <f>BalSheet!K17</f>
        <v>1196.1545627599003</v>
      </c>
      <c r="L20" s="332">
        <f>BalSheet!L17</f>
        <v>1674.6163878638602</v>
      </c>
      <c r="M20" s="332">
        <f>BalSheet!M17</f>
        <v>2336.0898610700851</v>
      </c>
      <c r="N20" s="332">
        <f>BalSheet!N17</f>
        <v>3247.1649068874181</v>
      </c>
      <c r="O20" s="332">
        <f>BalSheet!O17</f>
        <v>4497.3233960390744</v>
      </c>
      <c r="P20" s="332">
        <f>BalSheet!P17</f>
        <v>6206.3062865339216</v>
      </c>
      <c r="Q20" s="332">
        <f>BalSheet!Q17</f>
        <v>8533.671143984142</v>
      </c>
      <c r="R20" s="332">
        <f>BalSheet!R17</f>
        <v>11691.129467258274</v>
      </c>
      <c r="S20" s="332">
        <f>BalSheet!S17</f>
        <v>15958.391722807542</v>
      </c>
      <c r="T20" s="332">
        <f>BalSheet!T17</f>
        <v>21703.412743018256</v>
      </c>
      <c r="U20" s="332">
        <f>BalSheet!U17</f>
        <v>29408.124266789739</v>
      </c>
    </row>
    <row r="21" spans="1:21" x14ac:dyDescent="0.25">
      <c r="B21" s="4" t="s">
        <v>151</v>
      </c>
      <c r="C21" s="99"/>
      <c r="D21" s="99"/>
      <c r="E21" s="100">
        <f>BalSheet!E27</f>
        <v>427.149</v>
      </c>
      <c r="F21" s="332">
        <f>BalSheet!F27</f>
        <v>649.4792820177646</v>
      </c>
      <c r="G21" s="332">
        <f>BalSheet!G27</f>
        <v>983.02045510185928</v>
      </c>
      <c r="H21" s="332">
        <f>BalSheet!H27</f>
        <v>1388.7496162074799</v>
      </c>
      <c r="I21" s="332">
        <f>BalSheet!I27</f>
        <v>1954.9784134310023</v>
      </c>
      <c r="J21" s="332">
        <f>BalSheet!J27</f>
        <v>2742.2753290990727</v>
      </c>
      <c r="K21" s="332">
        <f>BalSheet!K27</f>
        <v>3832.8836888409073</v>
      </c>
      <c r="L21" s="332">
        <f>BalSheet!L27</f>
        <v>5338.0187564166636</v>
      </c>
      <c r="M21" s="332">
        <f>BalSheet!M27</f>
        <v>7407.4504860962024</v>
      </c>
      <c r="N21" s="332">
        <f>BalSheet!N27</f>
        <v>10242.027081717708</v>
      </c>
      <c r="O21" s="332">
        <f>BalSheet!O27</f>
        <v>14109.96171304995</v>
      </c>
      <c r="P21" s="332">
        <f>BalSheet!P27</f>
        <v>19367.9079667308</v>
      </c>
      <c r="Q21" s="332">
        <f>BalSheet!Q27</f>
        <v>26488.094557997425</v>
      </c>
      <c r="R21" s="332">
        <f>BalSheet!R27</f>
        <v>36093.082456583805</v>
      </c>
      <c r="S21" s="332">
        <f>BalSheet!S27</f>
        <v>49000.053878290702</v>
      </c>
      <c r="T21" s="332">
        <f>BalSheet!T27</f>
        <v>66276.94827654853</v>
      </c>
      <c r="U21" s="332">
        <f>BalSheet!U27</f>
        <v>89313.230542532416</v>
      </c>
    </row>
    <row r="22" spans="1:21" x14ac:dyDescent="0.25">
      <c r="B22" s="4" t="s">
        <v>69</v>
      </c>
      <c r="C22" s="99"/>
      <c r="D22" s="99"/>
      <c r="E22" s="100">
        <f>BalSheet!E28</f>
        <v>568.86900000000003</v>
      </c>
      <c r="F22" s="332">
        <f>BalSheet!F28</f>
        <v>869.36573024570703</v>
      </c>
      <c r="G22" s="332">
        <f>BalSheet!G28</f>
        <v>1322.5599160087272</v>
      </c>
      <c r="H22" s="332">
        <f>BalSheet!H28</f>
        <v>1878.0350807323928</v>
      </c>
      <c r="I22" s="332">
        <f>BalSheet!I28</f>
        <v>2657.4196392363356</v>
      </c>
      <c r="J22" s="332">
        <f>BalSheet!J28</f>
        <v>3746.961691323233</v>
      </c>
      <c r="K22" s="332">
        <f>BalSheet!K28</f>
        <v>5264.481176309142</v>
      </c>
      <c r="L22" s="332">
        <f>BalSheet!L28</f>
        <v>7370.2736468327985</v>
      </c>
      <c r="M22" s="332">
        <f>BalSheet!M28</f>
        <v>10281.531737331754</v>
      </c>
      <c r="N22" s="332">
        <f>BalSheet!N28</f>
        <v>14291.329114891136</v>
      </c>
      <c r="O22" s="332">
        <f>BalSheet!O28</f>
        <v>19793.490824124223</v>
      </c>
      <c r="P22" s="332">
        <f>BalSheet!P28</f>
        <v>27315.017337291425</v>
      </c>
      <c r="Q22" s="332">
        <f>BalSheet!Q28</f>
        <v>37558.148838775713</v>
      </c>
      <c r="R22" s="332">
        <f>BalSheet!R28</f>
        <v>51454.663909122719</v>
      </c>
      <c r="S22" s="332">
        <f>BalSheet!S28</f>
        <v>70235.616235952504</v>
      </c>
      <c r="T22" s="332">
        <f>BalSheet!T28</f>
        <v>95520.438080895416</v>
      </c>
      <c r="U22" s="332">
        <f>BalSheet!U28</f>
        <v>129430.19359961328</v>
      </c>
    </row>
    <row r="23" spans="1:21" x14ac:dyDescent="0.25">
      <c r="A23" s="11" t="s">
        <v>117</v>
      </c>
      <c r="B23" s="18" t="s">
        <v>22</v>
      </c>
      <c r="C23" s="19"/>
      <c r="D23" s="19"/>
      <c r="E23" s="19">
        <f>SUM(E18:E20)-SUM(E21:E22)</f>
        <v>-148.44065000000001</v>
      </c>
      <c r="F23" s="19">
        <f>SUM(F18:F20)-SUM(F21:F22)</f>
        <v>-223.5473218945624</v>
      </c>
      <c r="G23" s="19">
        <f t="shared" ref="G23:U23" si="31">SUM(G18:G20)-SUM(G21:G22)</f>
        <v>-335.05318677306832</v>
      </c>
      <c r="H23" s="19">
        <f t="shared" si="31"/>
        <v>-468.63609518059684</v>
      </c>
      <c r="I23" s="19">
        <f t="shared" si="31"/>
        <v>-653.01778117796266</v>
      </c>
      <c r="J23" s="19">
        <f t="shared" si="31"/>
        <v>-906.51083762228791</v>
      </c>
      <c r="K23" s="19">
        <f t="shared" si="31"/>
        <v>-1253.634578316025</v>
      </c>
      <c r="L23" s="19">
        <f t="shared" si="31"/>
        <v>-1727.07000168183</v>
      </c>
      <c r="M23" s="19">
        <f t="shared" si="31"/>
        <v>-2370.1769732411049</v>
      </c>
      <c r="N23" s="19">
        <f t="shared" si="31"/>
        <v>-3240.2168988491285</v>
      </c>
      <c r="O23" s="19">
        <f t="shared" si="31"/>
        <v>-4412.4546097769635</v>
      </c>
      <c r="P23" s="19">
        <f t="shared" si="31"/>
        <v>-5985.348164214076</v>
      </c>
      <c r="Q23" s="19">
        <f t="shared" si="31"/>
        <v>-8087.0748295369413</v>
      </c>
      <c r="R23" s="19">
        <f t="shared" si="31"/>
        <v>-10883.685428592929</v>
      </c>
      <c r="S23" s="19">
        <f t="shared" si="31"/>
        <v>-14589.226935083148</v>
      </c>
      <c r="T23" s="19">
        <f t="shared" si="31"/>
        <v>-19478.223633786285</v>
      </c>
      <c r="U23" s="19">
        <f t="shared" si="31"/>
        <v>-25900.958651589579</v>
      </c>
    </row>
    <row r="24" spans="1:21" s="11" customFormat="1" x14ac:dyDescent="0.25">
      <c r="A24" s="25"/>
      <c r="B24" s="11" t="s">
        <v>140</v>
      </c>
      <c r="F24" s="11">
        <f>E23-F23</f>
        <v>75.106671894562396</v>
      </c>
      <c r="G24" s="11">
        <f t="shared" ref="G24:U24" si="32">F23-G23</f>
        <v>111.50586487850592</v>
      </c>
      <c r="H24" s="11">
        <f t="shared" si="32"/>
        <v>133.58290840752852</v>
      </c>
      <c r="I24" s="11">
        <f t="shared" si="32"/>
        <v>184.38168599736582</v>
      </c>
      <c r="J24" s="11">
        <f t="shared" si="32"/>
        <v>253.49305644432525</v>
      </c>
      <c r="K24" s="11">
        <f t="shared" si="32"/>
        <v>347.12374069373709</v>
      </c>
      <c r="L24" s="11">
        <f t="shared" si="32"/>
        <v>473.43542336580504</v>
      </c>
      <c r="M24" s="11">
        <f t="shared" si="32"/>
        <v>643.10697155927483</v>
      </c>
      <c r="N24" s="11">
        <f t="shared" si="32"/>
        <v>870.03992560802362</v>
      </c>
      <c r="O24" s="11">
        <f t="shared" si="32"/>
        <v>1172.237710927835</v>
      </c>
      <c r="P24" s="11">
        <f t="shared" si="32"/>
        <v>1572.8935544371125</v>
      </c>
      <c r="Q24" s="11">
        <f t="shared" si="32"/>
        <v>2101.7266653228653</v>
      </c>
      <c r="R24" s="11">
        <f t="shared" si="32"/>
        <v>2796.6105990559881</v>
      </c>
      <c r="S24" s="11">
        <f t="shared" si="32"/>
        <v>3705.541506490219</v>
      </c>
      <c r="T24" s="11">
        <f t="shared" si="32"/>
        <v>4888.9966987031366</v>
      </c>
      <c r="U24" s="11">
        <f t="shared" si="32"/>
        <v>6422.7350178032939</v>
      </c>
    </row>
    <row r="25" spans="1:21" x14ac:dyDescent="0.25">
      <c r="B25" s="67"/>
      <c r="C25" s="67"/>
      <c r="D25" s="67"/>
      <c r="E25" s="67"/>
      <c r="F25" s="67"/>
      <c r="G25" s="67"/>
      <c r="H25" s="85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 spans="1:21" x14ac:dyDescent="0.25">
      <c r="H26" s="6"/>
      <c r="I26" s="4"/>
      <c r="J26" s="4"/>
    </row>
    <row r="27" spans="1:21" x14ac:dyDescent="0.25">
      <c r="H27" s="6"/>
      <c r="I27" s="4"/>
      <c r="J27" s="4"/>
    </row>
    <row r="28" spans="1:21" x14ac:dyDescent="0.25">
      <c r="H28" s="6"/>
      <c r="I28" s="4"/>
      <c r="J28" s="4"/>
    </row>
    <row r="29" spans="1:21" x14ac:dyDescent="0.25">
      <c r="H29" s="6"/>
      <c r="I29" s="4"/>
      <c r="J29" s="4"/>
    </row>
    <row r="30" spans="1:21" x14ac:dyDescent="0.25">
      <c r="H30" s="6"/>
      <c r="I30" s="4"/>
      <c r="J30" s="4"/>
    </row>
    <row r="31" spans="1:21" x14ac:dyDescent="0.25">
      <c r="H31" s="6"/>
      <c r="I31" s="4"/>
      <c r="J31" s="4"/>
    </row>
    <row r="32" spans="1:21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U34"/>
  <sheetViews>
    <sheetView showGridLines="0" topLeftCell="G1" zoomScaleNormal="100" workbookViewId="0">
      <selection activeCell="F31" sqref="F31:U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1" width="11.7109375" style="4" customWidth="1"/>
    <col min="22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s="2" customFormat="1" x14ac:dyDescent="0.25">
      <c r="A2" s="17" t="s">
        <v>9</v>
      </c>
      <c r="B2" s="213"/>
      <c r="C2" s="109">
        <v>44926</v>
      </c>
      <c r="D2" s="109">
        <v>45291</v>
      </c>
      <c r="E2" s="109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212">
        <f>2030</f>
        <v>2030</v>
      </c>
      <c r="L2" s="212">
        <f>K2+1</f>
        <v>2031</v>
      </c>
      <c r="M2" s="212">
        <f t="shared" ref="M2" si="0">L2+1</f>
        <v>2032</v>
      </c>
      <c r="N2" s="212">
        <f t="shared" ref="N2" si="1">M2+1</f>
        <v>2033</v>
      </c>
      <c r="O2" s="212">
        <f t="shared" ref="O2" si="2">N2+1</f>
        <v>2034</v>
      </c>
      <c r="P2" s="212">
        <f t="shared" ref="P2" si="3">O2+1</f>
        <v>2035</v>
      </c>
      <c r="Q2" s="212">
        <f t="shared" ref="Q2" si="4">P2+1</f>
        <v>2036</v>
      </c>
      <c r="R2" s="212">
        <f t="shared" ref="R2" si="5">Q2+1</f>
        <v>2037</v>
      </c>
      <c r="S2" s="212">
        <f t="shared" ref="S2" si="6">R2+1</f>
        <v>2038</v>
      </c>
      <c r="T2" s="212">
        <f t="shared" ref="T2" si="7">S2+1</f>
        <v>2039</v>
      </c>
      <c r="U2" s="212">
        <f t="shared" ref="U2" si="8">T2+1</f>
        <v>2040</v>
      </c>
    </row>
    <row r="3" spans="1:21" s="2" customFormat="1" x14ac:dyDescent="0.25">
      <c r="A3" s="88"/>
      <c r="B3" s="11"/>
      <c r="C3" s="214"/>
      <c r="D3" s="214"/>
      <c r="E3" s="214"/>
      <c r="F3" s="214"/>
      <c r="G3" s="214"/>
      <c r="H3" s="214"/>
      <c r="I3" s="214"/>
      <c r="J3" s="214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</row>
    <row r="4" spans="1:21" s="2" customFormat="1" x14ac:dyDescent="0.25">
      <c r="A4" s="11"/>
      <c r="B4" s="4" t="s">
        <v>23</v>
      </c>
      <c r="C4" s="31"/>
      <c r="D4" s="57"/>
      <c r="E4" s="61"/>
      <c r="F4" s="113">
        <f>Assumptions!F21</f>
        <v>0</v>
      </c>
      <c r="G4" s="113">
        <f>Assumptions!G21</f>
        <v>0</v>
      </c>
      <c r="H4" s="113">
        <f>Assumptions!H21</f>
        <v>0</v>
      </c>
      <c r="I4" s="113">
        <f>Assumptions!I21</f>
        <v>0</v>
      </c>
      <c r="J4" s="113">
        <f>Assumptions!J21</f>
        <v>0</v>
      </c>
      <c r="K4" s="113">
        <f>Assumptions!K21</f>
        <v>0</v>
      </c>
      <c r="L4" s="113">
        <f>Assumptions!L21</f>
        <v>0</v>
      </c>
      <c r="M4" s="113">
        <f>Assumptions!M21</f>
        <v>0</v>
      </c>
      <c r="N4" s="113">
        <f>Assumptions!N21</f>
        <v>0</v>
      </c>
      <c r="O4" s="113">
        <f>Assumptions!O21</f>
        <v>0</v>
      </c>
      <c r="P4" s="113">
        <f>Assumptions!P21</f>
        <v>0</v>
      </c>
      <c r="Q4" s="113">
        <f>Assumptions!Q21</f>
        <v>0</v>
      </c>
      <c r="R4" s="113">
        <f>Assumptions!R21</f>
        <v>0</v>
      </c>
      <c r="S4" s="113">
        <f>Assumptions!S21</f>
        <v>0</v>
      </c>
      <c r="T4" s="113">
        <f>Assumptions!T21</f>
        <v>0</v>
      </c>
      <c r="U4" s="113">
        <f>Assumptions!U21</f>
        <v>0</v>
      </c>
    </row>
    <row r="5" spans="1:21" s="2" customFormat="1" x14ac:dyDescent="0.25">
      <c r="A5" s="11"/>
      <c r="B5" s="4" t="s">
        <v>24</v>
      </c>
      <c r="C5" s="31"/>
      <c r="D5" s="58"/>
      <c r="E5" s="62"/>
      <c r="F5" s="113">
        <f>Assumptions!F22</f>
        <v>0</v>
      </c>
      <c r="G5" s="113">
        <f>Assumptions!G22</f>
        <v>0</v>
      </c>
      <c r="H5" s="113">
        <f>Assumptions!H22</f>
        <v>0</v>
      </c>
      <c r="I5" s="113">
        <f>Assumptions!I22</f>
        <v>0</v>
      </c>
      <c r="J5" s="113">
        <f>Assumptions!J22</f>
        <v>0</v>
      </c>
      <c r="K5" s="113">
        <f>Assumptions!K22</f>
        <v>0</v>
      </c>
      <c r="L5" s="113">
        <f>Assumptions!L22</f>
        <v>0</v>
      </c>
      <c r="M5" s="113">
        <f>Assumptions!M22</f>
        <v>0</v>
      </c>
      <c r="N5" s="113">
        <f>Assumptions!N22</f>
        <v>0</v>
      </c>
      <c r="O5" s="113">
        <f>Assumptions!O22</f>
        <v>0</v>
      </c>
      <c r="P5" s="113">
        <f>Assumptions!P22</f>
        <v>0</v>
      </c>
      <c r="Q5" s="113">
        <f>Assumptions!Q22</f>
        <v>0</v>
      </c>
      <c r="R5" s="113">
        <f>Assumptions!R22</f>
        <v>0</v>
      </c>
      <c r="S5" s="113">
        <f>Assumptions!S22</f>
        <v>0</v>
      </c>
      <c r="T5" s="113">
        <f>Assumptions!T22</f>
        <v>0</v>
      </c>
      <c r="U5" s="113">
        <f>Assumptions!U22</f>
        <v>0</v>
      </c>
    </row>
    <row r="6" spans="1:21" s="2" customFormat="1" x14ac:dyDescent="0.25">
      <c r="A6" s="11"/>
      <c r="B6" s="4" t="s">
        <v>25</v>
      </c>
      <c r="C6" s="31"/>
      <c r="D6" s="57"/>
      <c r="E6" s="61"/>
      <c r="F6" s="113">
        <f>Assumptions!F23</f>
        <v>3.8687469143252891E-2</v>
      </c>
      <c r="G6" s="113">
        <f>Assumptions!G23</f>
        <v>3.8687469143252891E-2</v>
      </c>
      <c r="H6" s="113">
        <f>Assumptions!H23</f>
        <v>3.8687469143252891E-2</v>
      </c>
      <c r="I6" s="113">
        <f>Assumptions!I23</f>
        <v>3.8687469143252891E-2</v>
      </c>
      <c r="J6" s="113">
        <f>Assumptions!J23</f>
        <v>3.8687469143252891E-2</v>
      </c>
      <c r="K6" s="113">
        <f>Assumptions!K23</f>
        <v>3.8687469143252891E-2</v>
      </c>
      <c r="L6" s="113">
        <f>Assumptions!L23</f>
        <v>3.8687469143252891E-2</v>
      </c>
      <c r="M6" s="113">
        <f>Assumptions!M23</f>
        <v>3.8687469143252891E-2</v>
      </c>
      <c r="N6" s="113">
        <f>Assumptions!N23</f>
        <v>3.8687469143252891E-2</v>
      </c>
      <c r="O6" s="113">
        <f>Assumptions!O23</f>
        <v>3.8687469143252891E-2</v>
      </c>
      <c r="P6" s="113">
        <f>Assumptions!P23</f>
        <v>3.8687469143252891E-2</v>
      </c>
      <c r="Q6" s="113">
        <f>Assumptions!Q23</f>
        <v>3.8687469143252891E-2</v>
      </c>
      <c r="R6" s="113">
        <f>Assumptions!R23</f>
        <v>3.8687469143252891E-2</v>
      </c>
      <c r="S6" s="113">
        <f>Assumptions!S23</f>
        <v>3.8687469143252891E-2</v>
      </c>
      <c r="T6" s="113">
        <f>Assumptions!T23</f>
        <v>3.8687469143252891E-2</v>
      </c>
      <c r="U6" s="113">
        <f>Assumptions!U23</f>
        <v>3.8687469143252891E-2</v>
      </c>
    </row>
    <row r="7" spans="1:21" s="2" customFormat="1" x14ac:dyDescent="0.25">
      <c r="A7" s="11"/>
      <c r="B7" s="4"/>
      <c r="C7" s="31"/>
      <c r="D7" s="31"/>
      <c r="E7" s="31"/>
      <c r="F7" s="111"/>
      <c r="G7" s="111"/>
      <c r="H7" s="111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</row>
    <row r="8" spans="1:21" s="2" customFormat="1" x14ac:dyDescent="0.25">
      <c r="A8" s="11"/>
      <c r="B8" s="4" t="s">
        <v>26</v>
      </c>
      <c r="C8" s="31"/>
      <c r="D8" s="59"/>
      <c r="E8" s="63"/>
      <c r="F8" s="114">
        <f>Assumptions!F25</f>
        <v>0</v>
      </c>
      <c r="G8" s="114">
        <f>Assumptions!G25</f>
        <v>0</v>
      </c>
      <c r="H8" s="114">
        <f>Assumptions!H25</f>
        <v>0</v>
      </c>
      <c r="I8" s="114">
        <f>Assumptions!I25</f>
        <v>0</v>
      </c>
      <c r="J8" s="114">
        <f>Assumptions!J25</f>
        <v>0</v>
      </c>
      <c r="K8" s="114">
        <f>Assumptions!K25</f>
        <v>0</v>
      </c>
      <c r="L8" s="114">
        <f>Assumptions!L25</f>
        <v>0</v>
      </c>
      <c r="M8" s="114">
        <f>Assumptions!M25</f>
        <v>0</v>
      </c>
      <c r="N8" s="114">
        <f>Assumptions!N25</f>
        <v>0</v>
      </c>
      <c r="O8" s="114">
        <f>Assumptions!O25</f>
        <v>0</v>
      </c>
      <c r="P8" s="114">
        <f>Assumptions!P25</f>
        <v>0</v>
      </c>
      <c r="Q8" s="114">
        <f>Assumptions!Q25</f>
        <v>0</v>
      </c>
      <c r="R8" s="114">
        <f>Assumptions!R25</f>
        <v>0</v>
      </c>
      <c r="S8" s="114">
        <f>Assumptions!S25</f>
        <v>0</v>
      </c>
      <c r="T8" s="114">
        <f>Assumptions!T25</f>
        <v>0</v>
      </c>
      <c r="U8" s="114">
        <f>Assumptions!U25</f>
        <v>0</v>
      </c>
    </row>
    <row r="9" spans="1:21" s="2" customFormat="1" x14ac:dyDescent="0.25">
      <c r="A9" s="11"/>
      <c r="B9" s="4" t="s">
        <v>27</v>
      </c>
      <c r="C9" s="31"/>
      <c r="D9" s="59"/>
      <c r="E9" s="63"/>
      <c r="F9" s="114">
        <f>Assumptions!F26</f>
        <v>0</v>
      </c>
      <c r="G9" s="114">
        <f>Assumptions!G26</f>
        <v>0</v>
      </c>
      <c r="H9" s="114">
        <f>Assumptions!H26</f>
        <v>0</v>
      </c>
      <c r="I9" s="114">
        <f>Assumptions!I26</f>
        <v>0</v>
      </c>
      <c r="J9" s="114">
        <f>Assumptions!J26</f>
        <v>0</v>
      </c>
      <c r="K9" s="114">
        <f>Assumptions!K26</f>
        <v>0</v>
      </c>
      <c r="L9" s="114">
        <f>Assumptions!L26</f>
        <v>0</v>
      </c>
      <c r="M9" s="219">
        <f>Assumptions!M26</f>
        <v>0</v>
      </c>
      <c r="N9" s="219">
        <f>Assumptions!N26</f>
        <v>0</v>
      </c>
      <c r="O9" s="219">
        <f>Assumptions!O26</f>
        <v>0</v>
      </c>
      <c r="P9" s="219">
        <f>Assumptions!P26</f>
        <v>0</v>
      </c>
      <c r="Q9" s="219">
        <f>Assumptions!Q26</f>
        <v>0</v>
      </c>
      <c r="R9" s="219">
        <f>Assumptions!R26</f>
        <v>0</v>
      </c>
      <c r="S9" s="219">
        <f>Assumptions!S26</f>
        <v>0</v>
      </c>
      <c r="T9" s="219">
        <f>Assumptions!T26</f>
        <v>0</v>
      </c>
      <c r="U9" s="219">
        <f>Assumptions!U26</f>
        <v>0</v>
      </c>
    </row>
    <row r="10" spans="1:21" s="2" customFormat="1" ht="18.75" x14ac:dyDescent="0.3">
      <c r="A10" s="34"/>
      <c r="B10" s="3"/>
      <c r="C10" s="54"/>
      <c r="D10" s="54"/>
      <c r="E10" s="54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</row>
    <row r="11" spans="1:21" x14ac:dyDescent="0.25">
      <c r="A11" s="21" t="s">
        <v>28</v>
      </c>
      <c r="B11" s="55"/>
      <c r="C11" s="157">
        <f>C2</f>
        <v>44926</v>
      </c>
      <c r="D11" s="157">
        <f t="shared" ref="D11:J11" si="9">D2</f>
        <v>45291</v>
      </c>
      <c r="E11" s="157">
        <f t="shared" si="9"/>
        <v>45657</v>
      </c>
      <c r="F11" s="157">
        <f t="shared" si="9"/>
        <v>46022</v>
      </c>
      <c r="G11" s="157">
        <f t="shared" si="9"/>
        <v>46387</v>
      </c>
      <c r="H11" s="157">
        <f t="shared" si="9"/>
        <v>46752</v>
      </c>
      <c r="I11" s="157">
        <f t="shared" si="9"/>
        <v>47118</v>
      </c>
      <c r="J11" s="157">
        <f t="shared" si="9"/>
        <v>47483</v>
      </c>
      <c r="K11" s="197">
        <f t="shared" ref="K11:M11" si="10">K2</f>
        <v>2030</v>
      </c>
      <c r="L11" s="197">
        <f t="shared" si="10"/>
        <v>2031</v>
      </c>
      <c r="M11" s="197">
        <f t="shared" si="10"/>
        <v>2032</v>
      </c>
      <c r="N11" s="197">
        <f t="shared" ref="N11:U11" si="11">N2</f>
        <v>2033</v>
      </c>
      <c r="O11" s="197">
        <f t="shared" si="11"/>
        <v>2034</v>
      </c>
      <c r="P11" s="197">
        <f t="shared" si="11"/>
        <v>2035</v>
      </c>
      <c r="Q11" s="197">
        <f t="shared" si="11"/>
        <v>2036</v>
      </c>
      <c r="R11" s="197">
        <f t="shared" si="11"/>
        <v>2037</v>
      </c>
      <c r="S11" s="197">
        <f t="shared" si="11"/>
        <v>2038</v>
      </c>
      <c r="T11" s="197">
        <f t="shared" si="11"/>
        <v>2039</v>
      </c>
      <c r="U11" s="197">
        <f t="shared" si="11"/>
        <v>2040</v>
      </c>
    </row>
    <row r="12" spans="1:21" x14ac:dyDescent="0.25">
      <c r="B12" s="4" t="s">
        <v>29</v>
      </c>
      <c r="E12" s="28"/>
      <c r="I12" s="4"/>
      <c r="J12" s="4"/>
    </row>
    <row r="13" spans="1:21" x14ac:dyDescent="0.25">
      <c r="B13" s="4" t="s">
        <v>30</v>
      </c>
      <c r="E13" s="29"/>
      <c r="I13" s="4"/>
      <c r="J13" s="4"/>
    </row>
    <row r="14" spans="1:21" x14ac:dyDescent="0.25">
      <c r="B14" s="4" t="s">
        <v>31</v>
      </c>
      <c r="E14" s="28"/>
      <c r="I14" s="4"/>
      <c r="J14" s="4"/>
    </row>
    <row r="15" spans="1:21" x14ac:dyDescent="0.25">
      <c r="E15" s="28"/>
      <c r="I15" s="4"/>
      <c r="J15" s="4"/>
    </row>
    <row r="16" spans="1:21" x14ac:dyDescent="0.25">
      <c r="A16" s="307" t="s">
        <v>32</v>
      </c>
      <c r="B16" s="20"/>
      <c r="C16" s="56">
        <f t="shared" ref="C16:M16" si="12">C11</f>
        <v>44926</v>
      </c>
      <c r="D16" s="56">
        <f t="shared" si="12"/>
        <v>45291</v>
      </c>
      <c r="E16" s="56">
        <f t="shared" si="12"/>
        <v>45657</v>
      </c>
      <c r="F16" s="56">
        <f t="shared" si="12"/>
        <v>46022</v>
      </c>
      <c r="G16" s="56">
        <f t="shared" si="12"/>
        <v>46387</v>
      </c>
      <c r="H16" s="56">
        <f t="shared" si="12"/>
        <v>46752</v>
      </c>
      <c r="I16" s="56">
        <f t="shared" si="12"/>
        <v>47118</v>
      </c>
      <c r="J16" s="56">
        <f t="shared" si="12"/>
        <v>47483</v>
      </c>
      <c r="K16" s="196">
        <f t="shared" si="12"/>
        <v>2030</v>
      </c>
      <c r="L16" s="196">
        <f t="shared" si="12"/>
        <v>2031</v>
      </c>
      <c r="M16" s="196">
        <f t="shared" si="12"/>
        <v>2032</v>
      </c>
      <c r="N16" s="196">
        <f t="shared" ref="N16:U16" si="13">N11</f>
        <v>2033</v>
      </c>
      <c r="O16" s="196">
        <f t="shared" si="13"/>
        <v>2034</v>
      </c>
      <c r="P16" s="196">
        <f t="shared" si="13"/>
        <v>2035</v>
      </c>
      <c r="Q16" s="196">
        <f t="shared" si="13"/>
        <v>2036</v>
      </c>
      <c r="R16" s="196">
        <f t="shared" si="13"/>
        <v>2037</v>
      </c>
      <c r="S16" s="196">
        <f t="shared" si="13"/>
        <v>2038</v>
      </c>
      <c r="T16" s="196">
        <f t="shared" si="13"/>
        <v>2039</v>
      </c>
      <c r="U16" s="196">
        <f t="shared" si="13"/>
        <v>2040</v>
      </c>
    </row>
    <row r="17" spans="1:21" x14ac:dyDescent="0.25">
      <c r="B17" s="4" t="s">
        <v>18</v>
      </c>
      <c r="E17" s="28"/>
      <c r="I17" s="4"/>
      <c r="J17" s="4"/>
    </row>
    <row r="18" spans="1:21" x14ac:dyDescent="0.25">
      <c r="B18" s="4" t="s">
        <v>33</v>
      </c>
      <c r="E18" s="28"/>
      <c r="I18" s="4"/>
      <c r="J18" s="4"/>
    </row>
    <row r="19" spans="1:21" x14ac:dyDescent="0.25">
      <c r="B19" s="4" t="s">
        <v>34</v>
      </c>
      <c r="E19" s="28"/>
      <c r="I19" s="4"/>
      <c r="J19" s="4"/>
    </row>
    <row r="20" spans="1:21" x14ac:dyDescent="0.25">
      <c r="B20" s="4" t="s">
        <v>21</v>
      </c>
      <c r="C20" s="10"/>
      <c r="E20" s="28"/>
      <c r="I20" s="4"/>
      <c r="J20" s="4"/>
    </row>
    <row r="21" spans="1:21" x14ac:dyDescent="0.25">
      <c r="B21" s="4" t="s">
        <v>30</v>
      </c>
      <c r="D21" s="49"/>
      <c r="E21" s="2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x14ac:dyDescent="0.25">
      <c r="B22" s="4" t="s">
        <v>31</v>
      </c>
      <c r="E22" s="28"/>
      <c r="I22" s="4"/>
      <c r="J22" s="4"/>
    </row>
    <row r="23" spans="1:21" x14ac:dyDescent="0.25">
      <c r="E23" s="28"/>
      <c r="I23" s="4"/>
      <c r="J23" s="4"/>
    </row>
    <row r="24" spans="1:21" x14ac:dyDescent="0.25">
      <c r="A24" s="21" t="s">
        <v>35</v>
      </c>
      <c r="B24" s="43"/>
      <c r="C24" s="56">
        <f>C16</f>
        <v>44926</v>
      </c>
      <c r="D24" s="56">
        <f t="shared" ref="D24:J24" si="14">D16</f>
        <v>45291</v>
      </c>
      <c r="E24" s="56">
        <f t="shared" si="14"/>
        <v>45657</v>
      </c>
      <c r="F24" s="56">
        <f t="shared" si="14"/>
        <v>46022</v>
      </c>
      <c r="G24" s="56">
        <f t="shared" si="14"/>
        <v>46387</v>
      </c>
      <c r="H24" s="56">
        <f t="shared" si="14"/>
        <v>46752</v>
      </c>
      <c r="I24" s="56">
        <f t="shared" si="14"/>
        <v>47118</v>
      </c>
      <c r="J24" s="56">
        <f t="shared" si="14"/>
        <v>47483</v>
      </c>
      <c r="K24" s="196">
        <f t="shared" ref="K24:M24" si="15">K16</f>
        <v>2030</v>
      </c>
      <c r="L24" s="196">
        <f t="shared" si="15"/>
        <v>2031</v>
      </c>
      <c r="M24" s="196">
        <f t="shared" si="15"/>
        <v>2032</v>
      </c>
      <c r="N24" s="196">
        <f t="shared" ref="N24:U24" si="16">N16</f>
        <v>2033</v>
      </c>
      <c r="O24" s="196">
        <f t="shared" si="16"/>
        <v>2034</v>
      </c>
      <c r="P24" s="196">
        <f t="shared" si="16"/>
        <v>2035</v>
      </c>
      <c r="Q24" s="196">
        <f t="shared" si="16"/>
        <v>2036</v>
      </c>
      <c r="R24" s="196">
        <f t="shared" si="16"/>
        <v>2037</v>
      </c>
      <c r="S24" s="196">
        <f t="shared" si="16"/>
        <v>2038</v>
      </c>
      <c r="T24" s="196">
        <f t="shared" si="16"/>
        <v>2039</v>
      </c>
      <c r="U24" s="196">
        <f t="shared" si="16"/>
        <v>2040</v>
      </c>
    </row>
    <row r="25" spans="1:21" x14ac:dyDescent="0.25">
      <c r="A25" s="7"/>
      <c r="B25" s="4" t="s">
        <v>28</v>
      </c>
      <c r="E25" s="28"/>
      <c r="I25" s="4"/>
      <c r="J25" s="4"/>
    </row>
    <row r="26" spans="1:21" x14ac:dyDescent="0.25">
      <c r="A26" s="7"/>
      <c r="B26" s="4" t="s">
        <v>36</v>
      </c>
      <c r="E26" s="28"/>
      <c r="I26" s="4"/>
      <c r="J26" s="4"/>
    </row>
    <row r="27" spans="1:21" x14ac:dyDescent="0.25">
      <c r="A27" s="7"/>
      <c r="B27" s="11" t="s">
        <v>37</v>
      </c>
      <c r="D27" s="11"/>
      <c r="E27" s="25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x14ac:dyDescent="0.25">
      <c r="A28" s="7"/>
      <c r="B28" s="4" t="s">
        <v>38</v>
      </c>
      <c r="E28" s="28"/>
      <c r="I28" s="4"/>
      <c r="J28" s="4"/>
    </row>
    <row r="29" spans="1:21" x14ac:dyDescent="0.25">
      <c r="A29" s="7"/>
      <c r="E29" s="28"/>
      <c r="I29" s="4"/>
      <c r="J29" s="4"/>
    </row>
    <row r="30" spans="1:21" x14ac:dyDescent="0.25">
      <c r="A30" s="21" t="s">
        <v>39</v>
      </c>
      <c r="B30" s="43"/>
      <c r="C30" s="56">
        <f>C11</f>
        <v>44926</v>
      </c>
      <c r="D30" s="56">
        <f t="shared" ref="D30:J30" si="17">D11</f>
        <v>45291</v>
      </c>
      <c r="E30" s="56">
        <f t="shared" si="17"/>
        <v>45657</v>
      </c>
      <c r="F30" s="56">
        <f t="shared" si="17"/>
        <v>46022</v>
      </c>
      <c r="G30" s="56">
        <f t="shared" si="17"/>
        <v>46387</v>
      </c>
      <c r="H30" s="56">
        <f t="shared" si="17"/>
        <v>46752</v>
      </c>
      <c r="I30" s="56">
        <f t="shared" si="17"/>
        <v>47118</v>
      </c>
      <c r="J30" s="56">
        <f t="shared" si="17"/>
        <v>47483</v>
      </c>
      <c r="K30" s="196">
        <f t="shared" ref="K30:M30" si="18">K11</f>
        <v>2030</v>
      </c>
      <c r="L30" s="196">
        <f t="shared" si="18"/>
        <v>2031</v>
      </c>
      <c r="M30" s="196">
        <f t="shared" si="18"/>
        <v>2032</v>
      </c>
      <c r="N30" s="196">
        <f t="shared" ref="N30:U30" si="19">N11</f>
        <v>2033</v>
      </c>
      <c r="O30" s="196">
        <f t="shared" si="19"/>
        <v>2034</v>
      </c>
      <c r="P30" s="196">
        <f t="shared" si="19"/>
        <v>2035</v>
      </c>
      <c r="Q30" s="196">
        <f t="shared" si="19"/>
        <v>2036</v>
      </c>
      <c r="R30" s="196">
        <f t="shared" si="19"/>
        <v>2037</v>
      </c>
      <c r="S30" s="196">
        <f t="shared" si="19"/>
        <v>2038</v>
      </c>
      <c r="T30" s="196">
        <f t="shared" si="19"/>
        <v>2039</v>
      </c>
      <c r="U30" s="196">
        <f t="shared" si="19"/>
        <v>2040</v>
      </c>
    </row>
    <row r="31" spans="1:21" x14ac:dyDescent="0.25">
      <c r="A31" s="7"/>
      <c r="B31" s="4" t="s">
        <v>157</v>
      </c>
      <c r="E31" s="28"/>
      <c r="F31" s="4">
        <f>BalSheet!F15</f>
        <v>5634.377554373209</v>
      </c>
      <c r="G31" s="4">
        <f>BalSheet!G15</f>
        <v>6589.4087115784178</v>
      </c>
      <c r="H31" s="4">
        <f>BalSheet!H15</f>
        <v>8096.6848833795393</v>
      </c>
      <c r="I31" s="4">
        <f>BalSheet!I15</f>
        <v>10495.694479183716</v>
      </c>
      <c r="J31" s="4">
        <f>BalSheet!J15</f>
        <v>14257.521765772468</v>
      </c>
      <c r="K31" s="4">
        <f>BalSheet!K15</f>
        <v>20079.003793088876</v>
      </c>
      <c r="L31" s="4">
        <f>BalSheet!L15</f>
        <v>28267.818259311025</v>
      </c>
      <c r="M31" s="4">
        <f>BalSheet!M15</f>
        <v>39747.73029636241</v>
      </c>
      <c r="N31" s="4">
        <f>BalSheet!N15</f>
        <v>55785.549070778055</v>
      </c>
      <c r="O31" s="4">
        <f>BalSheet!O15</f>
        <v>78111.727298869751</v>
      </c>
      <c r="P31" s="4">
        <f>BalSheet!P15</f>
        <v>109080.73816297611</v>
      </c>
      <c r="Q31" s="4">
        <f>BalSheet!Q15</f>
        <v>151883.39197881735</v>
      </c>
      <c r="R31" s="4">
        <f>BalSheet!R15</f>
        <v>210826.63888469833</v>
      </c>
      <c r="S31" s="4">
        <f>BalSheet!S15</f>
        <v>291700.61791281757</v>
      </c>
      <c r="T31" s="4">
        <f>BalSheet!T15</f>
        <v>402257.92541897221</v>
      </c>
      <c r="U31" s="4">
        <f>BalSheet!U15</f>
        <v>552836.47867707303</v>
      </c>
    </row>
    <row r="32" spans="1:21" x14ac:dyDescent="0.25">
      <c r="B32" s="4" t="s">
        <v>30</v>
      </c>
      <c r="D32" s="49"/>
      <c r="E32" s="24"/>
      <c r="F32" s="5">
        <f>F6</f>
        <v>3.8687469143252891E-2</v>
      </c>
      <c r="G32" s="5">
        <f t="shared" ref="G32:U32" si="20">G6</f>
        <v>3.8687469143252891E-2</v>
      </c>
      <c r="H32" s="5">
        <f t="shared" si="20"/>
        <v>3.8687469143252891E-2</v>
      </c>
      <c r="I32" s="5">
        <f t="shared" si="20"/>
        <v>3.8687469143252891E-2</v>
      </c>
      <c r="J32" s="5">
        <f t="shared" si="20"/>
        <v>3.8687469143252891E-2</v>
      </c>
      <c r="K32" s="5">
        <f t="shared" si="20"/>
        <v>3.8687469143252891E-2</v>
      </c>
      <c r="L32" s="5">
        <f t="shared" si="20"/>
        <v>3.8687469143252891E-2</v>
      </c>
      <c r="M32" s="5">
        <f t="shared" si="20"/>
        <v>3.8687469143252891E-2</v>
      </c>
      <c r="N32" s="5">
        <f t="shared" si="20"/>
        <v>3.8687469143252891E-2</v>
      </c>
      <c r="O32" s="5">
        <f t="shared" si="20"/>
        <v>3.8687469143252891E-2</v>
      </c>
      <c r="P32" s="5">
        <f t="shared" si="20"/>
        <v>3.8687469143252891E-2</v>
      </c>
      <c r="Q32" s="5">
        <f t="shared" si="20"/>
        <v>3.8687469143252891E-2</v>
      </c>
      <c r="R32" s="5">
        <f t="shared" si="20"/>
        <v>3.8687469143252891E-2</v>
      </c>
      <c r="S32" s="5">
        <f t="shared" si="20"/>
        <v>3.8687469143252891E-2</v>
      </c>
      <c r="T32" s="5">
        <f t="shared" si="20"/>
        <v>3.8687469143252891E-2</v>
      </c>
      <c r="U32" s="5">
        <f t="shared" si="20"/>
        <v>3.8687469143252891E-2</v>
      </c>
    </row>
    <row r="33" spans="2:21" x14ac:dyDescent="0.25">
      <c r="B33" s="4" t="s">
        <v>39</v>
      </c>
      <c r="E33" s="28"/>
      <c r="F33" s="4">
        <f>F31*F32</f>
        <v>217.9798077762502</v>
      </c>
      <c r="G33" s="4">
        <f t="shared" ref="G33:U33" si="21">G31*G32</f>
        <v>254.92754620147181</v>
      </c>
      <c r="H33" s="4">
        <f t="shared" si="21"/>
        <v>313.24024658838806</v>
      </c>
      <c r="I33" s="4">
        <f t="shared" si="21"/>
        <v>406.05185630042973</v>
      </c>
      <c r="J33" s="4">
        <f t="shared" si="21"/>
        <v>551.58743337257886</v>
      </c>
      <c r="K33" s="4">
        <f t="shared" si="21"/>
        <v>776.80583967238363</v>
      </c>
      <c r="L33" s="4">
        <f t="shared" si="21"/>
        <v>1093.6103466541758</v>
      </c>
      <c r="M33" s="4">
        <f t="shared" si="21"/>
        <v>1537.7390893548588</v>
      </c>
      <c r="N33" s="4">
        <f t="shared" si="21"/>
        <v>2158.2017083151459</v>
      </c>
      <c r="O33" s="4">
        <f t="shared" si="21"/>
        <v>3021.945039601208</v>
      </c>
      <c r="P33" s="4">
        <f t="shared" si="21"/>
        <v>4220.0576918033858</v>
      </c>
      <c r="Q33" s="4">
        <f t="shared" si="21"/>
        <v>5875.9840405530795</v>
      </c>
      <c r="R33" s="4">
        <f t="shared" si="21"/>
        <v>8156.3490864274863</v>
      </c>
      <c r="S33" s="4">
        <f t="shared" si="21"/>
        <v>11285.158654569932</v>
      </c>
      <c r="T33" s="4">
        <f t="shared" si="21"/>
        <v>15562.34107727541</v>
      </c>
      <c r="U33" s="4">
        <f t="shared" si="21"/>
        <v>21387.844210083847</v>
      </c>
    </row>
    <row r="34" spans="2:21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U39"/>
  <sheetViews>
    <sheetView showGridLines="0" topLeftCell="G1" zoomScaleNormal="100" workbookViewId="0">
      <selection activeCell="I17" sqref="I17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21" width="11.7109375" style="4" customWidth="1"/>
    <col min="22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/>
      <c r="O1" s="42"/>
    </row>
    <row r="2" spans="1:21" x14ac:dyDescent="0.25">
      <c r="A2" s="17" t="s">
        <v>9</v>
      </c>
      <c r="B2" s="16"/>
      <c r="C2" s="299">
        <v>44926</v>
      </c>
      <c r="D2" s="299">
        <v>45291</v>
      </c>
      <c r="E2" s="299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212">
        <v>2030</v>
      </c>
      <c r="L2" s="212">
        <v>2031</v>
      </c>
      <c r="M2" s="212">
        <v>2032</v>
      </c>
      <c r="N2" s="212">
        <f>M2+1</f>
        <v>2033</v>
      </c>
      <c r="O2" s="212">
        <f t="shared" ref="O2:U2" si="0">N2+1</f>
        <v>2034</v>
      </c>
      <c r="P2" s="212">
        <f t="shared" si="0"/>
        <v>2035</v>
      </c>
      <c r="Q2" s="212">
        <f t="shared" si="0"/>
        <v>2036</v>
      </c>
      <c r="R2" s="212">
        <f t="shared" si="0"/>
        <v>2037</v>
      </c>
      <c r="S2" s="212">
        <f t="shared" si="0"/>
        <v>2038</v>
      </c>
      <c r="T2" s="212">
        <f t="shared" si="0"/>
        <v>2039</v>
      </c>
      <c r="U2" s="212">
        <f t="shared" si="0"/>
        <v>2040</v>
      </c>
    </row>
    <row r="3" spans="1:21" x14ac:dyDescent="0.25">
      <c r="A3" s="88"/>
      <c r="C3" s="101"/>
      <c r="D3" s="101"/>
      <c r="E3" s="101"/>
    </row>
    <row r="4" spans="1:21" x14ac:dyDescent="0.25">
      <c r="B4" s="31" t="s">
        <v>41</v>
      </c>
      <c r="C4" s="32"/>
      <c r="D4" s="32"/>
      <c r="E4" s="33"/>
      <c r="F4" s="190">
        <f>Assumptions!F10</f>
        <v>0.52823537623900596</v>
      </c>
      <c r="G4" s="190">
        <f>Assumptions!G10</f>
        <v>0.52129290354582403</v>
      </c>
      <c r="H4" s="190">
        <f>Assumptions!H10</f>
        <v>0.42</v>
      </c>
      <c r="I4" s="190">
        <f>Assumptions!I10</f>
        <v>0.41499999999999998</v>
      </c>
      <c r="J4" s="190">
        <f>Assumptions!J10</f>
        <v>0.41</v>
      </c>
      <c r="K4" s="190">
        <f>Assumptions!K10</f>
        <v>0.40499999999999997</v>
      </c>
      <c r="L4" s="190">
        <f>Assumptions!L10</f>
        <v>0.39999999999999997</v>
      </c>
      <c r="M4" s="190">
        <f>Assumptions!M10</f>
        <v>0.39499999999999996</v>
      </c>
      <c r="N4" s="190">
        <f>Assumptions!N10</f>
        <v>0.38999999999999996</v>
      </c>
      <c r="O4" s="190">
        <f>Assumptions!O10</f>
        <v>0.38499999999999995</v>
      </c>
      <c r="P4" s="190">
        <f>Assumptions!P10</f>
        <v>0.37999999999999995</v>
      </c>
      <c r="Q4" s="190">
        <f>Assumptions!Q10</f>
        <v>0.37499999999999994</v>
      </c>
      <c r="R4" s="190">
        <f>Assumptions!R10</f>
        <v>0.36999999999999994</v>
      </c>
      <c r="S4" s="190">
        <f>Assumptions!S10</f>
        <v>0.36499999999999994</v>
      </c>
      <c r="T4" s="190">
        <f>Assumptions!T10</f>
        <v>0.35999999999999993</v>
      </c>
      <c r="U4" s="190">
        <f>Assumptions!U10</f>
        <v>0.35499999999999993</v>
      </c>
    </row>
    <row r="5" spans="1:21" x14ac:dyDescent="0.25">
      <c r="B5" s="31" t="s">
        <v>42</v>
      </c>
      <c r="C5" s="32"/>
      <c r="D5" s="32"/>
      <c r="E5" s="32"/>
      <c r="F5" s="190">
        <f>Assumptions!F11</f>
        <v>0.19651827512548389</v>
      </c>
      <c r="G5" s="190">
        <f>Assumptions!G11</f>
        <v>0.19551827512548389</v>
      </c>
      <c r="H5" s="190">
        <f>Assumptions!H11</f>
        <v>0.19451827512548389</v>
      </c>
      <c r="I5" s="190">
        <f>Assumptions!I11</f>
        <v>0.19351827512548389</v>
      </c>
      <c r="J5" s="190">
        <f>Assumptions!J11</f>
        <v>0.19251827512548389</v>
      </c>
      <c r="K5" s="190">
        <f>Assumptions!K11</f>
        <v>0.19151827512548389</v>
      </c>
      <c r="L5" s="190">
        <f>Assumptions!L11</f>
        <v>0.19051827512548389</v>
      </c>
      <c r="M5" s="190">
        <f>Assumptions!M11</f>
        <v>0.18951827512548389</v>
      </c>
      <c r="N5" s="190">
        <f>Assumptions!N11</f>
        <v>0.18851827512548389</v>
      </c>
      <c r="O5" s="190">
        <f>Assumptions!O11</f>
        <v>0.18751827512548389</v>
      </c>
      <c r="P5" s="190">
        <f>Assumptions!P11</f>
        <v>0.18651827512548388</v>
      </c>
      <c r="Q5" s="190">
        <f>Assumptions!Q11</f>
        <v>0.18551827512548388</v>
      </c>
      <c r="R5" s="190">
        <f>Assumptions!R11</f>
        <v>0.18451827512548388</v>
      </c>
      <c r="S5" s="190">
        <f>Assumptions!S11</f>
        <v>0.18351827512548388</v>
      </c>
      <c r="T5" s="190">
        <f>Assumptions!T11</f>
        <v>0.18251827512548388</v>
      </c>
      <c r="U5" s="190">
        <f>Assumptions!U11</f>
        <v>0.18151827512548388</v>
      </c>
    </row>
    <row r="6" spans="1:21" x14ac:dyDescent="0.25">
      <c r="B6" s="31" t="s">
        <v>167</v>
      </c>
      <c r="C6" s="207"/>
      <c r="D6" s="207"/>
      <c r="E6" s="33"/>
      <c r="F6" s="190">
        <f>Assumptions!F12</f>
        <v>0.17623844331910549</v>
      </c>
      <c r="G6" s="190">
        <f>Assumptions!G12</f>
        <v>0.17523844331910549</v>
      </c>
      <c r="H6" s="190">
        <f>Assumptions!H12</f>
        <v>0.17423844331910548</v>
      </c>
      <c r="I6" s="190">
        <f>Assumptions!I12</f>
        <v>0.17323844331910548</v>
      </c>
      <c r="J6" s="190">
        <f>Assumptions!J12</f>
        <v>0.17223844331910548</v>
      </c>
      <c r="K6" s="190">
        <f>Assumptions!K12</f>
        <v>0.17123844331910548</v>
      </c>
      <c r="L6" s="190">
        <f>Assumptions!L12</f>
        <v>0.17023844331910548</v>
      </c>
      <c r="M6" s="190">
        <f>Assumptions!M12</f>
        <v>0.16923844331910548</v>
      </c>
      <c r="N6" s="190">
        <f>Assumptions!N12</f>
        <v>0.16823844331910548</v>
      </c>
      <c r="O6" s="190">
        <f>Assumptions!O12</f>
        <v>0.16723844331910548</v>
      </c>
      <c r="P6" s="190">
        <f>Assumptions!P12</f>
        <v>0.16623844331910548</v>
      </c>
      <c r="Q6" s="190">
        <f>Assumptions!Q12</f>
        <v>0.16523844331910548</v>
      </c>
      <c r="R6" s="190">
        <f>Assumptions!R12</f>
        <v>0.16423844331910548</v>
      </c>
      <c r="S6" s="190">
        <f>Assumptions!S12</f>
        <v>0.16323844331910548</v>
      </c>
      <c r="T6" s="190">
        <f>Assumptions!T12</f>
        <v>0.16223844331910547</v>
      </c>
      <c r="U6" s="190">
        <f>Assumptions!U12</f>
        <v>0.16123844331910547</v>
      </c>
    </row>
    <row r="7" spans="1:21" x14ac:dyDescent="0.25">
      <c r="B7" s="31" t="s">
        <v>43</v>
      </c>
      <c r="C7" s="32"/>
      <c r="D7" s="32"/>
      <c r="E7" s="32"/>
      <c r="F7" s="190">
        <f>Assumptions!F13</f>
        <v>0.4919193444650457</v>
      </c>
      <c r="G7" s="190">
        <f>Assumptions!G13</f>
        <v>0.46691934446504568</v>
      </c>
      <c r="H7" s="190">
        <f>Assumptions!H13</f>
        <v>0.44191934446504566</v>
      </c>
      <c r="I7" s="190">
        <f>Assumptions!I13</f>
        <v>0.41691934446504564</v>
      </c>
      <c r="J7" s="190">
        <f>Assumptions!J13</f>
        <v>0.39191934446504562</v>
      </c>
      <c r="K7" s="190">
        <f>Assumptions!K13</f>
        <v>0.36691934446504559</v>
      </c>
      <c r="L7" s="190">
        <f>Assumptions!L13</f>
        <v>0.36691934446504559</v>
      </c>
      <c r="M7" s="190">
        <f>Assumptions!M13</f>
        <v>0.36691934446504559</v>
      </c>
      <c r="N7" s="190">
        <f>Assumptions!N13</f>
        <v>0.36691934446504559</v>
      </c>
      <c r="O7" s="190">
        <f>Assumptions!O13</f>
        <v>0.36691934446504559</v>
      </c>
      <c r="P7" s="190">
        <f>Assumptions!P13</f>
        <v>0.36691934446504559</v>
      </c>
      <c r="Q7" s="190">
        <f>Assumptions!Q13</f>
        <v>0.36691934446504559</v>
      </c>
      <c r="R7" s="190">
        <f>Assumptions!R13</f>
        <v>0.36691934446504559</v>
      </c>
      <c r="S7" s="190">
        <f>Assumptions!S13</f>
        <v>0.36691934446504559</v>
      </c>
      <c r="T7" s="190">
        <f>Assumptions!T13</f>
        <v>0.36691934446504559</v>
      </c>
      <c r="U7" s="190">
        <f>Assumptions!U13</f>
        <v>0.36691934446504559</v>
      </c>
    </row>
    <row r="8" spans="1:21" x14ac:dyDescent="0.25">
      <c r="B8" s="4" t="s">
        <v>135</v>
      </c>
      <c r="F8" s="191">
        <f>Assumptions!F14</f>
        <v>0</v>
      </c>
      <c r="G8" s="191">
        <f>Assumptions!G14</f>
        <v>0</v>
      </c>
      <c r="H8" s="191">
        <f>Assumptions!H14</f>
        <v>0</v>
      </c>
      <c r="I8" s="191">
        <f>Assumptions!I14</f>
        <v>0</v>
      </c>
      <c r="J8" s="191">
        <f>Assumptions!J14</f>
        <v>0</v>
      </c>
      <c r="K8" s="191">
        <f>Assumptions!K14</f>
        <v>0</v>
      </c>
      <c r="L8" s="191">
        <f>Assumptions!L14</f>
        <v>0</v>
      </c>
      <c r="M8" s="191">
        <f>Assumptions!M14</f>
        <v>0</v>
      </c>
      <c r="N8" s="191">
        <f>Assumptions!N14</f>
        <v>0</v>
      </c>
      <c r="O8" s="191">
        <f>Assumptions!O14</f>
        <v>0</v>
      </c>
      <c r="P8" s="191">
        <f>Assumptions!P14</f>
        <v>0</v>
      </c>
      <c r="Q8" s="191">
        <f>Assumptions!Q14</f>
        <v>0</v>
      </c>
      <c r="R8" s="191">
        <f>Assumptions!R14</f>
        <v>0</v>
      </c>
      <c r="S8" s="191">
        <f>Assumptions!S14</f>
        <v>0</v>
      </c>
      <c r="T8" s="191">
        <f>Assumptions!T14</f>
        <v>0</v>
      </c>
      <c r="U8" s="191">
        <f>Assumptions!U14</f>
        <v>0</v>
      </c>
    </row>
    <row r="9" spans="1:21" x14ac:dyDescent="0.25">
      <c r="B9" s="31" t="s">
        <v>44</v>
      </c>
      <c r="C9" s="44"/>
      <c r="D9" s="44"/>
      <c r="E9" s="44"/>
      <c r="F9" s="190">
        <f>Assumptions!F15</f>
        <v>0.23</v>
      </c>
      <c r="G9" s="190">
        <f>Assumptions!G15</f>
        <v>0.23</v>
      </c>
      <c r="H9" s="190">
        <f>Assumptions!H15</f>
        <v>0.23</v>
      </c>
      <c r="I9" s="190">
        <f>Assumptions!I15</f>
        <v>0.23</v>
      </c>
      <c r="J9" s="190">
        <f>Assumptions!J15</f>
        <v>0.23</v>
      </c>
      <c r="K9" s="190">
        <f>Assumptions!K15</f>
        <v>0.23</v>
      </c>
      <c r="L9" s="190">
        <f>Assumptions!L15</f>
        <v>0.23</v>
      </c>
      <c r="M9" s="190">
        <f>Assumptions!M15</f>
        <v>0.23</v>
      </c>
      <c r="N9" s="190">
        <f>Assumptions!N15</f>
        <v>0.23</v>
      </c>
      <c r="O9" s="190">
        <f>Assumptions!O15</f>
        <v>0.23</v>
      </c>
      <c r="P9" s="190">
        <f>Assumptions!P15</f>
        <v>0.23</v>
      </c>
      <c r="Q9" s="190">
        <f>Assumptions!Q15</f>
        <v>0.23</v>
      </c>
      <c r="R9" s="190">
        <f>Assumptions!R15</f>
        <v>0.23</v>
      </c>
      <c r="S9" s="190">
        <f>Assumptions!S15</f>
        <v>0.23</v>
      </c>
      <c r="T9" s="190">
        <f>Assumptions!T15</f>
        <v>0.23</v>
      </c>
      <c r="U9" s="190">
        <f>Assumptions!U15</f>
        <v>0.23</v>
      </c>
    </row>
    <row r="10" spans="1:21" x14ac:dyDescent="0.25">
      <c r="B10" s="4" t="s">
        <v>45</v>
      </c>
      <c r="C10" s="31"/>
      <c r="D10" s="31"/>
      <c r="E10" s="40"/>
      <c r="F10" s="191">
        <f>Assumptions!F16</f>
        <v>2250.163</v>
      </c>
      <c r="G10" s="191">
        <f>Assumptions!G16</f>
        <v>2250.163</v>
      </c>
      <c r="H10" s="191">
        <f>Assumptions!H16</f>
        <v>2250.163</v>
      </c>
      <c r="I10" s="191">
        <f>Assumptions!I16</f>
        <v>2250.163</v>
      </c>
      <c r="J10" s="191">
        <f>Assumptions!J16</f>
        <v>2250.163</v>
      </c>
      <c r="K10" s="191">
        <f>Assumptions!K16</f>
        <v>2250.163</v>
      </c>
      <c r="L10" s="191">
        <f>Assumptions!L16</f>
        <v>2250.163</v>
      </c>
      <c r="M10" s="191">
        <f>Assumptions!M16</f>
        <v>2250.163</v>
      </c>
      <c r="N10" s="191">
        <f>Assumptions!N16</f>
        <v>2250.163</v>
      </c>
      <c r="O10" s="191">
        <f>Assumptions!O16</f>
        <v>2250.163</v>
      </c>
      <c r="P10" s="191">
        <f>Assumptions!P16</f>
        <v>2250.163</v>
      </c>
      <c r="Q10" s="191">
        <f>Assumptions!Q16</f>
        <v>2250.163</v>
      </c>
      <c r="R10" s="191">
        <f>Assumptions!R16</f>
        <v>2250.163</v>
      </c>
      <c r="S10" s="191">
        <f>Assumptions!S16</f>
        <v>2250.163</v>
      </c>
      <c r="T10" s="191">
        <f>Assumptions!T16</f>
        <v>2250.163</v>
      </c>
      <c r="U10" s="191">
        <f>Assumptions!U16</f>
        <v>2250.163</v>
      </c>
    </row>
    <row r="11" spans="1:21" x14ac:dyDescent="0.25">
      <c r="B11" s="4" t="s">
        <v>46</v>
      </c>
      <c r="C11" s="31"/>
      <c r="D11" s="31"/>
      <c r="E11" s="40"/>
      <c r="F11" s="191">
        <f>Assumptions!F17</f>
        <v>2450.8180000000002</v>
      </c>
      <c r="G11" s="191">
        <f>Assumptions!G17</f>
        <v>2450.8180000000002</v>
      </c>
      <c r="H11" s="191">
        <f>Assumptions!H17</f>
        <v>2450.8180000000002</v>
      </c>
      <c r="I11" s="191">
        <f>Assumptions!I17</f>
        <v>2450.8180000000002</v>
      </c>
      <c r="J11" s="191">
        <f>Assumptions!J17</f>
        <v>2450.8180000000002</v>
      </c>
      <c r="K11" s="191">
        <f>Assumptions!K17</f>
        <v>2450.8180000000002</v>
      </c>
      <c r="L11" s="191">
        <f>Assumptions!L17</f>
        <v>2450.8180000000002</v>
      </c>
      <c r="M11" s="191">
        <f>Assumptions!M17</f>
        <v>2450.8180000000002</v>
      </c>
      <c r="N11" s="191">
        <f>Assumptions!N17</f>
        <v>2450.8180000000002</v>
      </c>
      <c r="O11" s="191">
        <f>Assumptions!O17</f>
        <v>2450.8180000000002</v>
      </c>
      <c r="P11" s="191">
        <f>Assumptions!P17</f>
        <v>2450.8180000000002</v>
      </c>
      <c r="Q11" s="191">
        <f>Assumptions!Q17</f>
        <v>2450.8180000000002</v>
      </c>
      <c r="R11" s="191">
        <f>Assumptions!R17</f>
        <v>2450.8180000000002</v>
      </c>
      <c r="S11" s="191">
        <f>Assumptions!S17</f>
        <v>2450.8180000000002</v>
      </c>
      <c r="T11" s="191">
        <f>Assumptions!T17</f>
        <v>2450.8180000000002</v>
      </c>
      <c r="U11" s="191">
        <f>Assumptions!U17</f>
        <v>2450.8180000000002</v>
      </c>
    </row>
    <row r="12" spans="1:21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85" customHeight="1" x14ac:dyDescent="0.25">
      <c r="A13" s="192" t="s">
        <v>40</v>
      </c>
      <c r="B13" s="193"/>
      <c r="C13" s="157">
        <f>C33</f>
        <v>44926</v>
      </c>
      <c r="D13" s="157">
        <f t="shared" ref="D13:J13" si="1">D33</f>
        <v>45291</v>
      </c>
      <c r="E13" s="157">
        <f t="shared" si="1"/>
        <v>45657</v>
      </c>
      <c r="F13" s="157">
        <f t="shared" si="1"/>
        <v>46022</v>
      </c>
      <c r="G13" s="157">
        <f t="shared" si="1"/>
        <v>46022</v>
      </c>
      <c r="H13" s="157">
        <f t="shared" si="1"/>
        <v>46022</v>
      </c>
      <c r="I13" s="157">
        <f t="shared" si="1"/>
        <v>46022</v>
      </c>
      <c r="J13" s="157">
        <f t="shared" si="1"/>
        <v>46022</v>
      </c>
      <c r="K13" s="197">
        <f t="shared" ref="K13:M13" si="2">K33</f>
        <v>46022</v>
      </c>
      <c r="L13" s="197">
        <f t="shared" si="2"/>
        <v>46022</v>
      </c>
      <c r="M13" s="197">
        <f t="shared" si="2"/>
        <v>46022</v>
      </c>
      <c r="N13" s="197">
        <f t="shared" ref="N13:U13" si="3">N33</f>
        <v>46022</v>
      </c>
      <c r="O13" s="197">
        <f t="shared" si="3"/>
        <v>46022</v>
      </c>
      <c r="P13" s="197">
        <f t="shared" si="3"/>
        <v>46022</v>
      </c>
      <c r="Q13" s="197">
        <f t="shared" si="3"/>
        <v>46022</v>
      </c>
      <c r="R13" s="197">
        <f t="shared" si="3"/>
        <v>46022</v>
      </c>
      <c r="S13" s="197">
        <f t="shared" si="3"/>
        <v>46022</v>
      </c>
      <c r="T13" s="197">
        <f t="shared" si="3"/>
        <v>46022</v>
      </c>
      <c r="U13" s="197">
        <f t="shared" si="3"/>
        <v>46022</v>
      </c>
    </row>
    <row r="14" spans="1:21" x14ac:dyDescent="0.25">
      <c r="B14" s="4" t="s">
        <v>47</v>
      </c>
      <c r="C14" s="99">
        <v>1905.8710000000001</v>
      </c>
      <c r="D14" s="129">
        <v>2225.0120000000002</v>
      </c>
      <c r="E14" s="23">
        <v>2865.5070000000001</v>
      </c>
      <c r="F14" s="4">
        <f>E14*(1+F4)</f>
        <v>4379.1691682605051</v>
      </c>
      <c r="G14" s="4">
        <f t="shared" ref="G14:U14" si="4">F14*(1+G4)</f>
        <v>6661.998979101375</v>
      </c>
      <c r="H14" s="4">
        <f t="shared" si="4"/>
        <v>9460.0385503239522</v>
      </c>
      <c r="I14" s="4">
        <f t="shared" si="4"/>
        <v>13385.954548708392</v>
      </c>
      <c r="J14" s="4">
        <f t="shared" si="4"/>
        <v>18874.195913678832</v>
      </c>
      <c r="K14" s="4">
        <f t="shared" si="4"/>
        <v>26518.245258718758</v>
      </c>
      <c r="L14" s="4">
        <f t="shared" si="4"/>
        <v>37125.543362206256</v>
      </c>
      <c r="M14" s="4">
        <f t="shared" si="4"/>
        <v>51790.132990277729</v>
      </c>
      <c r="N14" s="4">
        <f t="shared" si="4"/>
        <v>71988.284856486032</v>
      </c>
      <c r="O14" s="4">
        <f t="shared" si="4"/>
        <v>99703.774526233159</v>
      </c>
      <c r="P14" s="4">
        <f t="shared" si="4"/>
        <v>137591.20884620174</v>
      </c>
      <c r="Q14" s="4">
        <f t="shared" si="4"/>
        <v>189187.91216352739</v>
      </c>
      <c r="R14" s="4">
        <f t="shared" si="4"/>
        <v>259187.43966403251</v>
      </c>
      <c r="S14" s="4">
        <f t="shared" si="4"/>
        <v>353790.85514140438</v>
      </c>
      <c r="T14" s="4">
        <f t="shared" si="4"/>
        <v>481155.56299230992</v>
      </c>
      <c r="U14" s="4">
        <f t="shared" si="4"/>
        <v>651965.78785457998</v>
      </c>
    </row>
    <row r="15" spans="1:21" x14ac:dyDescent="0.25">
      <c r="B15" s="4" t="s">
        <v>147</v>
      </c>
      <c r="C15" s="129">
        <v>408.548</v>
      </c>
      <c r="D15" s="129">
        <v>431.10500000000002</v>
      </c>
      <c r="E15" s="23">
        <v>565.99</v>
      </c>
      <c r="F15" s="188">
        <f>F14*F5</f>
        <v>860.58677142925444</v>
      </c>
      <c r="G15" s="188">
        <f t="shared" ref="G15:U15" si="5">G14*G5</f>
        <v>1302.5425492816355</v>
      </c>
      <c r="H15" s="188">
        <f t="shared" si="5"/>
        <v>1840.1503814295984</v>
      </c>
      <c r="I15" s="188">
        <f t="shared" si="5"/>
        <v>2590.4268351741734</v>
      </c>
      <c r="J15" s="188">
        <f t="shared" si="5"/>
        <v>3633.6276416819051</v>
      </c>
      <c r="K15" s="188">
        <f t="shared" si="5"/>
        <v>5078.7285913043579</v>
      </c>
      <c r="L15" s="188">
        <f t="shared" si="5"/>
        <v>7073.0944844638934</v>
      </c>
      <c r="M15" s="188">
        <f t="shared" si="5"/>
        <v>9815.1766728368548</v>
      </c>
      <c r="N15" s="188">
        <f t="shared" si="5"/>
        <v>13571.107290386739</v>
      </c>
      <c r="O15" s="188">
        <f t="shared" si="5"/>
        <v>18696.279822659402</v>
      </c>
      <c r="P15" s="188">
        <f t="shared" si="5"/>
        <v>25663.274946423768</v>
      </c>
      <c r="Q15" s="188">
        <f t="shared" si="5"/>
        <v>35097.81513916915</v>
      </c>
      <c r="R15" s="188">
        <f t="shared" si="5"/>
        <v>47824.819300997704</v>
      </c>
      <c r="S15" s="188">
        <f t="shared" si="5"/>
        <v>64927.087490720463</v>
      </c>
      <c r="T15" s="188">
        <f t="shared" si="5"/>
        <v>87819.683424387506</v>
      </c>
      <c r="U15" s="188">
        <f t="shared" si="5"/>
        <v>118343.7052521905</v>
      </c>
    </row>
    <row r="16" spans="1:21" x14ac:dyDescent="0.25">
      <c r="B16" s="4" t="s">
        <v>166</v>
      </c>
      <c r="C16" s="129">
        <v>359.67899999999997</v>
      </c>
      <c r="D16" s="129">
        <v>404.62400000000002</v>
      </c>
      <c r="E16" s="23">
        <v>507.87799999999999</v>
      </c>
      <c r="F16" s="188">
        <f>F14*F6</f>
        <v>771.77795724525333</v>
      </c>
      <c r="G16" s="188">
        <f t="shared" ref="G16:U16" si="6">G14*G6</f>
        <v>1167.4383304911948</v>
      </c>
      <c r="H16" s="188">
        <f t="shared" si="6"/>
        <v>1648.3023907471727</v>
      </c>
      <c r="I16" s="188">
        <f t="shared" si="6"/>
        <v>2318.9619283585412</v>
      </c>
      <c r="J16" s="188">
        <f t="shared" si="6"/>
        <v>3250.8621230718636</v>
      </c>
      <c r="K16" s="188">
        <f t="shared" si="6"/>
        <v>4540.94303765725</v>
      </c>
      <c r="L16" s="188">
        <f t="shared" si="6"/>
        <v>6320.194709357942</v>
      </c>
      <c r="M16" s="188">
        <f t="shared" si="6"/>
        <v>8764.8814865640525</v>
      </c>
      <c r="N16" s="188">
        <f t="shared" si="6"/>
        <v>12111.196981467545</v>
      </c>
      <c r="O16" s="188">
        <f t="shared" si="6"/>
        <v>16674.304044806318</v>
      </c>
      <c r="P16" s="188">
        <f t="shared" si="6"/>
        <v>22872.948372986513</v>
      </c>
      <c r="Q16" s="188">
        <f t="shared" si="6"/>
        <v>31261.116100692925</v>
      </c>
      <c r="R16" s="188">
        <f t="shared" si="6"/>
        <v>42568.541618285271</v>
      </c>
      <c r="S16" s="188">
        <f t="shared" si="6"/>
        <v>57752.268453817996</v>
      </c>
      <c r="T16" s="188">
        <f t="shared" si="6"/>
        <v>78061.929534200157</v>
      </c>
      <c r="U16" s="188">
        <f t="shared" si="6"/>
        <v>105121.94873098664</v>
      </c>
    </row>
    <row r="17" spans="1:21" x14ac:dyDescent="0.25">
      <c r="B17" s="4" t="s">
        <v>48</v>
      </c>
      <c r="C17" s="129">
        <f>702.511+596.333</f>
        <v>1298.8440000000001</v>
      </c>
      <c r="D17" s="129">
        <f>744.992+524.325</f>
        <v>1269.317</v>
      </c>
      <c r="E17" s="23">
        <f>887.755+593.481</f>
        <v>1481.2359999999999</v>
      </c>
      <c r="F17" s="188">
        <f>F7*F14</f>
        <v>2154.198026552247</v>
      </c>
      <c r="G17" s="188">
        <f t="shared" ref="G17:U17" si="7">G7*G14</f>
        <v>3110.6161961488174</v>
      </c>
      <c r="H17" s="188">
        <f t="shared" si="7"/>
        <v>4180.5740347732217</v>
      </c>
      <c r="I17" s="188">
        <f t="shared" si="7"/>
        <v>5580.863395486399</v>
      </c>
      <c r="J17" s="188">
        <f t="shared" si="7"/>
        <v>7397.1624897938509</v>
      </c>
      <c r="K17" s="188">
        <f t="shared" si="7"/>
        <v>9730.0571666923897</v>
      </c>
      <c r="L17" s="188">
        <f t="shared" si="7"/>
        <v>13622.080033369344</v>
      </c>
      <c r="M17" s="188">
        <f t="shared" si="7"/>
        <v>19002.801646550237</v>
      </c>
      <c r="N17" s="188">
        <f t="shared" si="7"/>
        <v>26413.894288704825</v>
      </c>
      <c r="O17" s="188">
        <f t="shared" si="7"/>
        <v>36583.243589856182</v>
      </c>
      <c r="P17" s="188">
        <f t="shared" si="7"/>
        <v>50484.876154001526</v>
      </c>
      <c r="Q17" s="188">
        <f t="shared" si="7"/>
        <v>69416.7047117521</v>
      </c>
      <c r="R17" s="188">
        <f t="shared" si="7"/>
        <v>95100.885455100361</v>
      </c>
      <c r="S17" s="188">
        <f t="shared" si="7"/>
        <v>129812.70864621201</v>
      </c>
      <c r="T17" s="188">
        <f t="shared" si="7"/>
        <v>176545.28375884829</v>
      </c>
      <c r="U17" s="188">
        <f t="shared" si="7"/>
        <v>239218.85949323946</v>
      </c>
    </row>
    <row r="18" spans="1:21" s="11" customFormat="1" x14ac:dyDescent="0.25">
      <c r="A18" s="11" t="s">
        <v>117</v>
      </c>
      <c r="B18" s="18" t="s">
        <v>50</v>
      </c>
      <c r="C18" s="19">
        <f>C14-SUM(C15:C17)</f>
        <v>-161.19999999999982</v>
      </c>
      <c r="D18" s="19">
        <f t="shared" ref="D18:F18" si="8">D14-SUM(D15:D17)</f>
        <v>119.96599999999989</v>
      </c>
      <c r="E18" s="19">
        <f t="shared" si="8"/>
        <v>310.40300000000025</v>
      </c>
      <c r="F18" s="19">
        <f t="shared" si="8"/>
        <v>592.60641303375041</v>
      </c>
      <c r="G18" s="19">
        <f t="shared" ref="G18:U18" si="9">G14-SUM(G15:G17)</f>
        <v>1081.4019031797279</v>
      </c>
      <c r="H18" s="19">
        <f t="shared" si="9"/>
        <v>1791.0117433739597</v>
      </c>
      <c r="I18" s="19">
        <f t="shared" si="9"/>
        <v>2895.7023896892788</v>
      </c>
      <c r="J18" s="19">
        <f t="shared" si="9"/>
        <v>4592.5436591312118</v>
      </c>
      <c r="K18" s="19">
        <f t="shared" si="9"/>
        <v>7168.5164630647596</v>
      </c>
      <c r="L18" s="19">
        <f t="shared" si="9"/>
        <v>10110.174135015077</v>
      </c>
      <c r="M18" s="19">
        <f t="shared" si="9"/>
        <v>14207.273184326586</v>
      </c>
      <c r="N18" s="19">
        <f t="shared" si="9"/>
        <v>19892.086295926922</v>
      </c>
      <c r="O18" s="19">
        <f t="shared" si="9"/>
        <v>27749.947068911264</v>
      </c>
      <c r="P18" s="19">
        <f t="shared" si="9"/>
        <v>38570.109372789942</v>
      </c>
      <c r="Q18" s="19">
        <f t="shared" si="9"/>
        <v>53412.276211913209</v>
      </c>
      <c r="R18" s="19">
        <f t="shared" si="9"/>
        <v>73693.193289649178</v>
      </c>
      <c r="S18" s="19">
        <f t="shared" si="9"/>
        <v>101298.79055065391</v>
      </c>
      <c r="T18" s="19">
        <f t="shared" si="9"/>
        <v>138728.66627487401</v>
      </c>
      <c r="U18" s="19">
        <f t="shared" si="9"/>
        <v>189281.27437816339</v>
      </c>
    </row>
    <row r="19" spans="1:21" s="11" customFormat="1" x14ac:dyDescent="0.25">
      <c r="E19" s="36"/>
    </row>
    <row r="20" spans="1:21" s="11" customFormat="1" x14ac:dyDescent="0.25">
      <c r="B20" s="4" t="s">
        <v>14</v>
      </c>
      <c r="C20" s="130">
        <v>22.521999999999998</v>
      </c>
      <c r="D20" s="130">
        <v>33.353999999999999</v>
      </c>
      <c r="E20" s="26">
        <v>31.587</v>
      </c>
      <c r="F20" s="4">
        <f>Calcs!F8</f>
        <v>32.923367282250965</v>
      </c>
      <c r="G20" s="4">
        <f>Calcs!G8</f>
        <v>36.792259468298148</v>
      </c>
      <c r="H20" s="4">
        <f>Calcs!H8</f>
        <v>44.498766206974338</v>
      </c>
      <c r="I20" s="4">
        <f>Calcs!I8</f>
        <v>56.502969667179315</v>
      </c>
      <c r="J20" s="4">
        <f>Calcs!J8</f>
        <v>74.374092697017559</v>
      </c>
      <c r="K20" s="4">
        <f>Calcs!K8</f>
        <v>100.2976186710132</v>
      </c>
      <c r="L20" s="4">
        <f>Calcs!L8</f>
        <v>137.29514911414029</v>
      </c>
      <c r="M20" s="4">
        <f>Calcs!M8</f>
        <v>189.51923024262226</v>
      </c>
      <c r="N20" s="4">
        <f>Calcs!N8</f>
        <v>262.64678098813664</v>
      </c>
      <c r="O20" s="4">
        <f>Calcs!O8</f>
        <v>364.40158705299257</v>
      </c>
      <c r="P20" s="4">
        <f>Calcs!P8</f>
        <v>505.24491175250552</v>
      </c>
      <c r="Q20" s="4">
        <f>Calcs!Q8</f>
        <v>699.28399400535829</v>
      </c>
      <c r="R20" s="4">
        <f>Calcs!R8</f>
        <v>965.46149530846969</v>
      </c>
      <c r="S20" s="4">
        <f>Calcs!S8</f>
        <v>1329.1053207260693</v>
      </c>
      <c r="T20" s="4">
        <f>Calcs!T8</f>
        <v>1823.9382344319108</v>
      </c>
      <c r="U20" s="4">
        <f>Calcs!U8</f>
        <v>2494.6709351106824</v>
      </c>
    </row>
    <row r="21" spans="1:21" s="133" customFormat="1" x14ac:dyDescent="0.25">
      <c r="A21" s="133" t="s">
        <v>117</v>
      </c>
      <c r="B21" s="134" t="s">
        <v>49</v>
      </c>
      <c r="C21" s="135">
        <f>C18+C20</f>
        <v>-138.67799999999983</v>
      </c>
      <c r="D21" s="135">
        <f>D18+D20</f>
        <v>153.31999999999988</v>
      </c>
      <c r="E21" s="135">
        <f>E18+E20</f>
        <v>341.99000000000024</v>
      </c>
      <c r="F21" s="135">
        <f>F18+F20</f>
        <v>625.52978031600139</v>
      </c>
      <c r="G21" s="135">
        <f t="shared" ref="G21:U21" si="10">G18+G20</f>
        <v>1118.1941626480261</v>
      </c>
      <c r="H21" s="135">
        <f t="shared" si="10"/>
        <v>1835.510509580934</v>
      </c>
      <c r="I21" s="135">
        <f t="shared" si="10"/>
        <v>2952.2053593564583</v>
      </c>
      <c r="J21" s="135">
        <f t="shared" si="10"/>
        <v>4666.9177518282295</v>
      </c>
      <c r="K21" s="135">
        <f t="shared" si="10"/>
        <v>7268.8140817357726</v>
      </c>
      <c r="L21" s="135">
        <f t="shared" si="10"/>
        <v>10247.469284129218</v>
      </c>
      <c r="M21" s="135">
        <f t="shared" si="10"/>
        <v>14396.792414569209</v>
      </c>
      <c r="N21" s="135">
        <f t="shared" si="10"/>
        <v>20154.733076915058</v>
      </c>
      <c r="O21" s="135">
        <f t="shared" si="10"/>
        <v>28114.348655964255</v>
      </c>
      <c r="P21" s="135">
        <f t="shared" si="10"/>
        <v>39075.354284542445</v>
      </c>
      <c r="Q21" s="135">
        <f t="shared" si="10"/>
        <v>54111.560205918569</v>
      </c>
      <c r="R21" s="135">
        <f t="shared" si="10"/>
        <v>74658.654784957645</v>
      </c>
      <c r="S21" s="135">
        <f t="shared" si="10"/>
        <v>102627.89587137998</v>
      </c>
      <c r="T21" s="135">
        <f t="shared" si="10"/>
        <v>140552.60450930591</v>
      </c>
      <c r="U21" s="135">
        <f t="shared" si="10"/>
        <v>191775.94531327407</v>
      </c>
    </row>
    <row r="22" spans="1:21" s="11" customFormat="1" x14ac:dyDescent="0.25">
      <c r="C22" s="14"/>
      <c r="D22" s="4"/>
      <c r="E22" s="3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s="11" customFormat="1" x14ac:dyDescent="0.25">
      <c r="B23" s="4" t="s">
        <v>51</v>
      </c>
      <c r="C23" s="97">
        <v>-220.13499999999999</v>
      </c>
      <c r="D23" s="97">
        <v>-15.446999999999999</v>
      </c>
      <c r="E23" s="98">
        <v>-18.021999999999998</v>
      </c>
      <c r="F23" s="4">
        <f>F8</f>
        <v>0</v>
      </c>
      <c r="G23" s="4">
        <f t="shared" ref="G23:U23" si="11">G8</f>
        <v>0</v>
      </c>
      <c r="H23" s="4">
        <f t="shared" si="11"/>
        <v>0</v>
      </c>
      <c r="I23" s="4">
        <f t="shared" si="11"/>
        <v>0</v>
      </c>
      <c r="J23" s="4">
        <f t="shared" si="11"/>
        <v>0</v>
      </c>
      <c r="K23" s="4">
        <f t="shared" si="11"/>
        <v>0</v>
      </c>
      <c r="L23" s="4">
        <f t="shared" si="11"/>
        <v>0</v>
      </c>
      <c r="M23" s="4">
        <f t="shared" si="11"/>
        <v>0</v>
      </c>
      <c r="N23" s="4">
        <f t="shared" si="11"/>
        <v>0</v>
      </c>
      <c r="O23" s="4">
        <f t="shared" si="11"/>
        <v>0</v>
      </c>
      <c r="P23" s="4">
        <f t="shared" si="11"/>
        <v>0</v>
      </c>
      <c r="Q23" s="4">
        <f t="shared" si="11"/>
        <v>0</v>
      </c>
      <c r="R23" s="4">
        <f t="shared" si="11"/>
        <v>0</v>
      </c>
      <c r="S23" s="4">
        <f t="shared" si="11"/>
        <v>0</v>
      </c>
      <c r="T23" s="4">
        <f t="shared" si="11"/>
        <v>0</v>
      </c>
      <c r="U23" s="4">
        <f t="shared" si="11"/>
        <v>0</v>
      </c>
    </row>
    <row r="24" spans="1:21" s="11" customFormat="1" x14ac:dyDescent="0.25">
      <c r="B24" s="4"/>
      <c r="C24" s="10"/>
      <c r="D24" s="10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s="11" customFormat="1" x14ac:dyDescent="0.25">
      <c r="B25" s="4" t="s">
        <v>39</v>
      </c>
      <c r="C25" s="9">
        <v>20.309000000000001</v>
      </c>
      <c r="D25" s="9">
        <v>132.572</v>
      </c>
      <c r="E25" s="46">
        <v>196.792</v>
      </c>
      <c r="F25" s="9">
        <f>IF(circ=1,Debt!F33,0)</f>
        <v>0</v>
      </c>
      <c r="G25" s="9">
        <f>IF(circ=1,Debt!G33,0)</f>
        <v>0</v>
      </c>
      <c r="H25" s="9">
        <f>IF(circ=1,Debt!H33,0)</f>
        <v>0</v>
      </c>
      <c r="I25" s="9">
        <f>IF(circ=1,Debt!I33,0)</f>
        <v>0</v>
      </c>
      <c r="J25" s="9">
        <f>IF(circ=1,Debt!J33,0)</f>
        <v>0</v>
      </c>
      <c r="K25" s="9">
        <f>IF(circ=1,Debt!K33,0)</f>
        <v>0</v>
      </c>
      <c r="L25" s="9">
        <f>IF(circ=1,Debt!L33,0)</f>
        <v>0</v>
      </c>
      <c r="M25" s="9">
        <f>IF(circ=1,Debt!M33,0)</f>
        <v>0</v>
      </c>
      <c r="N25" s="9">
        <f>IF(circ=1,Debt!N33,0)</f>
        <v>0</v>
      </c>
      <c r="O25" s="9">
        <f>IF(circ=1,Debt!O33,0)</f>
        <v>0</v>
      </c>
      <c r="P25" s="9">
        <f>IF(circ=1,Debt!P33,0)</f>
        <v>0</v>
      </c>
      <c r="Q25" s="9">
        <f>IF(circ=1,Debt!Q33,0)</f>
        <v>0</v>
      </c>
      <c r="R25" s="9">
        <f>IF(circ=1,Debt!R33,0)</f>
        <v>0</v>
      </c>
      <c r="S25" s="9">
        <f>IF(circ=1,Debt!S33,0)</f>
        <v>0</v>
      </c>
      <c r="T25" s="9">
        <f>IF(circ=1,Debt!T33,0)</f>
        <v>0</v>
      </c>
      <c r="U25" s="9">
        <f>IF(circ=1,Debt!U33,0)</f>
        <v>0</v>
      </c>
    </row>
    <row r="26" spans="1:21" x14ac:dyDescent="0.25">
      <c r="B26" s="4" t="s">
        <v>31</v>
      </c>
      <c r="C26" s="9">
        <v>0</v>
      </c>
      <c r="D26" s="9">
        <v>0</v>
      </c>
      <c r="E26" s="46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 x14ac:dyDescent="0.25">
      <c r="C27" s="10"/>
      <c r="D27" s="10"/>
      <c r="E27" s="23"/>
      <c r="H27" s="4"/>
    </row>
    <row r="28" spans="1:21" s="11" customFormat="1" x14ac:dyDescent="0.25">
      <c r="A28" s="11" t="s">
        <v>117</v>
      </c>
      <c r="B28" s="18" t="s">
        <v>77</v>
      </c>
      <c r="C28" s="19">
        <f>C18+SUM(C23:C26)</f>
        <v>-361.02599999999984</v>
      </c>
      <c r="D28" s="19">
        <f>D18+SUM(D23:D26)</f>
        <v>237.09099999999989</v>
      </c>
      <c r="E28" s="19">
        <f>E18+SUM(E23:E26)</f>
        <v>489.17300000000023</v>
      </c>
      <c r="F28" s="19">
        <f>F18+SUM(F23:F26)</f>
        <v>592.60641303375041</v>
      </c>
      <c r="G28" s="19">
        <f t="shared" ref="G28:U28" si="12">G18+SUM(G23:G26)</f>
        <v>1081.4019031797279</v>
      </c>
      <c r="H28" s="19">
        <f t="shared" si="12"/>
        <v>1791.0117433739597</v>
      </c>
      <c r="I28" s="19">
        <f t="shared" si="12"/>
        <v>2895.7023896892788</v>
      </c>
      <c r="J28" s="19">
        <f t="shared" si="12"/>
        <v>4592.5436591312118</v>
      </c>
      <c r="K28" s="19">
        <f t="shared" si="12"/>
        <v>7168.5164630647596</v>
      </c>
      <c r="L28" s="19">
        <f t="shared" si="12"/>
        <v>10110.174135015077</v>
      </c>
      <c r="M28" s="19">
        <f t="shared" si="12"/>
        <v>14207.273184326586</v>
      </c>
      <c r="N28" s="19">
        <f t="shared" si="12"/>
        <v>19892.086295926922</v>
      </c>
      <c r="O28" s="19">
        <f t="shared" si="12"/>
        <v>27749.947068911264</v>
      </c>
      <c r="P28" s="19">
        <f t="shared" si="12"/>
        <v>38570.109372789942</v>
      </c>
      <c r="Q28" s="19">
        <f t="shared" si="12"/>
        <v>53412.276211913209</v>
      </c>
      <c r="R28" s="19">
        <f t="shared" si="12"/>
        <v>73693.193289649178</v>
      </c>
      <c r="S28" s="19">
        <f t="shared" si="12"/>
        <v>101298.79055065391</v>
      </c>
      <c r="T28" s="19">
        <f t="shared" si="12"/>
        <v>138728.66627487401</v>
      </c>
      <c r="U28" s="19">
        <f t="shared" si="12"/>
        <v>189281.27437816339</v>
      </c>
    </row>
    <row r="29" spans="1:21" x14ac:dyDescent="0.25">
      <c r="E29" s="38"/>
      <c r="H29" s="4"/>
    </row>
    <row r="30" spans="1:21" x14ac:dyDescent="0.25">
      <c r="B30" s="4" t="s">
        <v>52</v>
      </c>
      <c r="C30" s="137">
        <v>10.067</v>
      </c>
      <c r="D30" s="4">
        <v>19.716000000000001</v>
      </c>
      <c r="E30" s="60">
        <v>21.254999999999999</v>
      </c>
      <c r="F30" s="4">
        <f>F9*F28</f>
        <v>136.29947499776259</v>
      </c>
      <c r="G30" s="4">
        <f t="shared" ref="G30:U30" si="13">G9*G28</f>
        <v>248.72243773133744</v>
      </c>
      <c r="H30" s="4">
        <f t="shared" si="13"/>
        <v>411.93270097601072</v>
      </c>
      <c r="I30" s="4">
        <f t="shared" si="13"/>
        <v>666.01154962853411</v>
      </c>
      <c r="J30" s="4">
        <f t="shared" si="13"/>
        <v>1056.2850416001788</v>
      </c>
      <c r="K30" s="4">
        <f t="shared" si="13"/>
        <v>1648.7587865048947</v>
      </c>
      <c r="L30" s="4">
        <f t="shared" si="13"/>
        <v>2325.340051053468</v>
      </c>
      <c r="M30" s="4">
        <f t="shared" si="13"/>
        <v>3267.6728323951152</v>
      </c>
      <c r="N30" s="4">
        <f t="shared" si="13"/>
        <v>4575.1798480631924</v>
      </c>
      <c r="O30" s="4">
        <f t="shared" si="13"/>
        <v>6382.487825849591</v>
      </c>
      <c r="P30" s="4">
        <f t="shared" si="13"/>
        <v>8871.1251557416872</v>
      </c>
      <c r="Q30" s="4">
        <f t="shared" si="13"/>
        <v>12284.823528740038</v>
      </c>
      <c r="R30" s="4">
        <f t="shared" si="13"/>
        <v>16949.43445661931</v>
      </c>
      <c r="S30" s="4">
        <f t="shared" si="13"/>
        <v>23298.721826650399</v>
      </c>
      <c r="T30" s="4">
        <f t="shared" si="13"/>
        <v>31907.593243221021</v>
      </c>
      <c r="U30" s="4">
        <f t="shared" si="13"/>
        <v>43534.693106977582</v>
      </c>
    </row>
    <row r="31" spans="1:21" s="11" customFormat="1" x14ac:dyDescent="0.25">
      <c r="A31" s="11" t="s">
        <v>117</v>
      </c>
      <c r="B31" s="18" t="s">
        <v>53</v>
      </c>
      <c r="C31" s="19">
        <f>C28-C30</f>
        <v>-371.09299999999985</v>
      </c>
      <c r="D31" s="19">
        <f t="shared" ref="D31:F31" si="14">D28-D30</f>
        <v>217.37499999999989</v>
      </c>
      <c r="E31" s="19">
        <f t="shared" si="14"/>
        <v>467.91800000000023</v>
      </c>
      <c r="F31" s="19">
        <f t="shared" si="14"/>
        <v>456.30693803598786</v>
      </c>
      <c r="G31" s="19">
        <f t="shared" ref="G31:U31" si="15">G28-G30</f>
        <v>832.67946544839049</v>
      </c>
      <c r="H31" s="19">
        <f t="shared" si="15"/>
        <v>1379.079042397949</v>
      </c>
      <c r="I31" s="19">
        <f t="shared" si="15"/>
        <v>2229.6908400607444</v>
      </c>
      <c r="J31" s="19">
        <f t="shared" si="15"/>
        <v>3536.258617531033</v>
      </c>
      <c r="K31" s="19">
        <f t="shared" si="15"/>
        <v>5519.7576765598651</v>
      </c>
      <c r="L31" s="19">
        <f t="shared" si="15"/>
        <v>7784.8340839616085</v>
      </c>
      <c r="M31" s="19">
        <f t="shared" si="15"/>
        <v>10939.600351931471</v>
      </c>
      <c r="N31" s="19">
        <f t="shared" si="15"/>
        <v>15316.90644786373</v>
      </c>
      <c r="O31" s="19">
        <f t="shared" si="15"/>
        <v>21367.459243061672</v>
      </c>
      <c r="P31" s="19">
        <f t="shared" si="15"/>
        <v>29698.984217048255</v>
      </c>
      <c r="Q31" s="19">
        <f t="shared" si="15"/>
        <v>41127.452683173171</v>
      </c>
      <c r="R31" s="19">
        <f t="shared" si="15"/>
        <v>56743.758833029868</v>
      </c>
      <c r="S31" s="19">
        <f t="shared" si="15"/>
        <v>78000.068724003504</v>
      </c>
      <c r="T31" s="19">
        <f t="shared" si="15"/>
        <v>106821.07303165298</v>
      </c>
      <c r="U31" s="19">
        <f t="shared" si="15"/>
        <v>145746.5812711858</v>
      </c>
    </row>
    <row r="32" spans="1:21" x14ac:dyDescent="0.25">
      <c r="B32" s="11"/>
      <c r="C32" s="11"/>
      <c r="D32" s="11"/>
      <c r="E32" s="3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x14ac:dyDescent="0.25">
      <c r="A33" s="21" t="s">
        <v>54</v>
      </c>
      <c r="B33" s="20"/>
      <c r="C33" s="56">
        <v>44926</v>
      </c>
      <c r="D33" s="56">
        <v>45291</v>
      </c>
      <c r="E33" s="56">
        <v>45657</v>
      </c>
      <c r="F33" s="56">
        <v>46022</v>
      </c>
      <c r="G33" s="56">
        <v>46022</v>
      </c>
      <c r="H33" s="56">
        <v>46022</v>
      </c>
      <c r="I33" s="56">
        <v>46022</v>
      </c>
      <c r="J33" s="56">
        <v>46022</v>
      </c>
      <c r="K33" s="56">
        <v>46022</v>
      </c>
      <c r="L33" s="56">
        <v>46022</v>
      </c>
      <c r="M33" s="56">
        <v>46022</v>
      </c>
      <c r="N33" s="56">
        <v>46022</v>
      </c>
      <c r="O33" s="56">
        <v>46022</v>
      </c>
      <c r="P33" s="56">
        <v>46022</v>
      </c>
      <c r="Q33" s="56">
        <v>46022</v>
      </c>
      <c r="R33" s="56">
        <v>46022</v>
      </c>
      <c r="S33" s="56">
        <v>46022</v>
      </c>
      <c r="T33" s="56">
        <v>46022</v>
      </c>
      <c r="U33" s="56">
        <v>46022</v>
      </c>
    </row>
    <row r="34" spans="1:21" x14ac:dyDescent="0.25">
      <c r="B34" s="4" t="s">
        <v>45</v>
      </c>
      <c r="C34" s="10">
        <v>2063.7930000000001</v>
      </c>
      <c r="D34" s="10">
        <v>2147.4459999999999</v>
      </c>
      <c r="E34" s="23">
        <v>2250.163</v>
      </c>
      <c r="F34" s="189">
        <f>F10</f>
        <v>2250.163</v>
      </c>
      <c r="G34" s="189">
        <f t="shared" ref="G34:U34" si="16">G10</f>
        <v>2250.163</v>
      </c>
      <c r="H34" s="189">
        <f t="shared" si="16"/>
        <v>2250.163</v>
      </c>
      <c r="I34" s="189">
        <f t="shared" si="16"/>
        <v>2250.163</v>
      </c>
      <c r="J34" s="189">
        <f t="shared" si="16"/>
        <v>2250.163</v>
      </c>
      <c r="K34" s="189">
        <f t="shared" si="16"/>
        <v>2250.163</v>
      </c>
      <c r="L34" s="189">
        <f t="shared" si="16"/>
        <v>2250.163</v>
      </c>
      <c r="M34" s="189">
        <f t="shared" si="16"/>
        <v>2250.163</v>
      </c>
      <c r="N34" s="189">
        <f t="shared" si="16"/>
        <v>2250.163</v>
      </c>
      <c r="O34" s="189">
        <f t="shared" si="16"/>
        <v>2250.163</v>
      </c>
      <c r="P34" s="189">
        <f t="shared" si="16"/>
        <v>2250.163</v>
      </c>
      <c r="Q34" s="189">
        <f t="shared" si="16"/>
        <v>2250.163</v>
      </c>
      <c r="R34" s="189">
        <f t="shared" si="16"/>
        <v>2250.163</v>
      </c>
      <c r="S34" s="189">
        <f t="shared" si="16"/>
        <v>2250.163</v>
      </c>
      <c r="T34" s="189">
        <f t="shared" si="16"/>
        <v>2250.163</v>
      </c>
      <c r="U34" s="189">
        <f t="shared" si="16"/>
        <v>2250.163</v>
      </c>
    </row>
    <row r="35" spans="1:21" x14ac:dyDescent="0.25">
      <c r="B35" s="4" t="s">
        <v>46</v>
      </c>
      <c r="C35" s="10">
        <v>2063.7930000000001</v>
      </c>
      <c r="D35" s="10">
        <v>2297.9270000000001</v>
      </c>
      <c r="E35" s="23">
        <v>2450.8180000000002</v>
      </c>
      <c r="F35" s="189">
        <f>F11</f>
        <v>2450.8180000000002</v>
      </c>
      <c r="G35" s="189">
        <f t="shared" ref="G35:U35" si="17">G11</f>
        <v>2450.8180000000002</v>
      </c>
      <c r="H35" s="189">
        <f t="shared" si="17"/>
        <v>2450.8180000000002</v>
      </c>
      <c r="I35" s="189">
        <f t="shared" si="17"/>
        <v>2450.8180000000002</v>
      </c>
      <c r="J35" s="189">
        <f t="shared" si="17"/>
        <v>2450.8180000000002</v>
      </c>
      <c r="K35" s="189">
        <f t="shared" si="17"/>
        <v>2450.8180000000002</v>
      </c>
      <c r="L35" s="189">
        <f t="shared" si="17"/>
        <v>2450.8180000000002</v>
      </c>
      <c r="M35" s="189">
        <f t="shared" si="17"/>
        <v>2450.8180000000002</v>
      </c>
      <c r="N35" s="189">
        <f t="shared" si="17"/>
        <v>2450.8180000000002</v>
      </c>
      <c r="O35" s="189">
        <f t="shared" si="17"/>
        <v>2450.8180000000002</v>
      </c>
      <c r="P35" s="189">
        <f t="shared" si="17"/>
        <v>2450.8180000000002</v>
      </c>
      <c r="Q35" s="189">
        <f t="shared" si="17"/>
        <v>2450.8180000000002</v>
      </c>
      <c r="R35" s="189">
        <f t="shared" si="17"/>
        <v>2450.8180000000002</v>
      </c>
      <c r="S35" s="189">
        <f t="shared" si="17"/>
        <v>2450.8180000000002</v>
      </c>
      <c r="T35" s="189">
        <f t="shared" si="17"/>
        <v>2450.8180000000002</v>
      </c>
      <c r="U35" s="189">
        <f t="shared" si="17"/>
        <v>2450.8180000000002</v>
      </c>
    </row>
    <row r="36" spans="1:21" x14ac:dyDescent="0.25">
      <c r="B36" s="4" t="s">
        <v>55</v>
      </c>
      <c r="C36" s="195">
        <f>C31/C34</f>
        <v>-0.17981115354107696</v>
      </c>
      <c r="D36" s="195">
        <f t="shared" ref="D36:E36" si="18">D31/D34</f>
        <v>0.10122489692406696</v>
      </c>
      <c r="E36" s="313">
        <f t="shared" si="18"/>
        <v>0.20794849084266351</v>
      </c>
      <c r="F36" s="330">
        <f t="shared" ref="F36:U36" si="19">F31/F34</f>
        <v>0.20278839267910273</v>
      </c>
      <c r="G36" s="330">
        <f t="shared" si="19"/>
        <v>0.37005295414082912</v>
      </c>
      <c r="H36" s="330">
        <f t="shared" si="19"/>
        <v>0.61287961912001443</v>
      </c>
      <c r="I36" s="330">
        <f t="shared" si="19"/>
        <v>0.99090192135447275</v>
      </c>
      <c r="J36" s="330">
        <f t="shared" si="19"/>
        <v>1.5715566461323172</v>
      </c>
      <c r="K36" s="330">
        <f t="shared" si="19"/>
        <v>2.4530479243325329</v>
      </c>
      <c r="L36" s="330">
        <f t="shared" si="19"/>
        <v>3.4596756252598628</v>
      </c>
      <c r="M36" s="330">
        <f t="shared" si="19"/>
        <v>4.86169239825358</v>
      </c>
      <c r="N36" s="330">
        <f t="shared" si="19"/>
        <v>6.8070208459848152</v>
      </c>
      <c r="O36" s="330">
        <f t="shared" si="19"/>
        <v>9.4959606228800642</v>
      </c>
      <c r="P36" s="330">
        <f t="shared" si="19"/>
        <v>13.198592376218192</v>
      </c>
      <c r="Q36" s="330">
        <f t="shared" si="19"/>
        <v>18.277543752685105</v>
      </c>
      <c r="R36" s="330">
        <f t="shared" si="19"/>
        <v>25.217621493656178</v>
      </c>
      <c r="S36" s="330">
        <f t="shared" si="19"/>
        <v>34.664185982972569</v>
      </c>
      <c r="T36" s="330">
        <f t="shared" si="19"/>
        <v>47.472593332862097</v>
      </c>
      <c r="U36" s="330">
        <f t="shared" si="19"/>
        <v>64.771566002634387</v>
      </c>
    </row>
    <row r="37" spans="1:21" s="11" customFormat="1" x14ac:dyDescent="0.25">
      <c r="A37" s="11" t="s">
        <v>117</v>
      </c>
      <c r="B37" s="18" t="s">
        <v>56</v>
      </c>
      <c r="C37" s="194">
        <f>C31/C35</f>
        <v>-0.17981115354107696</v>
      </c>
      <c r="D37" s="194">
        <f t="shared" ref="D37:E37" si="20">D31/D35</f>
        <v>9.4596129467994353E-2</v>
      </c>
      <c r="E37" s="194">
        <f t="shared" si="20"/>
        <v>0.19092319380712897</v>
      </c>
      <c r="F37" s="194">
        <f t="shared" ref="F37:U37" si="21">F31/F35</f>
        <v>0.18618556662958563</v>
      </c>
      <c r="G37" s="194">
        <f t="shared" si="21"/>
        <v>0.33975573275877297</v>
      </c>
      <c r="H37" s="194">
        <f t="shared" si="21"/>
        <v>0.5627015316510442</v>
      </c>
      <c r="I37" s="194">
        <f t="shared" si="21"/>
        <v>0.90977414074025253</v>
      </c>
      <c r="J37" s="194">
        <f t="shared" si="21"/>
        <v>1.4428891160139319</v>
      </c>
      <c r="K37" s="194">
        <f t="shared" si="21"/>
        <v>2.2522103544856718</v>
      </c>
      <c r="L37" s="194">
        <f t="shared" si="21"/>
        <v>3.1764227633229427</v>
      </c>
      <c r="M37" s="194">
        <f t="shared" si="21"/>
        <v>4.4636526873604936</v>
      </c>
      <c r="N37" s="194">
        <f t="shared" si="21"/>
        <v>6.2497119116408193</v>
      </c>
      <c r="O37" s="194">
        <f t="shared" si="21"/>
        <v>8.718501024173019</v>
      </c>
      <c r="P37" s="194">
        <f t="shared" si="21"/>
        <v>12.11798844999843</v>
      </c>
      <c r="Q37" s="194">
        <f t="shared" si="21"/>
        <v>16.781112544127375</v>
      </c>
      <c r="R37" s="194">
        <f t="shared" si="21"/>
        <v>23.15298762822448</v>
      </c>
      <c r="S37" s="194">
        <f t="shared" si="21"/>
        <v>31.826136711907409</v>
      </c>
      <c r="T37" s="194">
        <f t="shared" si="21"/>
        <v>43.585885623352276</v>
      </c>
      <c r="U37" s="194">
        <f t="shared" si="21"/>
        <v>59.468545306581632</v>
      </c>
    </row>
    <row r="38" spans="1:21" x14ac:dyDescent="0.25">
      <c r="C38" s="15"/>
      <c r="D38" s="15"/>
      <c r="E38" s="39"/>
      <c r="F38" s="15"/>
      <c r="G38" s="15"/>
      <c r="H38" s="15"/>
      <c r="I38" s="15"/>
      <c r="J38" s="15"/>
    </row>
    <row r="39" spans="1:21" x14ac:dyDescent="0.25">
      <c r="D39" s="15"/>
      <c r="E39" s="15"/>
      <c r="F39" s="15"/>
    </row>
  </sheetData>
  <conditionalFormatting sqref="F4:U11">
    <cfRule type="expression" dxfId="1" priority="38">
      <formula>$E$10&gt;1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U51"/>
  <sheetViews>
    <sheetView showGridLines="0" topLeftCell="G1" zoomScaleNormal="100" workbookViewId="0">
      <selection activeCell="G14" sqref="G1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1" width="11.7109375" style="4" customWidth="1"/>
    <col min="22" max="255" width="8.85546875" style="4"/>
    <col min="256" max="256" width="1.7109375" style="4" customWidth="1"/>
    <col min="257" max="257" width="42.85546875" style="4" customWidth="1"/>
    <col min="258" max="263" width="10.7109375" style="4" customWidth="1"/>
    <col min="264" max="265" width="9.42578125" style="4" bestFit="1" customWidth="1"/>
    <col min="266" max="511" width="8.85546875" style="4"/>
    <col min="512" max="512" width="1.7109375" style="4" customWidth="1"/>
    <col min="513" max="513" width="42.85546875" style="4" customWidth="1"/>
    <col min="514" max="519" width="10.7109375" style="4" customWidth="1"/>
    <col min="520" max="521" width="9.42578125" style="4" bestFit="1" customWidth="1"/>
    <col min="522" max="767" width="8.85546875" style="4"/>
    <col min="768" max="768" width="1.7109375" style="4" customWidth="1"/>
    <col min="769" max="769" width="42.85546875" style="4" customWidth="1"/>
    <col min="770" max="775" width="10.7109375" style="4" customWidth="1"/>
    <col min="776" max="777" width="9.42578125" style="4" bestFit="1" customWidth="1"/>
    <col min="778" max="1023" width="8.85546875" style="4"/>
    <col min="1024" max="1024" width="1.7109375" style="4" customWidth="1"/>
    <col min="1025" max="1025" width="42.85546875" style="4" customWidth="1"/>
    <col min="1026" max="1031" width="10.7109375" style="4" customWidth="1"/>
    <col min="1032" max="1033" width="9.42578125" style="4" bestFit="1" customWidth="1"/>
    <col min="1034" max="1279" width="8.85546875" style="4"/>
    <col min="1280" max="1280" width="1.7109375" style="4" customWidth="1"/>
    <col min="1281" max="1281" width="42.85546875" style="4" customWidth="1"/>
    <col min="1282" max="1287" width="10.7109375" style="4" customWidth="1"/>
    <col min="1288" max="1289" width="9.42578125" style="4" bestFit="1" customWidth="1"/>
    <col min="1290" max="1535" width="8.85546875" style="4"/>
    <col min="1536" max="1536" width="1.7109375" style="4" customWidth="1"/>
    <col min="1537" max="1537" width="42.85546875" style="4" customWidth="1"/>
    <col min="1538" max="1543" width="10.7109375" style="4" customWidth="1"/>
    <col min="1544" max="1545" width="9.42578125" style="4" bestFit="1" customWidth="1"/>
    <col min="1546" max="1791" width="8.85546875" style="4"/>
    <col min="1792" max="1792" width="1.7109375" style="4" customWidth="1"/>
    <col min="1793" max="1793" width="42.85546875" style="4" customWidth="1"/>
    <col min="1794" max="1799" width="10.7109375" style="4" customWidth="1"/>
    <col min="1800" max="1801" width="9.42578125" style="4" bestFit="1" customWidth="1"/>
    <col min="1802" max="2047" width="8.85546875" style="4"/>
    <col min="2048" max="2048" width="1.7109375" style="4" customWidth="1"/>
    <col min="2049" max="2049" width="42.85546875" style="4" customWidth="1"/>
    <col min="2050" max="2055" width="10.7109375" style="4" customWidth="1"/>
    <col min="2056" max="2057" width="9.42578125" style="4" bestFit="1" customWidth="1"/>
    <col min="2058" max="2303" width="8.85546875" style="4"/>
    <col min="2304" max="2304" width="1.7109375" style="4" customWidth="1"/>
    <col min="2305" max="2305" width="42.85546875" style="4" customWidth="1"/>
    <col min="2306" max="2311" width="10.7109375" style="4" customWidth="1"/>
    <col min="2312" max="2313" width="9.42578125" style="4" bestFit="1" customWidth="1"/>
    <col min="2314" max="2559" width="8.85546875" style="4"/>
    <col min="2560" max="2560" width="1.7109375" style="4" customWidth="1"/>
    <col min="2561" max="2561" width="42.85546875" style="4" customWidth="1"/>
    <col min="2562" max="2567" width="10.7109375" style="4" customWidth="1"/>
    <col min="2568" max="2569" width="9.42578125" style="4" bestFit="1" customWidth="1"/>
    <col min="2570" max="2815" width="8.85546875" style="4"/>
    <col min="2816" max="2816" width="1.7109375" style="4" customWidth="1"/>
    <col min="2817" max="2817" width="42.85546875" style="4" customWidth="1"/>
    <col min="2818" max="2823" width="10.7109375" style="4" customWidth="1"/>
    <col min="2824" max="2825" width="9.42578125" style="4" bestFit="1" customWidth="1"/>
    <col min="2826" max="3071" width="8.85546875" style="4"/>
    <col min="3072" max="3072" width="1.7109375" style="4" customWidth="1"/>
    <col min="3073" max="3073" width="42.85546875" style="4" customWidth="1"/>
    <col min="3074" max="3079" width="10.7109375" style="4" customWidth="1"/>
    <col min="3080" max="3081" width="9.42578125" style="4" bestFit="1" customWidth="1"/>
    <col min="3082" max="3327" width="8.85546875" style="4"/>
    <col min="3328" max="3328" width="1.7109375" style="4" customWidth="1"/>
    <col min="3329" max="3329" width="42.85546875" style="4" customWidth="1"/>
    <col min="3330" max="3335" width="10.7109375" style="4" customWidth="1"/>
    <col min="3336" max="3337" width="9.42578125" style="4" bestFit="1" customWidth="1"/>
    <col min="3338" max="3583" width="8.85546875" style="4"/>
    <col min="3584" max="3584" width="1.7109375" style="4" customWidth="1"/>
    <col min="3585" max="3585" width="42.85546875" style="4" customWidth="1"/>
    <col min="3586" max="3591" width="10.7109375" style="4" customWidth="1"/>
    <col min="3592" max="3593" width="9.42578125" style="4" bestFit="1" customWidth="1"/>
    <col min="3594" max="3839" width="8.85546875" style="4"/>
    <col min="3840" max="3840" width="1.7109375" style="4" customWidth="1"/>
    <col min="3841" max="3841" width="42.85546875" style="4" customWidth="1"/>
    <col min="3842" max="3847" width="10.7109375" style="4" customWidth="1"/>
    <col min="3848" max="3849" width="9.42578125" style="4" bestFit="1" customWidth="1"/>
    <col min="3850" max="4095" width="8.85546875" style="4"/>
    <col min="4096" max="4096" width="1.7109375" style="4" customWidth="1"/>
    <col min="4097" max="4097" width="42.85546875" style="4" customWidth="1"/>
    <col min="4098" max="4103" width="10.7109375" style="4" customWidth="1"/>
    <col min="4104" max="4105" width="9.42578125" style="4" bestFit="1" customWidth="1"/>
    <col min="4106" max="4351" width="8.85546875" style="4"/>
    <col min="4352" max="4352" width="1.7109375" style="4" customWidth="1"/>
    <col min="4353" max="4353" width="42.85546875" style="4" customWidth="1"/>
    <col min="4354" max="4359" width="10.7109375" style="4" customWidth="1"/>
    <col min="4360" max="4361" width="9.42578125" style="4" bestFit="1" customWidth="1"/>
    <col min="4362" max="4607" width="8.85546875" style="4"/>
    <col min="4608" max="4608" width="1.7109375" style="4" customWidth="1"/>
    <col min="4609" max="4609" width="42.85546875" style="4" customWidth="1"/>
    <col min="4610" max="4615" width="10.7109375" style="4" customWidth="1"/>
    <col min="4616" max="4617" width="9.42578125" style="4" bestFit="1" customWidth="1"/>
    <col min="4618" max="4863" width="8.85546875" style="4"/>
    <col min="4864" max="4864" width="1.7109375" style="4" customWidth="1"/>
    <col min="4865" max="4865" width="42.85546875" style="4" customWidth="1"/>
    <col min="4866" max="4871" width="10.7109375" style="4" customWidth="1"/>
    <col min="4872" max="4873" width="9.42578125" style="4" bestFit="1" customWidth="1"/>
    <col min="4874" max="5119" width="8.85546875" style="4"/>
    <col min="5120" max="5120" width="1.7109375" style="4" customWidth="1"/>
    <col min="5121" max="5121" width="42.85546875" style="4" customWidth="1"/>
    <col min="5122" max="5127" width="10.7109375" style="4" customWidth="1"/>
    <col min="5128" max="5129" width="9.42578125" style="4" bestFit="1" customWidth="1"/>
    <col min="5130" max="5375" width="8.85546875" style="4"/>
    <col min="5376" max="5376" width="1.7109375" style="4" customWidth="1"/>
    <col min="5377" max="5377" width="42.85546875" style="4" customWidth="1"/>
    <col min="5378" max="5383" width="10.7109375" style="4" customWidth="1"/>
    <col min="5384" max="5385" width="9.42578125" style="4" bestFit="1" customWidth="1"/>
    <col min="5386" max="5631" width="8.85546875" style="4"/>
    <col min="5632" max="5632" width="1.7109375" style="4" customWidth="1"/>
    <col min="5633" max="5633" width="42.85546875" style="4" customWidth="1"/>
    <col min="5634" max="5639" width="10.7109375" style="4" customWidth="1"/>
    <col min="5640" max="5641" width="9.42578125" style="4" bestFit="1" customWidth="1"/>
    <col min="5642" max="5887" width="8.85546875" style="4"/>
    <col min="5888" max="5888" width="1.7109375" style="4" customWidth="1"/>
    <col min="5889" max="5889" width="42.85546875" style="4" customWidth="1"/>
    <col min="5890" max="5895" width="10.7109375" style="4" customWidth="1"/>
    <col min="5896" max="5897" width="9.42578125" style="4" bestFit="1" customWidth="1"/>
    <col min="5898" max="6143" width="8.85546875" style="4"/>
    <col min="6144" max="6144" width="1.7109375" style="4" customWidth="1"/>
    <col min="6145" max="6145" width="42.85546875" style="4" customWidth="1"/>
    <col min="6146" max="6151" width="10.7109375" style="4" customWidth="1"/>
    <col min="6152" max="6153" width="9.42578125" style="4" bestFit="1" customWidth="1"/>
    <col min="6154" max="6399" width="8.85546875" style="4"/>
    <col min="6400" max="6400" width="1.7109375" style="4" customWidth="1"/>
    <col min="6401" max="6401" width="42.85546875" style="4" customWidth="1"/>
    <col min="6402" max="6407" width="10.7109375" style="4" customWidth="1"/>
    <col min="6408" max="6409" width="9.42578125" style="4" bestFit="1" customWidth="1"/>
    <col min="6410" max="6655" width="8.85546875" style="4"/>
    <col min="6656" max="6656" width="1.7109375" style="4" customWidth="1"/>
    <col min="6657" max="6657" width="42.85546875" style="4" customWidth="1"/>
    <col min="6658" max="6663" width="10.7109375" style="4" customWidth="1"/>
    <col min="6664" max="6665" width="9.42578125" style="4" bestFit="1" customWidth="1"/>
    <col min="6666" max="6911" width="8.85546875" style="4"/>
    <col min="6912" max="6912" width="1.7109375" style="4" customWidth="1"/>
    <col min="6913" max="6913" width="42.85546875" style="4" customWidth="1"/>
    <col min="6914" max="6919" width="10.7109375" style="4" customWidth="1"/>
    <col min="6920" max="6921" width="9.42578125" style="4" bestFit="1" customWidth="1"/>
    <col min="6922" max="7167" width="8.85546875" style="4"/>
    <col min="7168" max="7168" width="1.7109375" style="4" customWidth="1"/>
    <col min="7169" max="7169" width="42.85546875" style="4" customWidth="1"/>
    <col min="7170" max="7175" width="10.7109375" style="4" customWidth="1"/>
    <col min="7176" max="7177" width="9.42578125" style="4" bestFit="1" customWidth="1"/>
    <col min="7178" max="7423" width="8.85546875" style="4"/>
    <col min="7424" max="7424" width="1.7109375" style="4" customWidth="1"/>
    <col min="7425" max="7425" width="42.85546875" style="4" customWidth="1"/>
    <col min="7426" max="7431" width="10.7109375" style="4" customWidth="1"/>
    <col min="7432" max="7433" width="9.42578125" style="4" bestFit="1" customWidth="1"/>
    <col min="7434" max="7679" width="8.85546875" style="4"/>
    <col min="7680" max="7680" width="1.7109375" style="4" customWidth="1"/>
    <col min="7681" max="7681" width="42.85546875" style="4" customWidth="1"/>
    <col min="7682" max="7687" width="10.7109375" style="4" customWidth="1"/>
    <col min="7688" max="7689" width="9.42578125" style="4" bestFit="1" customWidth="1"/>
    <col min="7690" max="7935" width="8.85546875" style="4"/>
    <col min="7936" max="7936" width="1.7109375" style="4" customWidth="1"/>
    <col min="7937" max="7937" width="42.85546875" style="4" customWidth="1"/>
    <col min="7938" max="7943" width="10.7109375" style="4" customWidth="1"/>
    <col min="7944" max="7945" width="9.42578125" style="4" bestFit="1" customWidth="1"/>
    <col min="7946" max="8191" width="8.85546875" style="4"/>
    <col min="8192" max="8192" width="1.7109375" style="4" customWidth="1"/>
    <col min="8193" max="8193" width="42.85546875" style="4" customWidth="1"/>
    <col min="8194" max="8199" width="10.7109375" style="4" customWidth="1"/>
    <col min="8200" max="8201" width="9.42578125" style="4" bestFit="1" customWidth="1"/>
    <col min="8202" max="8447" width="8.85546875" style="4"/>
    <col min="8448" max="8448" width="1.7109375" style="4" customWidth="1"/>
    <col min="8449" max="8449" width="42.85546875" style="4" customWidth="1"/>
    <col min="8450" max="8455" width="10.7109375" style="4" customWidth="1"/>
    <col min="8456" max="8457" width="9.42578125" style="4" bestFit="1" customWidth="1"/>
    <col min="8458" max="8703" width="8.85546875" style="4"/>
    <col min="8704" max="8704" width="1.7109375" style="4" customWidth="1"/>
    <col min="8705" max="8705" width="42.85546875" style="4" customWidth="1"/>
    <col min="8706" max="8711" width="10.7109375" style="4" customWidth="1"/>
    <col min="8712" max="8713" width="9.42578125" style="4" bestFit="1" customWidth="1"/>
    <col min="8714" max="8959" width="8.85546875" style="4"/>
    <col min="8960" max="8960" width="1.7109375" style="4" customWidth="1"/>
    <col min="8961" max="8961" width="42.85546875" style="4" customWidth="1"/>
    <col min="8962" max="8967" width="10.7109375" style="4" customWidth="1"/>
    <col min="8968" max="8969" width="9.42578125" style="4" bestFit="1" customWidth="1"/>
    <col min="8970" max="9215" width="8.85546875" style="4"/>
    <col min="9216" max="9216" width="1.7109375" style="4" customWidth="1"/>
    <col min="9217" max="9217" width="42.85546875" style="4" customWidth="1"/>
    <col min="9218" max="9223" width="10.7109375" style="4" customWidth="1"/>
    <col min="9224" max="9225" width="9.42578125" style="4" bestFit="1" customWidth="1"/>
    <col min="9226" max="9471" width="8.85546875" style="4"/>
    <col min="9472" max="9472" width="1.7109375" style="4" customWidth="1"/>
    <col min="9473" max="9473" width="42.85546875" style="4" customWidth="1"/>
    <col min="9474" max="9479" width="10.7109375" style="4" customWidth="1"/>
    <col min="9480" max="9481" width="9.42578125" style="4" bestFit="1" customWidth="1"/>
    <col min="9482" max="9727" width="8.85546875" style="4"/>
    <col min="9728" max="9728" width="1.7109375" style="4" customWidth="1"/>
    <col min="9729" max="9729" width="42.85546875" style="4" customWidth="1"/>
    <col min="9730" max="9735" width="10.7109375" style="4" customWidth="1"/>
    <col min="9736" max="9737" width="9.42578125" style="4" bestFit="1" customWidth="1"/>
    <col min="9738" max="9983" width="8.85546875" style="4"/>
    <col min="9984" max="9984" width="1.7109375" style="4" customWidth="1"/>
    <col min="9985" max="9985" width="42.85546875" style="4" customWidth="1"/>
    <col min="9986" max="9991" width="10.7109375" style="4" customWidth="1"/>
    <col min="9992" max="9993" width="9.42578125" style="4" bestFit="1" customWidth="1"/>
    <col min="9994" max="10239" width="8.85546875" style="4"/>
    <col min="10240" max="10240" width="1.7109375" style="4" customWidth="1"/>
    <col min="10241" max="10241" width="42.85546875" style="4" customWidth="1"/>
    <col min="10242" max="10247" width="10.7109375" style="4" customWidth="1"/>
    <col min="10248" max="10249" width="9.42578125" style="4" bestFit="1" customWidth="1"/>
    <col min="10250" max="10495" width="8.85546875" style="4"/>
    <col min="10496" max="10496" width="1.7109375" style="4" customWidth="1"/>
    <col min="10497" max="10497" width="42.85546875" style="4" customWidth="1"/>
    <col min="10498" max="10503" width="10.7109375" style="4" customWidth="1"/>
    <col min="10504" max="10505" width="9.42578125" style="4" bestFit="1" customWidth="1"/>
    <col min="10506" max="10751" width="8.85546875" style="4"/>
    <col min="10752" max="10752" width="1.7109375" style="4" customWidth="1"/>
    <col min="10753" max="10753" width="42.85546875" style="4" customWidth="1"/>
    <col min="10754" max="10759" width="10.7109375" style="4" customWidth="1"/>
    <col min="10760" max="10761" width="9.42578125" style="4" bestFit="1" customWidth="1"/>
    <col min="10762" max="11007" width="8.85546875" style="4"/>
    <col min="11008" max="11008" width="1.7109375" style="4" customWidth="1"/>
    <col min="11009" max="11009" width="42.85546875" style="4" customWidth="1"/>
    <col min="11010" max="11015" width="10.7109375" style="4" customWidth="1"/>
    <col min="11016" max="11017" width="9.42578125" style="4" bestFit="1" customWidth="1"/>
    <col min="11018" max="11263" width="8.85546875" style="4"/>
    <col min="11264" max="11264" width="1.7109375" style="4" customWidth="1"/>
    <col min="11265" max="11265" width="42.85546875" style="4" customWidth="1"/>
    <col min="11266" max="11271" width="10.7109375" style="4" customWidth="1"/>
    <col min="11272" max="11273" width="9.42578125" style="4" bestFit="1" customWidth="1"/>
    <col min="11274" max="11519" width="8.85546875" style="4"/>
    <col min="11520" max="11520" width="1.7109375" style="4" customWidth="1"/>
    <col min="11521" max="11521" width="42.85546875" style="4" customWidth="1"/>
    <col min="11522" max="11527" width="10.7109375" style="4" customWidth="1"/>
    <col min="11528" max="11529" width="9.42578125" style="4" bestFit="1" customWidth="1"/>
    <col min="11530" max="11775" width="8.85546875" style="4"/>
    <col min="11776" max="11776" width="1.7109375" style="4" customWidth="1"/>
    <col min="11777" max="11777" width="42.85546875" style="4" customWidth="1"/>
    <col min="11778" max="11783" width="10.7109375" style="4" customWidth="1"/>
    <col min="11784" max="11785" width="9.42578125" style="4" bestFit="1" customWidth="1"/>
    <col min="11786" max="12031" width="8.85546875" style="4"/>
    <col min="12032" max="12032" width="1.7109375" style="4" customWidth="1"/>
    <col min="12033" max="12033" width="42.85546875" style="4" customWidth="1"/>
    <col min="12034" max="12039" width="10.7109375" style="4" customWidth="1"/>
    <col min="12040" max="12041" width="9.42578125" style="4" bestFit="1" customWidth="1"/>
    <col min="12042" max="12287" width="8.85546875" style="4"/>
    <col min="12288" max="12288" width="1.7109375" style="4" customWidth="1"/>
    <col min="12289" max="12289" width="42.85546875" style="4" customWidth="1"/>
    <col min="12290" max="12295" width="10.7109375" style="4" customWidth="1"/>
    <col min="12296" max="12297" width="9.42578125" style="4" bestFit="1" customWidth="1"/>
    <col min="12298" max="12543" width="8.85546875" style="4"/>
    <col min="12544" max="12544" width="1.7109375" style="4" customWidth="1"/>
    <col min="12545" max="12545" width="42.85546875" style="4" customWidth="1"/>
    <col min="12546" max="12551" width="10.7109375" style="4" customWidth="1"/>
    <col min="12552" max="12553" width="9.42578125" style="4" bestFit="1" customWidth="1"/>
    <col min="12554" max="12799" width="8.85546875" style="4"/>
    <col min="12800" max="12800" width="1.7109375" style="4" customWidth="1"/>
    <col min="12801" max="12801" width="42.85546875" style="4" customWidth="1"/>
    <col min="12802" max="12807" width="10.7109375" style="4" customWidth="1"/>
    <col min="12808" max="12809" width="9.42578125" style="4" bestFit="1" customWidth="1"/>
    <col min="12810" max="13055" width="8.85546875" style="4"/>
    <col min="13056" max="13056" width="1.7109375" style="4" customWidth="1"/>
    <col min="13057" max="13057" width="42.85546875" style="4" customWidth="1"/>
    <col min="13058" max="13063" width="10.7109375" style="4" customWidth="1"/>
    <col min="13064" max="13065" width="9.42578125" style="4" bestFit="1" customWidth="1"/>
    <col min="13066" max="13311" width="8.85546875" style="4"/>
    <col min="13312" max="13312" width="1.7109375" style="4" customWidth="1"/>
    <col min="13313" max="13313" width="42.85546875" style="4" customWidth="1"/>
    <col min="13314" max="13319" width="10.7109375" style="4" customWidth="1"/>
    <col min="13320" max="13321" width="9.42578125" style="4" bestFit="1" customWidth="1"/>
    <col min="13322" max="13567" width="8.85546875" style="4"/>
    <col min="13568" max="13568" width="1.7109375" style="4" customWidth="1"/>
    <col min="13569" max="13569" width="42.85546875" style="4" customWidth="1"/>
    <col min="13570" max="13575" width="10.7109375" style="4" customWidth="1"/>
    <col min="13576" max="13577" width="9.42578125" style="4" bestFit="1" customWidth="1"/>
    <col min="13578" max="13823" width="8.85546875" style="4"/>
    <col min="13824" max="13824" width="1.7109375" style="4" customWidth="1"/>
    <col min="13825" max="13825" width="42.85546875" style="4" customWidth="1"/>
    <col min="13826" max="13831" width="10.7109375" style="4" customWidth="1"/>
    <col min="13832" max="13833" width="9.42578125" style="4" bestFit="1" customWidth="1"/>
    <col min="13834" max="14079" width="8.85546875" style="4"/>
    <col min="14080" max="14080" width="1.7109375" style="4" customWidth="1"/>
    <col min="14081" max="14081" width="42.85546875" style="4" customWidth="1"/>
    <col min="14082" max="14087" width="10.7109375" style="4" customWidth="1"/>
    <col min="14088" max="14089" width="9.42578125" style="4" bestFit="1" customWidth="1"/>
    <col min="14090" max="14335" width="8.85546875" style="4"/>
    <col min="14336" max="14336" width="1.7109375" style="4" customWidth="1"/>
    <col min="14337" max="14337" width="42.85546875" style="4" customWidth="1"/>
    <col min="14338" max="14343" width="10.7109375" style="4" customWidth="1"/>
    <col min="14344" max="14345" width="9.42578125" style="4" bestFit="1" customWidth="1"/>
    <col min="14346" max="14591" width="8.85546875" style="4"/>
    <col min="14592" max="14592" width="1.7109375" style="4" customWidth="1"/>
    <col min="14593" max="14593" width="42.85546875" style="4" customWidth="1"/>
    <col min="14594" max="14599" width="10.7109375" style="4" customWidth="1"/>
    <col min="14600" max="14601" width="9.42578125" style="4" bestFit="1" customWidth="1"/>
    <col min="14602" max="14847" width="8.85546875" style="4"/>
    <col min="14848" max="14848" width="1.7109375" style="4" customWidth="1"/>
    <col min="14849" max="14849" width="42.85546875" style="4" customWidth="1"/>
    <col min="14850" max="14855" width="10.7109375" style="4" customWidth="1"/>
    <col min="14856" max="14857" width="9.42578125" style="4" bestFit="1" customWidth="1"/>
    <col min="14858" max="15103" width="8.85546875" style="4"/>
    <col min="15104" max="15104" width="1.7109375" style="4" customWidth="1"/>
    <col min="15105" max="15105" width="42.85546875" style="4" customWidth="1"/>
    <col min="15106" max="15111" width="10.7109375" style="4" customWidth="1"/>
    <col min="15112" max="15113" width="9.42578125" style="4" bestFit="1" customWidth="1"/>
    <col min="15114" max="15359" width="8.85546875" style="4"/>
    <col min="15360" max="15360" width="1.7109375" style="4" customWidth="1"/>
    <col min="15361" max="15361" width="42.85546875" style="4" customWidth="1"/>
    <col min="15362" max="15367" width="10.7109375" style="4" customWidth="1"/>
    <col min="15368" max="15369" width="9.42578125" style="4" bestFit="1" customWidth="1"/>
    <col min="15370" max="15615" width="8.85546875" style="4"/>
    <col min="15616" max="15616" width="1.7109375" style="4" customWidth="1"/>
    <col min="15617" max="15617" width="42.85546875" style="4" customWidth="1"/>
    <col min="15618" max="15623" width="10.7109375" style="4" customWidth="1"/>
    <col min="15624" max="15625" width="9.42578125" style="4" bestFit="1" customWidth="1"/>
    <col min="15626" max="15871" width="8.85546875" style="4"/>
    <col min="15872" max="15872" width="1.7109375" style="4" customWidth="1"/>
    <col min="15873" max="15873" width="42.85546875" style="4" customWidth="1"/>
    <col min="15874" max="15879" width="10.7109375" style="4" customWidth="1"/>
    <col min="15880" max="15881" width="9.42578125" style="4" bestFit="1" customWidth="1"/>
    <col min="15882" max="16127" width="8.85546875" style="4"/>
    <col min="16128" max="16128" width="1.7109375" style="4" customWidth="1"/>
    <col min="16129" max="16129" width="42.85546875" style="4" customWidth="1"/>
    <col min="16130" max="16135" width="10.7109375" style="4" customWidth="1"/>
    <col min="16136" max="16137" width="9.42578125" style="4" bestFit="1" customWidth="1"/>
    <col min="16138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x14ac:dyDescent="0.25">
      <c r="A2" s="17" t="s">
        <v>9</v>
      </c>
      <c r="B2" s="65"/>
      <c r="C2" s="116">
        <v>44926</v>
      </c>
      <c r="D2" s="116">
        <v>45291</v>
      </c>
      <c r="E2" s="116">
        <v>45657</v>
      </c>
      <c r="F2" s="116">
        <v>46022</v>
      </c>
      <c r="G2" s="116">
        <v>46387</v>
      </c>
      <c r="H2" s="116">
        <v>46752</v>
      </c>
      <c r="I2" s="116">
        <v>47118</v>
      </c>
      <c r="J2" s="116">
        <v>47483</v>
      </c>
      <c r="K2" s="198">
        <f>2030</f>
        <v>2030</v>
      </c>
      <c r="L2" s="198">
        <f>K2+1</f>
        <v>2031</v>
      </c>
      <c r="M2" s="198">
        <f t="shared" ref="M2" si="0">L2+1</f>
        <v>2032</v>
      </c>
      <c r="N2" s="198">
        <f t="shared" ref="N2" si="1">M2+1</f>
        <v>2033</v>
      </c>
      <c r="O2" s="198">
        <f t="shared" ref="O2" si="2">N2+1</f>
        <v>2034</v>
      </c>
      <c r="P2" s="198">
        <f t="shared" ref="P2" si="3">O2+1</f>
        <v>2035</v>
      </c>
      <c r="Q2" s="198">
        <f t="shared" ref="Q2" si="4">P2+1</f>
        <v>2036</v>
      </c>
      <c r="R2" s="198">
        <f t="shared" ref="R2" si="5">Q2+1</f>
        <v>2037</v>
      </c>
      <c r="S2" s="198">
        <f t="shared" ref="S2" si="6">R2+1</f>
        <v>2038</v>
      </c>
      <c r="T2" s="198">
        <f t="shared" ref="T2" si="7">S2+1</f>
        <v>2039</v>
      </c>
      <c r="U2" s="198">
        <f t="shared" ref="U2" si="8">T2+1</f>
        <v>2040</v>
      </c>
    </row>
    <row r="3" spans="1:21" x14ac:dyDescent="0.25"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B4" s="4" t="s">
        <v>130</v>
      </c>
      <c r="C4" s="44"/>
      <c r="D4" s="44"/>
      <c r="E4" s="45"/>
      <c r="F4" s="104">
        <f>Assumptions!F41</f>
        <v>0.05</v>
      </c>
      <c r="G4" s="104">
        <f>F4</f>
        <v>0.05</v>
      </c>
      <c r="H4" s="104">
        <f t="shared" ref="H4:J4" si="9">G4</f>
        <v>0.05</v>
      </c>
      <c r="I4" s="104">
        <f t="shared" si="9"/>
        <v>0.05</v>
      </c>
      <c r="J4" s="104">
        <f t="shared" si="9"/>
        <v>0.05</v>
      </c>
      <c r="K4" s="104">
        <f t="shared" ref="K4" si="10">J4</f>
        <v>0.05</v>
      </c>
      <c r="L4" s="104">
        <f t="shared" ref="L4" si="11">K4</f>
        <v>0.05</v>
      </c>
      <c r="M4" s="102">
        <f t="shared" ref="M4" si="12">L4</f>
        <v>0.05</v>
      </c>
      <c r="N4" s="102">
        <f t="shared" ref="N4" si="13">M4</f>
        <v>0.05</v>
      </c>
      <c r="O4" s="102">
        <f t="shared" ref="O4" si="14">N4</f>
        <v>0.05</v>
      </c>
      <c r="P4" s="102">
        <f t="shared" ref="P4" si="15">O4</f>
        <v>0.05</v>
      </c>
      <c r="Q4" s="102">
        <f t="shared" ref="Q4" si="16">P4</f>
        <v>0.05</v>
      </c>
      <c r="R4" s="102">
        <f t="shared" ref="R4" si="17">Q4</f>
        <v>0.05</v>
      </c>
      <c r="S4" s="102">
        <f t="shared" ref="S4" si="18">R4</f>
        <v>0.05</v>
      </c>
      <c r="T4" s="102">
        <f t="shared" ref="T4" si="19">S4</f>
        <v>0.05</v>
      </c>
      <c r="U4" s="102">
        <f t="shared" ref="U4" si="20">T4</f>
        <v>0.05</v>
      </c>
    </row>
    <row r="5" spans="1:21" x14ac:dyDescent="0.25">
      <c r="B5" s="4" t="s">
        <v>143</v>
      </c>
      <c r="C5" s="44"/>
      <c r="D5" s="44"/>
      <c r="E5" s="45"/>
      <c r="F5" s="104">
        <f>Assumptions!F42</f>
        <v>0.20067932132079941</v>
      </c>
      <c r="G5" s="104">
        <f>Assumptions!G42</f>
        <v>0.20067932132079941</v>
      </c>
      <c r="H5" s="104">
        <f>Assumptions!H42</f>
        <v>0.20067932132079941</v>
      </c>
      <c r="I5" s="104">
        <f>Assumptions!I42</f>
        <v>0.20067932132079941</v>
      </c>
      <c r="J5" s="104">
        <f>Assumptions!J42</f>
        <v>0.20067932132079941</v>
      </c>
      <c r="K5" s="104">
        <f>Assumptions!K42</f>
        <v>0.20067932132079941</v>
      </c>
      <c r="L5" s="104">
        <f>Assumptions!L42</f>
        <v>0.20067932132079941</v>
      </c>
      <c r="M5" s="102">
        <f>Assumptions!M42</f>
        <v>0.20067932132079941</v>
      </c>
      <c r="N5" s="102">
        <f>Assumptions!N42</f>
        <v>0.20067932132079941</v>
      </c>
      <c r="O5" s="102">
        <f>Assumptions!O42</f>
        <v>0.20067932132079941</v>
      </c>
      <c r="P5" s="102">
        <f>Assumptions!P42</f>
        <v>0.20067932132079941</v>
      </c>
      <c r="Q5" s="102">
        <f>Assumptions!Q42</f>
        <v>0.20067932132079941</v>
      </c>
      <c r="R5" s="102">
        <f>Assumptions!R42</f>
        <v>0.20067932132079941</v>
      </c>
      <c r="S5" s="102">
        <f>Assumptions!S42</f>
        <v>0.20067932132079941</v>
      </c>
      <c r="T5" s="102">
        <f>Assumptions!T42</f>
        <v>0.20067932132079941</v>
      </c>
      <c r="U5" s="102">
        <f>Assumptions!U42</f>
        <v>0.20067932132079941</v>
      </c>
    </row>
    <row r="6" spans="1:21" x14ac:dyDescent="0.25">
      <c r="B6" s="4" t="s">
        <v>58</v>
      </c>
      <c r="C6" s="44"/>
      <c r="D6" s="44"/>
      <c r="E6" s="45"/>
      <c r="F6" s="104">
        <f>Assumptions!F43</f>
        <v>4.5106851946269885E-2</v>
      </c>
      <c r="G6" s="104">
        <f>Assumptions!G43</f>
        <v>4.5106851946269885E-2</v>
      </c>
      <c r="H6" s="104">
        <f>Assumptions!H43</f>
        <v>4.5106851946269885E-2</v>
      </c>
      <c r="I6" s="104">
        <f>Assumptions!I43</f>
        <v>4.5106851946269885E-2</v>
      </c>
      <c r="J6" s="104">
        <f>Assumptions!J43</f>
        <v>4.5106851946269885E-2</v>
      </c>
      <c r="K6" s="104">
        <f>Assumptions!K43</f>
        <v>4.5106851946269885E-2</v>
      </c>
      <c r="L6" s="104">
        <f>Assumptions!L43</f>
        <v>4.5106851946269885E-2</v>
      </c>
      <c r="M6" s="102">
        <f>Assumptions!M43</f>
        <v>4.5106851946269885E-2</v>
      </c>
      <c r="N6" s="102">
        <f>Assumptions!N43</f>
        <v>4.5106851946269885E-2</v>
      </c>
      <c r="O6" s="102">
        <f>Assumptions!O43</f>
        <v>4.5106851946269885E-2</v>
      </c>
      <c r="P6" s="102">
        <f>Assumptions!P43</f>
        <v>4.5106851946269885E-2</v>
      </c>
      <c r="Q6" s="102">
        <f>Assumptions!Q43</f>
        <v>4.5106851946269885E-2</v>
      </c>
      <c r="R6" s="102">
        <f>Assumptions!R43</f>
        <v>4.5106851946269885E-2</v>
      </c>
      <c r="S6" s="102">
        <f>Assumptions!S43</f>
        <v>4.5106851946269885E-2</v>
      </c>
      <c r="T6" s="102">
        <f>Assumptions!T43</f>
        <v>4.5106851946269885E-2</v>
      </c>
      <c r="U6" s="102">
        <f>Assumptions!U43</f>
        <v>4.5106851946269885E-2</v>
      </c>
    </row>
    <row r="7" spans="1:21" x14ac:dyDescent="0.25">
      <c r="B7" s="4" t="s">
        <v>59</v>
      </c>
      <c r="C7" s="44"/>
      <c r="D7" s="44"/>
      <c r="E7" s="45"/>
      <c r="F7" s="104">
        <f>Assumptions!F44</f>
        <v>5.8006139925674584E-2</v>
      </c>
      <c r="G7" s="104">
        <f>Assumptions!G44</f>
        <v>5.8006139925674584E-2</v>
      </c>
      <c r="H7" s="104">
        <f>Assumptions!H44</f>
        <v>5.8006139925674584E-2</v>
      </c>
      <c r="I7" s="104">
        <f>Assumptions!I44</f>
        <v>5.8006139925674584E-2</v>
      </c>
      <c r="J7" s="104">
        <f>Assumptions!J44</f>
        <v>5.8006139925674584E-2</v>
      </c>
      <c r="K7" s="104">
        <f>Assumptions!K44</f>
        <v>5.8006139925674584E-2</v>
      </c>
      <c r="L7" s="104">
        <f>Assumptions!L44</f>
        <v>5.8006139925674584E-2</v>
      </c>
      <c r="M7" s="102">
        <f>Assumptions!M44</f>
        <v>5.8006139925674584E-2</v>
      </c>
      <c r="N7" s="102">
        <f>Assumptions!N44</f>
        <v>5.8006139925674584E-2</v>
      </c>
      <c r="O7" s="102">
        <f>Assumptions!O44</f>
        <v>5.8006139925674584E-2</v>
      </c>
      <c r="P7" s="102">
        <f>Assumptions!P44</f>
        <v>5.8006139925674584E-2</v>
      </c>
      <c r="Q7" s="102">
        <f>Assumptions!Q44</f>
        <v>5.8006139925674584E-2</v>
      </c>
      <c r="R7" s="102">
        <f>Assumptions!R44</f>
        <v>5.8006139925674584E-2</v>
      </c>
      <c r="S7" s="102">
        <f>Assumptions!S44</f>
        <v>5.8006139925674584E-2</v>
      </c>
      <c r="T7" s="102">
        <f>Assumptions!T44</f>
        <v>5.8006139925674584E-2</v>
      </c>
      <c r="U7" s="102">
        <f>Assumptions!U44</f>
        <v>5.8006139925674584E-2</v>
      </c>
    </row>
    <row r="8" spans="1:21" x14ac:dyDescent="0.25">
      <c r="C8" s="31"/>
      <c r="D8" s="31"/>
      <c r="E8" s="31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</row>
    <row r="9" spans="1:21" x14ac:dyDescent="0.25">
      <c r="B9" s="4" t="s">
        <v>142</v>
      </c>
      <c r="C9" s="44"/>
      <c r="D9" s="44"/>
      <c r="E9" s="45"/>
      <c r="F9" s="104">
        <f>Assumptions!F48</f>
        <v>0.75469354582236436</v>
      </c>
      <c r="G9" s="104">
        <f>Assumptions!G48</f>
        <v>0.75469354582236436</v>
      </c>
      <c r="H9" s="104">
        <f>Assumptions!H48</f>
        <v>0.75469354582236436</v>
      </c>
      <c r="I9" s="104">
        <f>Assumptions!I48</f>
        <v>0.75469354582236436</v>
      </c>
      <c r="J9" s="104">
        <f>Assumptions!J48</f>
        <v>0.75469354582236436</v>
      </c>
      <c r="K9" s="104">
        <f>Assumptions!K48</f>
        <v>0.75469354582236436</v>
      </c>
      <c r="L9" s="104">
        <f>Assumptions!L48</f>
        <v>0.75469354582236436</v>
      </c>
      <c r="M9" s="102">
        <f>Assumptions!M48</f>
        <v>0.75469354582236436</v>
      </c>
      <c r="N9" s="102">
        <f>Assumptions!N48</f>
        <v>0.75469354582236436</v>
      </c>
      <c r="O9" s="102">
        <f>Assumptions!O48</f>
        <v>0.75469354582236436</v>
      </c>
      <c r="P9" s="102">
        <f>Assumptions!P48</f>
        <v>0.75469354582236436</v>
      </c>
      <c r="Q9" s="102">
        <f>Assumptions!Q48</f>
        <v>0.75469354582236436</v>
      </c>
      <c r="R9" s="102">
        <f>Assumptions!R48</f>
        <v>0.75469354582236436</v>
      </c>
      <c r="S9" s="102">
        <f>Assumptions!S48</f>
        <v>0.75469354582236436</v>
      </c>
      <c r="T9" s="102">
        <f>Assumptions!T48</f>
        <v>0.75469354582236436</v>
      </c>
      <c r="U9" s="102">
        <f>Assumptions!U48</f>
        <v>0.75469354582236436</v>
      </c>
    </row>
    <row r="10" spans="1:21" x14ac:dyDescent="0.25">
      <c r="B10" s="4" t="s">
        <v>60</v>
      </c>
      <c r="C10" s="44"/>
      <c r="D10" s="44"/>
      <c r="E10" s="27"/>
      <c r="F10" s="104">
        <f>Assumptions!F49</f>
        <v>0.19852298389080886</v>
      </c>
      <c r="G10" s="104">
        <f>Assumptions!G49</f>
        <v>0.19852298389080886</v>
      </c>
      <c r="H10" s="104">
        <f>Assumptions!H49</f>
        <v>0.19852298389080886</v>
      </c>
      <c r="I10" s="104">
        <f>Assumptions!I49</f>
        <v>0.19852298389080886</v>
      </c>
      <c r="J10" s="104">
        <f>Assumptions!J49</f>
        <v>0.19852298389080886</v>
      </c>
      <c r="K10" s="104">
        <f>Assumptions!K49</f>
        <v>0.19852298389080886</v>
      </c>
      <c r="L10" s="104">
        <f>Assumptions!L49</f>
        <v>0.19852298389080886</v>
      </c>
      <c r="M10" s="104">
        <f>Assumptions!M49</f>
        <v>0.19852298389080886</v>
      </c>
      <c r="N10" s="104">
        <f>Assumptions!N49</f>
        <v>0.19852298389080886</v>
      </c>
      <c r="O10" s="104">
        <f>Assumptions!O49</f>
        <v>0.19852298389080886</v>
      </c>
      <c r="P10" s="104">
        <f>Assumptions!P49</f>
        <v>0.19852298389080886</v>
      </c>
      <c r="Q10" s="104">
        <f>Assumptions!Q49</f>
        <v>0.19852298389080886</v>
      </c>
      <c r="R10" s="104">
        <f>Assumptions!R49</f>
        <v>0.19852298389080886</v>
      </c>
      <c r="S10" s="104">
        <f>Assumptions!S49</f>
        <v>0.19852298389080886</v>
      </c>
      <c r="T10" s="104">
        <f>Assumptions!T49</f>
        <v>0.19852298389080886</v>
      </c>
      <c r="U10" s="104">
        <f>Assumptions!U49</f>
        <v>0.19852298389080886</v>
      </c>
    </row>
    <row r="11" spans="1:21" x14ac:dyDescent="0.25">
      <c r="B11" s="4" t="s">
        <v>61</v>
      </c>
      <c r="C11" s="44"/>
      <c r="D11" s="44"/>
      <c r="E11" s="45"/>
      <c r="F11" s="302">
        <f>Assumptions!F50</f>
        <v>8.740477688590538E-2</v>
      </c>
      <c r="G11" s="302">
        <f>Assumptions!G50</f>
        <v>8.740477688590538E-2</v>
      </c>
      <c r="H11" s="302">
        <f>Assumptions!H50</f>
        <v>8.740477688590538E-2</v>
      </c>
      <c r="I11" s="302">
        <f>Assumptions!I50</f>
        <v>8.740477688590538E-2</v>
      </c>
      <c r="J11" s="302">
        <f>Assumptions!J50</f>
        <v>8.740477688590538E-2</v>
      </c>
      <c r="K11" s="302">
        <f>Assumptions!K50</f>
        <v>8.740477688590538E-2</v>
      </c>
      <c r="L11" s="302">
        <f>Assumptions!L50</f>
        <v>8.740477688590538E-2</v>
      </c>
      <c r="M11" s="131">
        <f>Assumptions!M50</f>
        <v>8.740477688590538E-2</v>
      </c>
      <c r="N11" s="131">
        <f>Assumptions!N50</f>
        <v>8.740477688590538E-2</v>
      </c>
      <c r="O11" s="131">
        <f>Assumptions!O50</f>
        <v>8.740477688590538E-2</v>
      </c>
      <c r="P11" s="131">
        <f>Assumptions!P50</f>
        <v>8.740477688590538E-2</v>
      </c>
      <c r="Q11" s="131">
        <f>Assumptions!Q50</f>
        <v>8.740477688590538E-2</v>
      </c>
      <c r="R11" s="131">
        <f>Assumptions!R50</f>
        <v>8.740477688590538E-2</v>
      </c>
      <c r="S11" s="131">
        <f>Assumptions!S50</f>
        <v>8.740477688590538E-2</v>
      </c>
      <c r="T11" s="131">
        <f>Assumptions!T50</f>
        <v>8.740477688590538E-2</v>
      </c>
      <c r="U11" s="131">
        <f>Assumptions!U50</f>
        <v>8.740477688590538E-2</v>
      </c>
    </row>
    <row r="12" spans="1:21" x14ac:dyDescent="0.25">
      <c r="C12" s="44"/>
      <c r="D12" s="44"/>
      <c r="E12" s="4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</row>
    <row r="13" spans="1:21" ht="15" customHeight="1" x14ac:dyDescent="0.25">
      <c r="A13" s="192" t="s">
        <v>57</v>
      </c>
      <c r="B13" s="193"/>
      <c r="C13" s="157">
        <f>C2</f>
        <v>44926</v>
      </c>
      <c r="D13" s="157">
        <f>D2</f>
        <v>45291</v>
      </c>
      <c r="E13" s="157">
        <f>E2</f>
        <v>45657</v>
      </c>
      <c r="F13" s="157">
        <f>F2</f>
        <v>46022</v>
      </c>
      <c r="G13" s="157">
        <f>G2</f>
        <v>46387</v>
      </c>
      <c r="H13" s="157">
        <f>H2</f>
        <v>46752</v>
      </c>
      <c r="I13" s="157">
        <f>I2</f>
        <v>47118</v>
      </c>
      <c r="J13" s="157">
        <f>J2</f>
        <v>47483</v>
      </c>
      <c r="K13" s="197">
        <f>K2</f>
        <v>2030</v>
      </c>
      <c r="L13" s="197">
        <f>L2</f>
        <v>2031</v>
      </c>
      <c r="M13" s="197">
        <f>M2</f>
        <v>2032</v>
      </c>
      <c r="N13" s="197">
        <f>N2</f>
        <v>2033</v>
      </c>
      <c r="O13" s="197">
        <f>O2</f>
        <v>2034</v>
      </c>
      <c r="P13" s="197">
        <f>P2</f>
        <v>2035</v>
      </c>
      <c r="Q13" s="197">
        <f>Q2</f>
        <v>2036</v>
      </c>
      <c r="R13" s="197">
        <f>R2</f>
        <v>2037</v>
      </c>
      <c r="S13" s="197">
        <f>S2</f>
        <v>2038</v>
      </c>
      <c r="T13" s="197">
        <f>T2</f>
        <v>2039</v>
      </c>
      <c r="U13" s="197">
        <f>U2</f>
        <v>2040</v>
      </c>
    </row>
    <row r="14" spans="1:21" x14ac:dyDescent="0.25">
      <c r="B14" s="4" t="s">
        <v>148</v>
      </c>
      <c r="C14" s="314">
        <f>5%*IncState!C14</f>
        <v>95.29355000000001</v>
      </c>
      <c r="D14" s="314">
        <f>5%*IncState!D14</f>
        <v>111.25060000000002</v>
      </c>
      <c r="E14" s="201">
        <f>5%*IncState!E14</f>
        <v>143.27535</v>
      </c>
      <c r="F14" s="4">
        <f>F4*IncState!F14</f>
        <v>218.95845841302526</v>
      </c>
      <c r="G14" s="4">
        <f>G4*IncState!G14</f>
        <v>333.09994895506878</v>
      </c>
      <c r="H14" s="4">
        <f>H4*IncState!H14</f>
        <v>473.00192751619761</v>
      </c>
      <c r="I14" s="4">
        <f>I4*IncState!I14</f>
        <v>669.29772743541969</v>
      </c>
      <c r="J14" s="4">
        <f>J4*IncState!J14</f>
        <v>943.70979568394159</v>
      </c>
      <c r="K14" s="4">
        <f>K4*IncState!K14</f>
        <v>1325.9122629359381</v>
      </c>
      <c r="L14" s="4">
        <f>L4*IncState!L14</f>
        <v>1856.2771681103129</v>
      </c>
      <c r="M14" s="4">
        <f>M4*IncState!M14</f>
        <v>2589.5066495138867</v>
      </c>
      <c r="N14" s="4">
        <f>N4*IncState!N14</f>
        <v>3599.4142428243017</v>
      </c>
      <c r="O14" s="4">
        <f>O4*IncState!O14</f>
        <v>4985.1887263116587</v>
      </c>
      <c r="P14" s="4">
        <f>P4*IncState!P14</f>
        <v>6879.5604423100876</v>
      </c>
      <c r="Q14" s="4">
        <f>Q4*IncState!Q14</f>
        <v>9459.3956081763699</v>
      </c>
      <c r="R14" s="4">
        <f>R4*IncState!R14</f>
        <v>12959.371983201627</v>
      </c>
      <c r="S14" s="4">
        <f>S4*IncState!S14</f>
        <v>17689.54275707022</v>
      </c>
      <c r="T14" s="4">
        <f>T4*IncState!T14</f>
        <v>24057.778149615497</v>
      </c>
      <c r="U14" s="4">
        <f>U4*IncState!U14</f>
        <v>32598.289392728999</v>
      </c>
    </row>
    <row r="15" spans="1:21" x14ac:dyDescent="0.25">
      <c r="B15" s="4" t="s">
        <v>149</v>
      </c>
      <c r="C15" s="200">
        <f>2598.54+35.135-C14</f>
        <v>2538.3814500000003</v>
      </c>
      <c r="D15" s="200">
        <f>831.047+2843.132-D14</f>
        <v>3562.9284000000002</v>
      </c>
      <c r="E15" s="201">
        <f>2098.524+3131.463-E14</f>
        <v>5086.7116500000002</v>
      </c>
      <c r="F15" s="333">
        <f>MAX(CashFlow!F21,0)</f>
        <v>5634.377554373209</v>
      </c>
      <c r="G15" s="333">
        <f>MAX(CashFlow!G21,0)</f>
        <v>6589.4087115784178</v>
      </c>
      <c r="H15" s="333">
        <f>MAX(CashFlow!H21,0)</f>
        <v>8096.6848833795393</v>
      </c>
      <c r="I15" s="333">
        <f>MAX(CashFlow!I21,0)</f>
        <v>10495.694479183716</v>
      </c>
      <c r="J15" s="333">
        <f>MAX(CashFlow!J21,0)</f>
        <v>14257.521765772468</v>
      </c>
      <c r="K15" s="333">
        <f>MAX(CashFlow!K21,0)</f>
        <v>20079.003793088876</v>
      </c>
      <c r="L15" s="333">
        <f>MAX(CashFlow!L21,0)</f>
        <v>28267.818259311025</v>
      </c>
      <c r="M15" s="333">
        <f>MAX(CashFlow!M21,0)</f>
        <v>39747.73029636241</v>
      </c>
      <c r="N15" s="333">
        <f>MAX(CashFlow!N21,0)</f>
        <v>55785.549070778055</v>
      </c>
      <c r="O15" s="333">
        <f>MAX(CashFlow!O21,0)</f>
        <v>78111.727298869751</v>
      </c>
      <c r="P15" s="333">
        <f>MAX(CashFlow!P21,0)</f>
        <v>109080.73816297611</v>
      </c>
      <c r="Q15" s="333">
        <f>MAX(CashFlow!Q21,0)</f>
        <v>151883.39197881735</v>
      </c>
      <c r="R15" s="333">
        <f>MAX(CashFlow!R21,0)</f>
        <v>210826.63888469833</v>
      </c>
      <c r="S15" s="333">
        <f>MAX(CashFlow!S21,0)</f>
        <v>291700.61791281757</v>
      </c>
      <c r="T15" s="333">
        <f>MAX(CashFlow!T21,0)</f>
        <v>402257.92541897221</v>
      </c>
      <c r="U15" s="333">
        <f>MAX(CashFlow!U21,0)</f>
        <v>552836.47867707303</v>
      </c>
    </row>
    <row r="16" spans="1:21" x14ac:dyDescent="0.25">
      <c r="B16" s="4" t="s">
        <v>62</v>
      </c>
      <c r="C16" s="202">
        <v>258.346</v>
      </c>
      <c r="D16" s="202">
        <v>364.78399999999999</v>
      </c>
      <c r="E16" s="203">
        <v>575.048</v>
      </c>
      <c r="F16" s="4">
        <f>F5*IncState!F14</f>
        <v>878.80869663548776</v>
      </c>
      <c r="G16" s="4">
        <f>G5*IncState!G14</f>
        <v>1336.9254337659224</v>
      </c>
      <c r="H16" s="4">
        <f>H5*IncState!H14</f>
        <v>1898.4341159476098</v>
      </c>
      <c r="I16" s="4">
        <f>I5*IncState!I14</f>
        <v>2686.284274065868</v>
      </c>
      <c r="J16" s="4">
        <f>J5*IncState!J14</f>
        <v>3787.6608264328734</v>
      </c>
      <c r="K16" s="4">
        <f>K5*IncState!K14</f>
        <v>5321.6634611381869</v>
      </c>
      <c r="L16" s="4">
        <f>L5*IncState!L14</f>
        <v>7450.3288455934608</v>
      </c>
      <c r="M16" s="4">
        <f>M5*IncState!M14</f>
        <v>10393.208739602878</v>
      </c>
      <c r="N16" s="4">
        <f>N5*IncState!N14</f>
        <v>14446.560148047998</v>
      </c>
      <c r="O16" s="4">
        <f>O5*IncState!O14</f>
        <v>20008.485805046479</v>
      </c>
      <c r="P16" s="4">
        <f>P5*IncState!P14</f>
        <v>27611.710410964137</v>
      </c>
      <c r="Q16" s="4">
        <f>Q5*IncState!Q14</f>
        <v>37966.101815075686</v>
      </c>
      <c r="R16" s="4">
        <f>R5*IncState!R14</f>
        <v>52013.559486653692</v>
      </c>
      <c r="S16" s="4">
        <f>S5*IncState!S14</f>
        <v>70998.508699282291</v>
      </c>
      <c r="T16" s="4">
        <f>T5*IncState!T14</f>
        <v>96557.971831023897</v>
      </c>
      <c r="U16" s="4">
        <f>U5*IncState!U14</f>
        <v>130836.0518310374</v>
      </c>
    </row>
    <row r="17" spans="1:21" x14ac:dyDescent="0.25">
      <c r="B17" s="4" t="s">
        <v>63</v>
      </c>
      <c r="C17" s="202">
        <v>149.566</v>
      </c>
      <c r="D17" s="202">
        <v>99.655000000000001</v>
      </c>
      <c r="E17" s="203">
        <v>129.25399999999999</v>
      </c>
      <c r="F17" s="4">
        <f>F6*IncState!F14</f>
        <v>197.53053532039644</v>
      </c>
      <c r="G17" s="4">
        <f>G6*IncState!G14</f>
        <v>300.50180161652685</v>
      </c>
      <c r="H17" s="4">
        <f>H6*IncState!H14</f>
        <v>426.71255829546811</v>
      </c>
      <c r="I17" s="4">
        <f>I6*IncState!I14</f>
        <v>603.79826998808733</v>
      </c>
      <c r="J17" s="4">
        <f>J6*IncState!J14</f>
        <v>851.35556068320318</v>
      </c>
      <c r="K17" s="4">
        <f>K6*IncState!K14</f>
        <v>1196.1545627599003</v>
      </c>
      <c r="L17" s="4">
        <f>L6*IncState!L14</f>
        <v>1674.6163878638602</v>
      </c>
      <c r="M17" s="4">
        <f>M6*IncState!M14</f>
        <v>2336.0898610700851</v>
      </c>
      <c r="N17" s="4">
        <f>N6*IncState!N14</f>
        <v>3247.1649068874181</v>
      </c>
      <c r="O17" s="4">
        <f>O6*IncState!O14</f>
        <v>4497.3233960390744</v>
      </c>
      <c r="P17" s="4">
        <f>P6*IncState!P14</f>
        <v>6206.3062865339216</v>
      </c>
      <c r="Q17" s="4">
        <f>Q6*IncState!Q14</f>
        <v>8533.671143984142</v>
      </c>
      <c r="R17" s="4">
        <f>R6*IncState!R14</f>
        <v>11691.129467258274</v>
      </c>
      <c r="S17" s="4">
        <f>S6*IncState!S14</f>
        <v>15958.391722807542</v>
      </c>
      <c r="T17" s="4">
        <f>T6*IncState!T14</f>
        <v>21703.412743018256</v>
      </c>
      <c r="U17" s="4">
        <f>U6*IncState!U14</f>
        <v>29408.124266789739</v>
      </c>
    </row>
    <row r="18" spans="1:21" s="11" customFormat="1" x14ac:dyDescent="0.25">
      <c r="B18" s="11" t="s">
        <v>64</v>
      </c>
      <c r="C18" s="11">
        <f>SUM(C14:C17)</f>
        <v>3041.587</v>
      </c>
      <c r="D18" s="11">
        <f>SUM(D14:D17)</f>
        <v>4138.6180000000004</v>
      </c>
      <c r="E18" s="25">
        <f>SUM(E14:E17)</f>
        <v>5934.2889999999998</v>
      </c>
      <c r="F18" s="11">
        <f>SUM(F14:F17)</f>
        <v>6929.6752447421186</v>
      </c>
      <c r="G18" s="11">
        <f t="shared" ref="G18:U18" si="21">SUM(G14:G17)</f>
        <v>8559.9358959159363</v>
      </c>
      <c r="H18" s="11">
        <f t="shared" si="21"/>
        <v>10894.833485138815</v>
      </c>
      <c r="I18" s="11">
        <f t="shared" si="21"/>
        <v>14455.07475067309</v>
      </c>
      <c r="J18" s="11">
        <f t="shared" si="21"/>
        <v>19840.247948572483</v>
      </c>
      <c r="K18" s="11">
        <f t="shared" si="21"/>
        <v>27922.734079922902</v>
      </c>
      <c r="L18" s="11">
        <f t="shared" si="21"/>
        <v>39249.040660878658</v>
      </c>
      <c r="M18" s="11">
        <f t="shared" si="21"/>
        <v>55066.535546549261</v>
      </c>
      <c r="N18" s="11">
        <f t="shared" si="21"/>
        <v>77078.688368537783</v>
      </c>
      <c r="O18" s="11">
        <f t="shared" si="21"/>
        <v>107602.72522626698</v>
      </c>
      <c r="P18" s="11">
        <f t="shared" si="21"/>
        <v>149778.31530278423</v>
      </c>
      <c r="Q18" s="11">
        <f t="shared" si="21"/>
        <v>207842.56054605352</v>
      </c>
      <c r="R18" s="11">
        <f t="shared" si="21"/>
        <v>287490.69982181193</v>
      </c>
      <c r="S18" s="11">
        <f t="shared" si="21"/>
        <v>396347.06109197764</v>
      </c>
      <c r="T18" s="11">
        <f t="shared" si="21"/>
        <v>544577.08814262983</v>
      </c>
      <c r="U18" s="11">
        <f t="shared" si="21"/>
        <v>745678.94416762923</v>
      </c>
    </row>
    <row r="19" spans="1:21" x14ac:dyDescent="0.25">
      <c r="A19" s="7"/>
      <c r="E19" s="28"/>
      <c r="I19" s="4"/>
      <c r="J19" s="4"/>
    </row>
    <row r="20" spans="1:21" x14ac:dyDescent="0.25">
      <c r="B20" s="4" t="s">
        <v>65</v>
      </c>
      <c r="C20" s="202">
        <f>69.17+200.24</f>
        <v>269.41000000000003</v>
      </c>
      <c r="D20" s="202">
        <f>47.758+182.863</f>
        <v>230.62100000000001</v>
      </c>
      <c r="E20" s="203">
        <f>39.638+200.74</f>
        <v>240.37800000000001</v>
      </c>
      <c r="F20" s="4">
        <f>Calcs!F9</f>
        <v>268.62531012246774</v>
      </c>
      <c r="G20" s="4">
        <f>Calcs!G9</f>
        <v>324.89156809505903</v>
      </c>
      <c r="H20" s="4">
        <f>Calcs!H9</f>
        <v>412.53589665414768</v>
      </c>
      <c r="I20" s="4">
        <f>Calcs!I9</f>
        <v>543.01540608094751</v>
      </c>
      <c r="J20" s="4">
        <f>Calcs!J9</f>
        <v>732.28660890644051</v>
      </c>
      <c r="K20" s="4">
        <f>Calcs!K9</f>
        <v>1002.4106304445547</v>
      </c>
      <c r="L20" s="4">
        <f>Calcs!L9</f>
        <v>1383.7057776231927</v>
      </c>
      <c r="M20" s="4">
        <f>Calcs!M9</f>
        <v>1917.6200107089962</v>
      </c>
      <c r="N20" s="4">
        <f>Calcs!N9</f>
        <v>2660.545743747371</v>
      </c>
      <c r="O20" s="4">
        <f>Calcs!O9</f>
        <v>3688.862088621097</v>
      </c>
      <c r="P20" s="4">
        <f>Calcs!P9</f>
        <v>5105.567922927462</v>
      </c>
      <c r="Q20" s="4">
        <f>Calcs!Q9</f>
        <v>7048.966204753051</v>
      </c>
      <c r="R20" s="4">
        <f>Calcs!R9</f>
        <v>9703.9794273329808</v>
      </c>
      <c r="S20" s="4">
        <f>Calcs!S9</f>
        <v>13316.822096524575</v>
      </c>
      <c r="T20" s="4">
        <f>Calcs!T9</f>
        <v>18213.933128380686</v>
      </c>
      <c r="U20" s="4">
        <f>Calcs!U9</f>
        <v>24826.28394909027</v>
      </c>
    </row>
    <row r="21" spans="1:21" x14ac:dyDescent="0.25">
      <c r="B21" s="4" t="s">
        <v>150</v>
      </c>
      <c r="C21" s="202">
        <v>150.25200000000001</v>
      </c>
      <c r="D21" s="202">
        <v>153.18600000000001</v>
      </c>
      <c r="E21" s="203">
        <v>166.21700000000001</v>
      </c>
      <c r="F21" s="4">
        <f>F7*IncState!F14</f>
        <v>254.01869953231883</v>
      </c>
      <c r="G21" s="4">
        <f>G7*IncState!G14</f>
        <v>386.43684496645557</v>
      </c>
      <c r="H21" s="4">
        <f>H7*IncState!H14</f>
        <v>548.74031985236695</v>
      </c>
      <c r="I21" s="4">
        <f>I7*IncState!I14</f>
        <v>776.46755259109921</v>
      </c>
      <c r="J21" s="4">
        <f>J7*IncState!J14</f>
        <v>1094.8192491534498</v>
      </c>
      <c r="K21" s="4">
        <f>K7*IncState!K14</f>
        <v>1538.2210450605969</v>
      </c>
      <c r="L21" s="4">
        <f>L7*IncState!L14</f>
        <v>2153.5094630848353</v>
      </c>
      <c r="M21" s="4">
        <f>M7*IncState!M14</f>
        <v>3004.1457010033455</v>
      </c>
      <c r="N21" s="4">
        <f>N7*IncState!N14</f>
        <v>4175.7625243946495</v>
      </c>
      <c r="O21" s="4">
        <f>O7*IncState!O14</f>
        <v>5783.4310962865902</v>
      </c>
      <c r="P21" s="4">
        <f>P7*IncState!P14</f>
        <v>7981.1349128754928</v>
      </c>
      <c r="Q21" s="4">
        <f>Q7*IncState!Q14</f>
        <v>10974.060505203803</v>
      </c>
      <c r="R21" s="4">
        <f>R7*IncState!R14</f>
        <v>15034.462892129208</v>
      </c>
      <c r="S21" s="4">
        <f>S7*IncState!S14</f>
        <v>20522.041847756369</v>
      </c>
      <c r="T21" s="4">
        <f>T7*IncState!T14</f>
        <v>27909.976912948659</v>
      </c>
      <c r="U21" s="4">
        <f>U7*IncState!U14</f>
        <v>37818.018717045437</v>
      </c>
    </row>
    <row r="22" spans="1:21" s="11" customFormat="1" x14ac:dyDescent="0.25">
      <c r="B22" s="11" t="s">
        <v>66</v>
      </c>
      <c r="C22" s="11">
        <f>SUM(C20:C21)</f>
        <v>419.66200000000003</v>
      </c>
      <c r="D22" s="11">
        <f>SUM(D20:D21)</f>
        <v>383.80700000000002</v>
      </c>
      <c r="E22" s="25">
        <f>SUM(E20:E21)</f>
        <v>406.59500000000003</v>
      </c>
      <c r="F22" s="11">
        <f>SUM(F20:F21)</f>
        <v>522.6440096547866</v>
      </c>
      <c r="G22" s="11">
        <f t="shared" ref="G22:U22" si="22">SUM(G20:G21)</f>
        <v>711.32841306151454</v>
      </c>
      <c r="H22" s="11">
        <f t="shared" si="22"/>
        <v>961.27621650651463</v>
      </c>
      <c r="I22" s="11">
        <f t="shared" si="22"/>
        <v>1319.4829586720466</v>
      </c>
      <c r="J22" s="11">
        <f t="shared" si="22"/>
        <v>1827.1058580598904</v>
      </c>
      <c r="K22" s="11">
        <f t="shared" si="22"/>
        <v>2540.6316755051516</v>
      </c>
      <c r="L22" s="11">
        <f t="shared" si="22"/>
        <v>3537.215240708028</v>
      </c>
      <c r="M22" s="11">
        <f t="shared" si="22"/>
        <v>4921.7657117123417</v>
      </c>
      <c r="N22" s="11">
        <f t="shared" si="22"/>
        <v>6836.3082681420201</v>
      </c>
      <c r="O22" s="11">
        <f t="shared" si="22"/>
        <v>9472.2931849076867</v>
      </c>
      <c r="P22" s="11">
        <f t="shared" si="22"/>
        <v>13086.702835802955</v>
      </c>
      <c r="Q22" s="11">
        <f t="shared" si="22"/>
        <v>18023.026709956852</v>
      </c>
      <c r="R22" s="11">
        <f t="shared" si="22"/>
        <v>24738.442319462189</v>
      </c>
      <c r="S22" s="11">
        <f t="shared" si="22"/>
        <v>33838.863944280944</v>
      </c>
      <c r="T22" s="11">
        <f t="shared" si="22"/>
        <v>46123.910041329349</v>
      </c>
      <c r="U22" s="11">
        <f t="shared" si="22"/>
        <v>62644.302666135707</v>
      </c>
    </row>
    <row r="23" spans="1:21" x14ac:dyDescent="0.25">
      <c r="E23" s="28"/>
      <c r="I23" s="4"/>
      <c r="J23" s="4"/>
    </row>
    <row r="24" spans="1:21" s="11" customFormat="1" x14ac:dyDescent="0.25">
      <c r="A24" s="11" t="s">
        <v>117</v>
      </c>
      <c r="B24" s="18" t="s">
        <v>67</v>
      </c>
      <c r="C24" s="19">
        <f>SUM(C22,C18)</f>
        <v>3461.2489999999998</v>
      </c>
      <c r="D24" s="19">
        <f>SUM(D22,D18)</f>
        <v>4522.4250000000002</v>
      </c>
      <c r="E24" s="19">
        <f>SUM(E22,E18)</f>
        <v>6340.884</v>
      </c>
      <c r="F24" s="19">
        <f>SUM(F22,F18)</f>
        <v>7452.3192543969053</v>
      </c>
      <c r="G24" s="19">
        <f t="shared" ref="G24:U24" si="23">SUM(G22,G18)</f>
        <v>9271.2643089774501</v>
      </c>
      <c r="H24" s="19">
        <f t="shared" si="23"/>
        <v>11856.10970164533</v>
      </c>
      <c r="I24" s="19">
        <f t="shared" si="23"/>
        <v>15774.557709345136</v>
      </c>
      <c r="J24" s="19">
        <f t="shared" si="23"/>
        <v>21667.353806632374</v>
      </c>
      <c r="K24" s="19">
        <f t="shared" si="23"/>
        <v>30463.365755428054</v>
      </c>
      <c r="L24" s="19">
        <f t="shared" si="23"/>
        <v>42786.255901586686</v>
      </c>
      <c r="M24" s="19">
        <f t="shared" si="23"/>
        <v>59988.301258261607</v>
      </c>
      <c r="N24" s="19">
        <f t="shared" si="23"/>
        <v>83914.996636679803</v>
      </c>
      <c r="O24" s="19">
        <f t="shared" si="23"/>
        <v>117075.01841117466</v>
      </c>
      <c r="P24" s="19">
        <f t="shared" si="23"/>
        <v>162865.01813858718</v>
      </c>
      <c r="Q24" s="19">
        <f t="shared" si="23"/>
        <v>225865.58725601036</v>
      </c>
      <c r="R24" s="19">
        <f t="shared" si="23"/>
        <v>312229.14214127412</v>
      </c>
      <c r="S24" s="19">
        <f t="shared" si="23"/>
        <v>430185.92503625859</v>
      </c>
      <c r="T24" s="19">
        <f t="shared" si="23"/>
        <v>590700.99818395916</v>
      </c>
      <c r="U24" s="19">
        <f t="shared" si="23"/>
        <v>808323.24683376495</v>
      </c>
    </row>
    <row r="25" spans="1:21" x14ac:dyDescent="0.25">
      <c r="A25" s="11"/>
      <c r="E25" s="28"/>
      <c r="I25" s="4"/>
      <c r="J25" s="4"/>
    </row>
    <row r="26" spans="1:21" x14ac:dyDescent="0.25">
      <c r="B26" s="4" t="s">
        <v>68</v>
      </c>
      <c r="C26" s="9">
        <v>0</v>
      </c>
      <c r="D26" s="9">
        <v>0</v>
      </c>
      <c r="E26" s="46">
        <v>0</v>
      </c>
      <c r="F26" s="333">
        <f>MIN(CashFlow!F21,0)</f>
        <v>0</v>
      </c>
      <c r="G26" s="333">
        <f>MIN(CashFlow!G21,0)</f>
        <v>0</v>
      </c>
      <c r="H26" s="333">
        <f>MIN(CashFlow!H21,0)</f>
        <v>0</v>
      </c>
      <c r="I26" s="333">
        <f>MIN(CashFlow!I21,0)</f>
        <v>0</v>
      </c>
      <c r="J26" s="333">
        <f>MIN(CashFlow!J21,0)</f>
        <v>0</v>
      </c>
      <c r="K26" s="333">
        <f>MIN(CashFlow!K21,0)</f>
        <v>0</v>
      </c>
      <c r="L26" s="333">
        <f>MIN(CashFlow!L21,0)</f>
        <v>0</v>
      </c>
      <c r="M26" s="333">
        <f>MIN(CashFlow!M21,0)</f>
        <v>0</v>
      </c>
      <c r="N26" s="333">
        <f>MIN(CashFlow!N21,0)</f>
        <v>0</v>
      </c>
      <c r="O26" s="333">
        <f>MIN(CashFlow!O21,0)</f>
        <v>0</v>
      </c>
      <c r="P26" s="333">
        <f>MIN(CashFlow!P21,0)</f>
        <v>0</v>
      </c>
      <c r="Q26" s="333">
        <f>MIN(CashFlow!Q21,0)</f>
        <v>0</v>
      </c>
      <c r="R26" s="333">
        <f>MIN(CashFlow!R21,0)</f>
        <v>0</v>
      </c>
      <c r="S26" s="333">
        <f>MIN(CashFlow!S21,0)</f>
        <v>0</v>
      </c>
      <c r="T26" s="333">
        <f>MIN(CashFlow!T21,0)</f>
        <v>0</v>
      </c>
      <c r="U26" s="333">
        <f>MIN(CashFlow!U21,0)</f>
        <v>0</v>
      </c>
    </row>
    <row r="27" spans="1:21" x14ac:dyDescent="0.25">
      <c r="B27" s="4" t="s">
        <v>141</v>
      </c>
      <c r="C27" s="202">
        <f>44.788+172.715</f>
        <v>217.50299999999999</v>
      </c>
      <c r="D27" s="9">
        <f>12.122+222.991</f>
        <v>235.113</v>
      </c>
      <c r="E27" s="46">
        <f>0.103+427.046</f>
        <v>427.149</v>
      </c>
      <c r="F27" s="4">
        <f>F9*IncState!F15</f>
        <v>649.4792820177646</v>
      </c>
      <c r="G27" s="4">
        <f>G9*IncState!G15</f>
        <v>983.02045510185928</v>
      </c>
      <c r="H27" s="4">
        <f>H9*IncState!H15</f>
        <v>1388.7496162074799</v>
      </c>
      <c r="I27" s="4">
        <f>I9*IncState!I15</f>
        <v>1954.9784134310023</v>
      </c>
      <c r="J27" s="4">
        <f>J9*IncState!J15</f>
        <v>2742.2753290990727</v>
      </c>
      <c r="K27" s="4">
        <f>K9*IncState!K15</f>
        <v>3832.8836888409073</v>
      </c>
      <c r="L27" s="4">
        <f>L9*IncState!L15</f>
        <v>5338.0187564166636</v>
      </c>
      <c r="M27" s="4">
        <f>M9*IncState!M15</f>
        <v>7407.4504860962024</v>
      </c>
      <c r="N27" s="4">
        <f>N9*IncState!N15</f>
        <v>10242.027081717708</v>
      </c>
      <c r="O27" s="4">
        <f>O9*IncState!O15</f>
        <v>14109.96171304995</v>
      </c>
      <c r="P27" s="4">
        <f>P9*IncState!P15</f>
        <v>19367.9079667308</v>
      </c>
      <c r="Q27" s="4">
        <f>Q9*IncState!Q15</f>
        <v>26488.094557997425</v>
      </c>
      <c r="R27" s="4">
        <f>R9*IncState!R15</f>
        <v>36093.082456583805</v>
      </c>
      <c r="S27" s="4">
        <f>S9*IncState!S15</f>
        <v>49000.053878290702</v>
      </c>
      <c r="T27" s="4">
        <f>T9*IncState!T15</f>
        <v>66276.94827654853</v>
      </c>
      <c r="U27" s="4">
        <f>U9*IncState!U15</f>
        <v>89313.230542532416</v>
      </c>
    </row>
    <row r="28" spans="1:21" x14ac:dyDescent="0.25">
      <c r="B28" s="4" t="s">
        <v>69</v>
      </c>
      <c r="C28" s="202">
        <f>587.941-C27</f>
        <v>370.43800000000005</v>
      </c>
      <c r="D28" s="9">
        <f>746.018-D27</f>
        <v>510.90500000000003</v>
      </c>
      <c r="E28" s="46">
        <f>996.018-E27</f>
        <v>568.86900000000003</v>
      </c>
      <c r="F28" s="4">
        <f>F10*IncState!F14</f>
        <v>869.36573024570703</v>
      </c>
      <c r="G28" s="4">
        <f>G10*IncState!G14</f>
        <v>1322.5599160087272</v>
      </c>
      <c r="H28" s="4">
        <f>H10*IncState!H14</f>
        <v>1878.0350807323928</v>
      </c>
      <c r="I28" s="4">
        <f>I10*IncState!I14</f>
        <v>2657.4196392363356</v>
      </c>
      <c r="J28" s="4">
        <f>J10*IncState!J14</f>
        <v>3746.961691323233</v>
      </c>
      <c r="K28" s="4">
        <f>K10*IncState!K14</f>
        <v>5264.481176309142</v>
      </c>
      <c r="L28" s="4">
        <f>L10*IncState!L14</f>
        <v>7370.2736468327985</v>
      </c>
      <c r="M28" s="4">
        <f>M10*IncState!M14</f>
        <v>10281.531737331754</v>
      </c>
      <c r="N28" s="4">
        <f>N10*IncState!N14</f>
        <v>14291.329114891136</v>
      </c>
      <c r="O28" s="4">
        <f>O10*IncState!O14</f>
        <v>19793.490824124223</v>
      </c>
      <c r="P28" s="4">
        <f>P10*IncState!P14</f>
        <v>27315.017337291425</v>
      </c>
      <c r="Q28" s="4">
        <f>Q10*IncState!Q14</f>
        <v>37558.148838775713</v>
      </c>
      <c r="R28" s="4">
        <f>R10*IncState!R14</f>
        <v>51454.663909122719</v>
      </c>
      <c r="S28" s="4">
        <f>S10*IncState!S14</f>
        <v>70235.616235952504</v>
      </c>
      <c r="T28" s="4">
        <f>T10*IncState!T14</f>
        <v>95520.438080895416</v>
      </c>
      <c r="U28" s="4">
        <f>U10*IncState!U14</f>
        <v>129430.19359961328</v>
      </c>
    </row>
    <row r="29" spans="1:21" s="11" customFormat="1" x14ac:dyDescent="0.25">
      <c r="B29" s="11" t="s">
        <v>70</v>
      </c>
      <c r="C29" s="11">
        <f t="shared" ref="C29:E29" si="24">SUM(C26:C28)</f>
        <v>587.94100000000003</v>
      </c>
      <c r="D29" s="11">
        <f t="shared" si="24"/>
        <v>746.01800000000003</v>
      </c>
      <c r="E29" s="25">
        <f t="shared" si="24"/>
        <v>996.01800000000003</v>
      </c>
      <c r="F29" s="11">
        <f>SUM(F26:F28)</f>
        <v>1518.8450122634717</v>
      </c>
      <c r="G29" s="11">
        <f t="shared" ref="G29:U29" si="25">SUM(G26:G28)</f>
        <v>2305.5803711105864</v>
      </c>
      <c r="H29" s="11">
        <f t="shared" si="25"/>
        <v>3266.7846969398724</v>
      </c>
      <c r="I29" s="11">
        <f t="shared" si="25"/>
        <v>4612.3980526673377</v>
      </c>
      <c r="J29" s="11">
        <f t="shared" si="25"/>
        <v>6489.2370204223062</v>
      </c>
      <c r="K29" s="11">
        <f t="shared" si="25"/>
        <v>9097.3648651500498</v>
      </c>
      <c r="L29" s="11">
        <f t="shared" si="25"/>
        <v>12708.292403249463</v>
      </c>
      <c r="M29" s="11">
        <f t="shared" si="25"/>
        <v>17688.982223427956</v>
      </c>
      <c r="N29" s="11">
        <f t="shared" si="25"/>
        <v>24533.356196608845</v>
      </c>
      <c r="O29" s="11">
        <f t="shared" si="25"/>
        <v>33903.452537174177</v>
      </c>
      <c r="P29" s="11">
        <f t="shared" si="25"/>
        <v>46682.925304022225</v>
      </c>
      <c r="Q29" s="11">
        <f t="shared" si="25"/>
        <v>64046.243396773134</v>
      </c>
      <c r="R29" s="11">
        <f t="shared" si="25"/>
        <v>87547.746365706524</v>
      </c>
      <c r="S29" s="11">
        <f t="shared" si="25"/>
        <v>119235.6701142432</v>
      </c>
      <c r="T29" s="11">
        <f t="shared" si="25"/>
        <v>161797.38635744393</v>
      </c>
      <c r="U29" s="11">
        <f t="shared" si="25"/>
        <v>218743.4241421457</v>
      </c>
    </row>
    <row r="30" spans="1:21" x14ac:dyDescent="0.25">
      <c r="B30" s="11"/>
      <c r="E30" s="28"/>
      <c r="I30" s="4"/>
      <c r="J30" s="4"/>
    </row>
    <row r="31" spans="1:21" x14ac:dyDescent="0.25">
      <c r="B31" s="4" t="s">
        <v>71</v>
      </c>
      <c r="C31" s="202">
        <v>0</v>
      </c>
      <c r="D31" s="9">
        <v>0</v>
      </c>
      <c r="E31" s="46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x14ac:dyDescent="0.25">
      <c r="B32" s="4" t="s">
        <v>72</v>
      </c>
      <c r="C32" s="202">
        <f>818.802-C29</f>
        <v>230.86099999999999</v>
      </c>
      <c r="D32" s="9">
        <f>961.46-D29</f>
        <v>215.44200000000001</v>
      </c>
      <c r="E32" s="46">
        <f>1246.477-E29</f>
        <v>250.45900000000006</v>
      </c>
      <c r="F32" s="4">
        <f>F11*IncState!F14</f>
        <v>382.76030409744527</v>
      </c>
      <c r="G32" s="4">
        <f>G11*IncState!G14</f>
        <v>582.29053438248513</v>
      </c>
      <c r="H32" s="4">
        <f>H11*IncState!H14</f>
        <v>826.85255882312879</v>
      </c>
      <c r="I32" s="4">
        <f>I11*IncState!I14</f>
        <v>1169.9963707347272</v>
      </c>
      <c r="J32" s="4">
        <f>J11*IncState!J14</f>
        <v>1649.6948827359654</v>
      </c>
      <c r="K32" s="4">
        <f>K11*IncState!K14</f>
        <v>2317.8213102440313</v>
      </c>
      <c r="L32" s="4">
        <f>L11*IncState!L14</f>
        <v>3244.9498343416431</v>
      </c>
      <c r="M32" s="4">
        <f>M11*IncState!M14</f>
        <v>4526.7050189065922</v>
      </c>
      <c r="N32" s="4">
        <f>N11*IncState!N14</f>
        <v>6292.1199762801625</v>
      </c>
      <c r="O32" s="4">
        <f>O11*IncState!O14</f>
        <v>8714.5861671480252</v>
      </c>
      <c r="P32" s="4">
        <f>P11*IncState!P14</f>
        <v>12026.128910664274</v>
      </c>
      <c r="Q32" s="4">
        <f>Q11*IncState!Q14</f>
        <v>16535.927252163376</v>
      </c>
      <c r="R32" s="4">
        <f>R11*IncState!R14</f>
        <v>22654.220335463826</v>
      </c>
      <c r="S32" s="4">
        <f>S11*IncState!S14</f>
        <v>30923.01075790812</v>
      </c>
      <c r="T32" s="4">
        <f>T11*IncState!T14</f>
        <v>42055.294630755037</v>
      </c>
      <c r="U32" s="4">
        <f>U11*IncState!U14</f>
        <v>56984.924224673079</v>
      </c>
    </row>
    <row r="33" spans="1:21" x14ac:dyDescent="0.25">
      <c r="B33" s="11" t="s">
        <v>73</v>
      </c>
      <c r="C33" s="11">
        <f t="shared" ref="C33:E33" si="26">SUM(C31:C32)</f>
        <v>230.86099999999999</v>
      </c>
      <c r="D33" s="11">
        <f t="shared" si="26"/>
        <v>215.44200000000001</v>
      </c>
      <c r="E33" s="25">
        <f t="shared" si="26"/>
        <v>250.45900000000006</v>
      </c>
      <c r="F33" s="11">
        <f>SUM(F31:F32)</f>
        <v>382.76030409744527</v>
      </c>
      <c r="G33" s="11">
        <f t="shared" ref="G33:U33" si="27">SUM(G31:G32)</f>
        <v>582.29053438248513</v>
      </c>
      <c r="H33" s="11">
        <f t="shared" si="27"/>
        <v>826.85255882312879</v>
      </c>
      <c r="I33" s="11">
        <f t="shared" si="27"/>
        <v>1169.9963707347272</v>
      </c>
      <c r="J33" s="11">
        <f t="shared" si="27"/>
        <v>1649.6948827359654</v>
      </c>
      <c r="K33" s="11">
        <f t="shared" si="27"/>
        <v>2317.8213102440313</v>
      </c>
      <c r="L33" s="11">
        <f t="shared" si="27"/>
        <v>3244.9498343416431</v>
      </c>
      <c r="M33" s="11">
        <f t="shared" si="27"/>
        <v>4526.7050189065922</v>
      </c>
      <c r="N33" s="11">
        <f t="shared" si="27"/>
        <v>6292.1199762801625</v>
      </c>
      <c r="O33" s="11">
        <f t="shared" si="27"/>
        <v>8714.5861671480252</v>
      </c>
      <c r="P33" s="11">
        <f t="shared" si="27"/>
        <v>12026.128910664274</v>
      </c>
      <c r="Q33" s="11">
        <f t="shared" si="27"/>
        <v>16535.927252163376</v>
      </c>
      <c r="R33" s="11">
        <f t="shared" si="27"/>
        <v>22654.220335463826</v>
      </c>
      <c r="S33" s="11">
        <f t="shared" si="27"/>
        <v>30923.01075790812</v>
      </c>
      <c r="T33" s="11">
        <f t="shared" si="27"/>
        <v>42055.294630755037</v>
      </c>
      <c r="U33" s="11">
        <f t="shared" si="27"/>
        <v>56984.924224673079</v>
      </c>
    </row>
    <row r="34" spans="1:21" x14ac:dyDescent="0.25">
      <c r="E34" s="28"/>
      <c r="I34" s="4"/>
      <c r="J34" s="4"/>
    </row>
    <row r="35" spans="1:21" x14ac:dyDescent="0.25">
      <c r="B35" s="4" t="s">
        <v>16</v>
      </c>
      <c r="C35" s="204">
        <v>2642.4369999999999</v>
      </c>
      <c r="D35" s="204">
        <v>3560.9650000000001</v>
      </c>
      <c r="E35" s="222">
        <v>5094.4070000000002</v>
      </c>
      <c r="F35" s="4">
        <f>Calcs!F16</f>
        <v>5550.7139380359877</v>
      </c>
      <c r="G35" s="4">
        <f>Calcs!G16</f>
        <v>6383.3934034843778</v>
      </c>
      <c r="H35" s="4">
        <f>Calcs!H16</f>
        <v>7762.4724458823266</v>
      </c>
      <c r="I35" s="4">
        <f>Calcs!I16</f>
        <v>9992.163285943072</v>
      </c>
      <c r="J35" s="4">
        <f>Calcs!J16</f>
        <v>13528.421903474105</v>
      </c>
      <c r="K35" s="4">
        <f>Calcs!K16</f>
        <v>19048.179580033971</v>
      </c>
      <c r="L35" s="4">
        <f>Calcs!L16</f>
        <v>26833.013663995582</v>
      </c>
      <c r="M35" s="4">
        <f>Calcs!M16</f>
        <v>37772.614015927051</v>
      </c>
      <c r="N35" s="4">
        <f>Calcs!N16</f>
        <v>53089.520463790781</v>
      </c>
      <c r="O35" s="4">
        <f>Calcs!O16</f>
        <v>74456.979706852449</v>
      </c>
      <c r="P35" s="4">
        <f>Calcs!P16</f>
        <v>104155.96392390071</v>
      </c>
      <c r="Q35" s="4">
        <f>Calcs!Q16</f>
        <v>145283.41660707389</v>
      </c>
      <c r="R35" s="4">
        <f>Calcs!R16</f>
        <v>202027.17544010375</v>
      </c>
      <c r="S35" s="4">
        <f>Calcs!S16</f>
        <v>280027.24416410725</v>
      </c>
      <c r="T35" s="4">
        <f>Calcs!T16</f>
        <v>386848.3171957602</v>
      </c>
      <c r="U35" s="4">
        <f>Calcs!U16</f>
        <v>532594.89846694598</v>
      </c>
    </row>
    <row r="36" spans="1:21" s="11" customFormat="1" x14ac:dyDescent="0.25">
      <c r="A36" s="11" t="s">
        <v>117</v>
      </c>
      <c r="B36" s="18" t="s">
        <v>74</v>
      </c>
      <c r="C36" s="19">
        <f>SUM(C35,C33,C29)</f>
        <v>3461.2389999999996</v>
      </c>
      <c r="D36" s="19">
        <f>SUM(D35,D33,D29)</f>
        <v>4522.4250000000002</v>
      </c>
      <c r="E36" s="19">
        <f t="shared" ref="E36:F36" si="28">SUM(E35,E33,E29)</f>
        <v>6340.884</v>
      </c>
      <c r="F36" s="19">
        <f t="shared" si="28"/>
        <v>7452.3192543969053</v>
      </c>
      <c r="G36" s="19">
        <f t="shared" ref="G36:U36" si="29">SUM(G35,G33,G29)</f>
        <v>9271.2643089774501</v>
      </c>
      <c r="H36" s="19">
        <f t="shared" si="29"/>
        <v>11856.109701645328</v>
      </c>
      <c r="I36" s="19">
        <f t="shared" si="29"/>
        <v>15774.557709345136</v>
      </c>
      <c r="J36" s="19">
        <f t="shared" si="29"/>
        <v>21667.353806632374</v>
      </c>
      <c r="K36" s="19">
        <f t="shared" si="29"/>
        <v>30463.365755428051</v>
      </c>
      <c r="L36" s="19">
        <f t="shared" si="29"/>
        <v>42786.255901586686</v>
      </c>
      <c r="M36" s="19">
        <f t="shared" si="29"/>
        <v>59988.301258261599</v>
      </c>
      <c r="N36" s="19">
        <f t="shared" si="29"/>
        <v>83914.996636679789</v>
      </c>
      <c r="O36" s="19">
        <f t="shared" si="29"/>
        <v>117075.01841117465</v>
      </c>
      <c r="P36" s="19">
        <f t="shared" si="29"/>
        <v>162865.01813858721</v>
      </c>
      <c r="Q36" s="19">
        <f t="shared" si="29"/>
        <v>225865.58725601039</v>
      </c>
      <c r="R36" s="19">
        <f t="shared" si="29"/>
        <v>312229.14214127406</v>
      </c>
      <c r="S36" s="19">
        <f t="shared" si="29"/>
        <v>430185.92503625853</v>
      </c>
      <c r="T36" s="19">
        <f t="shared" si="29"/>
        <v>590700.99818395916</v>
      </c>
      <c r="U36" s="19">
        <f t="shared" si="29"/>
        <v>808323.24683376472</v>
      </c>
    </row>
    <row r="37" spans="1:21" x14ac:dyDescent="0.25">
      <c r="E37" s="28"/>
      <c r="I37" s="4"/>
      <c r="J37" s="4"/>
    </row>
    <row r="38" spans="1:21" x14ac:dyDescent="0.25">
      <c r="A38" s="4" t="s">
        <v>117</v>
      </c>
      <c r="B38" s="11" t="s">
        <v>75</v>
      </c>
      <c r="C38" s="47">
        <f>C36-C24</f>
        <v>-1.0000000000218279E-2</v>
      </c>
      <c r="D38" s="47">
        <f t="shared" ref="D38:J38" si="30">D36-D24</f>
        <v>0</v>
      </c>
      <c r="E38" s="158">
        <f t="shared" si="30"/>
        <v>0</v>
      </c>
      <c r="F38" s="47">
        <f t="shared" si="30"/>
        <v>0</v>
      </c>
      <c r="G38" s="47">
        <f t="shared" ref="G38:U38" si="31">G36-G24</f>
        <v>0</v>
      </c>
      <c r="H38" s="47">
        <f t="shared" si="31"/>
        <v>0</v>
      </c>
      <c r="I38" s="47">
        <f t="shared" si="31"/>
        <v>0</v>
      </c>
      <c r="J38" s="47">
        <f t="shared" si="31"/>
        <v>0</v>
      </c>
      <c r="K38" s="47">
        <f t="shared" si="31"/>
        <v>0</v>
      </c>
      <c r="L38" s="47">
        <f t="shared" si="31"/>
        <v>0</v>
      </c>
      <c r="M38" s="47">
        <f t="shared" si="31"/>
        <v>0</v>
      </c>
      <c r="N38" s="47">
        <f t="shared" si="31"/>
        <v>0</v>
      </c>
      <c r="O38" s="47">
        <f t="shared" si="31"/>
        <v>0</v>
      </c>
      <c r="P38" s="47">
        <f t="shared" si="31"/>
        <v>0</v>
      </c>
      <c r="Q38" s="47">
        <f t="shared" si="31"/>
        <v>0</v>
      </c>
      <c r="R38" s="47">
        <f t="shared" si="31"/>
        <v>0</v>
      </c>
      <c r="S38" s="47">
        <f t="shared" si="31"/>
        <v>0</v>
      </c>
      <c r="T38" s="47">
        <f t="shared" si="31"/>
        <v>0</v>
      </c>
      <c r="U38" s="47">
        <f t="shared" si="31"/>
        <v>0</v>
      </c>
    </row>
    <row r="39" spans="1:21" x14ac:dyDescent="0.25">
      <c r="I39" s="4"/>
      <c r="J39" s="4"/>
    </row>
    <row r="40" spans="1:21" x14ac:dyDescent="0.25">
      <c r="H40" s="6"/>
    </row>
    <row r="41" spans="1:21" x14ac:dyDescent="0.25">
      <c r="H41" s="6"/>
    </row>
    <row r="42" spans="1:21" x14ac:dyDescent="0.25">
      <c r="H42" s="6"/>
    </row>
    <row r="43" spans="1:21" x14ac:dyDescent="0.25">
      <c r="H43" s="6"/>
    </row>
    <row r="44" spans="1:21" x14ac:dyDescent="0.25">
      <c r="H44" s="6"/>
    </row>
    <row r="45" spans="1:21" x14ac:dyDescent="0.25">
      <c r="H45" s="6"/>
    </row>
    <row r="46" spans="1:21" x14ac:dyDescent="0.25">
      <c r="H46" s="6"/>
    </row>
    <row r="47" spans="1:21" x14ac:dyDescent="0.25">
      <c r="H47" s="6"/>
    </row>
    <row r="48" spans="1:21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</sheetData>
  <conditionalFormatting sqref="F4:U12">
    <cfRule type="expression" dxfId="0" priority="39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U21"/>
  <sheetViews>
    <sheetView showGridLines="0" zoomScaleNormal="100" workbookViewId="0">
      <selection activeCell="F21" sqref="F4:U21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1" width="11.7109375" style="4" customWidth="1"/>
    <col min="22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s="2" customFormat="1" x14ac:dyDescent="0.25">
      <c r="A2" s="192" t="s">
        <v>76</v>
      </c>
      <c r="B2" s="193"/>
      <c r="C2" s="197">
        <v>2022</v>
      </c>
      <c r="D2" s="197">
        <f>C2+1</f>
        <v>2023</v>
      </c>
      <c r="E2" s="197">
        <f t="shared" ref="E2:M2" si="0">D2+1</f>
        <v>2024</v>
      </c>
      <c r="F2" s="197">
        <f t="shared" si="0"/>
        <v>2025</v>
      </c>
      <c r="G2" s="197">
        <f t="shared" si="0"/>
        <v>2026</v>
      </c>
      <c r="H2" s="197">
        <f t="shared" si="0"/>
        <v>2027</v>
      </c>
      <c r="I2" s="197">
        <f t="shared" si="0"/>
        <v>2028</v>
      </c>
      <c r="J2" s="197">
        <f t="shared" si="0"/>
        <v>2029</v>
      </c>
      <c r="K2" s="197">
        <f t="shared" si="0"/>
        <v>2030</v>
      </c>
      <c r="L2" s="197">
        <f t="shared" si="0"/>
        <v>2031</v>
      </c>
      <c r="M2" s="197">
        <f t="shared" si="0"/>
        <v>2032</v>
      </c>
      <c r="N2" s="197">
        <f t="shared" ref="N2" si="1">M2+1</f>
        <v>2033</v>
      </c>
      <c r="O2" s="197">
        <f t="shared" ref="O2" si="2">N2+1</f>
        <v>2034</v>
      </c>
      <c r="P2" s="197">
        <f t="shared" ref="P2" si="3">O2+1</f>
        <v>2035</v>
      </c>
      <c r="Q2" s="197">
        <f t="shared" ref="Q2" si="4">P2+1</f>
        <v>2036</v>
      </c>
      <c r="R2" s="197">
        <f t="shared" ref="R2" si="5">Q2+1</f>
        <v>2037</v>
      </c>
      <c r="S2" s="197">
        <f t="shared" ref="S2" si="6">R2+1</f>
        <v>2038</v>
      </c>
      <c r="T2" s="197">
        <f t="shared" ref="T2" si="7">S2+1</f>
        <v>2039</v>
      </c>
      <c r="U2" s="197">
        <f t="shared" ref="U2" si="8">T2+1</f>
        <v>2040</v>
      </c>
    </row>
    <row r="3" spans="1:21" x14ac:dyDescent="0.25">
      <c r="B3" s="4" t="s">
        <v>146</v>
      </c>
      <c r="F3" s="4">
        <f>IncState!F31</f>
        <v>456.30693803598786</v>
      </c>
      <c r="G3" s="4">
        <f>IncState!G31</f>
        <v>832.67946544839049</v>
      </c>
      <c r="H3" s="4">
        <f>IncState!H31</f>
        <v>1379.079042397949</v>
      </c>
      <c r="I3" s="4">
        <f>IncState!I31</f>
        <v>2229.6908400607444</v>
      </c>
      <c r="J3" s="4">
        <f>IncState!J31</f>
        <v>3536.258617531033</v>
      </c>
      <c r="K3" s="4">
        <f>IncState!K31</f>
        <v>5519.7576765598651</v>
      </c>
      <c r="L3" s="4">
        <f>IncState!L31</f>
        <v>7784.8340839616085</v>
      </c>
      <c r="M3" s="4">
        <f>IncState!M31</f>
        <v>10939.600351931471</v>
      </c>
      <c r="N3" s="4">
        <f>IncState!N31</f>
        <v>15316.90644786373</v>
      </c>
      <c r="O3" s="4">
        <f>IncState!O31</f>
        <v>21367.459243061672</v>
      </c>
      <c r="P3" s="4">
        <f>IncState!P31</f>
        <v>29698.984217048255</v>
      </c>
      <c r="Q3" s="4">
        <f>IncState!Q31</f>
        <v>41127.452683173171</v>
      </c>
      <c r="R3" s="4">
        <f>IncState!R31</f>
        <v>56743.758833029868</v>
      </c>
      <c r="S3" s="4">
        <f>IncState!S31</f>
        <v>78000.068724003504</v>
      </c>
      <c r="T3" s="4">
        <f>IncState!T31</f>
        <v>106821.07303165298</v>
      </c>
      <c r="U3" s="4">
        <f>IncState!U31</f>
        <v>145746.5812711858</v>
      </c>
    </row>
    <row r="4" spans="1:21" x14ac:dyDescent="0.25">
      <c r="B4" s="4" t="s">
        <v>14</v>
      </c>
      <c r="F4" s="4">
        <f>Calcs!F8</f>
        <v>32.923367282250965</v>
      </c>
      <c r="G4" s="4">
        <f>Calcs!G8</f>
        <v>36.792259468298148</v>
      </c>
      <c r="H4" s="4">
        <f>Calcs!H8</f>
        <v>44.498766206974338</v>
      </c>
      <c r="I4" s="4">
        <f>Calcs!I8</f>
        <v>56.502969667179315</v>
      </c>
      <c r="J4" s="4">
        <f>Calcs!J8</f>
        <v>74.374092697017559</v>
      </c>
      <c r="K4" s="4">
        <f>Calcs!K8</f>
        <v>100.2976186710132</v>
      </c>
      <c r="L4" s="4">
        <f>Calcs!L8</f>
        <v>137.29514911414029</v>
      </c>
      <c r="M4" s="4">
        <f>Calcs!M8</f>
        <v>189.51923024262226</v>
      </c>
      <c r="N4" s="4">
        <f>Calcs!N8</f>
        <v>262.64678098813664</v>
      </c>
      <c r="O4" s="4">
        <f>Calcs!O8</f>
        <v>364.40158705299257</v>
      </c>
      <c r="P4" s="4">
        <f>Calcs!P8</f>
        <v>505.24491175250552</v>
      </c>
      <c r="Q4" s="4">
        <f>Calcs!Q8</f>
        <v>699.28399400535829</v>
      </c>
      <c r="R4" s="4">
        <f>Calcs!R8</f>
        <v>965.46149530846969</v>
      </c>
      <c r="S4" s="4">
        <f>Calcs!S8</f>
        <v>1329.1053207260693</v>
      </c>
      <c r="T4" s="4">
        <f>Calcs!T8</f>
        <v>1823.9382344319108</v>
      </c>
      <c r="U4" s="4">
        <f>Calcs!U8</f>
        <v>2494.6709351106824</v>
      </c>
    </row>
    <row r="5" spans="1:21" x14ac:dyDescent="0.25">
      <c r="B5" s="4" t="s">
        <v>82</v>
      </c>
      <c r="F5" s="4">
        <f>Calcs!F24</f>
        <v>75.106671894562396</v>
      </c>
      <c r="G5" s="4">
        <f>Calcs!G24</f>
        <v>111.50586487850592</v>
      </c>
      <c r="H5" s="4">
        <f>Calcs!H24</f>
        <v>133.58290840752852</v>
      </c>
      <c r="I5" s="4">
        <f>Calcs!I24</f>
        <v>184.38168599736582</v>
      </c>
      <c r="J5" s="4">
        <f>Calcs!J24</f>
        <v>253.49305644432525</v>
      </c>
      <c r="K5" s="4">
        <f>Calcs!K24</f>
        <v>347.12374069373709</v>
      </c>
      <c r="L5" s="4">
        <f>Calcs!L24</f>
        <v>473.43542336580504</v>
      </c>
      <c r="M5" s="4">
        <f>Calcs!M24</f>
        <v>643.10697155927483</v>
      </c>
      <c r="N5" s="4">
        <f>Calcs!N24</f>
        <v>870.03992560802362</v>
      </c>
      <c r="O5" s="4">
        <f>Calcs!O24</f>
        <v>1172.237710927835</v>
      </c>
      <c r="P5" s="4">
        <f>Calcs!P24</f>
        <v>1572.8935544371125</v>
      </c>
      <c r="Q5" s="4">
        <f>Calcs!Q24</f>
        <v>2101.7266653228653</v>
      </c>
      <c r="R5" s="4">
        <f>Calcs!R24</f>
        <v>2796.6105990559881</v>
      </c>
      <c r="S5" s="4">
        <f>Calcs!S24</f>
        <v>3705.541506490219</v>
      </c>
      <c r="T5" s="4">
        <f>Calcs!T24</f>
        <v>4888.9966987031366</v>
      </c>
      <c r="U5" s="4">
        <f>Calcs!U24</f>
        <v>6422.7350178032939</v>
      </c>
    </row>
    <row r="6" spans="1:21" x14ac:dyDescent="0.25">
      <c r="B6" s="4" t="s">
        <v>213</v>
      </c>
      <c r="F6" s="4">
        <f>BalSheet!E21-BalSheet!F21</f>
        <v>-87.801699532318821</v>
      </c>
      <c r="G6" s="4">
        <f>BalSheet!F21-BalSheet!G21</f>
        <v>-132.41814543413673</v>
      </c>
      <c r="H6" s="4">
        <f>BalSheet!G21-BalSheet!H21</f>
        <v>-162.30347488591138</v>
      </c>
      <c r="I6" s="4">
        <f>BalSheet!H21-BalSheet!I21</f>
        <v>-227.72723273873225</v>
      </c>
      <c r="J6" s="4">
        <f>BalSheet!I21-BalSheet!J21</f>
        <v>-318.35169656235064</v>
      </c>
      <c r="K6" s="4">
        <f>BalSheet!J21-BalSheet!K21</f>
        <v>-443.40179590714706</v>
      </c>
      <c r="L6" s="4">
        <f>BalSheet!K21-BalSheet!L21</f>
        <v>-615.28841802423835</v>
      </c>
      <c r="M6" s="4">
        <f>BalSheet!L21-BalSheet!M21</f>
        <v>-850.63623791851023</v>
      </c>
      <c r="N6" s="4">
        <f>BalSheet!M21-BalSheet!N21</f>
        <v>-1171.616823391304</v>
      </c>
      <c r="O6" s="4">
        <f>BalSheet!N21-BalSheet!O21</f>
        <v>-1607.6685718919407</v>
      </c>
      <c r="P6" s="4">
        <f>BalSheet!O21-BalSheet!P21</f>
        <v>-2197.7038165889026</v>
      </c>
      <c r="Q6" s="4">
        <f>BalSheet!P21-BalSheet!Q21</f>
        <v>-2992.9255923283099</v>
      </c>
      <c r="R6" s="4">
        <f>BalSheet!Q21-BalSheet!R21</f>
        <v>-4060.4023869254052</v>
      </c>
      <c r="S6" s="4">
        <f>BalSheet!R21-BalSheet!S21</f>
        <v>-5487.5789556271611</v>
      </c>
      <c r="T6" s="4">
        <f>BalSheet!S21-BalSheet!T21</f>
        <v>-7387.9350651922905</v>
      </c>
      <c r="U6" s="4">
        <f>BalSheet!T21-BalSheet!U21</f>
        <v>-9908.0418040967779</v>
      </c>
    </row>
    <row r="7" spans="1:21" x14ac:dyDescent="0.25">
      <c r="B7" s="4" t="s">
        <v>214</v>
      </c>
      <c r="F7" s="4">
        <f>BalSheet!F32-BalSheet!E32</f>
        <v>132.30130409744521</v>
      </c>
      <c r="G7" s="4">
        <f>BalSheet!G32-BalSheet!F32</f>
        <v>199.53023028503986</v>
      </c>
      <c r="H7" s="4">
        <f>BalSheet!H32-BalSheet!G32</f>
        <v>244.56202444064365</v>
      </c>
      <c r="I7" s="4">
        <f>BalSheet!I32-BalSheet!H32</f>
        <v>343.14381191159839</v>
      </c>
      <c r="J7" s="4">
        <f>BalSheet!J32-BalSheet!I32</f>
        <v>479.69851200123821</v>
      </c>
      <c r="K7" s="4">
        <f>BalSheet!K32-BalSheet!J32</f>
        <v>668.12642750806594</v>
      </c>
      <c r="L7" s="4">
        <f>BalSheet!L32-BalSheet!K32</f>
        <v>927.12852409761172</v>
      </c>
      <c r="M7" s="4">
        <f>BalSheet!M32-BalSheet!L32</f>
        <v>1281.7551845649491</v>
      </c>
      <c r="N7" s="4">
        <f>BalSheet!N32-BalSheet!M32</f>
        <v>1765.4149573735704</v>
      </c>
      <c r="O7" s="4">
        <f>BalSheet!O32-BalSheet!N32</f>
        <v>2422.4661908678627</v>
      </c>
      <c r="P7" s="4">
        <f>BalSheet!P32-BalSheet!O32</f>
        <v>3311.5427435162492</v>
      </c>
      <c r="Q7" s="4">
        <f>BalSheet!Q32-BalSheet!P32</f>
        <v>4509.7983414991013</v>
      </c>
      <c r="R7" s="4">
        <f>BalSheet!R32-BalSheet!Q32</f>
        <v>6118.2930833004502</v>
      </c>
      <c r="S7" s="4">
        <f>BalSheet!S32-BalSheet!R32</f>
        <v>8268.7904224442937</v>
      </c>
      <c r="T7" s="4">
        <f>BalSheet!T32-BalSheet!S32</f>
        <v>11132.283872846918</v>
      </c>
      <c r="U7" s="4">
        <f>BalSheet!U32-BalSheet!T32</f>
        <v>14929.629593918042</v>
      </c>
    </row>
    <row r="8" spans="1:21" s="11" customFormat="1" x14ac:dyDescent="0.25">
      <c r="B8" s="11" t="s">
        <v>215</v>
      </c>
      <c r="F8" s="11">
        <f>SUM(F3:F7)</f>
        <v>608.83658177792768</v>
      </c>
      <c r="G8" s="11">
        <f t="shared" ref="G8:U8" si="9">SUM(G3:G7)</f>
        <v>1048.0896746460978</v>
      </c>
      <c r="H8" s="11">
        <f t="shared" si="9"/>
        <v>1639.4192665671842</v>
      </c>
      <c r="I8" s="11">
        <f t="shared" si="9"/>
        <v>2585.9920748981558</v>
      </c>
      <c r="J8" s="11">
        <f t="shared" si="9"/>
        <v>4025.4725821112634</v>
      </c>
      <c r="K8" s="11">
        <f t="shared" si="9"/>
        <v>6191.9036675255338</v>
      </c>
      <c r="L8" s="11">
        <f t="shared" si="9"/>
        <v>8707.4047625149287</v>
      </c>
      <c r="M8" s="11">
        <f t="shared" si="9"/>
        <v>12203.345500379806</v>
      </c>
      <c r="N8" s="11">
        <f t="shared" si="9"/>
        <v>17043.391288442155</v>
      </c>
      <c r="O8" s="11">
        <f t="shared" si="9"/>
        <v>23718.896160018419</v>
      </c>
      <c r="P8" s="11">
        <f t="shared" si="9"/>
        <v>32890.961610165221</v>
      </c>
      <c r="Q8" s="11">
        <f t="shared" si="9"/>
        <v>45445.336091672187</v>
      </c>
      <c r="R8" s="11">
        <f t="shared" si="9"/>
        <v>62563.721623769365</v>
      </c>
      <c r="S8" s="11">
        <f t="shared" si="9"/>
        <v>85815.92701803692</v>
      </c>
      <c r="T8" s="11">
        <f t="shared" si="9"/>
        <v>117278.35677244267</v>
      </c>
      <c r="U8" s="11">
        <f t="shared" si="9"/>
        <v>159685.57501392104</v>
      </c>
    </row>
    <row r="9" spans="1:21" x14ac:dyDescent="0.25">
      <c r="I9" s="4"/>
      <c r="J9" s="4"/>
    </row>
    <row r="10" spans="1:21" x14ac:dyDescent="0.25">
      <c r="B10" s="4" t="s">
        <v>13</v>
      </c>
      <c r="F10" s="4">
        <f>Calcs!F7</f>
        <v>61.170677404718688</v>
      </c>
      <c r="G10" s="4">
        <f>Calcs!G7</f>
        <v>93.058517440889432</v>
      </c>
      <c r="H10" s="4">
        <f>Calcs!H7</f>
        <v>132.14309476606297</v>
      </c>
      <c r="I10" s="4">
        <f>Calcs!I7</f>
        <v>186.98247909397912</v>
      </c>
      <c r="J10" s="4">
        <f>Calcs!J7</f>
        <v>263.64529552251054</v>
      </c>
      <c r="K10" s="4">
        <f>Calcs!K7</f>
        <v>370.4216402091273</v>
      </c>
      <c r="L10" s="4">
        <f>Calcs!L7</f>
        <v>518.59029629277813</v>
      </c>
      <c r="M10" s="4">
        <f>Calcs!M7</f>
        <v>723.43346332842555</v>
      </c>
      <c r="N10" s="4">
        <f>Calcs!N7</f>
        <v>1005.5725140265114</v>
      </c>
      <c r="O10" s="4">
        <f>Calcs!O7</f>
        <v>1392.7179319267182</v>
      </c>
      <c r="P10" s="4">
        <f>Calcs!P7</f>
        <v>1921.9507460588709</v>
      </c>
      <c r="Q10" s="4">
        <f>Calcs!Q7</f>
        <v>2642.6822758309477</v>
      </c>
      <c r="R10" s="4">
        <f>Calcs!R7</f>
        <v>3620.4747178883981</v>
      </c>
      <c r="S10" s="4">
        <f>Calcs!S7</f>
        <v>4941.9479899176631</v>
      </c>
      <c r="T10" s="4">
        <f>Calcs!T7</f>
        <v>6721.0492662880215</v>
      </c>
      <c r="U10" s="4">
        <f>Calcs!U7</f>
        <v>9107.0217558202694</v>
      </c>
    </row>
    <row r="11" spans="1:21" s="11" customFormat="1" x14ac:dyDescent="0.25">
      <c r="B11" s="11" t="s">
        <v>216</v>
      </c>
      <c r="F11" s="11">
        <f>-F10</f>
        <v>-61.170677404718688</v>
      </c>
      <c r="G11" s="11">
        <f t="shared" ref="G11:U11" si="10">-G10</f>
        <v>-93.058517440889432</v>
      </c>
      <c r="H11" s="11">
        <f t="shared" si="10"/>
        <v>-132.14309476606297</v>
      </c>
      <c r="I11" s="11">
        <f t="shared" si="10"/>
        <v>-186.98247909397912</v>
      </c>
      <c r="J11" s="11">
        <f t="shared" si="10"/>
        <v>-263.64529552251054</v>
      </c>
      <c r="K11" s="11">
        <f t="shared" si="10"/>
        <v>-370.4216402091273</v>
      </c>
      <c r="L11" s="11">
        <f t="shared" si="10"/>
        <v>-518.59029629277813</v>
      </c>
      <c r="M11" s="11">
        <f t="shared" si="10"/>
        <v>-723.43346332842555</v>
      </c>
      <c r="N11" s="11">
        <f t="shared" si="10"/>
        <v>-1005.5725140265114</v>
      </c>
      <c r="O11" s="11">
        <f t="shared" si="10"/>
        <v>-1392.7179319267182</v>
      </c>
      <c r="P11" s="11">
        <f t="shared" si="10"/>
        <v>-1921.9507460588709</v>
      </c>
      <c r="Q11" s="11">
        <f t="shared" si="10"/>
        <v>-2642.6822758309477</v>
      </c>
      <c r="R11" s="11">
        <f t="shared" si="10"/>
        <v>-3620.4747178883981</v>
      </c>
      <c r="S11" s="11">
        <f t="shared" si="10"/>
        <v>-4941.9479899176631</v>
      </c>
      <c r="T11" s="11">
        <f t="shared" si="10"/>
        <v>-6721.0492662880215</v>
      </c>
      <c r="U11" s="11">
        <f t="shared" si="10"/>
        <v>-9107.0217558202694</v>
      </c>
    </row>
    <row r="12" spans="1:21" x14ac:dyDescent="0.25">
      <c r="I12" s="4"/>
      <c r="J12" s="4"/>
    </row>
    <row r="13" spans="1:21" x14ac:dyDescent="0.25">
      <c r="B13" s="4" t="s">
        <v>217</v>
      </c>
      <c r="F13" s="4">
        <f>Calcs!F11</f>
        <v>0</v>
      </c>
      <c r="G13" s="4">
        <f>Calcs!G11</f>
        <v>0</v>
      </c>
      <c r="H13" s="4">
        <f>Calcs!H11</f>
        <v>0</v>
      </c>
      <c r="I13" s="4">
        <f>Calcs!I11</f>
        <v>0</v>
      </c>
      <c r="J13" s="4">
        <f>Calcs!J11</f>
        <v>0</v>
      </c>
      <c r="K13" s="4">
        <f>Calcs!K11</f>
        <v>0</v>
      </c>
      <c r="L13" s="4">
        <f>Calcs!L11</f>
        <v>0</v>
      </c>
      <c r="M13" s="4">
        <f>Calcs!M11</f>
        <v>0</v>
      </c>
      <c r="N13" s="4">
        <f>Calcs!N11</f>
        <v>0</v>
      </c>
      <c r="O13" s="4">
        <f>Calcs!O11</f>
        <v>0</v>
      </c>
      <c r="P13" s="4">
        <f>Calcs!P11</f>
        <v>0</v>
      </c>
      <c r="Q13" s="4">
        <f>Calcs!Q11</f>
        <v>0</v>
      </c>
      <c r="R13" s="4">
        <f>Calcs!R11</f>
        <v>0</v>
      </c>
      <c r="S13" s="4">
        <f>Calcs!S11</f>
        <v>0</v>
      </c>
      <c r="T13" s="4">
        <f>Calcs!T11</f>
        <v>0</v>
      </c>
      <c r="U13" s="4">
        <f>Calcs!U11</f>
        <v>0</v>
      </c>
    </row>
    <row r="14" spans="1:21" x14ac:dyDescent="0.25">
      <c r="B14" s="4" t="s">
        <v>218</v>
      </c>
      <c r="F14" s="4">
        <f>SUM(Debt!F8:F9)</f>
        <v>0</v>
      </c>
      <c r="G14" s="4">
        <f>SUM(Debt!G8:G9)</f>
        <v>0</v>
      </c>
      <c r="H14" s="4">
        <f>SUM(Debt!H8:H9)</f>
        <v>0</v>
      </c>
      <c r="I14" s="4">
        <f>SUM(Debt!I8:I9)</f>
        <v>0</v>
      </c>
      <c r="J14" s="4">
        <f>SUM(Debt!J8:J9)</f>
        <v>0</v>
      </c>
      <c r="K14" s="4">
        <f>SUM(Debt!K8:K9)</f>
        <v>0</v>
      </c>
      <c r="L14" s="4">
        <f>SUM(Debt!L8:L9)</f>
        <v>0</v>
      </c>
      <c r="M14" s="4">
        <f>SUM(Debt!M8:M9)</f>
        <v>0</v>
      </c>
      <c r="N14" s="4">
        <f>SUM(Debt!N8:N9)</f>
        <v>0</v>
      </c>
      <c r="O14" s="4">
        <f>SUM(Debt!O8:O9)</f>
        <v>0</v>
      </c>
      <c r="P14" s="4">
        <f>SUM(Debt!P8:P9)</f>
        <v>0</v>
      </c>
      <c r="Q14" s="4">
        <f>SUM(Debt!Q8:Q9)</f>
        <v>0</v>
      </c>
      <c r="R14" s="4">
        <f>SUM(Debt!R8:R9)</f>
        <v>0</v>
      </c>
      <c r="S14" s="4">
        <f>SUM(Debt!S8:S9)</f>
        <v>0</v>
      </c>
      <c r="T14" s="4">
        <f>SUM(Debt!T8:T9)</f>
        <v>0</v>
      </c>
      <c r="U14" s="4">
        <f>SUM(Debt!U8:U9)</f>
        <v>0</v>
      </c>
    </row>
    <row r="15" spans="1:21" s="11" customFormat="1" x14ac:dyDescent="0.25">
      <c r="B15" s="11" t="s">
        <v>219</v>
      </c>
      <c r="F15" s="11">
        <f>SUM(F13:F14)</f>
        <v>0</v>
      </c>
      <c r="G15" s="11">
        <f t="shared" ref="G15:U15" si="11">SUM(G13:G14)</f>
        <v>0</v>
      </c>
      <c r="H15" s="11">
        <f t="shared" si="11"/>
        <v>0</v>
      </c>
      <c r="I15" s="11">
        <f t="shared" si="11"/>
        <v>0</v>
      </c>
      <c r="J15" s="11">
        <f t="shared" si="11"/>
        <v>0</v>
      </c>
      <c r="K15" s="11">
        <f t="shared" si="11"/>
        <v>0</v>
      </c>
      <c r="L15" s="11">
        <f t="shared" si="11"/>
        <v>0</v>
      </c>
      <c r="M15" s="11">
        <f t="shared" si="11"/>
        <v>0</v>
      </c>
      <c r="N15" s="11">
        <f t="shared" si="11"/>
        <v>0</v>
      </c>
      <c r="O15" s="11">
        <f t="shared" si="11"/>
        <v>0</v>
      </c>
      <c r="P15" s="11">
        <f t="shared" si="11"/>
        <v>0</v>
      </c>
      <c r="Q15" s="11">
        <f t="shared" si="11"/>
        <v>0</v>
      </c>
      <c r="R15" s="11">
        <f t="shared" si="11"/>
        <v>0</v>
      </c>
      <c r="S15" s="11">
        <f t="shared" si="11"/>
        <v>0</v>
      </c>
      <c r="T15" s="11">
        <f t="shared" si="11"/>
        <v>0</v>
      </c>
      <c r="U15" s="11">
        <f t="shared" si="11"/>
        <v>0</v>
      </c>
    </row>
    <row r="16" spans="1:21" x14ac:dyDescent="0.25">
      <c r="I16" s="4"/>
      <c r="J16" s="4"/>
    </row>
    <row r="17" spans="2:21" x14ac:dyDescent="0.25">
      <c r="B17" s="4" t="s">
        <v>220</v>
      </c>
      <c r="F17" s="4">
        <f>SUM(F15,F11,F8)</f>
        <v>547.66590437320895</v>
      </c>
      <c r="G17" s="4">
        <f t="shared" ref="G17:U17" si="12">SUM(G15,G11,G8)</f>
        <v>955.03115720520839</v>
      </c>
      <c r="H17" s="4">
        <f t="shared" si="12"/>
        <v>1507.2761718011211</v>
      </c>
      <c r="I17" s="4">
        <f t="shared" si="12"/>
        <v>2399.0095958041766</v>
      </c>
      <c r="J17" s="4">
        <f t="shared" si="12"/>
        <v>3761.8272865887529</v>
      </c>
      <c r="K17" s="4">
        <f t="shared" si="12"/>
        <v>5821.4820273164069</v>
      </c>
      <c r="L17" s="4">
        <f t="shared" si="12"/>
        <v>8188.8144662221503</v>
      </c>
      <c r="M17" s="4">
        <f t="shared" si="12"/>
        <v>11479.912037051381</v>
      </c>
      <c r="N17" s="4">
        <f t="shared" si="12"/>
        <v>16037.818774415644</v>
      </c>
      <c r="O17" s="4">
        <f t="shared" si="12"/>
        <v>22326.1782280917</v>
      </c>
      <c r="P17" s="4">
        <f t="shared" si="12"/>
        <v>30969.010864106349</v>
      </c>
      <c r="Q17" s="4">
        <f t="shared" si="12"/>
        <v>42802.653815841237</v>
      </c>
      <c r="R17" s="4">
        <f t="shared" si="12"/>
        <v>58943.246905880966</v>
      </c>
      <c r="S17" s="4">
        <f t="shared" si="12"/>
        <v>80873.979028119255</v>
      </c>
      <c r="T17" s="4">
        <f t="shared" si="12"/>
        <v>110557.30750615464</v>
      </c>
      <c r="U17" s="4">
        <f t="shared" si="12"/>
        <v>150578.55325810079</v>
      </c>
    </row>
    <row r="18" spans="2:21" x14ac:dyDescent="0.25">
      <c r="I18" s="4"/>
      <c r="J18" s="4"/>
    </row>
    <row r="19" spans="2:21" x14ac:dyDescent="0.25">
      <c r="B19" s="4" t="s">
        <v>221</v>
      </c>
      <c r="F19" s="4">
        <f>BalSheet!E15</f>
        <v>5086.7116500000002</v>
      </c>
      <c r="G19" s="4">
        <f>BalSheet!F15</f>
        <v>5634.377554373209</v>
      </c>
      <c r="H19" s="4">
        <f>BalSheet!G15</f>
        <v>6589.4087115784178</v>
      </c>
      <c r="I19" s="4">
        <f>BalSheet!H15</f>
        <v>8096.6848833795393</v>
      </c>
      <c r="J19" s="4">
        <f>BalSheet!I15</f>
        <v>10495.694479183716</v>
      </c>
      <c r="K19" s="4">
        <f>BalSheet!J15</f>
        <v>14257.521765772468</v>
      </c>
      <c r="L19" s="4">
        <f>BalSheet!K15</f>
        <v>20079.003793088876</v>
      </c>
      <c r="M19" s="4">
        <f>BalSheet!L15</f>
        <v>28267.818259311025</v>
      </c>
      <c r="N19" s="4">
        <f>BalSheet!M15</f>
        <v>39747.73029636241</v>
      </c>
      <c r="O19" s="4">
        <f>BalSheet!N15</f>
        <v>55785.549070778055</v>
      </c>
      <c r="P19" s="4">
        <f>BalSheet!O15</f>
        <v>78111.727298869751</v>
      </c>
      <c r="Q19" s="4">
        <f>BalSheet!P15</f>
        <v>109080.73816297611</v>
      </c>
      <c r="R19" s="4">
        <f>BalSheet!Q15</f>
        <v>151883.39197881735</v>
      </c>
      <c r="S19" s="4">
        <f>BalSheet!R15</f>
        <v>210826.63888469833</v>
      </c>
      <c r="T19" s="4">
        <f>BalSheet!S15</f>
        <v>291700.61791281757</v>
      </c>
      <c r="U19" s="4">
        <f>BalSheet!T15</f>
        <v>402257.92541897221</v>
      </c>
    </row>
    <row r="20" spans="2:21" x14ac:dyDescent="0.25">
      <c r="B20" s="4" t="s">
        <v>222</v>
      </c>
      <c r="F20" s="4">
        <f>F17</f>
        <v>547.66590437320895</v>
      </c>
      <c r="G20" s="4">
        <f t="shared" ref="G20:U20" si="13">G17</f>
        <v>955.03115720520839</v>
      </c>
      <c r="H20" s="4">
        <f t="shared" si="13"/>
        <v>1507.2761718011211</v>
      </c>
      <c r="I20" s="4">
        <f t="shared" si="13"/>
        <v>2399.0095958041766</v>
      </c>
      <c r="J20" s="4">
        <f t="shared" si="13"/>
        <v>3761.8272865887529</v>
      </c>
      <c r="K20" s="4">
        <f t="shared" si="13"/>
        <v>5821.4820273164069</v>
      </c>
      <c r="L20" s="4">
        <f t="shared" si="13"/>
        <v>8188.8144662221503</v>
      </c>
      <c r="M20" s="4">
        <f t="shared" si="13"/>
        <v>11479.912037051381</v>
      </c>
      <c r="N20" s="4">
        <f t="shared" si="13"/>
        <v>16037.818774415644</v>
      </c>
      <c r="O20" s="4">
        <f t="shared" si="13"/>
        <v>22326.1782280917</v>
      </c>
      <c r="P20" s="4">
        <f t="shared" si="13"/>
        <v>30969.010864106349</v>
      </c>
      <c r="Q20" s="4">
        <f t="shared" si="13"/>
        <v>42802.653815841237</v>
      </c>
      <c r="R20" s="4">
        <f t="shared" si="13"/>
        <v>58943.246905880966</v>
      </c>
      <c r="S20" s="4">
        <f t="shared" si="13"/>
        <v>80873.979028119255</v>
      </c>
      <c r="T20" s="4">
        <f t="shared" si="13"/>
        <v>110557.30750615464</v>
      </c>
      <c r="U20" s="4">
        <f t="shared" si="13"/>
        <v>150578.55325810079</v>
      </c>
    </row>
    <row r="21" spans="2:21" x14ac:dyDescent="0.25">
      <c r="B21" s="4" t="s">
        <v>223</v>
      </c>
      <c r="F21" s="4">
        <f>SUM(F19:F20)</f>
        <v>5634.377554373209</v>
      </c>
      <c r="G21" s="4">
        <f t="shared" ref="G21:U21" si="14">SUM(G19:G20)</f>
        <v>6589.4087115784178</v>
      </c>
      <c r="H21" s="4">
        <f t="shared" si="14"/>
        <v>8096.6848833795393</v>
      </c>
      <c r="I21" s="4">
        <f t="shared" si="14"/>
        <v>10495.694479183716</v>
      </c>
      <c r="J21" s="4">
        <f t="shared" si="14"/>
        <v>14257.521765772468</v>
      </c>
      <c r="K21" s="4">
        <f t="shared" si="14"/>
        <v>20079.003793088876</v>
      </c>
      <c r="L21" s="4">
        <f t="shared" si="14"/>
        <v>28267.818259311025</v>
      </c>
      <c r="M21" s="4">
        <f t="shared" si="14"/>
        <v>39747.73029636241</v>
      </c>
      <c r="N21" s="4">
        <f t="shared" si="14"/>
        <v>55785.549070778055</v>
      </c>
      <c r="O21" s="4">
        <f t="shared" si="14"/>
        <v>78111.727298869751</v>
      </c>
      <c r="P21" s="4">
        <f t="shared" si="14"/>
        <v>109080.73816297611</v>
      </c>
      <c r="Q21" s="4">
        <f t="shared" si="14"/>
        <v>151883.39197881735</v>
      </c>
      <c r="R21" s="4">
        <f t="shared" si="14"/>
        <v>210826.63888469833</v>
      </c>
      <c r="S21" s="4">
        <f t="shared" si="14"/>
        <v>291700.61791281757</v>
      </c>
      <c r="T21" s="4">
        <f t="shared" si="14"/>
        <v>402257.92541897221</v>
      </c>
      <c r="U21" s="4">
        <f t="shared" si="14"/>
        <v>552836.47867707303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U29"/>
  <sheetViews>
    <sheetView showGridLines="0" topLeftCell="F1" zoomScaleNormal="100" workbookViewId="0">
      <selection activeCell="F14" sqref="F3:U1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1" width="11.7109375" style="4" customWidth="1"/>
    <col min="22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21" s="2" customFormat="1" ht="19.5" x14ac:dyDescent="0.3">
      <c r="A1" s="300" t="str">
        <f>CoName</f>
        <v>Palantir Technologies Inc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</row>
    <row r="2" spans="1:21" s="2" customFormat="1" ht="16.350000000000001" customHeight="1" x14ac:dyDescent="0.25">
      <c r="A2" s="192" t="s">
        <v>79</v>
      </c>
      <c r="B2" s="193"/>
      <c r="C2" s="197">
        <v>2022</v>
      </c>
      <c r="D2" s="197">
        <f>C2+1</f>
        <v>2023</v>
      </c>
      <c r="E2" s="197">
        <f t="shared" ref="E2:J2" si="0">D2+1</f>
        <v>2024</v>
      </c>
      <c r="F2" s="197">
        <f t="shared" si="0"/>
        <v>2025</v>
      </c>
      <c r="G2" s="197">
        <f t="shared" si="0"/>
        <v>2026</v>
      </c>
      <c r="H2" s="197">
        <f t="shared" si="0"/>
        <v>2027</v>
      </c>
      <c r="I2" s="197">
        <f t="shared" si="0"/>
        <v>2028</v>
      </c>
      <c r="J2" s="197">
        <f t="shared" si="0"/>
        <v>2029</v>
      </c>
      <c r="K2" s="197">
        <f t="shared" ref="K2:M2" si="1">J2+1</f>
        <v>2030</v>
      </c>
      <c r="L2" s="197">
        <f t="shared" si="1"/>
        <v>2031</v>
      </c>
      <c r="M2" s="197">
        <f t="shared" si="1"/>
        <v>2032</v>
      </c>
      <c r="N2" s="197">
        <f t="shared" ref="N2" si="2">M2+1</f>
        <v>2033</v>
      </c>
      <c r="O2" s="197">
        <f t="shared" ref="O2" si="3">N2+1</f>
        <v>2034</v>
      </c>
      <c r="P2" s="197">
        <f t="shared" ref="P2" si="4">O2+1</f>
        <v>2035</v>
      </c>
      <c r="Q2" s="197">
        <f t="shared" ref="Q2" si="5">P2+1</f>
        <v>2036</v>
      </c>
      <c r="R2" s="197">
        <f t="shared" ref="R2" si="6">Q2+1</f>
        <v>2037</v>
      </c>
      <c r="S2" s="197">
        <f t="shared" ref="S2" si="7">R2+1</f>
        <v>2038</v>
      </c>
      <c r="T2" s="197">
        <f t="shared" ref="T2" si="8">S2+1</f>
        <v>2039</v>
      </c>
      <c r="U2" s="197">
        <f t="shared" ref="U2" si="9">T2+1</f>
        <v>2040</v>
      </c>
    </row>
    <row r="3" spans="1:21" x14ac:dyDescent="0.25">
      <c r="A3" s="11" t="s">
        <v>117</v>
      </c>
      <c r="B3" s="4" t="s">
        <v>80</v>
      </c>
      <c r="D3" s="272"/>
      <c r="E3" s="24"/>
      <c r="F3" s="273">
        <f>IncState!F14</f>
        <v>4379.1691682605051</v>
      </c>
      <c r="G3" s="273">
        <f>IncState!G14</f>
        <v>6661.998979101375</v>
      </c>
      <c r="H3" s="273">
        <f>IncState!H14</f>
        <v>9460.0385503239522</v>
      </c>
      <c r="I3" s="273">
        <f>IncState!I14</f>
        <v>13385.954548708392</v>
      </c>
      <c r="J3" s="273">
        <f>IncState!J14</f>
        <v>18874.195913678832</v>
      </c>
      <c r="K3" s="273">
        <f>IncState!K14</f>
        <v>26518.245258718758</v>
      </c>
      <c r="L3" s="273">
        <f>IncState!L14</f>
        <v>37125.543362206256</v>
      </c>
      <c r="M3" s="273">
        <f>IncState!M14</f>
        <v>51790.132990277729</v>
      </c>
      <c r="N3" s="273">
        <f>IncState!N14</f>
        <v>71988.284856486032</v>
      </c>
      <c r="O3" s="273">
        <f>IncState!O14</f>
        <v>99703.774526233159</v>
      </c>
      <c r="P3" s="273">
        <f>IncState!P14</f>
        <v>137591.20884620174</v>
      </c>
      <c r="Q3" s="273">
        <f>IncState!Q14</f>
        <v>189187.91216352739</v>
      </c>
      <c r="R3" s="273">
        <f>IncState!R14</f>
        <v>259187.43966403251</v>
      </c>
      <c r="S3" s="273">
        <f>IncState!S14</f>
        <v>353790.85514140438</v>
      </c>
      <c r="T3" s="273">
        <f>IncState!T14</f>
        <v>481155.56299230992</v>
      </c>
      <c r="U3" s="273">
        <f>IncState!U14</f>
        <v>651965.78785457998</v>
      </c>
    </row>
    <row r="4" spans="1:21" x14ac:dyDescent="0.25">
      <c r="B4" s="4" t="s">
        <v>50</v>
      </c>
      <c r="E4" s="28"/>
      <c r="F4" s="4">
        <f>IncState!F18</f>
        <v>592.60641303375041</v>
      </c>
      <c r="G4" s="4">
        <f>IncState!G18</f>
        <v>1081.4019031797279</v>
      </c>
      <c r="H4" s="4">
        <f>IncState!H18</f>
        <v>1791.0117433739597</v>
      </c>
      <c r="I4" s="4">
        <f>IncState!I18</f>
        <v>2895.7023896892788</v>
      </c>
      <c r="J4" s="4">
        <f>IncState!J18</f>
        <v>4592.5436591312118</v>
      </c>
      <c r="K4" s="4">
        <f>IncState!K18</f>
        <v>7168.5164630647596</v>
      </c>
      <c r="L4" s="4">
        <f>IncState!L18</f>
        <v>10110.174135015077</v>
      </c>
      <c r="M4" s="4">
        <f>IncState!M18</f>
        <v>14207.273184326586</v>
      </c>
      <c r="N4" s="4">
        <f>IncState!N18</f>
        <v>19892.086295926922</v>
      </c>
      <c r="O4" s="4">
        <f>IncState!O18</f>
        <v>27749.947068911264</v>
      </c>
      <c r="P4" s="4">
        <f>IncState!P18</f>
        <v>38570.109372789942</v>
      </c>
      <c r="Q4" s="4">
        <f>IncState!Q18</f>
        <v>53412.276211913209</v>
      </c>
      <c r="R4" s="4">
        <f>IncState!R18</f>
        <v>73693.193289649178</v>
      </c>
      <c r="S4" s="4">
        <f>IncState!S18</f>
        <v>101298.79055065391</v>
      </c>
      <c r="T4" s="4">
        <f>IncState!T18</f>
        <v>138728.66627487401</v>
      </c>
      <c r="U4" s="4">
        <f>IncState!U18</f>
        <v>189281.27437816339</v>
      </c>
    </row>
    <row r="5" spans="1:21" x14ac:dyDescent="0.25">
      <c r="B5" s="31" t="s">
        <v>85</v>
      </c>
      <c r="C5" s="31"/>
      <c r="D5" s="31"/>
      <c r="E5" s="40"/>
      <c r="F5" s="44">
        <f>IncState!F9</f>
        <v>0.23</v>
      </c>
      <c r="G5" s="44">
        <f>IncState!G9</f>
        <v>0.23</v>
      </c>
      <c r="H5" s="44">
        <f>IncState!H9</f>
        <v>0.23</v>
      </c>
      <c r="I5" s="44">
        <f>IncState!I9</f>
        <v>0.23</v>
      </c>
      <c r="J5" s="44">
        <f>IncState!J9</f>
        <v>0.23</v>
      </c>
      <c r="K5" s="44">
        <f>IncState!K9</f>
        <v>0.23</v>
      </c>
      <c r="L5" s="44">
        <f>IncState!L9</f>
        <v>0.23</v>
      </c>
      <c r="M5" s="44">
        <f>IncState!M9</f>
        <v>0.23</v>
      </c>
      <c r="N5" s="44">
        <f>IncState!N9</f>
        <v>0.23</v>
      </c>
      <c r="O5" s="44">
        <f>IncState!O9</f>
        <v>0.23</v>
      </c>
      <c r="P5" s="44">
        <f>IncState!P9</f>
        <v>0.23</v>
      </c>
      <c r="Q5" s="44">
        <f>IncState!Q9</f>
        <v>0.23</v>
      </c>
      <c r="R5" s="44">
        <f>IncState!R9</f>
        <v>0.23</v>
      </c>
      <c r="S5" s="44">
        <f>IncState!S9</f>
        <v>0.23</v>
      </c>
      <c r="T5" s="44">
        <f>IncState!T9</f>
        <v>0.23</v>
      </c>
      <c r="U5" s="44">
        <f>IncState!U9</f>
        <v>0.23</v>
      </c>
    </row>
    <row r="6" spans="1:21" x14ac:dyDescent="0.25">
      <c r="C6" s="5"/>
      <c r="D6" s="5"/>
      <c r="E6" s="2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5">
      <c r="A7" s="25" t="s">
        <v>117</v>
      </c>
      <c r="B7" s="22" t="s">
        <v>81</v>
      </c>
      <c r="C7" s="124"/>
      <c r="D7" s="124"/>
      <c r="E7" s="124"/>
      <c r="F7" s="138">
        <f t="shared" ref="F7:U7" si="10">F4*(1-F5)</f>
        <v>456.30693803598786</v>
      </c>
      <c r="G7" s="138">
        <f t="shared" ref="G7:U7" si="11">G4*(1-G5)</f>
        <v>832.67946544839049</v>
      </c>
      <c r="H7" s="138">
        <f t="shared" si="11"/>
        <v>1379.079042397949</v>
      </c>
      <c r="I7" s="138">
        <f t="shared" si="11"/>
        <v>2229.6908400607449</v>
      </c>
      <c r="J7" s="138">
        <f t="shared" si="11"/>
        <v>3536.258617531033</v>
      </c>
      <c r="K7" s="138">
        <f t="shared" si="11"/>
        <v>5519.7576765598651</v>
      </c>
      <c r="L7" s="138">
        <f t="shared" si="11"/>
        <v>7784.8340839616094</v>
      </c>
      <c r="M7" s="138">
        <f t="shared" si="11"/>
        <v>10939.600351931473</v>
      </c>
      <c r="N7" s="138">
        <f t="shared" si="11"/>
        <v>15316.90644786373</v>
      </c>
      <c r="O7" s="138">
        <f t="shared" si="11"/>
        <v>21367.459243061672</v>
      </c>
      <c r="P7" s="138">
        <f t="shared" si="11"/>
        <v>29698.984217048255</v>
      </c>
      <c r="Q7" s="138">
        <f t="shared" si="11"/>
        <v>41127.452683173171</v>
      </c>
      <c r="R7" s="138">
        <f t="shared" si="11"/>
        <v>56743.758833029868</v>
      </c>
      <c r="S7" s="138">
        <f t="shared" si="11"/>
        <v>78000.068724003519</v>
      </c>
      <c r="T7" s="138">
        <f t="shared" si="11"/>
        <v>106821.07303165298</v>
      </c>
      <c r="U7" s="138">
        <f t="shared" si="11"/>
        <v>145746.5812711858</v>
      </c>
    </row>
    <row r="8" spans="1:21" x14ac:dyDescent="0.25">
      <c r="B8" s="4" t="s">
        <v>14</v>
      </c>
      <c r="C8" s="124"/>
      <c r="D8" s="124"/>
      <c r="E8" s="125"/>
      <c r="F8" s="139">
        <f>CashFlow!F4</f>
        <v>32.923367282250965</v>
      </c>
      <c r="G8" s="139">
        <f>CashFlow!G4</f>
        <v>36.792259468298148</v>
      </c>
      <c r="H8" s="139">
        <f>CashFlow!H4</f>
        <v>44.498766206974338</v>
      </c>
      <c r="I8" s="139">
        <f>CashFlow!I4</f>
        <v>56.502969667179315</v>
      </c>
      <c r="J8" s="139">
        <f>CashFlow!J4</f>
        <v>74.374092697017559</v>
      </c>
      <c r="K8" s="139">
        <f>CashFlow!K4</f>
        <v>100.2976186710132</v>
      </c>
      <c r="L8" s="139">
        <f>CashFlow!L4</f>
        <v>137.29514911414029</v>
      </c>
      <c r="M8" s="139">
        <f>CashFlow!M4</f>
        <v>189.51923024262226</v>
      </c>
      <c r="N8" s="139">
        <f>CashFlow!N4</f>
        <v>262.64678098813664</v>
      </c>
      <c r="O8" s="139">
        <f>CashFlow!O4</f>
        <v>364.40158705299257</v>
      </c>
      <c r="P8" s="139">
        <f>CashFlow!P4</f>
        <v>505.24491175250552</v>
      </c>
      <c r="Q8" s="139">
        <f>CashFlow!Q4</f>
        <v>699.28399400535829</v>
      </c>
      <c r="R8" s="139">
        <f>CashFlow!R4</f>
        <v>965.46149530846969</v>
      </c>
      <c r="S8" s="139">
        <f>CashFlow!S4</f>
        <v>1329.1053207260693</v>
      </c>
      <c r="T8" s="139">
        <f>CashFlow!T4</f>
        <v>1823.9382344319108</v>
      </c>
      <c r="U8" s="139">
        <f>CashFlow!U4</f>
        <v>2494.6709351106824</v>
      </c>
    </row>
    <row r="9" spans="1:21" x14ac:dyDescent="0.25">
      <c r="B9" s="4" t="s">
        <v>82</v>
      </c>
      <c r="C9" s="5"/>
      <c r="D9" s="5"/>
      <c r="E9" s="24"/>
      <c r="F9" s="199">
        <f>CashFlow!F5</f>
        <v>75.106671894562396</v>
      </c>
      <c r="G9" s="199">
        <f>CashFlow!G5</f>
        <v>111.50586487850592</v>
      </c>
      <c r="H9" s="199">
        <f>CashFlow!H5</f>
        <v>133.58290840752852</v>
      </c>
      <c r="I9" s="199">
        <f>CashFlow!I5</f>
        <v>184.38168599736582</v>
      </c>
      <c r="J9" s="199">
        <f>CashFlow!J5</f>
        <v>253.49305644432525</v>
      </c>
      <c r="K9" s="199">
        <f>CashFlow!K5</f>
        <v>347.12374069373709</v>
      </c>
      <c r="L9" s="199">
        <f>CashFlow!L5</f>
        <v>473.43542336580504</v>
      </c>
      <c r="M9" s="199">
        <f>CashFlow!M5</f>
        <v>643.10697155927483</v>
      </c>
      <c r="N9" s="199">
        <f>CashFlow!N5</f>
        <v>870.03992560802362</v>
      </c>
      <c r="O9" s="199">
        <f>CashFlow!O5</f>
        <v>1172.237710927835</v>
      </c>
      <c r="P9" s="199">
        <f>CashFlow!P5</f>
        <v>1572.8935544371125</v>
      </c>
      <c r="Q9" s="199">
        <f>CashFlow!Q5</f>
        <v>2101.7266653228653</v>
      </c>
      <c r="R9" s="199">
        <f>CashFlow!R5</f>
        <v>2796.6105990559881</v>
      </c>
      <c r="S9" s="199">
        <f>CashFlow!S5</f>
        <v>3705.541506490219</v>
      </c>
      <c r="T9" s="199">
        <f>CashFlow!T5</f>
        <v>4888.9966987031366</v>
      </c>
      <c r="U9" s="199">
        <f>CashFlow!U5</f>
        <v>6422.7350178032939</v>
      </c>
    </row>
    <row r="10" spans="1:21" x14ac:dyDescent="0.25">
      <c r="B10" s="4" t="s">
        <v>152</v>
      </c>
      <c r="C10" s="5"/>
      <c r="D10" s="5"/>
      <c r="E10" s="24"/>
      <c r="F10" s="199">
        <f>CashFlow!F6</f>
        <v>-87.801699532318821</v>
      </c>
      <c r="G10" s="199">
        <f>CashFlow!G6</f>
        <v>-132.41814543413673</v>
      </c>
      <c r="H10" s="199">
        <f>CashFlow!H6</f>
        <v>-162.30347488591138</v>
      </c>
      <c r="I10" s="199">
        <f>CashFlow!I6</f>
        <v>-227.72723273873225</v>
      </c>
      <c r="J10" s="199">
        <f>CashFlow!J6</f>
        <v>-318.35169656235064</v>
      </c>
      <c r="K10" s="199">
        <f>CashFlow!K6</f>
        <v>-443.40179590714706</v>
      </c>
      <c r="L10" s="199">
        <f>CashFlow!L6</f>
        <v>-615.28841802423835</v>
      </c>
      <c r="M10" s="199">
        <f>CashFlow!M6</f>
        <v>-850.63623791851023</v>
      </c>
      <c r="N10" s="199">
        <f>CashFlow!N6</f>
        <v>-1171.616823391304</v>
      </c>
      <c r="O10" s="199">
        <f>CashFlow!O6</f>
        <v>-1607.6685718919407</v>
      </c>
      <c r="P10" s="199">
        <f>CashFlow!P6</f>
        <v>-2197.7038165889026</v>
      </c>
      <c r="Q10" s="199">
        <f>CashFlow!Q6</f>
        <v>-2992.9255923283099</v>
      </c>
      <c r="R10" s="199">
        <f>CashFlow!R6</f>
        <v>-4060.4023869254052</v>
      </c>
      <c r="S10" s="199">
        <f>CashFlow!S6</f>
        <v>-5487.5789556271611</v>
      </c>
      <c r="T10" s="199">
        <f>CashFlow!T6</f>
        <v>-7387.9350651922905</v>
      </c>
      <c r="U10" s="199">
        <f>CashFlow!U6</f>
        <v>-9908.0418040967779</v>
      </c>
    </row>
    <row r="11" spans="1:21" x14ac:dyDescent="0.25">
      <c r="B11" s="4" t="s">
        <v>153</v>
      </c>
      <c r="E11" s="28"/>
      <c r="F11" s="199">
        <f>CashFlow!F7</f>
        <v>132.30130409744521</v>
      </c>
      <c r="G11" s="199">
        <f>CashFlow!G7</f>
        <v>199.53023028503986</v>
      </c>
      <c r="H11" s="199">
        <f>CashFlow!H7</f>
        <v>244.56202444064365</v>
      </c>
      <c r="I11" s="199">
        <f>CashFlow!I7</f>
        <v>343.14381191159839</v>
      </c>
      <c r="J11" s="199">
        <f>CashFlow!J7</f>
        <v>479.69851200123821</v>
      </c>
      <c r="K11" s="199">
        <f>CashFlow!K7</f>
        <v>668.12642750806594</v>
      </c>
      <c r="L11" s="199">
        <f>CashFlow!L7</f>
        <v>927.12852409761172</v>
      </c>
      <c r="M11" s="199">
        <f>CashFlow!M7</f>
        <v>1281.7551845649491</v>
      </c>
      <c r="N11" s="199">
        <f>CashFlow!N7</f>
        <v>1765.4149573735704</v>
      </c>
      <c r="O11" s="199">
        <f>CashFlow!O7</f>
        <v>2422.4661908678627</v>
      </c>
      <c r="P11" s="199">
        <f>CashFlow!P7</f>
        <v>3311.5427435162492</v>
      </c>
      <c r="Q11" s="199">
        <f>CashFlow!Q7</f>
        <v>4509.7983414991013</v>
      </c>
      <c r="R11" s="199">
        <f>CashFlow!R7</f>
        <v>6118.2930833004502</v>
      </c>
      <c r="S11" s="199">
        <f>CashFlow!S7</f>
        <v>8268.7904224442937</v>
      </c>
      <c r="T11" s="199">
        <f>CashFlow!T7</f>
        <v>11132.283872846918</v>
      </c>
      <c r="U11" s="199">
        <f>CashFlow!U7</f>
        <v>14929.629593918042</v>
      </c>
    </row>
    <row r="12" spans="1:21" x14ac:dyDescent="0.25">
      <c r="B12" s="4" t="s">
        <v>83</v>
      </c>
      <c r="E12" s="28"/>
      <c r="F12" s="136">
        <f>CashFlow!F11</f>
        <v>-61.170677404718688</v>
      </c>
      <c r="G12" s="136">
        <f>CashFlow!G11</f>
        <v>-93.058517440889432</v>
      </c>
      <c r="H12" s="136">
        <f>CashFlow!H11</f>
        <v>-132.14309476606297</v>
      </c>
      <c r="I12" s="136">
        <f>CashFlow!I11</f>
        <v>-186.98247909397912</v>
      </c>
      <c r="J12" s="136">
        <f>CashFlow!J11</f>
        <v>-263.64529552251054</v>
      </c>
      <c r="K12" s="136">
        <f>CashFlow!K11</f>
        <v>-370.4216402091273</v>
      </c>
      <c r="L12" s="136">
        <f>CashFlow!L11</f>
        <v>-518.59029629277813</v>
      </c>
      <c r="M12" s="136">
        <f>CashFlow!M11</f>
        <v>-723.43346332842555</v>
      </c>
      <c r="N12" s="136">
        <f>CashFlow!N11</f>
        <v>-1005.5725140265114</v>
      </c>
      <c r="O12" s="136">
        <f>CashFlow!O11</f>
        <v>-1392.7179319267182</v>
      </c>
      <c r="P12" s="136">
        <f>CashFlow!P11</f>
        <v>-1921.9507460588709</v>
      </c>
      <c r="Q12" s="136">
        <f>CashFlow!Q11</f>
        <v>-2642.6822758309477</v>
      </c>
      <c r="R12" s="136">
        <f>CashFlow!R11</f>
        <v>-3620.4747178883981</v>
      </c>
      <c r="S12" s="136">
        <f>CashFlow!S11</f>
        <v>-4941.9479899176631</v>
      </c>
      <c r="T12" s="136">
        <f>CashFlow!T11</f>
        <v>-6721.0492662880215</v>
      </c>
      <c r="U12" s="136">
        <f>CashFlow!U11</f>
        <v>-9107.0217558202694</v>
      </c>
    </row>
    <row r="13" spans="1:21" x14ac:dyDescent="0.25">
      <c r="E13" s="64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</row>
    <row r="14" spans="1:21" s="11" customFormat="1" x14ac:dyDescent="0.25">
      <c r="A14" s="25" t="s">
        <v>117</v>
      </c>
      <c r="B14" s="35" t="s">
        <v>84</v>
      </c>
      <c r="C14" s="35"/>
      <c r="D14" s="35"/>
      <c r="E14" s="35"/>
      <c r="F14" s="35">
        <f>SUM(F7:F12)</f>
        <v>547.66590437320895</v>
      </c>
      <c r="G14" s="35">
        <f t="shared" ref="G14:U14" si="12">SUM(G7:G12)</f>
        <v>955.03115720520839</v>
      </c>
      <c r="H14" s="35">
        <f t="shared" si="12"/>
        <v>1507.2761718011211</v>
      </c>
      <c r="I14" s="35">
        <f t="shared" si="12"/>
        <v>2399.009595804177</v>
      </c>
      <c r="J14" s="35">
        <f t="shared" si="12"/>
        <v>3761.8272865887529</v>
      </c>
      <c r="K14" s="35">
        <f t="shared" si="12"/>
        <v>5821.4820273164069</v>
      </c>
      <c r="L14" s="35">
        <f t="shared" si="12"/>
        <v>8188.8144662221503</v>
      </c>
      <c r="M14" s="35">
        <f t="shared" si="12"/>
        <v>11479.912037051383</v>
      </c>
      <c r="N14" s="35">
        <f t="shared" si="12"/>
        <v>16037.818774415644</v>
      </c>
      <c r="O14" s="35">
        <f t="shared" si="12"/>
        <v>22326.1782280917</v>
      </c>
      <c r="P14" s="35">
        <f t="shared" si="12"/>
        <v>30969.010864106349</v>
      </c>
      <c r="Q14" s="35">
        <f t="shared" si="12"/>
        <v>42802.653815841237</v>
      </c>
      <c r="R14" s="35">
        <f t="shared" si="12"/>
        <v>58943.246905880966</v>
      </c>
      <c r="S14" s="35">
        <f t="shared" si="12"/>
        <v>80873.979028119269</v>
      </c>
      <c r="T14" s="35">
        <f t="shared" si="12"/>
        <v>110557.30750615464</v>
      </c>
      <c r="U14" s="35">
        <f t="shared" si="12"/>
        <v>150578.55325810079</v>
      </c>
    </row>
    <row r="15" spans="1:21" x14ac:dyDescent="0.25">
      <c r="B15" s="67"/>
      <c r="C15" s="67"/>
      <c r="D15" s="67"/>
      <c r="E15" s="67"/>
      <c r="F15" s="67"/>
      <c r="G15" s="67"/>
      <c r="H15" s="67"/>
      <c r="I15" s="85"/>
      <c r="J15" s="85"/>
      <c r="M15" s="67"/>
    </row>
    <row r="16" spans="1:21" x14ac:dyDescent="0.25">
      <c r="C16" s="5"/>
      <c r="D16" s="5"/>
      <c r="E16" s="5"/>
      <c r="F16" s="5"/>
      <c r="G16" s="5"/>
      <c r="H16" s="5"/>
    </row>
    <row r="19" spans="3:8" x14ac:dyDescent="0.25">
      <c r="C19" s="5"/>
      <c r="D19" s="5"/>
      <c r="E19" s="5"/>
      <c r="F19" s="5"/>
      <c r="G19" s="5"/>
      <c r="H19" s="5"/>
    </row>
    <row r="27" spans="3:8" x14ac:dyDescent="0.25">
      <c r="C27" s="5"/>
      <c r="D27" s="5"/>
      <c r="E27" s="5"/>
      <c r="F27" s="5"/>
      <c r="G27" s="5"/>
      <c r="H27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4" sqref="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00" t="str">
        <f>CoName</f>
        <v>Palantir Technologies Inc</v>
      </c>
    </row>
    <row r="2" spans="1:13" x14ac:dyDescent="0.25">
      <c r="G2" s="150"/>
    </row>
    <row r="3" spans="1:13" x14ac:dyDescent="0.25">
      <c r="A3" s="28" t="s">
        <v>117</v>
      </c>
      <c r="B3" s="170" t="s">
        <v>93</v>
      </c>
      <c r="C3" s="171"/>
      <c r="D3" s="171"/>
      <c r="E3" s="172"/>
      <c r="F3" s="11"/>
      <c r="G3" s="78" t="s">
        <v>101</v>
      </c>
      <c r="H3" s="78" t="s">
        <v>96</v>
      </c>
      <c r="I3" s="78" t="s">
        <v>97</v>
      </c>
      <c r="J3" s="78" t="s">
        <v>98</v>
      </c>
      <c r="K3" s="78" t="s">
        <v>99</v>
      </c>
      <c r="L3" s="78" t="s">
        <v>104</v>
      </c>
      <c r="M3" s="78" t="s">
        <v>100</v>
      </c>
    </row>
    <row r="4" spans="1:13" x14ac:dyDescent="0.25">
      <c r="A4" s="28"/>
      <c r="B4" s="303" t="s">
        <v>154</v>
      </c>
      <c r="C4" s="68"/>
      <c r="D4" s="73"/>
      <c r="E4" s="304">
        <f>Assumptions!F15</f>
        <v>0.23</v>
      </c>
      <c r="G4" s="142"/>
      <c r="H4" s="143"/>
      <c r="I4" s="81"/>
      <c r="J4" s="82"/>
      <c r="K4" s="145"/>
      <c r="L4" s="159">
        <f>E4</f>
        <v>0.23</v>
      </c>
      <c r="M4" s="146">
        <f>H4/((1+K4*(1-L4)))</f>
        <v>0</v>
      </c>
    </row>
    <row r="5" spans="1:13" x14ac:dyDescent="0.25">
      <c r="A5" s="28"/>
      <c r="B5" s="68" t="s">
        <v>86</v>
      </c>
      <c r="C5" s="68"/>
      <c r="D5" s="73"/>
      <c r="E5" s="141">
        <v>0.04</v>
      </c>
      <c r="G5" s="142"/>
      <c r="H5" s="143"/>
      <c r="I5" s="81"/>
      <c r="J5" s="82"/>
      <c r="K5" s="145"/>
      <c r="L5" s="159">
        <f>L4</f>
        <v>0.23</v>
      </c>
      <c r="M5" s="146">
        <f t="shared" ref="M5:M7" si="0">H5/((1+K5*(1-L5)))</f>
        <v>0</v>
      </c>
    </row>
    <row r="6" spans="1:13" x14ac:dyDescent="0.25">
      <c r="A6" s="28"/>
      <c r="B6" s="68" t="s">
        <v>87</v>
      </c>
      <c r="C6" s="68"/>
      <c r="D6" s="73"/>
      <c r="E6" s="141">
        <v>0.05</v>
      </c>
      <c r="G6" s="142"/>
      <c r="H6" s="144"/>
      <c r="I6" s="83"/>
      <c r="J6" s="82"/>
      <c r="K6" s="145"/>
      <c r="L6" s="159">
        <f t="shared" ref="L6:L7" si="1">L5</f>
        <v>0.23</v>
      </c>
      <c r="M6" s="146">
        <f t="shared" si="0"/>
        <v>0</v>
      </c>
    </row>
    <row r="7" spans="1:13" x14ac:dyDescent="0.25">
      <c r="A7" s="28"/>
      <c r="B7" s="68" t="s">
        <v>88</v>
      </c>
      <c r="C7" s="68"/>
      <c r="D7" s="73"/>
      <c r="E7" s="224">
        <v>1.48</v>
      </c>
      <c r="G7" s="142"/>
      <c r="H7" s="144"/>
      <c r="I7" s="83"/>
      <c r="J7" s="84"/>
      <c r="K7" s="145"/>
      <c r="L7" s="159">
        <f t="shared" si="1"/>
        <v>0.23</v>
      </c>
      <c r="M7" s="146">
        <f t="shared" si="0"/>
        <v>0</v>
      </c>
    </row>
    <row r="8" spans="1:13" x14ac:dyDescent="0.25">
      <c r="A8" s="28"/>
      <c r="B8" s="68" t="s">
        <v>89</v>
      </c>
      <c r="C8" s="68"/>
      <c r="D8" s="73"/>
      <c r="E8" s="141">
        <f>E5+E6*E7</f>
        <v>0.11399999999999999</v>
      </c>
      <c r="L8" s="67"/>
    </row>
    <row r="9" spans="1:13" x14ac:dyDescent="0.25">
      <c r="A9" s="28"/>
      <c r="B9" s="69" t="s">
        <v>90</v>
      </c>
      <c r="C9" s="69"/>
      <c r="D9" s="74"/>
      <c r="E9" s="147">
        <v>1</v>
      </c>
      <c r="G9" s="4" t="s">
        <v>102</v>
      </c>
      <c r="L9" s="28"/>
      <c r="M9" s="223">
        <f>AVERAGE(M4:M7)</f>
        <v>0</v>
      </c>
    </row>
    <row r="10" spans="1:13" x14ac:dyDescent="0.25">
      <c r="A10" s="28"/>
      <c r="B10" s="70" t="s">
        <v>91</v>
      </c>
      <c r="C10" s="70"/>
      <c r="D10" s="75"/>
      <c r="E10" s="148">
        <v>0</v>
      </c>
      <c r="M10" s="67"/>
    </row>
    <row r="11" spans="1:13" x14ac:dyDescent="0.25">
      <c r="A11" s="28"/>
      <c r="B11" s="169" t="s">
        <v>168</v>
      </c>
      <c r="C11" s="71"/>
      <c r="D11" s="76"/>
      <c r="E11" s="149">
        <v>0</v>
      </c>
      <c r="G11" s="4" t="s">
        <v>103</v>
      </c>
      <c r="L11" s="28"/>
      <c r="M11" s="223">
        <f>M9*(1+E10*(1-E4))</f>
        <v>0</v>
      </c>
    </row>
    <row r="12" spans="1:13" x14ac:dyDescent="0.25">
      <c r="A12" s="28"/>
      <c r="B12" s="72" t="s">
        <v>92</v>
      </c>
      <c r="C12" s="72"/>
      <c r="D12" s="77"/>
      <c r="E12" s="149">
        <f>E11*(1-E4)</f>
        <v>0</v>
      </c>
      <c r="M12" s="67"/>
    </row>
    <row r="13" spans="1:13" s="11" customFormat="1" x14ac:dyDescent="0.25">
      <c r="A13" s="25" t="s">
        <v>117</v>
      </c>
      <c r="B13" s="170" t="s">
        <v>93</v>
      </c>
      <c r="C13" s="171"/>
      <c r="D13" s="172"/>
      <c r="E13" s="166">
        <f>WACC!E8*WACC!E9+WACC!E12*WACC!E10</f>
        <v>0.11399999999999999</v>
      </c>
      <c r="F13" s="4"/>
    </row>
    <row r="14" spans="1:13" s="11" customFormat="1" x14ac:dyDescent="0.25">
      <c r="A14" s="25"/>
      <c r="B14" s="78" t="s">
        <v>94</v>
      </c>
      <c r="C14" s="78"/>
      <c r="D14" s="117"/>
      <c r="E14" s="151">
        <v>2.5000000000000001E-2</v>
      </c>
      <c r="F14" s="4"/>
    </row>
    <row r="15" spans="1:13" x14ac:dyDescent="0.25">
      <c r="B15" s="67"/>
      <c r="C15" s="67"/>
      <c r="D15" s="67"/>
      <c r="E15" s="6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W45"/>
  <sheetViews>
    <sheetView showGridLines="0" topLeftCell="I1" zoomScaleNormal="100" workbookViewId="0">
      <selection activeCell="I11" sqref="I11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9" width="11.7109375" style="4" customWidth="1"/>
    <col min="20" max="16384" width="9" style="4"/>
  </cols>
  <sheetData>
    <row r="1" spans="1:23" ht="19.5" x14ac:dyDescent="0.3">
      <c r="A1" s="300" t="str">
        <f>CoName</f>
        <v>Palantir Technologies Inc</v>
      </c>
      <c r="B1" s="3"/>
      <c r="C1" s="3"/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</row>
    <row r="2" spans="1:23" x14ac:dyDescent="0.25">
      <c r="A2" s="78" t="s">
        <v>105</v>
      </c>
      <c r="B2" s="20"/>
      <c r="C2" s="43"/>
      <c r="D2" s="78">
        <v>1</v>
      </c>
      <c r="E2" s="78">
        <f>D2+1</f>
        <v>2</v>
      </c>
      <c r="F2" s="78">
        <f t="shared" ref="F2:H2" si="0">E2+1</f>
        <v>3</v>
      </c>
      <c r="G2" s="78">
        <f t="shared" si="0"/>
        <v>4</v>
      </c>
      <c r="H2" s="78">
        <f t="shared" si="0"/>
        <v>5</v>
      </c>
      <c r="I2" s="78">
        <f t="shared" ref="I2" si="1">H2+1</f>
        <v>6</v>
      </c>
      <c r="J2" s="78">
        <f t="shared" ref="J2" si="2">I2+1</f>
        <v>7</v>
      </c>
      <c r="K2" s="78">
        <f t="shared" ref="K2" si="3">J2+1</f>
        <v>8</v>
      </c>
      <c r="L2" s="78">
        <f t="shared" ref="L2" si="4">K2+1</f>
        <v>9</v>
      </c>
      <c r="M2" s="78">
        <f t="shared" ref="M2" si="5">L2+1</f>
        <v>10</v>
      </c>
      <c r="N2" s="78">
        <f t="shared" ref="N2" si="6">M2+1</f>
        <v>11</v>
      </c>
      <c r="O2" s="78">
        <f t="shared" ref="O2" si="7">N2+1</f>
        <v>12</v>
      </c>
      <c r="P2" s="78">
        <f t="shared" ref="P2" si="8">O2+1</f>
        <v>13</v>
      </c>
      <c r="Q2" s="78">
        <f t="shared" ref="Q2" si="9">P2+1</f>
        <v>14</v>
      </c>
      <c r="R2" s="78">
        <f t="shared" ref="R2" si="10">Q2+1</f>
        <v>15</v>
      </c>
      <c r="S2" s="78">
        <f t="shared" ref="S2" si="11">R2+1</f>
        <v>16</v>
      </c>
    </row>
    <row r="3" spans="1:23" x14ac:dyDescent="0.25">
      <c r="B3" s="4" t="s">
        <v>224</v>
      </c>
      <c r="D3" s="8">
        <f>1/(1+$W$3)^D2</f>
        <v>0.89766606822262129</v>
      </c>
      <c r="E3" s="8">
        <f t="shared" ref="E3:S3" si="12">1/(1+$W$3)^E2</f>
        <v>0.80580437003825978</v>
      </c>
      <c r="F3" s="8">
        <f t="shared" si="12"/>
        <v>0.7233432406088508</v>
      </c>
      <c r="G3" s="8">
        <f t="shared" si="12"/>
        <v>0.64932068277275667</v>
      </c>
      <c r="H3" s="8">
        <f t="shared" si="12"/>
        <v>0.58287314432024839</v>
      </c>
      <c r="I3" s="8">
        <f t="shared" si="12"/>
        <v>0.52322544373451385</v>
      </c>
      <c r="J3" s="8">
        <f t="shared" si="12"/>
        <v>0.46968172687119741</v>
      </c>
      <c r="K3" s="8">
        <f t="shared" si="12"/>
        <v>0.42161734907647885</v>
      </c>
      <c r="L3" s="8">
        <f t="shared" si="12"/>
        <v>0.3784715880399272</v>
      </c>
      <c r="M3" s="8">
        <f t="shared" si="12"/>
        <v>0.33974110236977312</v>
      </c>
      <c r="N3" s="8">
        <f t="shared" si="12"/>
        <v>0.30497405957789331</v>
      </c>
      <c r="O3" s="8">
        <f t="shared" si="12"/>
        <v>0.27376486497117897</v>
      </c>
      <c r="P3" s="8">
        <f t="shared" si="12"/>
        <v>0.24574942995617505</v>
      </c>
      <c r="Q3" s="8">
        <f t="shared" si="12"/>
        <v>0.2206009245567101</v>
      </c>
      <c r="R3" s="8">
        <f t="shared" si="12"/>
        <v>0.19802596459309704</v>
      </c>
      <c r="S3" s="8">
        <f t="shared" si="12"/>
        <v>0.17776118904227745</v>
      </c>
      <c r="T3" s="170" t="s">
        <v>93</v>
      </c>
      <c r="U3" s="171"/>
      <c r="V3" s="172"/>
      <c r="W3" s="166">
        <f>WACC!E13</f>
        <v>0.11399999999999999</v>
      </c>
    </row>
    <row r="4" spans="1:23" x14ac:dyDescent="0.25">
      <c r="B4" s="4" t="s">
        <v>225</v>
      </c>
      <c r="D4" s="4">
        <f>D3*'Free Cash Flow'!F14</f>
        <v>491.62109907828454</v>
      </c>
      <c r="E4" s="4">
        <f>E3*'Free Cash Flow'!G14</f>
        <v>769.56827999865322</v>
      </c>
      <c r="F4" s="4">
        <f>F3*'Free Cash Flow'!H14</f>
        <v>1090.2780306031259</v>
      </c>
      <c r="G4" s="4">
        <f>G3*'Free Cash Flow'!I14</f>
        <v>1557.7265487259633</v>
      </c>
      <c r="H4" s="4">
        <f>H3*'Free Cash Flow'!J14</f>
        <v>2192.6680989236947</v>
      </c>
      <c r="I4" s="4">
        <f>I3*'Free Cash Flow'!K14</f>
        <v>3045.9475169351244</v>
      </c>
      <c r="J4" s="4">
        <f>J3*'Free Cash Flow'!L14</f>
        <v>3846.1365195230624</v>
      </c>
      <c r="K4" s="4">
        <f>K3*'Free Cash Flow'!M14</f>
        <v>4840.1300806927647</v>
      </c>
      <c r="L4" s="4">
        <f>L3*'Free Cash Flow'!N14</f>
        <v>6069.8587402496478</v>
      </c>
      <c r="M4" s="4">
        <f>M3*'Free Cash Flow'!O14</f>
        <v>7585.1204029159016</v>
      </c>
      <c r="N4" s="4">
        <f>N3*'Free Cash Flow'!P14</f>
        <v>9444.7449643383952</v>
      </c>
      <c r="O4" s="4">
        <f>O3*'Free Cash Flow'!Q14</f>
        <v>11717.862742301895</v>
      </c>
      <c r="P4" s="4">
        <f>P3*'Free Cash Flow'!R14</f>
        <v>14485.269326886326</v>
      </c>
      <c r="Q4" s="4">
        <f>Q3*'Free Cash Flow'!S14</f>
        <v>17840.874546183095</v>
      </c>
      <c r="R4" s="4">
        <f>R3*'Free Cash Flow'!T14</f>
        <v>21893.217461721921</v>
      </c>
      <c r="S4" s="4">
        <f>S3*'Free Cash Flow'!U14</f>
        <v>26767.022671425897</v>
      </c>
      <c r="T4" s="78" t="s">
        <v>94</v>
      </c>
      <c r="U4" s="78"/>
      <c r="V4" s="117"/>
      <c r="W4" s="151">
        <v>2.5000000000000001E-2</v>
      </c>
    </row>
    <row r="5" spans="1:23" x14ac:dyDescent="0.25">
      <c r="G5" s="150"/>
      <c r="S5" s="4">
        <f>((S4*(1+W4)))/(W3-W4)</f>
        <v>308271.89031698363</v>
      </c>
    </row>
    <row r="6" spans="1:23" x14ac:dyDescent="0.25">
      <c r="A6" s="78" t="s">
        <v>106</v>
      </c>
      <c r="B6" s="20"/>
      <c r="C6" s="43"/>
      <c r="D6" s="87"/>
      <c r="E6" s="78" t="s">
        <v>159</v>
      </c>
      <c r="F6" s="20"/>
      <c r="G6" s="43"/>
      <c r="H6" s="87" t="s">
        <v>155</v>
      </c>
    </row>
    <row r="7" spans="1:23" x14ac:dyDescent="0.25">
      <c r="B7" s="4" t="s">
        <v>107</v>
      </c>
      <c r="C7" s="4">
        <f>SUM(D4:S4)</f>
        <v>133638.04703050375</v>
      </c>
      <c r="E7" s="4" t="s">
        <v>107</v>
      </c>
      <c r="G7" s="4">
        <f>C7</f>
        <v>133638.04703050375</v>
      </c>
      <c r="I7" s="177"/>
      <c r="J7" s="177"/>
      <c r="K7" s="177" t="s">
        <v>226</v>
      </c>
      <c r="L7" s="177"/>
      <c r="N7" s="177"/>
      <c r="O7" s="177"/>
      <c r="P7" s="177" t="s">
        <v>227</v>
      </c>
      <c r="Q7" s="177"/>
    </row>
    <row r="8" spans="1:23" x14ac:dyDescent="0.25">
      <c r="B8" s="4" t="s">
        <v>108</v>
      </c>
      <c r="C8" s="4">
        <f>S3*S5</f>
        <v>54798.777771057546</v>
      </c>
      <c r="E8" s="4" t="s">
        <v>160</v>
      </c>
      <c r="G8" s="4">
        <f>G10*IncState!U21*'DCF Model'!S3</f>
        <v>409083.84082313249</v>
      </c>
      <c r="I8" s="177">
        <f>C18</f>
        <v>75.865752238688373</v>
      </c>
      <c r="J8" s="269">
        <f>K8-E23</f>
        <v>2.2500000000000003E-2</v>
      </c>
      <c r="K8" s="269">
        <v>2.5000000000000001E-2</v>
      </c>
      <c r="L8" s="269">
        <f>K8+$E$23</f>
        <v>2.75E-2</v>
      </c>
      <c r="N8" s="177">
        <f>G18</f>
        <v>214.10111227136798</v>
      </c>
      <c r="O8" s="256">
        <f>P8-1</f>
        <v>11</v>
      </c>
      <c r="P8" s="256">
        <v>12</v>
      </c>
      <c r="Q8" s="256">
        <f>P8+1</f>
        <v>13</v>
      </c>
    </row>
    <row r="9" spans="1:23" x14ac:dyDescent="0.25">
      <c r="B9" s="4" t="s">
        <v>109</v>
      </c>
      <c r="C9" s="4">
        <f>SUM(C7:C8)</f>
        <v>188436.82480156131</v>
      </c>
      <c r="E9" s="4" t="s">
        <v>109</v>
      </c>
      <c r="G9" s="4">
        <f>SUM(G7:G8)</f>
        <v>542721.88785363617</v>
      </c>
      <c r="I9" s="269">
        <f>I10+$E$22</f>
        <v>0.124</v>
      </c>
      <c r="J9" s="334">
        <f t="dataTable" ref="J9:L13" dt2D="1" dtr="1" r1="W4" r2="W3"/>
        <v>63.027158948327333</v>
      </c>
      <c r="K9" s="253">
        <v>63.41720200320669</v>
      </c>
      <c r="L9" s="334">
        <v>63.827454542794825</v>
      </c>
      <c r="N9" s="269">
        <f t="shared" ref="N9:N10" si="13">I9</f>
        <v>0.124</v>
      </c>
      <c r="O9" s="177">
        <f t="dataTable" ref="O9:Q13" dt2D="1" dtr="1" r1="G10" r2="W3" ca="1"/>
        <v>175.79752279120012</v>
      </c>
      <c r="P9" s="181">
        <v>187.32673035303361</v>
      </c>
      <c r="Q9" s="177">
        <v>198.8559379148671</v>
      </c>
    </row>
    <row r="10" spans="1:23" x14ac:dyDescent="0.25">
      <c r="C10" s="86"/>
      <c r="E10" s="4" t="s">
        <v>110</v>
      </c>
      <c r="G10" s="86">
        <v>12</v>
      </c>
      <c r="I10" s="269">
        <f>I11+$E$22</f>
        <v>0.11899999999999999</v>
      </c>
      <c r="J10" s="334">
        <v>68.686952376126484</v>
      </c>
      <c r="K10" s="253">
        <v>69.18306649297412</v>
      </c>
      <c r="L10" s="334">
        <v>69.706290670851686</v>
      </c>
      <c r="N10" s="269">
        <f t="shared" si="13"/>
        <v>0.11899999999999999</v>
      </c>
      <c r="O10" s="177">
        <v>187.84004660451035</v>
      </c>
      <c r="P10" s="181">
        <v>200.22171170954621</v>
      </c>
      <c r="Q10" s="177">
        <v>212.60337681458199</v>
      </c>
    </row>
    <row r="11" spans="1:23" x14ac:dyDescent="0.25">
      <c r="H11" s="150" t="s">
        <v>93</v>
      </c>
      <c r="I11" s="269">
        <v>0.11399999999999999</v>
      </c>
      <c r="J11" s="253">
        <v>75.230834563117128</v>
      </c>
      <c r="K11" s="253">
        <v>75.865752238688373</v>
      </c>
      <c r="L11" s="253">
        <v>76.537370357934265</v>
      </c>
      <c r="N11" s="269">
        <f>I11</f>
        <v>0.11399999999999999</v>
      </c>
      <c r="O11" s="181">
        <v>200.79971133813484</v>
      </c>
      <c r="P11" s="181">
        <v>214.10111227136798</v>
      </c>
      <c r="Q11" s="181">
        <v>227.40251320460112</v>
      </c>
    </row>
    <row r="12" spans="1:23" x14ac:dyDescent="0.25">
      <c r="B12" s="28" t="s">
        <v>111</v>
      </c>
      <c r="C12" s="38">
        <f>MAIN!F7</f>
        <v>6000.4220000000005</v>
      </c>
      <c r="E12" s="28" t="s">
        <v>111</v>
      </c>
      <c r="F12" s="163"/>
      <c r="G12" s="38">
        <f>C12</f>
        <v>6000.4220000000005</v>
      </c>
      <c r="I12" s="269">
        <f>I11-$E$22</f>
        <v>0.10899999999999999</v>
      </c>
      <c r="J12" s="334">
        <v>82.860558237532615</v>
      </c>
      <c r="K12" s="253">
        <v>83.678638868159553</v>
      </c>
      <c r="L12" s="334">
        <v>84.546908494530484</v>
      </c>
      <c r="N12" s="269">
        <f t="shared" ref="N12:N13" si="14">I12</f>
        <v>0.10899999999999999</v>
      </c>
      <c r="O12" s="177">
        <v>214.75172086090063</v>
      </c>
      <c r="P12" s="181">
        <v>229.04578410339059</v>
      </c>
      <c r="Q12" s="177">
        <v>243.33984734588049</v>
      </c>
    </row>
    <row r="13" spans="1:23" x14ac:dyDescent="0.25">
      <c r="B13" s="28" t="s">
        <v>112</v>
      </c>
      <c r="C13" s="38">
        <f>MAIN!F8</f>
        <v>0</v>
      </c>
      <c r="E13" s="28" t="s">
        <v>112</v>
      </c>
      <c r="F13" s="163"/>
      <c r="G13" s="38">
        <f t="shared" ref="G13:G14" si="15">C13</f>
        <v>0</v>
      </c>
      <c r="I13" s="269">
        <f>I12-$E$22</f>
        <v>0.10399999999999998</v>
      </c>
      <c r="J13" s="334">
        <v>91.837161315735742</v>
      </c>
      <c r="K13" s="253">
        <v>92.899207637333134</v>
      </c>
      <c r="L13" s="334">
        <v>94.030668751191797</v>
      </c>
      <c r="N13" s="269">
        <f t="shared" si="14"/>
        <v>0.10399999999999998</v>
      </c>
      <c r="O13" s="177">
        <v>229.77786237748765</v>
      </c>
      <c r="P13" s="181">
        <v>245.14366546290489</v>
      </c>
      <c r="Q13" s="177">
        <v>260.50946854832216</v>
      </c>
    </row>
    <row r="14" spans="1:23" x14ac:dyDescent="0.25">
      <c r="B14" s="28" t="s">
        <v>113</v>
      </c>
      <c r="C14" s="80">
        <v>0</v>
      </c>
      <c r="E14" s="4" t="s">
        <v>113</v>
      </c>
      <c r="F14" s="28"/>
      <c r="G14" s="38">
        <f t="shared" si="15"/>
        <v>0</v>
      </c>
      <c r="I14" s="177"/>
      <c r="J14" s="177"/>
      <c r="K14" s="177"/>
      <c r="L14" s="177"/>
      <c r="N14" s="177"/>
      <c r="O14" s="177"/>
      <c r="P14" s="177"/>
      <c r="Q14" s="177"/>
    </row>
    <row r="15" spans="1:23" x14ac:dyDescent="0.25">
      <c r="B15" s="4" t="s">
        <v>114</v>
      </c>
      <c r="C15" s="67">
        <f>C9+C12-C13</f>
        <v>194437.2468015613</v>
      </c>
      <c r="E15" s="4" t="s">
        <v>114</v>
      </c>
      <c r="G15" s="67">
        <f>G9+G12-G13</f>
        <v>548722.30985363619</v>
      </c>
      <c r="I15" s="177"/>
      <c r="J15" s="177"/>
      <c r="K15" s="177" t="s">
        <v>171</v>
      </c>
      <c r="L15" s="177"/>
      <c r="N15" s="177"/>
      <c r="O15" s="177"/>
      <c r="P15" s="177" t="s">
        <v>171</v>
      </c>
      <c r="Q15" s="177"/>
    </row>
    <row r="16" spans="1:23" x14ac:dyDescent="0.25">
      <c r="I16" s="177"/>
      <c r="J16" s="177"/>
      <c r="K16" s="253">
        <f>AVERAGE(J9:L13)</f>
        <v>77.022348366566959</v>
      </c>
      <c r="L16" s="177"/>
      <c r="N16" s="177"/>
      <c r="O16" s="177"/>
      <c r="P16" s="253">
        <f>AVERAGE(O9:Q13)</f>
        <v>215.16780078004865</v>
      </c>
      <c r="Q16" s="177"/>
    </row>
    <row r="17" spans="1:17" x14ac:dyDescent="0.25">
      <c r="B17" s="4" t="s">
        <v>115</v>
      </c>
      <c r="C17" s="4">
        <f>MAIN!F5</f>
        <v>2562.9119999999998</v>
      </c>
      <c r="E17" s="4" t="s">
        <v>115</v>
      </c>
      <c r="G17" s="4">
        <f>C17</f>
        <v>2562.9119999999998</v>
      </c>
    </row>
    <row r="18" spans="1:17" x14ac:dyDescent="0.25">
      <c r="A18" s="4" t="s">
        <v>117</v>
      </c>
      <c r="B18" s="152" t="s">
        <v>116</v>
      </c>
      <c r="C18" s="165">
        <f>C15/C17</f>
        <v>75.865752238688373</v>
      </c>
      <c r="E18" s="152" t="s">
        <v>116</v>
      </c>
      <c r="F18" s="163"/>
      <c r="G18" s="165">
        <f>G15/G17</f>
        <v>214.10111227136798</v>
      </c>
    </row>
    <row r="19" spans="1:17" x14ac:dyDescent="0.25">
      <c r="C19" s="22"/>
    </row>
    <row r="20" spans="1:17" x14ac:dyDescent="0.25">
      <c r="A20" s="120" t="s">
        <v>136</v>
      </c>
      <c r="B20" s="20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220"/>
    </row>
    <row r="21" spans="1:17" x14ac:dyDescent="0.25">
      <c r="B21" s="121"/>
      <c r="C21" s="121"/>
      <c r="D21" s="121"/>
      <c r="E21" s="121"/>
      <c r="F21" s="121"/>
      <c r="G21" s="121"/>
      <c r="H21" s="121"/>
      <c r="I21" s="121"/>
    </row>
    <row r="22" spans="1:17" x14ac:dyDescent="0.25">
      <c r="B22" s="121"/>
      <c r="C22" s="121" t="s">
        <v>137</v>
      </c>
      <c r="D22" s="121"/>
      <c r="E22" s="122">
        <v>5.0000000000000001E-3</v>
      </c>
      <c r="F22" s="121"/>
      <c r="G22" s="121"/>
      <c r="J22" s="121" t="s">
        <v>137</v>
      </c>
      <c r="K22" s="121"/>
      <c r="L22" s="122">
        <v>5.0000000000000001E-3</v>
      </c>
    </row>
    <row r="23" spans="1:17" x14ac:dyDescent="0.25">
      <c r="B23" s="121"/>
      <c r="C23" s="121" t="s">
        <v>138</v>
      </c>
      <c r="D23" s="121"/>
      <c r="E23" s="153">
        <v>2.5000000000000001E-3</v>
      </c>
      <c r="F23" s="121"/>
      <c r="G23" s="121"/>
      <c r="J23" s="121" t="s">
        <v>158</v>
      </c>
      <c r="K23" s="121"/>
      <c r="L23" s="162">
        <v>1</v>
      </c>
    </row>
    <row r="24" spans="1:17" x14ac:dyDescent="0.25">
      <c r="B24" s="121"/>
      <c r="C24" s="121"/>
      <c r="D24" s="121"/>
      <c r="E24" s="175"/>
      <c r="F24" s="121"/>
      <c r="G24" s="121"/>
      <c r="J24" s="121"/>
      <c r="K24" s="121"/>
      <c r="L24" s="174"/>
    </row>
    <row r="25" spans="1:17" x14ac:dyDescent="0.25">
      <c r="A25" s="156" t="s">
        <v>161</v>
      </c>
      <c r="B25" s="16"/>
      <c r="C25" s="154"/>
      <c r="D25" s="154"/>
      <c r="E25" s="155"/>
      <c r="F25" s="154"/>
      <c r="G25" s="154"/>
      <c r="H25" s="154"/>
      <c r="I25" s="154"/>
      <c r="J25" s="164"/>
      <c r="K25" s="16"/>
      <c r="L25" s="16"/>
      <c r="M25" s="16"/>
      <c r="N25" s="16"/>
      <c r="O25" s="16"/>
      <c r="P25" s="16"/>
    </row>
    <row r="26" spans="1:17" x14ac:dyDescent="0.25">
      <c r="B26" s="121"/>
      <c r="C26" s="121"/>
      <c r="D26" s="121"/>
      <c r="E26" s="121"/>
      <c r="F26" s="121"/>
      <c r="H26" s="121"/>
      <c r="I26" s="177"/>
      <c r="P26" s="177"/>
    </row>
    <row r="27" spans="1:17" x14ac:dyDescent="0.25">
      <c r="B27" s="167"/>
      <c r="C27" s="173"/>
      <c r="D27" s="121"/>
      <c r="E27" s="274"/>
      <c r="F27" s="275"/>
      <c r="G27" s="274"/>
      <c r="I27" s="121"/>
      <c r="J27" s="274"/>
    </row>
    <row r="28" spans="1:17" x14ac:dyDescent="0.25">
      <c r="B28" s="167"/>
      <c r="C28" s="276"/>
      <c r="E28" s="121"/>
      <c r="F28" s="277"/>
      <c r="G28" s="277"/>
      <c r="H28" s="277"/>
      <c r="I28" s="177"/>
      <c r="J28" s="177"/>
      <c r="N28" s="278"/>
      <c r="P28" s="177"/>
    </row>
    <row r="29" spans="1:17" x14ac:dyDescent="0.25">
      <c r="B29" s="167"/>
      <c r="C29" s="276"/>
      <c r="E29" s="279"/>
      <c r="F29" s="177"/>
      <c r="G29" s="177"/>
      <c r="H29" s="262"/>
      <c r="I29" s="262"/>
      <c r="J29" s="262"/>
      <c r="N29" s="280"/>
      <c r="O29" s="48"/>
      <c r="P29" s="48"/>
      <c r="Q29" s="48"/>
    </row>
    <row r="30" spans="1:17" x14ac:dyDescent="0.25">
      <c r="E30" s="249"/>
      <c r="F30" s="177"/>
      <c r="G30" s="281"/>
      <c r="H30" s="282"/>
      <c r="I30" s="282"/>
      <c r="J30" s="282"/>
      <c r="N30" s="283"/>
      <c r="O30" s="173"/>
      <c r="P30" s="173"/>
      <c r="Q30" s="173"/>
    </row>
    <row r="31" spans="1:17" x14ac:dyDescent="0.25">
      <c r="F31" s="262"/>
      <c r="G31" s="282"/>
      <c r="H31" s="265"/>
      <c r="I31" s="265"/>
      <c r="J31" s="265"/>
      <c r="K31" s="284"/>
      <c r="M31" s="48"/>
      <c r="N31" s="173"/>
      <c r="O31" s="86"/>
      <c r="P31" s="86"/>
      <c r="Q31" s="86"/>
    </row>
    <row r="32" spans="1:17" x14ac:dyDescent="0.25">
      <c r="F32" s="262"/>
      <c r="G32" s="282"/>
      <c r="H32" s="265"/>
      <c r="I32" s="265"/>
      <c r="J32" s="265"/>
      <c r="K32" s="284"/>
      <c r="M32" s="48"/>
      <c r="N32" s="173"/>
      <c r="O32" s="86"/>
      <c r="P32" s="86"/>
      <c r="Q32" s="86"/>
    </row>
    <row r="33" spans="2:17" x14ac:dyDescent="0.25">
      <c r="D33" s="48"/>
      <c r="E33" s="150"/>
      <c r="F33" s="262"/>
      <c r="G33" s="282"/>
      <c r="H33" s="265"/>
      <c r="I33" s="265"/>
      <c r="J33" s="265"/>
      <c r="K33" s="284"/>
      <c r="L33" s="150"/>
      <c r="M33" s="48"/>
      <c r="N33" s="173"/>
      <c r="O33" s="86"/>
      <c r="P33" s="86"/>
      <c r="Q33" s="86"/>
    </row>
    <row r="34" spans="2:17" x14ac:dyDescent="0.25">
      <c r="D34" s="48"/>
      <c r="E34" s="249"/>
      <c r="F34" s="262"/>
      <c r="G34" s="282"/>
      <c r="H34" s="265"/>
      <c r="I34" s="265"/>
      <c r="J34" s="265"/>
      <c r="K34" s="278"/>
      <c r="M34" s="48"/>
      <c r="N34" s="173"/>
      <c r="O34" s="86"/>
      <c r="P34" s="86"/>
      <c r="Q34" s="86"/>
    </row>
    <row r="35" spans="2:17" x14ac:dyDescent="0.25">
      <c r="D35" s="48"/>
      <c r="E35" s="249"/>
      <c r="F35" s="262"/>
      <c r="G35" s="282"/>
      <c r="H35" s="265"/>
      <c r="I35" s="265"/>
      <c r="J35" s="265"/>
      <c r="K35" s="278"/>
      <c r="M35" s="48"/>
      <c r="N35" s="173"/>
      <c r="O35" s="86"/>
      <c r="P35" s="86"/>
      <c r="Q35" s="86"/>
    </row>
    <row r="36" spans="2:17" x14ac:dyDescent="0.25">
      <c r="B36" s="285"/>
      <c r="C36" s="285"/>
      <c r="D36" s="285"/>
      <c r="E36" s="286"/>
      <c r="F36" s="287"/>
      <c r="G36" s="286"/>
    </row>
    <row r="37" spans="2:17" x14ac:dyDescent="0.25">
      <c r="B37" s="121"/>
      <c r="C37" s="121"/>
      <c r="D37" s="121"/>
      <c r="E37" s="121"/>
      <c r="F37" s="275"/>
      <c r="G37" s="275"/>
      <c r="H37" s="275"/>
      <c r="I37" s="177"/>
      <c r="J37" s="177"/>
      <c r="P37" s="177"/>
    </row>
    <row r="38" spans="2:17" x14ac:dyDescent="0.25">
      <c r="F38" s="269"/>
      <c r="G38" s="269"/>
      <c r="H38" s="262"/>
      <c r="I38" s="262"/>
      <c r="J38" s="262"/>
      <c r="M38" s="177"/>
      <c r="O38" s="86"/>
      <c r="P38" s="86"/>
      <c r="Q38" s="86"/>
    </row>
    <row r="39" spans="2:17" x14ac:dyDescent="0.25">
      <c r="E39" s="48"/>
      <c r="F39" s="256"/>
      <c r="G39" s="288"/>
      <c r="H39" s="282"/>
      <c r="I39" s="282"/>
      <c r="J39" s="282"/>
      <c r="L39" s="86"/>
      <c r="M39" s="86"/>
      <c r="N39" s="289"/>
      <c r="O39" s="176"/>
      <c r="P39" s="176"/>
      <c r="Q39" s="176"/>
    </row>
    <row r="40" spans="2:17" x14ac:dyDescent="0.25">
      <c r="E40" s="48"/>
      <c r="F40" s="262"/>
      <c r="G40" s="282"/>
      <c r="H40" s="256"/>
      <c r="I40" s="256"/>
      <c r="J40" s="256"/>
      <c r="K40" s="48"/>
      <c r="M40" s="48"/>
      <c r="N40" s="173"/>
      <c r="O40" s="290"/>
      <c r="P40" s="290"/>
      <c r="Q40" s="290"/>
    </row>
    <row r="41" spans="2:17" x14ac:dyDescent="0.25">
      <c r="D41" s="8"/>
      <c r="E41" s="48"/>
      <c r="F41" s="262"/>
      <c r="G41" s="282"/>
      <c r="H41" s="256"/>
      <c r="I41" s="256"/>
      <c r="J41" s="256"/>
      <c r="K41" s="8"/>
      <c r="L41" s="48"/>
      <c r="M41" s="48"/>
      <c r="N41" s="173"/>
      <c r="O41" s="290"/>
      <c r="P41" s="290"/>
      <c r="Q41" s="290"/>
    </row>
    <row r="42" spans="2:17" x14ac:dyDescent="0.25">
      <c r="D42" s="8"/>
      <c r="E42" s="150"/>
      <c r="F42" s="262"/>
      <c r="G42" s="282"/>
      <c r="H42" s="256"/>
      <c r="I42" s="256"/>
      <c r="J42" s="256"/>
      <c r="K42" s="8"/>
      <c r="L42" s="150"/>
      <c r="M42" s="48"/>
      <c r="N42" s="173"/>
      <c r="O42" s="290"/>
      <c r="P42" s="290"/>
      <c r="Q42" s="290"/>
    </row>
    <row r="43" spans="2:17" x14ac:dyDescent="0.25">
      <c r="D43" s="8"/>
      <c r="E43" s="48"/>
      <c r="F43" s="262"/>
      <c r="G43" s="282"/>
      <c r="H43" s="256"/>
      <c r="I43" s="256"/>
      <c r="J43" s="256"/>
      <c r="K43" s="8"/>
      <c r="L43" s="48"/>
      <c r="M43" s="48"/>
      <c r="N43" s="173"/>
      <c r="O43" s="290"/>
      <c r="P43" s="290"/>
      <c r="Q43" s="290"/>
    </row>
    <row r="44" spans="2:17" x14ac:dyDescent="0.25">
      <c r="D44" s="8"/>
      <c r="E44" s="8"/>
      <c r="F44" s="262"/>
      <c r="G44" s="282"/>
      <c r="H44" s="256"/>
      <c r="I44" s="256"/>
      <c r="J44" s="256"/>
      <c r="K44" s="8"/>
      <c r="L44" s="48"/>
      <c r="M44" s="48"/>
      <c r="N44" s="173"/>
      <c r="O44" s="290"/>
      <c r="P44" s="290"/>
      <c r="Q44" s="290"/>
    </row>
    <row r="45" spans="2:17" x14ac:dyDescent="0.25">
      <c r="D45" s="8"/>
      <c r="E45" s="8"/>
      <c r="F45" s="86"/>
      <c r="G45" s="86"/>
      <c r="H45" s="86"/>
      <c r="J45" s="8"/>
      <c r="K45" s="8"/>
      <c r="L45" s="48"/>
      <c r="M45" s="48"/>
      <c r="N45" s="48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00" t="str">
        <f>CoName</f>
        <v>Palantir Technologies Inc</v>
      </c>
    </row>
    <row r="2" spans="1:17" ht="30" x14ac:dyDescent="0.25">
      <c r="A2" s="4" t="s">
        <v>117</v>
      </c>
      <c r="B2" s="230"/>
      <c r="C2" s="229" t="s">
        <v>175</v>
      </c>
      <c r="D2" s="229" t="s">
        <v>169</v>
      </c>
      <c r="E2" s="229" t="s">
        <v>176</v>
      </c>
      <c r="F2" s="229" t="s">
        <v>170</v>
      </c>
      <c r="G2" s="229" t="s">
        <v>173</v>
      </c>
      <c r="H2" s="231" t="s">
        <v>179</v>
      </c>
      <c r="I2" s="231" t="s">
        <v>174</v>
      </c>
      <c r="J2" s="231" t="s">
        <v>177</v>
      </c>
      <c r="K2" s="231" t="s">
        <v>178</v>
      </c>
      <c r="L2" s="231" t="s">
        <v>180</v>
      </c>
      <c r="M2" s="231" t="s">
        <v>181</v>
      </c>
      <c r="N2" s="231" t="s">
        <v>182</v>
      </c>
    </row>
    <row r="3" spans="1:17" x14ac:dyDescent="0.25">
      <c r="A3" s="28"/>
      <c r="D3" s="232"/>
      <c r="E3" s="209"/>
      <c r="F3" s="86"/>
      <c r="G3" s="86"/>
      <c r="H3" s="86"/>
      <c r="I3" s="86"/>
      <c r="J3" s="86"/>
      <c r="K3" s="86"/>
      <c r="L3" s="86"/>
      <c r="M3" s="238"/>
    </row>
    <row r="4" spans="1:17" x14ac:dyDescent="0.25">
      <c r="A4" s="28"/>
      <c r="D4" s="232"/>
      <c r="E4" s="209"/>
      <c r="F4" s="86"/>
      <c r="G4" s="86"/>
      <c r="H4" s="86"/>
      <c r="I4" s="86"/>
      <c r="J4" s="86"/>
      <c r="K4" s="86"/>
      <c r="L4" s="86"/>
      <c r="M4" s="238"/>
    </row>
    <row r="5" spans="1:17" x14ac:dyDescent="0.25">
      <c r="A5" s="28"/>
      <c r="D5" s="232"/>
      <c r="E5" s="209"/>
      <c r="F5" s="86"/>
      <c r="G5" s="86"/>
      <c r="H5" s="86"/>
      <c r="I5" s="86"/>
      <c r="J5" s="86"/>
      <c r="K5" s="86"/>
      <c r="L5" s="86"/>
      <c r="M5" s="238"/>
    </row>
    <row r="6" spans="1:17" x14ac:dyDescent="0.25">
      <c r="A6" s="28"/>
      <c r="D6" s="232"/>
      <c r="E6" s="209"/>
      <c r="F6" s="86"/>
      <c r="G6" s="86"/>
      <c r="H6" s="86"/>
      <c r="I6" s="86"/>
      <c r="J6" s="86"/>
      <c r="K6" s="86"/>
      <c r="L6" s="86"/>
      <c r="M6" s="238"/>
    </row>
    <row r="7" spans="1:17" x14ac:dyDescent="0.25">
      <c r="A7" s="28"/>
      <c r="D7" s="232"/>
      <c r="E7" s="209"/>
      <c r="F7" s="86"/>
      <c r="G7" s="86"/>
      <c r="H7" s="86"/>
      <c r="I7" s="242"/>
      <c r="J7" s="242"/>
      <c r="K7" s="242"/>
      <c r="L7" s="242"/>
      <c r="M7" s="239"/>
    </row>
    <row r="8" spans="1:17" x14ac:dyDescent="0.25">
      <c r="A8" s="28" t="s">
        <v>117</v>
      </c>
      <c r="B8" s="226" t="s">
        <v>171</v>
      </c>
      <c r="C8" s="226"/>
      <c r="D8" s="233"/>
      <c r="E8" s="235"/>
      <c r="F8" s="244"/>
      <c r="G8" s="244"/>
      <c r="H8" s="244"/>
      <c r="I8" s="245"/>
      <c r="J8" s="245"/>
      <c r="K8" s="245"/>
      <c r="L8" s="245"/>
      <c r="M8" s="246"/>
    </row>
    <row r="9" spans="1:17" x14ac:dyDescent="0.25">
      <c r="B9" s="67"/>
      <c r="C9" s="225"/>
      <c r="D9" s="234"/>
      <c r="E9" s="210"/>
      <c r="F9" s="225"/>
      <c r="G9" s="67"/>
      <c r="H9" s="67"/>
      <c r="I9" s="67"/>
      <c r="J9" s="67"/>
      <c r="K9" s="67"/>
      <c r="L9" s="67"/>
      <c r="M9" s="67"/>
    </row>
    <row r="10" spans="1:17" x14ac:dyDescent="0.25">
      <c r="A10" s="4" t="s">
        <v>117</v>
      </c>
      <c r="B10" s="11" t="s">
        <v>189</v>
      </c>
      <c r="C10" s="86"/>
      <c r="D10" s="232"/>
      <c r="E10" s="209"/>
      <c r="F10" s="86"/>
      <c r="G10" s="86"/>
      <c r="H10" s="86"/>
      <c r="I10" s="86"/>
      <c r="J10" s="86"/>
      <c r="K10" s="86"/>
      <c r="L10" s="86"/>
      <c r="M10" s="86"/>
      <c r="N10" s="176"/>
      <c r="O10" s="176"/>
      <c r="P10" s="176"/>
      <c r="Q10" s="176"/>
    </row>
    <row r="11" spans="1:17" x14ac:dyDescent="0.25">
      <c r="A11" s="64"/>
      <c r="B11" s="226" t="s">
        <v>172</v>
      </c>
      <c r="C11" s="226"/>
      <c r="D11" s="236"/>
      <c r="E11" s="236"/>
      <c r="F11" s="236"/>
      <c r="G11" s="236"/>
      <c r="H11" s="236"/>
      <c r="I11" s="243"/>
      <c r="J11" s="243"/>
      <c r="K11" s="243"/>
      <c r="L11" s="243"/>
      <c r="M11" s="237"/>
      <c r="N11" s="248"/>
    </row>
    <row r="12" spans="1:17" x14ac:dyDescent="0.25">
      <c r="A12" s="150"/>
      <c r="B12" s="227"/>
      <c r="C12" s="228"/>
      <c r="D12" s="228"/>
      <c r="E12" s="228"/>
      <c r="F12" s="228"/>
      <c r="G12" s="67"/>
      <c r="H12" s="67"/>
      <c r="I12" s="67"/>
      <c r="J12" s="67"/>
      <c r="K12" s="67"/>
      <c r="L12" s="67"/>
      <c r="M12" s="67"/>
      <c r="N12" s="247"/>
    </row>
    <row r="13" spans="1:17" x14ac:dyDescent="0.25">
      <c r="B13" s="11"/>
      <c r="C13" s="291"/>
      <c r="D13" s="292"/>
      <c r="E13" s="293"/>
      <c r="F13" s="183"/>
      <c r="G13" s="183"/>
      <c r="H13" s="183"/>
      <c r="I13" s="183"/>
      <c r="J13" s="183"/>
      <c r="K13" s="183"/>
      <c r="L13" s="183"/>
      <c r="M13" s="183"/>
      <c r="N13" s="8"/>
    </row>
    <row r="14" spans="1:17" x14ac:dyDescent="0.25">
      <c r="A14" s="150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50"/>
      <c r="B15" s="150"/>
      <c r="C15" s="150"/>
      <c r="D15" s="150"/>
      <c r="E15" s="150"/>
      <c r="F15" s="150"/>
      <c r="N15" s="8"/>
    </row>
    <row r="16" spans="1:17" x14ac:dyDescent="0.25">
      <c r="B16" s="12"/>
      <c r="C16" s="8"/>
      <c r="D16" s="292"/>
      <c r="E16" s="293"/>
      <c r="F16" s="294"/>
      <c r="G16" s="294"/>
      <c r="H16" s="294"/>
      <c r="I16" s="294"/>
      <c r="J16" s="294"/>
      <c r="K16" s="294"/>
      <c r="L16" s="294"/>
      <c r="M16" s="294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7"/>
    </row>
    <row r="20" spans="1:14" x14ac:dyDescent="0.25">
      <c r="D20" s="295"/>
      <c r="E20" s="295"/>
      <c r="F20" s="295"/>
    </row>
    <row r="21" spans="1:14" x14ac:dyDescent="0.25">
      <c r="C21" s="295"/>
      <c r="E21" s="295"/>
    </row>
    <row r="22" spans="1:14" x14ac:dyDescent="0.25">
      <c r="C22" s="295"/>
      <c r="D22" s="295"/>
      <c r="E22" s="295"/>
      <c r="G22" s="295"/>
    </row>
    <row r="23" spans="1:14" x14ac:dyDescent="0.25">
      <c r="C23" s="295"/>
      <c r="D23" s="295"/>
      <c r="E23" s="295"/>
      <c r="G23" s="295"/>
    </row>
    <row r="24" spans="1:14" x14ac:dyDescent="0.25">
      <c r="C24" s="295"/>
      <c r="D24" s="295"/>
      <c r="E24" s="295"/>
      <c r="G24" s="295"/>
    </row>
    <row r="25" spans="1:14" x14ac:dyDescent="0.25">
      <c r="C25" s="295"/>
      <c r="D25" s="295"/>
      <c r="E25" s="295"/>
      <c r="H25" s="295"/>
    </row>
    <row r="26" spans="1:14" x14ac:dyDescent="0.25">
      <c r="C26" s="295"/>
      <c r="D26" s="295"/>
    </row>
    <row r="28" spans="1:14" x14ac:dyDescent="0.25">
      <c r="A28" s="31"/>
      <c r="D28" s="295"/>
    </row>
    <row r="29" spans="1:14" x14ac:dyDescent="0.25">
      <c r="C29" s="296"/>
      <c r="D29" s="296"/>
    </row>
    <row r="30" spans="1:14" x14ac:dyDescent="0.25">
      <c r="C30" s="296"/>
      <c r="D30" s="296"/>
    </row>
    <row r="31" spans="1:14" x14ac:dyDescent="0.25">
      <c r="C31" s="296"/>
      <c r="D31" s="296"/>
    </row>
    <row r="32" spans="1:14" x14ac:dyDescent="0.25">
      <c r="C32" s="296"/>
      <c r="D32" s="296"/>
    </row>
    <row r="33" spans="2:7" x14ac:dyDescent="0.25">
      <c r="C33" s="296"/>
      <c r="D33" s="296"/>
    </row>
    <row r="34" spans="2:7" x14ac:dyDescent="0.25">
      <c r="C34" s="296"/>
      <c r="D34" s="296"/>
      <c r="E34" s="296"/>
    </row>
    <row r="36" spans="2:7" x14ac:dyDescent="0.25">
      <c r="B36" s="11"/>
    </row>
    <row r="45" spans="2:7" x14ac:dyDescent="0.25">
      <c r="G45" s="25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00" t="str">
        <f>CoName</f>
        <v>Palantir Technologies Inc</v>
      </c>
    </row>
    <row r="2" spans="1:18" x14ac:dyDescent="0.25">
      <c r="A2" s="11" t="s">
        <v>183</v>
      </c>
    </row>
    <row r="3" spans="1:18" x14ac:dyDescent="0.25">
      <c r="A3" s="108" t="s">
        <v>184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7"/>
      <c r="F4" s="241"/>
    </row>
    <row r="5" spans="1:18" x14ac:dyDescent="0.25">
      <c r="F5" s="253"/>
    </row>
    <row r="6" spans="1:18" ht="11.85" customHeight="1" x14ac:dyDescent="0.25">
      <c r="A6" s="167"/>
    </row>
    <row r="7" spans="1:18" x14ac:dyDescent="0.25">
      <c r="K7" s="257"/>
      <c r="L7" s="258"/>
      <c r="M7" s="258"/>
      <c r="N7" s="258"/>
    </row>
    <row r="8" spans="1:18" x14ac:dyDescent="0.25">
      <c r="B8" s="180"/>
      <c r="C8" s="180"/>
      <c r="D8" s="180"/>
      <c r="E8" s="180"/>
      <c r="F8" s="180"/>
      <c r="G8" s="180"/>
      <c r="H8" s="180"/>
      <c r="I8" s="180"/>
      <c r="J8" s="180"/>
      <c r="L8" s="259"/>
      <c r="M8" s="256"/>
      <c r="P8" s="167"/>
      <c r="Q8" s="167"/>
      <c r="R8" s="167"/>
    </row>
    <row r="9" spans="1:18" x14ac:dyDescent="0.25">
      <c r="B9" s="87"/>
      <c r="C9" s="87"/>
      <c r="D9" s="87"/>
      <c r="E9" s="87"/>
      <c r="F9" s="87"/>
      <c r="G9" s="87"/>
      <c r="H9" s="87"/>
      <c r="I9" s="87"/>
      <c r="J9" s="87"/>
      <c r="L9" s="259"/>
      <c r="M9" s="256"/>
      <c r="R9" s="8"/>
    </row>
    <row r="10" spans="1:18" x14ac:dyDescent="0.25">
      <c r="B10" s="161"/>
      <c r="C10" s="161"/>
      <c r="D10" s="161"/>
      <c r="E10" s="161"/>
      <c r="F10" s="161"/>
      <c r="G10" s="161"/>
      <c r="H10" s="161"/>
      <c r="I10" s="161"/>
      <c r="J10" s="161"/>
      <c r="L10" s="259"/>
      <c r="M10" s="256"/>
      <c r="R10" s="8"/>
    </row>
    <row r="11" spans="1:18" x14ac:dyDescent="0.25">
      <c r="L11" s="259"/>
      <c r="M11" s="256"/>
    </row>
    <row r="12" spans="1:18" x14ac:dyDescent="0.25">
      <c r="L12" s="259"/>
      <c r="M12" s="256"/>
      <c r="R12" s="8"/>
    </row>
    <row r="13" spans="1:18" x14ac:dyDescent="0.25">
      <c r="L13" s="259"/>
      <c r="M13" s="256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60"/>
      <c r="P16" s="167"/>
      <c r="Q16" s="167"/>
      <c r="R16" s="161"/>
    </row>
    <row r="17" spans="1:18" x14ac:dyDescent="0.25">
      <c r="P17" s="167"/>
      <c r="Q17" s="167"/>
      <c r="R17" s="173"/>
    </row>
    <row r="20" spans="1:18" x14ac:dyDescent="0.25">
      <c r="A20" s="167"/>
    </row>
    <row r="21" spans="1:18" x14ac:dyDescent="0.25">
      <c r="A21" s="108" t="s">
        <v>186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</row>
    <row r="22" spans="1:18" x14ac:dyDescent="0.25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R22" s="181"/>
    </row>
    <row r="23" spans="1:18" x14ac:dyDescent="0.25">
      <c r="B23" s="177"/>
      <c r="C23" s="261"/>
      <c r="D23" s="261"/>
      <c r="E23" s="177"/>
      <c r="F23" s="261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18" x14ac:dyDescent="0.25">
      <c r="B24" s="177"/>
      <c r="C24" s="261"/>
      <c r="D24" s="261"/>
      <c r="E24" s="261"/>
      <c r="F24" s="177"/>
      <c r="G24" s="261"/>
      <c r="H24" s="261"/>
      <c r="I24" s="177"/>
      <c r="J24" s="177"/>
      <c r="K24" s="177"/>
      <c r="L24" s="177"/>
      <c r="M24" s="177"/>
      <c r="N24" s="177"/>
      <c r="O24" s="177"/>
      <c r="P24" s="177"/>
      <c r="R24" s="86"/>
    </row>
    <row r="25" spans="1:18" x14ac:dyDescent="0.25">
      <c r="B25" s="177"/>
      <c r="C25" s="261"/>
      <c r="D25" s="262"/>
      <c r="E25" s="262"/>
      <c r="F25" s="262"/>
      <c r="G25" s="177"/>
      <c r="H25" s="177"/>
      <c r="I25" s="177"/>
      <c r="J25" s="177"/>
      <c r="K25" s="177"/>
      <c r="L25" s="150"/>
      <c r="M25" s="177"/>
      <c r="N25" s="177"/>
      <c r="O25" s="177"/>
      <c r="P25" s="177"/>
      <c r="R25" s="86"/>
    </row>
    <row r="26" spans="1:18" x14ac:dyDescent="0.25">
      <c r="B26" s="177"/>
      <c r="C26" s="263"/>
      <c r="D26" s="177"/>
      <c r="E26" s="177"/>
      <c r="F26" s="262"/>
      <c r="G26" s="262"/>
      <c r="H26" s="262"/>
      <c r="I26" s="177"/>
      <c r="J26" s="177"/>
      <c r="K26" s="177"/>
      <c r="L26" s="150"/>
      <c r="M26" s="256"/>
      <c r="N26" s="256"/>
      <c r="O26" s="256"/>
      <c r="P26" s="177"/>
      <c r="R26" s="86"/>
    </row>
    <row r="27" spans="1:18" x14ac:dyDescent="0.25">
      <c r="B27" s="177"/>
      <c r="C27" s="177"/>
      <c r="D27" s="177"/>
      <c r="E27" s="264"/>
      <c r="F27" s="265"/>
      <c r="G27" s="265"/>
      <c r="H27" s="265"/>
      <c r="I27" s="262"/>
      <c r="J27" s="177"/>
      <c r="K27" s="177"/>
      <c r="L27" s="264"/>
      <c r="M27" s="265"/>
      <c r="N27" s="265"/>
      <c r="O27" s="265"/>
      <c r="P27" s="177"/>
    </row>
    <row r="28" spans="1:18" x14ac:dyDescent="0.25">
      <c r="B28" s="177"/>
      <c r="C28" s="177"/>
      <c r="D28" s="177"/>
      <c r="E28" s="264"/>
      <c r="F28" s="265"/>
      <c r="G28" s="265"/>
      <c r="H28" s="265"/>
      <c r="I28" s="262"/>
      <c r="J28" s="177"/>
      <c r="K28" s="177"/>
      <c r="L28" s="264"/>
      <c r="M28" s="265"/>
      <c r="N28" s="265"/>
      <c r="O28" s="265"/>
      <c r="P28" s="177"/>
      <c r="R28" s="181"/>
    </row>
    <row r="29" spans="1:18" x14ac:dyDescent="0.25">
      <c r="B29" s="177"/>
      <c r="C29" s="177"/>
      <c r="D29" s="177"/>
      <c r="E29" s="264"/>
      <c r="F29" s="265"/>
      <c r="G29" s="265"/>
      <c r="H29" s="265"/>
      <c r="I29" s="262"/>
      <c r="J29" s="177"/>
      <c r="K29" s="177"/>
      <c r="L29" s="264"/>
      <c r="M29" s="265"/>
      <c r="N29" s="265"/>
      <c r="O29" s="265"/>
      <c r="P29" s="177"/>
    </row>
    <row r="30" spans="1:18" x14ac:dyDescent="0.25">
      <c r="B30" s="177"/>
      <c r="C30" s="262"/>
      <c r="D30" s="177"/>
      <c r="E30" s="264"/>
      <c r="F30" s="265"/>
      <c r="G30" s="265"/>
      <c r="H30" s="265"/>
      <c r="I30" s="262"/>
      <c r="J30" s="177"/>
      <c r="K30" s="177"/>
      <c r="L30" s="264"/>
      <c r="M30" s="265"/>
      <c r="N30" s="265"/>
      <c r="O30" s="265"/>
      <c r="P30" s="177"/>
      <c r="R30" s="86"/>
    </row>
    <row r="31" spans="1:18" x14ac:dyDescent="0.25">
      <c r="B31" s="177"/>
      <c r="C31" s="262"/>
      <c r="D31" s="177"/>
      <c r="E31" s="264"/>
      <c r="F31" s="265"/>
      <c r="G31" s="265"/>
      <c r="H31" s="265"/>
      <c r="I31" s="262"/>
      <c r="J31" s="177"/>
      <c r="K31" s="177"/>
      <c r="L31" s="264"/>
      <c r="M31" s="265"/>
      <c r="N31" s="265"/>
      <c r="O31" s="265"/>
      <c r="P31" s="177"/>
      <c r="R31" s="86"/>
    </row>
    <row r="32" spans="1:18" x14ac:dyDescent="0.25">
      <c r="B32" s="177"/>
      <c r="C32" s="266"/>
      <c r="D32" s="177"/>
      <c r="E32" s="267"/>
      <c r="F32" s="177"/>
      <c r="G32" s="177"/>
      <c r="H32" s="177"/>
      <c r="I32" s="177"/>
      <c r="J32" s="177"/>
      <c r="K32" s="177"/>
      <c r="P32" s="177"/>
      <c r="R32" s="86"/>
    </row>
    <row r="33" spans="1:18" x14ac:dyDescent="0.25">
      <c r="B33" s="177"/>
      <c r="C33" s="261"/>
      <c r="D33" s="177"/>
      <c r="E33" s="268"/>
      <c r="F33" s="261"/>
      <c r="G33" s="177"/>
      <c r="H33" s="177"/>
      <c r="I33" s="177"/>
      <c r="J33" s="177"/>
      <c r="K33" s="177"/>
      <c r="L33" s="262"/>
      <c r="M33" s="177"/>
      <c r="N33" s="177"/>
      <c r="O33" s="177"/>
      <c r="P33" s="177"/>
      <c r="R33" s="86"/>
    </row>
    <row r="34" spans="1:18" x14ac:dyDescent="0.25">
      <c r="B34" s="177"/>
      <c r="C34" s="177"/>
      <c r="D34" s="177"/>
      <c r="E34" s="179"/>
      <c r="F34" s="262"/>
      <c r="G34" s="262"/>
      <c r="H34" s="262"/>
      <c r="I34" s="177"/>
      <c r="J34" s="177"/>
      <c r="K34" s="177"/>
      <c r="L34" s="177"/>
      <c r="M34" s="262"/>
      <c r="N34" s="262"/>
      <c r="O34" s="262"/>
      <c r="P34" s="177"/>
    </row>
    <row r="35" spans="1:18" x14ac:dyDescent="0.25">
      <c r="B35" s="177"/>
      <c r="C35" s="262"/>
      <c r="D35" s="177"/>
      <c r="E35" s="264"/>
      <c r="F35" s="256"/>
      <c r="G35" s="256"/>
      <c r="H35" s="256"/>
      <c r="I35" s="262"/>
      <c r="J35" s="177"/>
      <c r="K35" s="177"/>
      <c r="L35" s="264"/>
      <c r="M35" s="256"/>
      <c r="N35" s="256"/>
      <c r="O35" s="256"/>
      <c r="P35" s="177"/>
    </row>
    <row r="36" spans="1:18" x14ac:dyDescent="0.25">
      <c r="A36" s="167"/>
      <c r="B36" s="177"/>
      <c r="C36" s="262"/>
      <c r="D36" s="177"/>
      <c r="E36" s="264"/>
      <c r="F36" s="256"/>
      <c r="G36" s="256"/>
      <c r="H36" s="256"/>
      <c r="I36" s="269"/>
      <c r="J36" s="262"/>
      <c r="K36" s="177"/>
      <c r="L36" s="264"/>
      <c r="M36" s="256"/>
      <c r="N36" s="256"/>
      <c r="O36" s="256"/>
      <c r="P36" s="177"/>
    </row>
    <row r="37" spans="1:18" x14ac:dyDescent="0.25">
      <c r="B37" s="177"/>
      <c r="C37" s="177"/>
      <c r="D37" s="177"/>
      <c r="E37" s="264"/>
      <c r="F37" s="256"/>
      <c r="G37" s="256"/>
      <c r="H37" s="256"/>
      <c r="I37" s="269"/>
      <c r="J37" s="177"/>
      <c r="K37" s="177"/>
      <c r="L37" s="264"/>
      <c r="M37" s="256"/>
      <c r="N37" s="256"/>
      <c r="O37" s="256"/>
      <c r="P37" s="177"/>
    </row>
    <row r="38" spans="1:18" x14ac:dyDescent="0.25">
      <c r="A38" s="178"/>
      <c r="B38" s="177"/>
      <c r="C38" s="262"/>
      <c r="D38" s="177"/>
      <c r="E38" s="264"/>
      <c r="F38" s="256"/>
      <c r="G38" s="256"/>
      <c r="H38" s="256"/>
      <c r="I38" s="269"/>
      <c r="J38" s="262"/>
      <c r="K38" s="177"/>
      <c r="L38" s="264"/>
      <c r="M38" s="256"/>
      <c r="N38" s="256"/>
      <c r="O38" s="256"/>
      <c r="P38" s="177"/>
    </row>
    <row r="39" spans="1:18" x14ac:dyDescent="0.25">
      <c r="B39" s="270"/>
      <c r="C39" s="269"/>
      <c r="D39" s="177"/>
      <c r="E39" s="264"/>
      <c r="F39" s="256"/>
      <c r="G39" s="256"/>
      <c r="H39" s="256"/>
      <c r="I39" s="269"/>
      <c r="J39" s="262"/>
      <c r="K39" s="177"/>
      <c r="L39" s="264"/>
      <c r="M39" s="256"/>
      <c r="N39" s="256"/>
      <c r="O39" s="256"/>
      <c r="P39" s="177"/>
    </row>
    <row r="41" spans="1:18" x14ac:dyDescent="0.25">
      <c r="A41" s="108" t="s">
        <v>187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48"/>
      <c r="R41" s="48"/>
    </row>
    <row r="42" spans="1:18" x14ac:dyDescent="0.25">
      <c r="E42" s="8"/>
      <c r="F42" s="251"/>
      <c r="G42" s="251"/>
      <c r="H42" s="251"/>
      <c r="I42" s="182"/>
      <c r="J42" s="182"/>
      <c r="K42" s="182"/>
      <c r="P42" s="86"/>
      <c r="Q42" s="183"/>
      <c r="R42" s="86"/>
    </row>
    <row r="43" spans="1:18" x14ac:dyDescent="0.25">
      <c r="E43" s="8"/>
      <c r="F43" s="251"/>
      <c r="G43" s="251"/>
      <c r="H43" s="251"/>
      <c r="I43" s="182"/>
      <c r="J43" s="182"/>
      <c r="K43" s="182"/>
      <c r="P43" s="86"/>
      <c r="Q43" s="183"/>
      <c r="R43" s="86"/>
    </row>
    <row r="44" spans="1:18" x14ac:dyDescent="0.25">
      <c r="D44" s="177"/>
      <c r="E44" s="8"/>
      <c r="F44" s="182"/>
      <c r="G44" s="182"/>
      <c r="H44" s="182"/>
      <c r="I44" s="182"/>
      <c r="J44" s="182"/>
      <c r="K44" s="182"/>
      <c r="P44" s="183"/>
      <c r="Q44" s="183"/>
      <c r="R44" s="183"/>
    </row>
    <row r="45" spans="1:18" x14ac:dyDescent="0.25">
      <c r="E45" s="8"/>
      <c r="F45" s="251"/>
      <c r="G45" s="251"/>
      <c r="H45" s="251"/>
      <c r="I45" s="182"/>
      <c r="J45" s="182"/>
      <c r="K45" s="182"/>
      <c r="P45" s="86"/>
      <c r="Q45" s="183"/>
      <c r="R45" s="86"/>
    </row>
    <row r="46" spans="1:18" x14ac:dyDescent="0.25">
      <c r="E46" s="8"/>
      <c r="F46" s="251"/>
      <c r="G46" s="251"/>
      <c r="H46" s="251"/>
      <c r="I46" s="182"/>
      <c r="J46" s="182"/>
      <c r="K46" s="182"/>
      <c r="P46" s="86"/>
      <c r="Q46" s="183"/>
      <c r="R46" s="86"/>
    </row>
    <row r="48" spans="1:18" x14ac:dyDescent="0.25">
      <c r="A48" s="178"/>
    </row>
    <row r="49" spans="2:18" x14ac:dyDescent="0.25">
      <c r="B49" s="184"/>
    </row>
    <row r="51" spans="2:18" x14ac:dyDescent="0.25">
      <c r="I51" s="177"/>
      <c r="J51" s="177"/>
      <c r="K51" s="177"/>
      <c r="Q51" s="177"/>
    </row>
    <row r="52" spans="2:18" x14ac:dyDescent="0.25">
      <c r="F52" s="86"/>
      <c r="G52" s="86"/>
      <c r="H52" s="86"/>
      <c r="I52" s="86"/>
      <c r="J52" s="86"/>
      <c r="K52" s="86"/>
      <c r="L52" s="86"/>
      <c r="P52" s="86"/>
      <c r="Q52" s="86"/>
      <c r="R52" s="86"/>
    </row>
    <row r="53" spans="2:18" x14ac:dyDescent="0.25">
      <c r="E53" s="8"/>
      <c r="F53" s="146"/>
      <c r="G53" s="146"/>
      <c r="H53" s="146"/>
      <c r="I53" s="185"/>
      <c r="J53" s="185"/>
      <c r="K53" s="185"/>
      <c r="L53" s="146"/>
      <c r="O53" s="48"/>
      <c r="P53" s="48"/>
      <c r="Q53" s="186"/>
      <c r="R53" s="48"/>
    </row>
    <row r="54" spans="2:18" x14ac:dyDescent="0.25">
      <c r="E54" s="8"/>
      <c r="F54" s="146"/>
      <c r="G54" s="146"/>
      <c r="H54" s="146"/>
      <c r="I54" s="185"/>
      <c r="J54" s="185"/>
      <c r="K54" s="185"/>
      <c r="L54" s="146"/>
      <c r="O54" s="48"/>
      <c r="P54" s="48"/>
      <c r="Q54" s="186"/>
      <c r="R54" s="48"/>
    </row>
    <row r="55" spans="2:18" x14ac:dyDescent="0.25">
      <c r="E55" s="8"/>
      <c r="F55" s="185"/>
      <c r="G55" s="185"/>
      <c r="H55" s="185"/>
      <c r="I55" s="185"/>
      <c r="J55" s="185"/>
      <c r="K55" s="185"/>
      <c r="L55" s="185"/>
      <c r="O55" s="48"/>
      <c r="P55" s="186"/>
      <c r="Q55" s="186"/>
      <c r="R55" s="186"/>
    </row>
    <row r="56" spans="2:18" x14ac:dyDescent="0.25">
      <c r="E56" s="8"/>
      <c r="F56" s="146"/>
      <c r="G56" s="146"/>
      <c r="H56" s="146"/>
      <c r="I56" s="185"/>
      <c r="J56" s="185"/>
      <c r="K56" s="185"/>
      <c r="L56" s="146"/>
      <c r="O56" s="48"/>
      <c r="P56" s="48"/>
      <c r="Q56" s="186"/>
      <c r="R56" s="48"/>
    </row>
    <row r="57" spans="2:18" x14ac:dyDescent="0.25">
      <c r="E57" s="8"/>
      <c r="F57" s="146"/>
      <c r="G57" s="146"/>
      <c r="H57" s="146"/>
      <c r="I57" s="185"/>
      <c r="J57" s="185"/>
      <c r="K57" s="185"/>
      <c r="L57" s="146"/>
      <c r="O57" s="48"/>
      <c r="P57" s="48"/>
      <c r="Q57" s="186"/>
      <c r="R57" s="48"/>
    </row>
    <row r="58" spans="2:18" x14ac:dyDescent="0.25">
      <c r="O58" s="4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88a26cf8-717e-46a4-ac0d-03f11284dc6b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2025-11-10T01:41:24Z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