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0" documentId="8_{9021A339-952F-4BFC-9A36-6BE75DD613B4}" xr6:coauthVersionLast="47" xr6:coauthVersionMax="47" xr10:uidLastSave="{00000000-0000-0000-0000-000000000000}"/>
  <bookViews>
    <workbookView xWindow="-120" yWindow="-120" windowWidth="38640" windowHeight="21840" tabRatio="808" xr2:uid="{00000000-000D-0000-FFFF-FFFF00000000}"/>
  </bookViews>
  <sheets>
    <sheet name="MAIN" sheetId="3" r:id="rId1"/>
    <sheet name="Assumptions" sheetId="13" r:id="rId2"/>
    <sheet name="Revenue" sheetId="32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2" l="1"/>
  <c r="N13" i="12"/>
  <c r="N12" i="12"/>
  <c r="N10" i="12"/>
  <c r="N9" i="12"/>
  <c r="N11" i="12"/>
  <c r="Q8" i="12"/>
  <c r="O8" i="12"/>
  <c r="K16" i="12"/>
  <c r="I13" i="12"/>
  <c r="I12" i="12"/>
  <c r="I9" i="12"/>
  <c r="I10" i="12"/>
  <c r="J8" i="12"/>
  <c r="L8" i="12"/>
  <c r="G17" i="12"/>
  <c r="G13" i="12"/>
  <c r="G14" i="12"/>
  <c r="G12" i="12"/>
  <c r="C17" i="12"/>
  <c r="C14" i="12"/>
  <c r="C13" i="12"/>
  <c r="C12" i="12"/>
  <c r="E3" i="12"/>
  <c r="E4" i="12" s="1"/>
  <c r="F3" i="12"/>
  <c r="F4" i="12" s="1"/>
  <c r="G3" i="12"/>
  <c r="G4" i="12" s="1"/>
  <c r="H3" i="12"/>
  <c r="H4" i="12" s="1"/>
  <c r="H5" i="12" s="1"/>
  <c r="C8" i="12" s="1"/>
  <c r="D3" i="12"/>
  <c r="D4" i="12" s="1"/>
  <c r="L2" i="12"/>
  <c r="E11" i="11"/>
  <c r="E9" i="11"/>
  <c r="E10" i="11"/>
  <c r="E7" i="11"/>
  <c r="G3" i="10"/>
  <c r="H3" i="10"/>
  <c r="I3" i="10"/>
  <c r="J3" i="10"/>
  <c r="G4" i="10"/>
  <c r="H4" i="10"/>
  <c r="I4" i="10"/>
  <c r="J4" i="10"/>
  <c r="G5" i="10"/>
  <c r="H5" i="10"/>
  <c r="I5" i="10"/>
  <c r="J5" i="10"/>
  <c r="G7" i="10"/>
  <c r="H7" i="10"/>
  <c r="I7" i="10"/>
  <c r="J7" i="10"/>
  <c r="G8" i="10"/>
  <c r="G16" i="10" s="1"/>
  <c r="H8" i="10"/>
  <c r="H16" i="10" s="1"/>
  <c r="I8" i="10"/>
  <c r="I16" i="10" s="1"/>
  <c r="J8" i="10"/>
  <c r="J16" i="10" s="1"/>
  <c r="G9" i="10"/>
  <c r="H9" i="10"/>
  <c r="I9" i="10"/>
  <c r="J9" i="10"/>
  <c r="G10" i="10"/>
  <c r="H10" i="10"/>
  <c r="I10" i="10"/>
  <c r="J10" i="10"/>
  <c r="G11" i="10"/>
  <c r="H11" i="10"/>
  <c r="I11" i="10"/>
  <c r="J11" i="10"/>
  <c r="G12" i="10"/>
  <c r="H12" i="10"/>
  <c r="I12" i="10"/>
  <c r="J12" i="10"/>
  <c r="G13" i="10"/>
  <c r="H13" i="10"/>
  <c r="I13" i="10"/>
  <c r="J13" i="10"/>
  <c r="G14" i="10"/>
  <c r="H14" i="10"/>
  <c r="I14" i="10"/>
  <c r="J14" i="10"/>
  <c r="F14" i="10"/>
  <c r="F9" i="10"/>
  <c r="F10" i="10"/>
  <c r="F11" i="10"/>
  <c r="F12" i="10"/>
  <c r="F13" i="10"/>
  <c r="F8" i="10"/>
  <c r="F5" i="10"/>
  <c r="B10" i="10"/>
  <c r="F4" i="10"/>
  <c r="F3" i="10"/>
  <c r="G4" i="9"/>
  <c r="H4" i="9"/>
  <c r="I4" i="9"/>
  <c r="J4" i="9"/>
  <c r="G5" i="9"/>
  <c r="H5" i="9"/>
  <c r="I5" i="9"/>
  <c r="J5" i="9"/>
  <c r="G6" i="9"/>
  <c r="H6" i="9"/>
  <c r="I6" i="9"/>
  <c r="J6" i="9"/>
  <c r="G7" i="9"/>
  <c r="H7" i="9"/>
  <c r="I7" i="9"/>
  <c r="J7" i="9"/>
  <c r="G8" i="9"/>
  <c r="H8" i="9"/>
  <c r="I8" i="9"/>
  <c r="J8" i="9"/>
  <c r="G9" i="9"/>
  <c r="H9" i="9"/>
  <c r="I9" i="9"/>
  <c r="J9" i="9"/>
  <c r="G12" i="9"/>
  <c r="G14" i="9" s="1"/>
  <c r="H12" i="9"/>
  <c r="H14" i="9" s="1"/>
  <c r="I12" i="9"/>
  <c r="I14" i="9" s="1"/>
  <c r="J12" i="9"/>
  <c r="J14" i="9" s="1"/>
  <c r="G13" i="9"/>
  <c r="H13" i="9"/>
  <c r="I13" i="9"/>
  <c r="J13" i="9"/>
  <c r="G19" i="9"/>
  <c r="H19" i="9"/>
  <c r="I19" i="9"/>
  <c r="J19" i="9"/>
  <c r="G23" i="9"/>
  <c r="G15" i="8"/>
  <c r="H15" i="8"/>
  <c r="I15" i="8"/>
  <c r="J15" i="8"/>
  <c r="G17" i="8"/>
  <c r="H17" i="8"/>
  <c r="I17" i="8"/>
  <c r="I20" i="5" s="1"/>
  <c r="J17" i="8"/>
  <c r="J20" i="5" s="1"/>
  <c r="G18" i="8"/>
  <c r="G21" i="5" s="1"/>
  <c r="H18" i="8"/>
  <c r="H21" i="5" s="1"/>
  <c r="I18" i="8"/>
  <c r="I21" i="5" s="1"/>
  <c r="J18" i="8"/>
  <c r="J21" i="5" s="1"/>
  <c r="G21" i="8"/>
  <c r="G25" i="8" s="1"/>
  <c r="H21" i="8"/>
  <c r="H25" i="8" s="1"/>
  <c r="I21" i="8"/>
  <c r="I25" i="8" s="1"/>
  <c r="J21" i="8"/>
  <c r="J25" i="8" s="1"/>
  <c r="G22" i="8"/>
  <c r="H22" i="8"/>
  <c r="I22" i="8"/>
  <c r="J22" i="8"/>
  <c r="G23" i="8"/>
  <c r="H23" i="8"/>
  <c r="I23" i="8"/>
  <c r="J23" i="8"/>
  <c r="G24" i="8"/>
  <c r="H24" i="8"/>
  <c r="I24" i="8"/>
  <c r="J24" i="8"/>
  <c r="G30" i="8"/>
  <c r="G22" i="5" s="1"/>
  <c r="H30" i="8"/>
  <c r="H22" i="5" s="1"/>
  <c r="I30" i="8"/>
  <c r="I22" i="5" s="1"/>
  <c r="J30" i="8"/>
  <c r="J22" i="5" s="1"/>
  <c r="G31" i="8"/>
  <c r="G23" i="5" s="1"/>
  <c r="H31" i="8"/>
  <c r="H23" i="5" s="1"/>
  <c r="I31" i="8"/>
  <c r="I23" i="5" s="1"/>
  <c r="J31" i="8"/>
  <c r="J23" i="5" s="1"/>
  <c r="G34" i="8"/>
  <c r="G36" i="8" s="1"/>
  <c r="H34" i="8"/>
  <c r="H36" i="8" s="1"/>
  <c r="I34" i="8"/>
  <c r="I36" i="8" s="1"/>
  <c r="J34" i="8"/>
  <c r="J36" i="8" s="1"/>
  <c r="G35" i="8"/>
  <c r="H35" i="8"/>
  <c r="I35" i="8"/>
  <c r="J35" i="8"/>
  <c r="G16" i="7"/>
  <c r="H16" i="7" s="1"/>
  <c r="G22" i="7"/>
  <c r="G23" i="7"/>
  <c r="H23" i="7"/>
  <c r="I23" i="7"/>
  <c r="J23" i="7"/>
  <c r="G24" i="7"/>
  <c r="G15" i="5" s="1"/>
  <c r="H24" i="7"/>
  <c r="H15" i="5" s="1"/>
  <c r="I24" i="7"/>
  <c r="I15" i="5" s="1"/>
  <c r="J24" i="7"/>
  <c r="J15" i="5" s="1"/>
  <c r="G27" i="7"/>
  <c r="H27" i="7"/>
  <c r="I27" i="7"/>
  <c r="J27" i="7"/>
  <c r="G28" i="7"/>
  <c r="H28" i="7"/>
  <c r="I28" i="7"/>
  <c r="J28" i="7"/>
  <c r="G30" i="7"/>
  <c r="H30" i="7"/>
  <c r="I30" i="7"/>
  <c r="J30" i="7"/>
  <c r="G31" i="7"/>
  <c r="H31" i="7"/>
  <c r="I31" i="7"/>
  <c r="J31" i="7"/>
  <c r="G39" i="7"/>
  <c r="H39" i="7"/>
  <c r="I39" i="7"/>
  <c r="J39" i="7"/>
  <c r="G32" i="6"/>
  <c r="H32" i="6"/>
  <c r="I32" i="6"/>
  <c r="J32" i="6"/>
  <c r="G25" i="6"/>
  <c r="H25" i="6"/>
  <c r="I25" i="6"/>
  <c r="J25" i="6"/>
  <c r="G26" i="6"/>
  <c r="G27" i="6" s="1"/>
  <c r="H26" i="6"/>
  <c r="H27" i="6" s="1"/>
  <c r="I26" i="6"/>
  <c r="I27" i="6" s="1"/>
  <c r="J26" i="6"/>
  <c r="J27" i="6" s="1"/>
  <c r="G28" i="6"/>
  <c r="H28" i="6"/>
  <c r="I28" i="6"/>
  <c r="J28" i="6"/>
  <c r="G17" i="6"/>
  <c r="G20" i="6" s="1"/>
  <c r="G18" i="6"/>
  <c r="H18" i="6"/>
  <c r="I18" i="6"/>
  <c r="J18" i="6"/>
  <c r="G19" i="6"/>
  <c r="H19" i="6"/>
  <c r="I19" i="6"/>
  <c r="J19" i="6"/>
  <c r="G21" i="6"/>
  <c r="H21" i="6"/>
  <c r="I21" i="6"/>
  <c r="J21" i="6"/>
  <c r="G6" i="5"/>
  <c r="G8" i="5" s="1"/>
  <c r="G7" i="5"/>
  <c r="G13" i="5"/>
  <c r="G16" i="5"/>
  <c r="H16" i="5"/>
  <c r="I16" i="5"/>
  <c r="J16" i="5"/>
  <c r="G19" i="5"/>
  <c r="H19" i="5"/>
  <c r="I19" i="5"/>
  <c r="J19" i="5"/>
  <c r="G20" i="5"/>
  <c r="H20" i="5"/>
  <c r="F14" i="9"/>
  <c r="F12" i="9"/>
  <c r="F25" i="8"/>
  <c r="F13" i="9"/>
  <c r="G41" i="13"/>
  <c r="H41" i="13"/>
  <c r="I41" i="13" s="1"/>
  <c r="J41" i="13" s="1"/>
  <c r="F41" i="13"/>
  <c r="F23" i="9"/>
  <c r="B24" i="9"/>
  <c r="F19" i="9"/>
  <c r="F9" i="9"/>
  <c r="F8" i="9"/>
  <c r="F25" i="5"/>
  <c r="F7" i="9" s="1"/>
  <c r="F19" i="5"/>
  <c r="F20" i="5"/>
  <c r="F21" i="5"/>
  <c r="F22" i="5"/>
  <c r="F23" i="5"/>
  <c r="F24" i="5"/>
  <c r="E24" i="5"/>
  <c r="E23" i="5"/>
  <c r="E22" i="5"/>
  <c r="E21" i="5"/>
  <c r="E20" i="5"/>
  <c r="E19" i="5"/>
  <c r="F5" i="9"/>
  <c r="F6" i="9"/>
  <c r="F4" i="9"/>
  <c r="F35" i="8"/>
  <c r="F15" i="5"/>
  <c r="F31" i="7"/>
  <c r="F30" i="7"/>
  <c r="F25" i="13"/>
  <c r="E17" i="5"/>
  <c r="F13" i="5" s="1"/>
  <c r="F34" i="8"/>
  <c r="F28" i="6"/>
  <c r="F27" i="6"/>
  <c r="F26" i="6"/>
  <c r="F25" i="6"/>
  <c r="F22" i="6"/>
  <c r="F21" i="6"/>
  <c r="F20" i="6"/>
  <c r="F19" i="6"/>
  <c r="F18" i="6"/>
  <c r="F17" i="6"/>
  <c r="E20" i="6"/>
  <c r="F31" i="8"/>
  <c r="F30" i="8"/>
  <c r="F24" i="8"/>
  <c r="F22" i="8"/>
  <c r="E9" i="5"/>
  <c r="F6" i="5" s="1"/>
  <c r="F40" i="13"/>
  <c r="F17" i="8"/>
  <c r="F15" i="8"/>
  <c r="F39" i="7"/>
  <c r="F24" i="7"/>
  <c r="B9" i="7"/>
  <c r="F9" i="7"/>
  <c r="G9" i="7"/>
  <c r="H9" i="7"/>
  <c r="I9" i="7"/>
  <c r="J9" i="7"/>
  <c r="D15" i="13"/>
  <c r="F15" i="13" s="1"/>
  <c r="G15" i="13" s="1"/>
  <c r="H15" i="13" s="1"/>
  <c r="I15" i="13" s="1"/>
  <c r="J15" i="13" s="1"/>
  <c r="E15" i="13"/>
  <c r="E48" i="13"/>
  <c r="D48" i="13"/>
  <c r="C48" i="13"/>
  <c r="E47" i="13"/>
  <c r="D47" i="13"/>
  <c r="C47" i="13"/>
  <c r="E46" i="13"/>
  <c r="F46" i="13" s="1"/>
  <c r="F10" i="8" s="1"/>
  <c r="D46" i="13"/>
  <c r="C46" i="13"/>
  <c r="E42" i="13"/>
  <c r="D42" i="13"/>
  <c r="C42" i="13"/>
  <c r="E41" i="13"/>
  <c r="D41" i="13"/>
  <c r="C41" i="13"/>
  <c r="E40" i="13"/>
  <c r="D40" i="13"/>
  <c r="C40" i="13"/>
  <c r="E39" i="13"/>
  <c r="D39" i="13"/>
  <c r="C39" i="13"/>
  <c r="D33" i="13"/>
  <c r="E33" i="13"/>
  <c r="D32" i="13"/>
  <c r="E32" i="13"/>
  <c r="F32" i="13" s="1"/>
  <c r="F3" i="5" s="1"/>
  <c r="F7" i="5" s="1"/>
  <c r="D35" i="8"/>
  <c r="E35" i="8"/>
  <c r="E19" i="13"/>
  <c r="D19" i="13"/>
  <c r="C19" i="13"/>
  <c r="E17" i="13"/>
  <c r="D17" i="13"/>
  <c r="C17" i="13"/>
  <c r="E16" i="13"/>
  <c r="D16" i="13"/>
  <c r="C16" i="13"/>
  <c r="D14" i="13"/>
  <c r="E14" i="13"/>
  <c r="F14" i="13" s="1"/>
  <c r="F8" i="7" s="1"/>
  <c r="F23" i="7" s="1"/>
  <c r="C14" i="13"/>
  <c r="E12" i="13"/>
  <c r="F12" i="13" s="1"/>
  <c r="D12" i="13"/>
  <c r="C12" i="13"/>
  <c r="E11" i="13"/>
  <c r="F11" i="13" s="1"/>
  <c r="G11" i="13" s="1"/>
  <c r="H11" i="13" s="1"/>
  <c r="I11" i="13" s="1"/>
  <c r="J11" i="13" s="1"/>
  <c r="D11" i="13"/>
  <c r="C11" i="13"/>
  <c r="C35" i="8"/>
  <c r="C36" i="8" s="1"/>
  <c r="C31" i="8"/>
  <c r="C30" i="8"/>
  <c r="C32" i="8" s="1"/>
  <c r="C24" i="8"/>
  <c r="C22" i="8"/>
  <c r="C21" i="8"/>
  <c r="C25" i="8" s="1"/>
  <c r="C18" i="8"/>
  <c r="D31" i="8"/>
  <c r="D30" i="8"/>
  <c r="D24" i="8"/>
  <c r="D22" i="8"/>
  <c r="D21" i="8"/>
  <c r="D18" i="8"/>
  <c r="F10" i="3"/>
  <c r="E36" i="8"/>
  <c r="E31" i="8"/>
  <c r="E30" i="8"/>
  <c r="E32" i="8" s="1"/>
  <c r="E24" i="8"/>
  <c r="E22" i="8"/>
  <c r="E21" i="8"/>
  <c r="E18" i="8"/>
  <c r="D15" i="8"/>
  <c r="D38" i="13" s="1"/>
  <c r="E15" i="8"/>
  <c r="E16" i="8" s="1"/>
  <c r="E19" i="8" s="1"/>
  <c r="C15" i="8"/>
  <c r="C38" i="13" s="1"/>
  <c r="C19" i="7"/>
  <c r="C13" i="13" s="1"/>
  <c r="D19" i="7"/>
  <c r="D13" i="13" s="1"/>
  <c r="E19" i="7"/>
  <c r="E13" i="13" s="1"/>
  <c r="F13" i="13" s="1"/>
  <c r="G13" i="13" s="1"/>
  <c r="H13" i="13" s="1"/>
  <c r="I13" i="13" s="1"/>
  <c r="J13" i="13" s="1"/>
  <c r="H6" i="13"/>
  <c r="H8" i="13" s="1"/>
  <c r="I6" i="13"/>
  <c r="I7" i="13" s="1"/>
  <c r="J6" i="13"/>
  <c r="J8" i="13" s="1"/>
  <c r="G6" i="13"/>
  <c r="G8" i="13" s="1"/>
  <c r="F6" i="13"/>
  <c r="F8" i="13" s="1"/>
  <c r="AC6" i="32"/>
  <c r="AD6" i="32" s="1"/>
  <c r="AB6" i="32"/>
  <c r="AC5" i="32"/>
  <c r="AD5" i="32" s="1"/>
  <c r="AB5" i="32"/>
  <c r="AC4" i="32"/>
  <c r="AD4" i="32" s="1"/>
  <c r="AB4" i="32"/>
  <c r="AC3" i="32"/>
  <c r="AD3" i="32"/>
  <c r="AB3" i="32"/>
  <c r="AC2" i="32"/>
  <c r="AD2" i="32"/>
  <c r="AB2" i="32"/>
  <c r="Y6" i="32"/>
  <c r="X6" i="32"/>
  <c r="W6" i="32"/>
  <c r="Y5" i="32"/>
  <c r="X5" i="32"/>
  <c r="W5" i="32"/>
  <c r="Y4" i="32"/>
  <c r="X4" i="32"/>
  <c r="W4" i="32"/>
  <c r="Y3" i="32"/>
  <c r="X3" i="32"/>
  <c r="W3" i="32"/>
  <c r="L18" i="32"/>
  <c r="L17" i="32"/>
  <c r="L16" i="32"/>
  <c r="L15" i="32"/>
  <c r="Q16" i="32"/>
  <c r="Q17" i="32"/>
  <c r="Q18" i="32"/>
  <c r="Q15" i="32"/>
  <c r="T18" i="32"/>
  <c r="S18" i="32"/>
  <c r="R18" i="32"/>
  <c r="T17" i="32"/>
  <c r="S17" i="32"/>
  <c r="R17" i="32"/>
  <c r="T16" i="32"/>
  <c r="S16" i="32"/>
  <c r="R16" i="32"/>
  <c r="T15" i="32"/>
  <c r="S15" i="32"/>
  <c r="R15" i="32"/>
  <c r="O18" i="32"/>
  <c r="N18" i="32"/>
  <c r="M18" i="32"/>
  <c r="O17" i="32"/>
  <c r="N17" i="32"/>
  <c r="M17" i="32"/>
  <c r="O16" i="32"/>
  <c r="N16" i="32"/>
  <c r="M16" i="32"/>
  <c r="O15" i="32"/>
  <c r="N15" i="32"/>
  <c r="M15" i="32"/>
  <c r="I15" i="32"/>
  <c r="J15" i="32"/>
  <c r="I16" i="32"/>
  <c r="J16" i="32"/>
  <c r="I17" i="32"/>
  <c r="J17" i="32"/>
  <c r="I18" i="32"/>
  <c r="J18" i="32"/>
  <c r="H16" i="32"/>
  <c r="H17" i="32"/>
  <c r="H18" i="32"/>
  <c r="H15" i="32"/>
  <c r="M13" i="32"/>
  <c r="J13" i="32"/>
  <c r="I13" i="32"/>
  <c r="F6" i="32"/>
  <c r="K18" i="32" s="1"/>
  <c r="F5" i="32"/>
  <c r="K17" i="32" s="1"/>
  <c r="F4" i="32"/>
  <c r="K16" i="32" s="1"/>
  <c r="F3" i="32"/>
  <c r="K6" i="32"/>
  <c r="K5" i="32"/>
  <c r="K4" i="32"/>
  <c r="K3" i="32"/>
  <c r="K15" i="32" s="1"/>
  <c r="L7" i="32"/>
  <c r="L12" i="32" s="1"/>
  <c r="P4" i="32"/>
  <c r="U4" i="32" s="1"/>
  <c r="P5" i="32"/>
  <c r="P17" i="32" s="1"/>
  <c r="P6" i="32"/>
  <c r="U6" i="32" s="1"/>
  <c r="P3" i="32"/>
  <c r="P7" i="32" s="1"/>
  <c r="P11" i="32" s="1"/>
  <c r="Q7" i="32"/>
  <c r="Q10" i="32" s="1"/>
  <c r="G7" i="32"/>
  <c r="G13" i="32" s="1"/>
  <c r="S7" i="32"/>
  <c r="S10" i="32" s="1"/>
  <c r="R7" i="32"/>
  <c r="R10" i="32" s="1"/>
  <c r="O7" i="32"/>
  <c r="O10" i="32" s="1"/>
  <c r="N7" i="32"/>
  <c r="N10" i="32" s="1"/>
  <c r="M7" i="32"/>
  <c r="M12" i="32" s="1"/>
  <c r="J7" i="32"/>
  <c r="J12" i="32" s="1"/>
  <c r="I7" i="32"/>
  <c r="I12" i="32" s="1"/>
  <c r="H7" i="32"/>
  <c r="H13" i="32" s="1"/>
  <c r="E7" i="32"/>
  <c r="E12" i="32" s="1"/>
  <c r="D7" i="32"/>
  <c r="D13" i="32" s="1"/>
  <c r="C7" i="32"/>
  <c r="C11" i="32" s="1"/>
  <c r="T7" i="32"/>
  <c r="T10" i="32" s="1"/>
  <c r="B11" i="32"/>
  <c r="B16" i="32" s="1"/>
  <c r="B12" i="32"/>
  <c r="B17" i="32" s="1"/>
  <c r="B13" i="32"/>
  <c r="B18" i="32" s="1"/>
  <c r="B10" i="32"/>
  <c r="B15" i="32" s="1"/>
  <c r="A1" i="32"/>
  <c r="F8" i="3"/>
  <c r="F7" i="3"/>
  <c r="G10" i="7"/>
  <c r="H10" i="7"/>
  <c r="I10" i="7"/>
  <c r="J10" i="7"/>
  <c r="G11" i="7"/>
  <c r="H11" i="7"/>
  <c r="I11" i="7"/>
  <c r="J11" i="7"/>
  <c r="A1" i="10"/>
  <c r="E25" i="8"/>
  <c r="D36" i="8"/>
  <c r="C10" i="5"/>
  <c r="C18" i="5" s="1"/>
  <c r="D2" i="5"/>
  <c r="E2" i="5" s="1"/>
  <c r="F6" i="3"/>
  <c r="G18" i="13"/>
  <c r="J11" i="6"/>
  <c r="J30" i="6" s="1"/>
  <c r="I11" i="6"/>
  <c r="I30" i="6" s="1"/>
  <c r="H11" i="6"/>
  <c r="H16" i="6" s="1"/>
  <c r="H24" i="6" s="1"/>
  <c r="G11" i="6"/>
  <c r="G16" i="6" s="1"/>
  <c r="G24" i="6" s="1"/>
  <c r="F11" i="6"/>
  <c r="F30" i="6" s="1"/>
  <c r="E11" i="6"/>
  <c r="E16" i="6" s="1"/>
  <c r="E24" i="6" s="1"/>
  <c r="D11" i="6"/>
  <c r="D16" i="6" s="1"/>
  <c r="D24" i="6" s="1"/>
  <c r="C11" i="6"/>
  <c r="C30" i="6" s="1"/>
  <c r="F24" i="13"/>
  <c r="G24" i="13" s="1"/>
  <c r="F23" i="13"/>
  <c r="F4" i="6" s="1"/>
  <c r="D2" i="10"/>
  <c r="E2" i="10" s="1"/>
  <c r="F2" i="10" s="1"/>
  <c r="G2" i="10" s="1"/>
  <c r="H2" i="10" s="1"/>
  <c r="I2" i="10" s="1"/>
  <c r="J2" i="10" s="1"/>
  <c r="D2" i="9"/>
  <c r="E2" i="9" s="1"/>
  <c r="F2" i="9" s="1"/>
  <c r="G2" i="9" s="1"/>
  <c r="H2" i="9" s="1"/>
  <c r="I2" i="9" s="1"/>
  <c r="J2" i="9" s="1"/>
  <c r="J14" i="8"/>
  <c r="I14" i="8"/>
  <c r="H14" i="8"/>
  <c r="G14" i="8"/>
  <c r="F14" i="8"/>
  <c r="E14" i="8"/>
  <c r="D14" i="8"/>
  <c r="C14" i="8"/>
  <c r="F11" i="7"/>
  <c r="F28" i="7" s="1"/>
  <c r="J15" i="7"/>
  <c r="I15" i="7"/>
  <c r="H15" i="7"/>
  <c r="G15" i="7"/>
  <c r="F15" i="7"/>
  <c r="E15" i="7"/>
  <c r="D15" i="7"/>
  <c r="C15" i="7"/>
  <c r="A1" i="3"/>
  <c r="A1" i="13"/>
  <c r="A1" i="5"/>
  <c r="A1" i="6"/>
  <c r="A1" i="7"/>
  <c r="A1" i="8"/>
  <c r="A1" i="9"/>
  <c r="A1" i="11"/>
  <c r="A1" i="12"/>
  <c r="F8" i="6"/>
  <c r="F11" i="5"/>
  <c r="F16" i="5" s="1"/>
  <c r="B20" i="5"/>
  <c r="F9" i="6"/>
  <c r="G9" i="6"/>
  <c r="H9" i="6"/>
  <c r="I9" i="6"/>
  <c r="J9" i="6"/>
  <c r="J8" i="6"/>
  <c r="I8" i="6"/>
  <c r="H8" i="6"/>
  <c r="G8" i="6"/>
  <c r="J11" i="5"/>
  <c r="I11" i="5"/>
  <c r="H11" i="5"/>
  <c r="E2" i="12"/>
  <c r="F2" i="12"/>
  <c r="G2" i="12"/>
  <c r="H2" i="12"/>
  <c r="F10" i="7"/>
  <c r="F27" i="7" s="1"/>
  <c r="G11" i="5"/>
  <c r="C7" i="12" l="1"/>
  <c r="G7" i="12" s="1"/>
  <c r="G8" i="12"/>
  <c r="J24" i="5"/>
  <c r="I24" i="5"/>
  <c r="J25" i="5" s="1"/>
  <c r="H24" i="5"/>
  <c r="G24" i="5"/>
  <c r="H17" i="7"/>
  <c r="H20" i="7" s="1"/>
  <c r="I16" i="7"/>
  <c r="H18" i="7"/>
  <c r="H7" i="5"/>
  <c r="H19" i="7"/>
  <c r="G19" i="7"/>
  <c r="G18" i="7"/>
  <c r="G17" i="7"/>
  <c r="G22" i="6"/>
  <c r="H17" i="6"/>
  <c r="H20" i="6" s="1"/>
  <c r="G9" i="5"/>
  <c r="H6" i="5" s="1"/>
  <c r="H25" i="5"/>
  <c r="G25" i="5"/>
  <c r="G10" i="13"/>
  <c r="G4" i="7" s="1"/>
  <c r="H10" i="13"/>
  <c r="H4" i="7" s="1"/>
  <c r="J10" i="13"/>
  <c r="J4" i="7" s="1"/>
  <c r="I10" i="13"/>
  <c r="I4" i="7" s="1"/>
  <c r="F33" i="13"/>
  <c r="G33" i="13" s="1"/>
  <c r="H33" i="13" s="1"/>
  <c r="I33" i="13" s="1"/>
  <c r="J33" i="13" s="1"/>
  <c r="D16" i="8"/>
  <c r="D25" i="13" s="1"/>
  <c r="C20" i="7"/>
  <c r="C16" i="8"/>
  <c r="C25" i="13" s="1"/>
  <c r="D20" i="7"/>
  <c r="E38" i="13"/>
  <c r="F38" i="13" s="1"/>
  <c r="E25" i="13"/>
  <c r="C39" i="8"/>
  <c r="C19" i="8"/>
  <c r="C27" i="8" s="1"/>
  <c r="D32" i="8"/>
  <c r="D25" i="8"/>
  <c r="D19" i="8"/>
  <c r="I8" i="13"/>
  <c r="F7" i="13"/>
  <c r="J7" i="13"/>
  <c r="H7" i="13"/>
  <c r="G7" i="13"/>
  <c r="D39" i="8"/>
  <c r="AD7" i="32"/>
  <c r="AB7" i="32"/>
  <c r="AC7" i="32"/>
  <c r="F7" i="32"/>
  <c r="F13" i="32" s="1"/>
  <c r="F11" i="32"/>
  <c r="C13" i="32"/>
  <c r="P18" i="32"/>
  <c r="D10" i="32"/>
  <c r="F10" i="32"/>
  <c r="G10" i="32"/>
  <c r="E10" i="32"/>
  <c r="E11" i="32"/>
  <c r="V6" i="32"/>
  <c r="V18" i="32" s="1"/>
  <c r="Z6" i="32"/>
  <c r="V4" i="32"/>
  <c r="V16" i="32" s="1"/>
  <c r="Z4" i="32"/>
  <c r="D11" i="32"/>
  <c r="D12" i="32"/>
  <c r="X7" i="32"/>
  <c r="X10" i="32" s="1"/>
  <c r="E13" i="32"/>
  <c r="K7" i="32"/>
  <c r="K8" i="32" s="1"/>
  <c r="M11" i="32"/>
  <c r="Y7" i="32"/>
  <c r="Y10" i="32" s="1"/>
  <c r="AA4" i="32"/>
  <c r="AA16" i="32" s="1"/>
  <c r="H10" i="32"/>
  <c r="W7" i="32"/>
  <c r="W10" i="32" s="1"/>
  <c r="I10" i="32"/>
  <c r="AA6" i="32"/>
  <c r="AA18" i="32" s="1"/>
  <c r="P13" i="32"/>
  <c r="I11" i="32"/>
  <c r="L11" i="32"/>
  <c r="U3" i="32"/>
  <c r="T11" i="32"/>
  <c r="U5" i="32"/>
  <c r="J10" i="32"/>
  <c r="M10" i="32"/>
  <c r="H11" i="32"/>
  <c r="J11" i="32"/>
  <c r="H12" i="32"/>
  <c r="P12" i="32"/>
  <c r="Q12" i="32"/>
  <c r="T12" i="32"/>
  <c r="C12" i="32"/>
  <c r="N12" i="32"/>
  <c r="O12" i="32"/>
  <c r="R12" i="32"/>
  <c r="S12" i="32"/>
  <c r="O11" i="32"/>
  <c r="N13" i="32"/>
  <c r="O13" i="32"/>
  <c r="P15" i="32"/>
  <c r="Q13" i="32"/>
  <c r="P16" i="32"/>
  <c r="P10" i="32"/>
  <c r="T13" i="32"/>
  <c r="G11" i="32"/>
  <c r="N11" i="32"/>
  <c r="G12" i="32"/>
  <c r="Q11" i="32"/>
  <c r="R11" i="32"/>
  <c r="S11" i="32"/>
  <c r="L13" i="32"/>
  <c r="L10" i="32"/>
  <c r="R13" i="32"/>
  <c r="S13" i="32"/>
  <c r="O8" i="32"/>
  <c r="C10" i="32"/>
  <c r="Q8" i="32"/>
  <c r="I8" i="32"/>
  <c r="M8" i="32"/>
  <c r="T8" i="32"/>
  <c r="R8" i="32"/>
  <c r="N8" i="32"/>
  <c r="S8" i="32"/>
  <c r="L8" i="32"/>
  <c r="H8" i="32"/>
  <c r="J8" i="32"/>
  <c r="G30" i="6"/>
  <c r="E30" i="6"/>
  <c r="F5" i="6"/>
  <c r="F8" i="8"/>
  <c r="F23" i="8" s="1"/>
  <c r="G12" i="7"/>
  <c r="H18" i="13"/>
  <c r="G5" i="6"/>
  <c r="H24" i="13"/>
  <c r="G46" i="13"/>
  <c r="G14" i="13"/>
  <c r="G23" i="13"/>
  <c r="G4" i="6" s="1"/>
  <c r="D10" i="5"/>
  <c r="D18" i="5" s="1"/>
  <c r="E10" i="5"/>
  <c r="E18" i="5" s="1"/>
  <c r="F2" i="5"/>
  <c r="F16" i="6"/>
  <c r="F24" i="6" s="1"/>
  <c r="D30" i="6"/>
  <c r="J16" i="6"/>
  <c r="J24" i="6" s="1"/>
  <c r="D27" i="8"/>
  <c r="C16" i="6"/>
  <c r="C24" i="6" s="1"/>
  <c r="I16" i="6"/>
  <c r="I24" i="6" s="1"/>
  <c r="H30" i="6"/>
  <c r="E39" i="8"/>
  <c r="E27" i="8"/>
  <c r="G8" i="8"/>
  <c r="H8" i="8"/>
  <c r="G32" i="13"/>
  <c r="F4" i="5"/>
  <c r="G4" i="5" s="1"/>
  <c r="H4" i="5" s="1"/>
  <c r="I4" i="5" s="1"/>
  <c r="J4" i="5" s="1"/>
  <c r="F6" i="8"/>
  <c r="F18" i="8" s="1"/>
  <c r="G40" i="13"/>
  <c r="G12" i="13"/>
  <c r="F47" i="13"/>
  <c r="F39" i="13"/>
  <c r="E20" i="7"/>
  <c r="F42" i="13"/>
  <c r="F48" i="13"/>
  <c r="C9" i="12" l="1"/>
  <c r="C15" i="12" s="1"/>
  <c r="C18" i="12" s="1"/>
  <c r="G9" i="12"/>
  <c r="G15" i="12" s="1"/>
  <c r="G18" i="12" s="1"/>
  <c r="I25" i="5"/>
  <c r="H33" i="7"/>
  <c r="G20" i="7"/>
  <c r="J16" i="7"/>
  <c r="I17" i="7"/>
  <c r="I19" i="7"/>
  <c r="I18" i="7"/>
  <c r="I7" i="5"/>
  <c r="I20" i="7"/>
  <c r="I17" i="6"/>
  <c r="I20" i="6" s="1"/>
  <c r="H22" i="6"/>
  <c r="H8" i="5"/>
  <c r="H22" i="7" s="1"/>
  <c r="H25" i="7" s="1"/>
  <c r="H9" i="5"/>
  <c r="I6" i="5" s="1"/>
  <c r="F8" i="5"/>
  <c r="D33" i="7"/>
  <c r="D25" i="7"/>
  <c r="C33" i="7"/>
  <c r="C25" i="7"/>
  <c r="E33" i="7"/>
  <c r="E18" i="13" s="1"/>
  <c r="E25" i="7"/>
  <c r="F6" i="6"/>
  <c r="F32" i="6" s="1"/>
  <c r="C41" i="8"/>
  <c r="E41" i="8"/>
  <c r="D41" i="8"/>
  <c r="F12" i="32"/>
  <c r="K10" i="32"/>
  <c r="X11" i="32"/>
  <c r="X13" i="32"/>
  <c r="V5" i="32"/>
  <c r="Z5" i="32"/>
  <c r="Z3" i="32"/>
  <c r="V3" i="32"/>
  <c r="U7" i="32"/>
  <c r="U11" i="32" s="1"/>
  <c r="K11" i="32"/>
  <c r="K13" i="32"/>
  <c r="P8" i="32"/>
  <c r="W13" i="32"/>
  <c r="Y12" i="32"/>
  <c r="Y13" i="32"/>
  <c r="X12" i="32"/>
  <c r="W12" i="32"/>
  <c r="W11" i="32"/>
  <c r="K12" i="32"/>
  <c r="Y11" i="32"/>
  <c r="Z7" i="32"/>
  <c r="Z11" i="32" s="1"/>
  <c r="U12" i="32"/>
  <c r="U13" i="32"/>
  <c r="U10" i="32"/>
  <c r="H12" i="7"/>
  <c r="I18" i="13"/>
  <c r="H5" i="6"/>
  <c r="I24" i="13"/>
  <c r="H12" i="13"/>
  <c r="G6" i="7"/>
  <c r="H23" i="13"/>
  <c r="I23" i="13" s="1"/>
  <c r="H14" i="13"/>
  <c r="G8" i="7"/>
  <c r="G10" i="8"/>
  <c r="H46" i="13"/>
  <c r="G2" i="5"/>
  <c r="F10" i="5"/>
  <c r="F18" i="5" s="1"/>
  <c r="H32" i="13"/>
  <c r="G3" i="5"/>
  <c r="F5" i="8"/>
  <c r="G39" i="13"/>
  <c r="G38" i="13"/>
  <c r="H38" i="13" s="1"/>
  <c r="I38" i="13" s="1"/>
  <c r="J38" i="13" s="1"/>
  <c r="F4" i="8"/>
  <c r="F6" i="7"/>
  <c r="F12" i="8"/>
  <c r="G48" i="13"/>
  <c r="G42" i="13"/>
  <c r="F7" i="8"/>
  <c r="E36" i="7"/>
  <c r="E40" i="7" s="1"/>
  <c r="F11" i="8"/>
  <c r="G47" i="13"/>
  <c r="G6" i="8"/>
  <c r="H40" i="13"/>
  <c r="I8" i="12" l="1"/>
  <c r="J5" i="3"/>
  <c r="J6" i="3" s="1"/>
  <c r="N8" i="12"/>
  <c r="I5" i="3"/>
  <c r="I33" i="7"/>
  <c r="J17" i="7"/>
  <c r="J19" i="7"/>
  <c r="J7" i="5"/>
  <c r="J18" i="7"/>
  <c r="J20" i="7" s="1"/>
  <c r="G25" i="7"/>
  <c r="G33" i="7"/>
  <c r="H35" i="7"/>
  <c r="H36" i="7"/>
  <c r="J17" i="6"/>
  <c r="J20" i="6" s="1"/>
  <c r="J22" i="6" s="1"/>
  <c r="I22" i="6"/>
  <c r="I8" i="5"/>
  <c r="F22" i="7"/>
  <c r="F9" i="5"/>
  <c r="F21" i="8" s="1"/>
  <c r="C18" i="13"/>
  <c r="C36" i="7"/>
  <c r="C40" i="7" s="1"/>
  <c r="D18" i="13"/>
  <c r="D36" i="7"/>
  <c r="D40" i="7" s="1"/>
  <c r="G25" i="13"/>
  <c r="Z13" i="32"/>
  <c r="V17" i="32"/>
  <c r="V15" i="32"/>
  <c r="V7" i="32"/>
  <c r="V12" i="32" s="1"/>
  <c r="Z10" i="32"/>
  <c r="AA3" i="32"/>
  <c r="Z12" i="32"/>
  <c r="AA5" i="32"/>
  <c r="I8" i="8"/>
  <c r="H4" i="6"/>
  <c r="I12" i="7"/>
  <c r="J18" i="13"/>
  <c r="J24" i="13"/>
  <c r="I5" i="6"/>
  <c r="H10" i="8"/>
  <c r="I46" i="13"/>
  <c r="G5" i="7"/>
  <c r="I14" i="13"/>
  <c r="H8" i="7"/>
  <c r="G7" i="7"/>
  <c r="I12" i="13"/>
  <c r="H6" i="7"/>
  <c r="H2" i="5"/>
  <c r="G10" i="5"/>
  <c r="G18" i="5" s="1"/>
  <c r="I4" i="6"/>
  <c r="J23" i="13"/>
  <c r="I32" i="13"/>
  <c r="H3" i="5"/>
  <c r="J8" i="8"/>
  <c r="H47" i="13"/>
  <c r="G11" i="8"/>
  <c r="F5" i="7"/>
  <c r="H42" i="13"/>
  <c r="G7" i="8"/>
  <c r="H48" i="13"/>
  <c r="G12" i="8"/>
  <c r="F36" i="8"/>
  <c r="I40" i="13"/>
  <c r="H6" i="8"/>
  <c r="F7" i="7"/>
  <c r="G4" i="8"/>
  <c r="H39" i="13"/>
  <c r="G5" i="8"/>
  <c r="I6" i="3" l="1"/>
  <c r="K5" i="3"/>
  <c r="K6" i="3" s="1"/>
  <c r="J33" i="7"/>
  <c r="I9" i="5"/>
  <c r="J6" i="5" s="1"/>
  <c r="I22" i="7"/>
  <c r="I25" i="7" s="1"/>
  <c r="H40" i="7"/>
  <c r="H14" i="5"/>
  <c r="G35" i="7"/>
  <c r="G36" i="7" s="1"/>
  <c r="I35" i="7"/>
  <c r="I36" i="7" s="1"/>
  <c r="J8" i="5"/>
  <c r="G6" i="6"/>
  <c r="H25" i="13"/>
  <c r="V10" i="32"/>
  <c r="AA15" i="32"/>
  <c r="AA7" i="32"/>
  <c r="AA12" i="32" s="1"/>
  <c r="AA17" i="32"/>
  <c r="V13" i="32"/>
  <c r="V11" i="32"/>
  <c r="V8" i="32"/>
  <c r="J12" i="7"/>
  <c r="J5" i="6"/>
  <c r="J12" i="13"/>
  <c r="I6" i="7"/>
  <c r="H7" i="7"/>
  <c r="J14" i="13"/>
  <c r="I8" i="7"/>
  <c r="H5" i="7"/>
  <c r="J46" i="13"/>
  <c r="I10" i="8"/>
  <c r="I2" i="5"/>
  <c r="H10" i="5"/>
  <c r="H18" i="5" s="1"/>
  <c r="I3" i="5"/>
  <c r="J32" i="13"/>
  <c r="J4" i="6"/>
  <c r="J40" i="13"/>
  <c r="I6" i="8"/>
  <c r="H12" i="8"/>
  <c r="I48" i="13"/>
  <c r="I42" i="13"/>
  <c r="H7" i="8"/>
  <c r="I39" i="13"/>
  <c r="H5" i="8"/>
  <c r="H4" i="8"/>
  <c r="L4" i="11"/>
  <c r="L5" i="11" s="1"/>
  <c r="L6" i="11" s="1"/>
  <c r="L7" i="11" s="1"/>
  <c r="I47" i="13"/>
  <c r="H11" i="8"/>
  <c r="I14" i="5" l="1"/>
  <c r="I40" i="7"/>
  <c r="G40" i="7"/>
  <c r="G14" i="5"/>
  <c r="G17" i="5" s="1"/>
  <c r="J9" i="5"/>
  <c r="J22" i="7"/>
  <c r="J25" i="7" s="1"/>
  <c r="J35" i="7"/>
  <c r="J36" i="7"/>
  <c r="I25" i="13"/>
  <c r="H6" i="6"/>
  <c r="AA8" i="32"/>
  <c r="AA11" i="32"/>
  <c r="AA13" i="32"/>
  <c r="AA10" i="32"/>
  <c r="J10" i="8"/>
  <c r="I5" i="7"/>
  <c r="J8" i="7"/>
  <c r="I7" i="7"/>
  <c r="J6" i="7"/>
  <c r="J2" i="5"/>
  <c r="I10" i="5"/>
  <c r="I18" i="5" s="1"/>
  <c r="J3" i="5"/>
  <c r="I4" i="8"/>
  <c r="F19" i="13"/>
  <c r="G19" i="13" s="1"/>
  <c r="I5" i="8"/>
  <c r="J39" i="13"/>
  <c r="J42" i="13"/>
  <c r="I7" i="8"/>
  <c r="I12" i="8"/>
  <c r="J48" i="13"/>
  <c r="J6" i="8"/>
  <c r="J47" i="13"/>
  <c r="I11" i="8"/>
  <c r="F12" i="7"/>
  <c r="E12" i="11"/>
  <c r="H13" i="5" l="1"/>
  <c r="H17" i="5" s="1"/>
  <c r="G38" i="8"/>
  <c r="J40" i="7"/>
  <c r="J14" i="5"/>
  <c r="I6" i="6"/>
  <c r="J25" i="13"/>
  <c r="J6" i="6" s="1"/>
  <c r="G13" i="7"/>
  <c r="H19" i="13"/>
  <c r="J7" i="7"/>
  <c r="J5" i="7"/>
  <c r="J10" i="5"/>
  <c r="J18" i="5" s="1"/>
  <c r="J7" i="8"/>
  <c r="M4" i="11"/>
  <c r="J12" i="8"/>
  <c r="J11" i="8"/>
  <c r="F7" i="10"/>
  <c r="F16" i="10" s="1"/>
  <c r="J5" i="8"/>
  <c r="F13" i="7"/>
  <c r="J4" i="8"/>
  <c r="I13" i="5" l="1"/>
  <c r="I17" i="5" s="1"/>
  <c r="H38" i="8"/>
  <c r="H13" i="7"/>
  <c r="I19" i="13"/>
  <c r="M5" i="11"/>
  <c r="J13" i="5" l="1"/>
  <c r="J17" i="5" s="1"/>
  <c r="J38" i="8" s="1"/>
  <c r="I38" i="8"/>
  <c r="J19" i="13"/>
  <c r="I13" i="7"/>
  <c r="G3" i="9"/>
  <c r="G10" i="9" s="1"/>
  <c r="G21" i="9" s="1"/>
  <c r="G24" i="9" s="1"/>
  <c r="G25" i="9" s="1"/>
  <c r="M6" i="11"/>
  <c r="M7" i="11"/>
  <c r="G16" i="8" l="1"/>
  <c r="G29" i="8"/>
  <c r="G32" i="8" s="1"/>
  <c r="G39" i="8" s="1"/>
  <c r="J13" i="7"/>
  <c r="M9" i="11"/>
  <c r="M11" i="11" s="1"/>
  <c r="E8" i="11" s="1"/>
  <c r="E13" i="11" s="1"/>
  <c r="H3" i="9"/>
  <c r="H10" i="9" s="1"/>
  <c r="H21" i="9" s="1"/>
  <c r="H24" i="9" s="1"/>
  <c r="G41" i="8" l="1"/>
  <c r="G19" i="8"/>
  <c r="G27" i="8" s="1"/>
  <c r="H23" i="9"/>
  <c r="H25" i="9" s="1"/>
  <c r="G31" i="6"/>
  <c r="G33" i="6" s="1"/>
  <c r="J3" i="9"/>
  <c r="J10" i="9" s="1"/>
  <c r="J21" i="9" s="1"/>
  <c r="J24" i="9" s="1"/>
  <c r="I3" i="9"/>
  <c r="I10" i="9" s="1"/>
  <c r="I21" i="9" s="1"/>
  <c r="I24" i="9" s="1"/>
  <c r="H16" i="8" l="1"/>
  <c r="H29" i="8"/>
  <c r="H32" i="8" s="1"/>
  <c r="H39" i="8" s="1"/>
  <c r="H19" i="8" l="1"/>
  <c r="H27" i="8" s="1"/>
  <c r="H41" i="8" s="1"/>
  <c r="H31" i="6"/>
  <c r="H33" i="6" s="1"/>
  <c r="I23" i="9"/>
  <c r="I25" i="9" s="1"/>
  <c r="F10" i="13"/>
  <c r="I16" i="8" l="1"/>
  <c r="I29" i="8"/>
  <c r="I32" i="8" s="1"/>
  <c r="I39" i="8" s="1"/>
  <c r="F4" i="7"/>
  <c r="F16" i="7" s="1"/>
  <c r="I19" i="8" l="1"/>
  <c r="I27" i="8" s="1"/>
  <c r="I41" i="8" s="1"/>
  <c r="J23" i="9"/>
  <c r="J25" i="9" s="1"/>
  <c r="I31" i="6"/>
  <c r="I33" i="6" s="1"/>
  <c r="F18" i="7"/>
  <c r="F17" i="7"/>
  <c r="F19" i="7"/>
  <c r="J16" i="8" l="1"/>
  <c r="J29" i="8"/>
  <c r="J32" i="8" s="1"/>
  <c r="J39" i="8" s="1"/>
  <c r="F20" i="7"/>
  <c r="F25" i="7" s="1"/>
  <c r="F33" i="7"/>
  <c r="J19" i="8" l="1"/>
  <c r="J27" i="8" s="1"/>
  <c r="J41" i="8" s="1"/>
  <c r="J31" i="6"/>
  <c r="J33" i="6" s="1"/>
  <c r="F35" i="7"/>
  <c r="F36" i="7" s="1"/>
  <c r="F14" i="5" l="1"/>
  <c r="F17" i="5" s="1"/>
  <c r="F38" i="8" s="1"/>
  <c r="F40" i="7"/>
  <c r="F3" i="9"/>
  <c r="F10" i="9" s="1"/>
  <c r="F21" i="9" s="1"/>
  <c r="F24" i="9" s="1"/>
  <c r="F25" i="9" s="1"/>
  <c r="F16" i="8" l="1"/>
  <c r="F29" i="8"/>
  <c r="F32" i="8" s="1"/>
  <c r="F31" i="6"/>
  <c r="F33" i="6" s="1"/>
  <c r="F19" i="8"/>
  <c r="F27" i="8" s="1"/>
  <c r="F39" i="8"/>
  <c r="F41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<sst xmlns="http://schemas.openxmlformats.org/spreadsheetml/2006/main" count="375" uniqueCount="234">
  <si>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</si>
  <si>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</si>
  <si>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</si>
  <si>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</si>
  <si>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</si>
  <si>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</si>
  <si>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</si>
  <si>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</si>
  <si>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</si>
  <si>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</si>
  <si>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</si>
  <si>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</si>
  <si>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</si>
  <si>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</si>
  <si>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</si>
  <si>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</si>
  <si>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</si>
  <si>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</si>
  <si>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</si>
  <si>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</si>
  <si>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</si>
  <si>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</si>
  <si>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</si>
  <si>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</si>
  <si>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</si>
  <si>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</si>
  <si>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</si>
  <si>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</si>
  <si>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</si>
  <si>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</si>
  <si>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</si>
  <si>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</si>
  <si>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</si>
  <si>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</si>
  <si>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</si>
  <si>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</si>
  <si>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</si>
  <si>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</si>
  <si>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</si>
  <si>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</si>
  <si>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</si>
  <si>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</si>
  <si>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</si>
  <si>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</si>
  <si>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</si>
  <si>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</si>
  <si>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</si>
  <si>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</si>
  <si>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</si>
  <si>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</si>
  <si>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</si>
  <si>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</si>
  <si>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</si>
  <si>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</si>
  <si>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</si>
  <si>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</si>
  <si>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</si>
  <si>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</si>
  <si>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</si>
  <si>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Diluted earnings per share</t>
  </si>
  <si>
    <t>Balance sheet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</si>
  <si>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</si>
  <si>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</si>
  <si>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</si>
  <si>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</si>
  <si>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</si>
  <si>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</si>
  <si>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</si>
  <si>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</si>
  <si>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</si>
  <si>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</si>
  <si>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</si>
  <si>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</si>
  <si>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</si>
  <si>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</si>
  <si>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</si>
  <si>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</si>
  <si>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</si>
  <si>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</si>
  <si>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</si>
  <si>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</si>
  <si>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</si>
  <si>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</si>
  <si>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</si>
  <si>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</si>
  <si>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</si>
  <si>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</si>
  <si>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</si>
  <si>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</si>
  <si>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</si>
  <si>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</si>
  <si>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</si>
  <si>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</si>
  <si>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</si>
  <si>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</si>
  <si>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</si>
  <si>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</si>
  <si>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</si>
  <si>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</si>
  <si>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</si>
  <si>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</si>
  <si>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</si>
  <si>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</si>
  <si>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</si>
  <si>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</si>
  <si>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</si>
  <si>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</si>
  <si>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</si>
  <si>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</si>
  <si>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</si>
  <si>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</si>
  <si>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</si>
  <si>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</si>
  <si>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</si>
  <si>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</si>
  <si>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</si>
  <si>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</si>
  <si>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</si>
  <si>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</si>
  <si>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</si>
  <si>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</si>
  <si>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</si>
  <si>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</si>
  <si>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</si>
  <si>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</si>
  <si>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</si>
  <si>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</si>
  <si>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</si>
  <si>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</si>
  <si>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</si>
  <si>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</si>
  <si>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</si>
  <si>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</si>
  <si>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</si>
  <si>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</si>
  <si>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</si>
  <si>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</si>
  <si>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</si>
  <si>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</si>
  <si>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</si>
  <si>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</si>
  <si>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</si>
  <si>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</si>
  <si>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</si>
  <si>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</si>
  <si>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</si>
  <si>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</si>
  <si>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</si>
  <si>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</si>
  <si>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</si>
  <si>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</si>
  <si>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</si>
  <si>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</si>
  <si>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</si>
  <si>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</si>
  <si>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</si>
  <si>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</si>
  <si>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</si>
  <si>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</si>
  <si>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</si>
  <si>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</si>
  <si>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</si>
  <si>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</si>
  <si>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</si>
  <si>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</si>
  <si>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</si>
  <si>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</si>
  <si>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</si>
  <si>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</si>
  <si>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DCF tables</t>
  </si>
  <si>
    <t>Diluted s/o</t>
  </si>
  <si>
    <t>Cash</t>
  </si>
  <si>
    <t>Implied Price</t>
  </si>
  <si>
    <t>Difference</t>
  </si>
  <si>
    <t>R&amp;D</t>
  </si>
  <si>
    <t>R&amp;D % of sales</t>
  </si>
  <si>
    <t>Investments in unconsolidated entities</t>
  </si>
  <si>
    <t>Cost of debt</t>
  </si>
  <si>
    <t>Perpetuity</t>
  </si>
  <si>
    <t>Terminal Mult</t>
  </si>
  <si>
    <t>Model Details</t>
  </si>
  <si>
    <t>Operating Case One</t>
  </si>
  <si>
    <t>Roblox Corporation</t>
  </si>
  <si>
    <t>t</t>
  </si>
  <si>
    <t>Revenues</t>
  </si>
  <si>
    <t>U.S. / Canada</t>
  </si>
  <si>
    <t>Europe</t>
  </si>
  <si>
    <t>APAC</t>
  </si>
  <si>
    <t>Other</t>
  </si>
  <si>
    <t>TOTAL REVENUES</t>
  </si>
  <si>
    <t>y/y</t>
  </si>
  <si>
    <t>%</t>
  </si>
  <si>
    <t>Q123</t>
  </si>
  <si>
    <t>Q223</t>
  </si>
  <si>
    <t>Q323</t>
  </si>
  <si>
    <t>Q122</t>
  </si>
  <si>
    <t>Q222</t>
  </si>
  <si>
    <t>Q322</t>
  </si>
  <si>
    <t>Q422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</si>
  <si>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</si>
  <si>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</si>
  <si>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</si>
  <si>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</si>
  <si>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</si>
  <si>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</si>
  <si>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</si>
  <si>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</si>
  <si>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</si>
  <si>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</si>
  <si>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</si>
  <si>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</si>
  <si>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</si>
  <si>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y</t>
  </si>
  <si>
    <t>Stock Based Compensation</t>
  </si>
  <si>
    <t>Stock Based compensation growth</t>
  </si>
  <si>
    <t>NO REVOLVER</t>
  </si>
  <si>
    <t>Additional Paid Capital</t>
  </si>
  <si>
    <t>Additional Paid in Compensation</t>
  </si>
  <si>
    <t>(inc) / dec in LT assets</t>
  </si>
  <si>
    <t>inc / (dec) in LT liabilities</t>
  </si>
  <si>
    <t>Cash Flow From Operations</t>
  </si>
  <si>
    <t>Cash Flow From Investing</t>
  </si>
  <si>
    <t xml:space="preserve">Share issuance </t>
  </si>
  <si>
    <t>Debt issuance</t>
  </si>
  <si>
    <t>Cash Flow From Financing</t>
  </si>
  <si>
    <t>Net changes in cash</t>
  </si>
  <si>
    <t>Beginning Cash</t>
  </si>
  <si>
    <t>Ending Cash</t>
  </si>
  <si>
    <t>Investments</t>
  </si>
  <si>
    <t>Discount factor</t>
  </si>
  <si>
    <t>PV FCF</t>
  </si>
  <si>
    <t>LTGR</t>
  </si>
  <si>
    <t>Average</t>
  </si>
  <si>
    <t>Exit Mult.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</si>
</sst>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8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309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75" fontId="33" fillId="35" borderId="0" xfId="0" applyNumberFormat="1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75" fontId="33" fillId="35" borderId="0" xfId="0" applyNumberFormat="1" applyFont="1" applyFill="1" applyAlignment="1">
      <alignment horizontal="right"/>
    </xf>
    <xf numFmtId="167" fontId="33" fillId="34" borderId="17" xfId="0" applyFont="1" applyFill="1" applyBorder="1"/>
    <xf numFmtId="175" fontId="58" fillId="35" borderId="0" xfId="0" applyNumberFormat="1" applyFont="1" applyFill="1"/>
    <xf numFmtId="175" fontId="59" fillId="35" borderId="0" xfId="3" applyNumberFormat="1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66" fontId="39" fillId="35" borderId="0" xfId="59" applyFont="1" applyFill="1" applyProtection="1"/>
    <xf numFmtId="172" fontId="37" fillId="35" borderId="0" xfId="3" applyNumberFormat="1" applyFont="1" applyFill="1" applyBorder="1" applyProtection="1"/>
    <xf numFmtId="166" fontId="33" fillId="35" borderId="0" xfId="59" applyFont="1" applyFill="1" applyProtection="1"/>
    <xf numFmtId="179" fontId="40" fillId="0" borderId="18" xfId="0" applyNumberFormat="1" applyFont="1" applyBorder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67" fontId="39" fillId="35" borderId="15" xfId="0" applyFont="1" applyFill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79" fontId="39" fillId="0" borderId="0" xfId="4" applyNumberFormat="1" applyFont="1" applyBorder="1"/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69" fontId="40" fillId="0" borderId="0" xfId="4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3" fillId="0" borderId="0" xfId="0" applyNumberFormat="1" applyFont="1"/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9" fontId="39" fillId="0" borderId="0" xfId="59" applyNumberFormat="1" applyFont="1" applyAlignment="1" applyProtection="1">
      <alignment horizontal="right"/>
    </xf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75" fontId="33" fillId="35" borderId="0" xfId="4" applyNumberFormat="1" applyFont="1" applyFill="1"/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37" fontId="39" fillId="0" borderId="0" xfId="0" applyNumberFormat="1" applyFont="1"/>
    <xf numFmtId="37" fontId="45" fillId="0" borderId="0" xfId="0" applyNumberFormat="1" applyFont="1"/>
    <xf numFmtId="9" fontId="39" fillId="0" borderId="15" xfId="0" applyNumberFormat="1" applyFont="1" applyBorder="1"/>
    <xf numFmtId="37" fontId="39" fillId="0" borderId="18" xfId="0" applyNumberFormat="1" applyFont="1" applyBorder="1"/>
    <xf numFmtId="37" fontId="45" fillId="0" borderId="18" xfId="0" applyNumberFormat="1" applyFont="1" applyBorder="1"/>
    <xf numFmtId="9" fontId="39" fillId="0" borderId="17" xfId="0" applyNumberFormat="1" applyFont="1" applyBorder="1"/>
    <xf numFmtId="178" fontId="33" fillId="42" borderId="0" xfId="0" applyNumberFormat="1" applyFont="1" applyFill="1"/>
    <xf numFmtId="178" fontId="33" fillId="42" borderId="0" xfId="0" applyNumberFormat="1" applyFont="1" applyFill="1" applyAlignment="1">
      <alignment horizontal="right"/>
    </xf>
    <xf numFmtId="178" fontId="33" fillId="0" borderId="0" xfId="0" applyNumberFormat="1" applyFont="1" applyFill="1"/>
    <xf numFmtId="37" fontId="39" fillId="0" borderId="21" xfId="0" applyNumberFormat="1" applyFont="1" applyBorder="1"/>
    <xf numFmtId="37" fontId="45" fillId="0" borderId="21" xfId="0" applyNumberFormat="1" applyFont="1" applyBorder="1"/>
    <xf numFmtId="9" fontId="39" fillId="0" borderId="22" xfId="0" applyNumberFormat="1" applyFont="1" applyBorder="1"/>
    <xf numFmtId="9" fontId="39" fillId="0" borderId="16" xfId="0" applyNumberFormat="1" applyFont="1" applyBorder="1"/>
    <xf numFmtId="9" fontId="39" fillId="0" borderId="18" xfId="0" applyNumberFormat="1" applyFont="1" applyBorder="1"/>
    <xf numFmtId="9" fontId="39" fillId="0" borderId="19" xfId="0" applyNumberFormat="1" applyFont="1" applyBorder="1"/>
    <xf numFmtId="9" fontId="39" fillId="0" borderId="21" xfId="0" applyNumberFormat="1" applyFont="1" applyBorder="1"/>
    <xf numFmtId="37" fontId="39" fillId="0" borderId="0" xfId="0" applyNumberFormat="1" applyFont="1" applyBorder="1"/>
    <xf numFmtId="9" fontId="39" fillId="0" borderId="0" xfId="0" applyNumberFormat="1" applyFont="1" applyBorder="1"/>
    <xf numFmtId="9" fontId="37" fillId="43" borderId="16" xfId="0" applyNumberFormat="1" applyFont="1" applyFill="1" applyBorder="1"/>
    <xf numFmtId="9" fontId="37" fillId="43" borderId="18" xfId="0" applyNumberFormat="1" applyFont="1" applyFill="1" applyBorder="1"/>
    <xf numFmtId="9" fontId="37" fillId="43" borderId="15" xfId="0" applyNumberFormat="1" applyFont="1" applyFill="1" applyBorder="1"/>
    <xf numFmtId="9" fontId="37" fillId="43" borderId="0" xfId="0" applyNumberFormat="1" applyFont="1" applyFill="1" applyBorder="1"/>
    <xf numFmtId="167" fontId="39" fillId="0" borderId="0" xfId="0" applyFont="1" applyBorder="1"/>
    <xf numFmtId="9" fontId="39" fillId="0" borderId="0" xfId="0" applyNumberFormat="1" applyFont="1" applyFill="1"/>
    <xf numFmtId="9" fontId="39" fillId="0" borderId="20" xfId="0" applyNumberFormat="1" applyFont="1" applyBorder="1"/>
    <xf numFmtId="178" fontId="33" fillId="42" borderId="18" xfId="0" applyNumberFormat="1" applyFont="1" applyFill="1" applyBorder="1" applyAlignment="1">
      <alignment horizontal="right"/>
    </xf>
    <xf numFmtId="167" fontId="45" fillId="0" borderId="0" xfId="0" applyNumberFormat="1" applyFont="1"/>
    <xf numFmtId="167" fontId="45" fillId="0" borderId="12" xfId="0" applyNumberFormat="1" applyFont="1" applyBorder="1"/>
    <xf numFmtId="167" fontId="45" fillId="0" borderId="13" xfId="0" applyNumberFormat="1" applyFont="1" applyBorder="1"/>
    <xf numFmtId="167" fontId="37" fillId="0" borderId="0" xfId="0" applyFont="1" applyBorder="1"/>
    <xf numFmtId="166" fontId="37" fillId="0" borderId="0" xfId="0" applyNumberFormat="1" applyFont="1" applyBorder="1"/>
    <xf numFmtId="173" fontId="56" fillId="33" borderId="1" xfId="3" applyNumberFormat="1" applyFont="1"/>
    <xf numFmtId="10" fontId="33" fillId="0" borderId="0" xfId="54" applyNumberFormat="1" applyFont="1" applyFill="1"/>
    <xf numFmtId="10" fontId="67" fillId="33" borderId="1" xfId="3" applyNumberFormat="1" applyFont="1"/>
    <xf numFmtId="10" fontId="67" fillId="0" borderId="0" xfId="3" applyNumberFormat="1" applyFont="1" applyFill="1" applyBorder="1"/>
    <xf numFmtId="166" fontId="39" fillId="0" borderId="0" xfId="57" applyFont="1" applyFill="1"/>
    <xf numFmtId="179" fontId="37" fillId="0" borderId="0" xfId="0" applyNumberFormat="1" applyFont="1" applyBorder="1"/>
    <xf numFmtId="167" fontId="39" fillId="0" borderId="0" xfId="0" applyFont="1" applyFill="1"/>
    <xf numFmtId="180" fontId="39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44546A"/>
      <color rgb="FFEA4335"/>
      <color rgb="FF5F6368"/>
      <color rgb="FF34A853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0"/>
  <sheetViews>
    <sheetView showGridLines="0" tabSelected="1" zoomScaleNormal="100" workbookViewId="0">
      <selection activeCell="J5" sqref="J5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8" customFormat="1" ht="19.5" x14ac:dyDescent="0.3">
      <c r="A1" s="261" t="str">
        <f>CoName</f>
        <v>Roblox Corporation</v>
      </c>
      <c r="B1" s="2"/>
      <c r="C1" s="2"/>
      <c r="D1" s="156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s="15" customFormat="1" x14ac:dyDescent="0.25">
      <c r="A2" s="64" t="s">
        <v>180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4" spans="1:15" x14ac:dyDescent="0.25">
      <c r="B4" s="4" t="s">
        <v>3</v>
      </c>
      <c r="C4" s="50" t="s">
        <v>182</v>
      </c>
      <c r="E4" s="4" t="s">
        <v>164</v>
      </c>
      <c r="F4" s="226">
        <v>105</v>
      </c>
      <c r="H4" s="173" t="s">
        <v>181</v>
      </c>
      <c r="I4" s="172" t="s">
        <v>179</v>
      </c>
      <c r="J4" s="172" t="s">
        <v>178</v>
      </c>
      <c r="K4" s="172" t="s">
        <v>232</v>
      </c>
    </row>
    <row r="5" spans="1:15" x14ac:dyDescent="0.25">
      <c r="B5" s="4" t="s">
        <v>4</v>
      </c>
      <c r="C5" s="51">
        <v>247.43</v>
      </c>
      <c r="E5" s="4" t="s">
        <v>170</v>
      </c>
      <c r="F5" s="163">
        <v>654900</v>
      </c>
      <c r="H5" s="172" t="s">
        <v>172</v>
      </c>
      <c r="I5" s="233">
        <f>'DCF Model'!G18</f>
        <v>96.212534546893338</v>
      </c>
      <c r="J5" s="232">
        <f>'DCF Model'!C18</f>
        <v>104.88802687017424</v>
      </c>
      <c r="K5" s="232">
        <f>AVERAGE(I5:J5)</f>
        <v>100.55028070853379</v>
      </c>
    </row>
    <row r="6" spans="1:15" x14ac:dyDescent="0.25">
      <c r="B6" s="4" t="s">
        <v>5</v>
      </c>
      <c r="C6" s="50" t="s">
        <v>8</v>
      </c>
      <c r="E6" s="4" t="s">
        <v>98</v>
      </c>
      <c r="F6" s="163">
        <f>F5*F4</f>
        <v>68764500</v>
      </c>
      <c r="H6" s="172" t="s">
        <v>173</v>
      </c>
      <c r="I6" s="227">
        <f>I5/$F$4-1</f>
        <v>-8.3690147172444385E-2</v>
      </c>
      <c r="J6" s="227">
        <f>J5/$F$4-1</f>
        <v>-1.0664107602452733E-3</v>
      </c>
      <c r="K6" s="227">
        <f>K5/$F$4-1</f>
        <v>-4.2378278966344829E-2</v>
      </c>
    </row>
    <row r="7" spans="1:15" x14ac:dyDescent="0.25">
      <c r="B7" s="4" t="s">
        <v>6</v>
      </c>
      <c r="C7" s="50" t="s">
        <v>183</v>
      </c>
      <c r="E7" s="4" t="s">
        <v>171</v>
      </c>
      <c r="F7" s="50">
        <f>1016825+1843675</f>
        <v>2860500</v>
      </c>
    </row>
    <row r="8" spans="1:15" x14ac:dyDescent="0.25">
      <c r="B8" s="4" t="s">
        <v>2</v>
      </c>
      <c r="C8" s="50" t="s">
        <v>81</v>
      </c>
      <c r="E8" s="4" t="s">
        <v>139</v>
      </c>
      <c r="F8" s="50">
        <f>992736</f>
        <v>992736</v>
      </c>
    </row>
    <row r="9" spans="1:15" x14ac:dyDescent="0.25">
      <c r="B9" s="4" t="s">
        <v>7</v>
      </c>
      <c r="C9" s="50">
        <v>0</v>
      </c>
      <c r="E9" s="4" t="s">
        <v>116</v>
      </c>
      <c r="F9" s="50">
        <v>12792</v>
      </c>
    </row>
    <row r="10" spans="1:15" x14ac:dyDescent="0.25">
      <c r="E10" s="4" t="s">
        <v>112</v>
      </c>
      <c r="F10" s="50">
        <f>F6-F7+F8+F9</f>
        <v>66909528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1"/>
  <sheetViews>
    <sheetView showGridLines="0" zoomScaleNormal="100" workbookViewId="0"/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61" t="str">
        <f>CoName</f>
        <v>Roblox Corporation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20" x14ac:dyDescent="0.25">
      <c r="A2" s="63" t="s">
        <v>120</v>
      </c>
      <c r="B2" s="105" t="s">
        <v>121</v>
      </c>
      <c r="C2" s="106">
        <v>44926</v>
      </c>
      <c r="D2" s="106">
        <v>45291</v>
      </c>
      <c r="E2" s="106">
        <v>45657</v>
      </c>
      <c r="F2" s="106">
        <v>46022</v>
      </c>
      <c r="G2" s="106">
        <v>46387</v>
      </c>
      <c r="H2" s="106">
        <v>46752</v>
      </c>
      <c r="I2" s="106">
        <v>47118</v>
      </c>
      <c r="J2" s="106">
        <v>47483</v>
      </c>
      <c r="K2" s="199"/>
      <c r="L2" s="199"/>
    </row>
    <row r="3" spans="1:20" x14ac:dyDescent="0.25">
      <c r="A3" s="84"/>
      <c r="B3" s="162"/>
      <c r="C3" s="199"/>
      <c r="D3" s="199"/>
      <c r="E3" s="199"/>
      <c r="F3" s="199"/>
      <c r="G3" s="199"/>
      <c r="H3" s="199"/>
      <c r="I3" s="199"/>
      <c r="J3" s="199"/>
      <c r="K3" s="199"/>
      <c r="L3" s="199"/>
    </row>
    <row r="4" spans="1:20" x14ac:dyDescent="0.25">
      <c r="B4" s="92" t="s">
        <v>127</v>
      </c>
      <c r="C4"/>
      <c r="D4" s="266">
        <v>1</v>
      </c>
      <c r="E4"/>
      <c r="F4"/>
      <c r="G4" s="87"/>
      <c r="H4" s="87"/>
      <c r="I4" s="87"/>
      <c r="J4" s="87"/>
      <c r="K4" s="87"/>
      <c r="M4" s="234"/>
      <c r="N4" s="235"/>
      <c r="O4" s="235"/>
    </row>
    <row r="5" spans="1:20" x14ac:dyDescent="0.25">
      <c r="B5" s="86"/>
      <c r="C5" s="88"/>
      <c r="D5" s="112" t="s">
        <v>122</v>
      </c>
      <c r="E5" s="89"/>
      <c r="K5" s="87"/>
      <c r="M5" s="236"/>
      <c r="N5" s="237"/>
      <c r="O5" s="237"/>
    </row>
    <row r="6" spans="1:20" x14ac:dyDescent="0.25">
      <c r="B6" s="90" t="s">
        <v>128</v>
      </c>
      <c r="D6" s="99">
        <v>0</v>
      </c>
      <c r="E6" s="91"/>
      <c r="F6" s="99">
        <f>Revenue!V8</f>
        <v>0.53827450687524792</v>
      </c>
      <c r="G6" s="99">
        <f>Revenue!AA8</f>
        <v>0.44859599593705135</v>
      </c>
      <c r="H6" s="99">
        <f>Revenue!AB8</f>
        <v>0.35</v>
      </c>
      <c r="I6" s="99">
        <f>Revenue!AC8</f>
        <v>0.2</v>
      </c>
      <c r="J6" s="99">
        <f>Revenue!AD8</f>
        <v>0.15</v>
      </c>
      <c r="K6" s="174"/>
      <c r="M6" s="174"/>
      <c r="N6" s="238"/>
      <c r="O6" s="238"/>
      <c r="P6" s="238"/>
      <c r="Q6" s="238"/>
      <c r="R6" s="238"/>
      <c r="S6" s="238"/>
      <c r="T6" s="238"/>
    </row>
    <row r="7" spans="1:20" x14ac:dyDescent="0.25">
      <c r="B7" s="4" t="s">
        <v>124</v>
      </c>
      <c r="D7" s="99">
        <v>2.5000000000000001E-2</v>
      </c>
      <c r="E7" s="91"/>
      <c r="F7" s="99">
        <f>F6+$D$7</f>
        <v>0.56327450687524794</v>
      </c>
      <c r="G7" s="99">
        <f t="shared" ref="G7:J7" si="0">G6+$D$7</f>
        <v>0.47359599593705137</v>
      </c>
      <c r="H7" s="99">
        <f t="shared" si="0"/>
        <v>0.375</v>
      </c>
      <c r="I7" s="99">
        <f t="shared" si="0"/>
        <v>0.22500000000000001</v>
      </c>
      <c r="J7" s="99">
        <f t="shared" si="0"/>
        <v>0.17499999999999999</v>
      </c>
      <c r="K7" s="174"/>
      <c r="M7" s="174"/>
      <c r="N7" s="174"/>
      <c r="O7" s="174"/>
      <c r="P7" s="174"/>
      <c r="Q7" s="174"/>
      <c r="R7" s="174"/>
      <c r="S7" s="174"/>
      <c r="T7" s="174"/>
    </row>
    <row r="8" spans="1:20" x14ac:dyDescent="0.25">
      <c r="B8" s="4" t="s">
        <v>123</v>
      </c>
      <c r="D8" s="99">
        <v>-2.5000000000000001E-2</v>
      </c>
      <c r="E8" s="91"/>
      <c r="F8" s="99">
        <f>F6+$D$8</f>
        <v>0.51327450687524789</v>
      </c>
      <c r="G8" s="99">
        <f t="shared" ref="G8:J8" si="1">G6+$D$8</f>
        <v>0.42359599593705133</v>
      </c>
      <c r="H8" s="99">
        <f t="shared" si="1"/>
        <v>0.32499999999999996</v>
      </c>
      <c r="I8" s="99">
        <f t="shared" si="1"/>
        <v>0.17500000000000002</v>
      </c>
      <c r="J8" s="99">
        <f t="shared" si="1"/>
        <v>0.125</v>
      </c>
      <c r="K8" s="174"/>
    </row>
    <row r="9" spans="1:20" x14ac:dyDescent="0.25">
      <c r="K9" s="29"/>
      <c r="L9" s="29"/>
      <c r="M9" s="174"/>
      <c r="N9" s="174"/>
    </row>
    <row r="10" spans="1:20" x14ac:dyDescent="0.25">
      <c r="B10" s="120" t="s">
        <v>144</v>
      </c>
      <c r="C10" s="193"/>
      <c r="D10" s="193"/>
      <c r="E10" s="194"/>
      <c r="F10" s="103">
        <f t="shared" ref="F10" si="2">CHOOSE(ScenarioREV,F6,F7,F8)</f>
        <v>0.53827450687524792</v>
      </c>
      <c r="G10" s="103">
        <f t="shared" ref="G10:J10" si="3">CHOOSE(ScenarioREV,G6,G7,G8)</f>
        <v>0.44859599593705135</v>
      </c>
      <c r="H10" s="103">
        <f t="shared" si="3"/>
        <v>0.35</v>
      </c>
      <c r="I10" s="103">
        <f t="shared" si="3"/>
        <v>0.2</v>
      </c>
      <c r="J10" s="103">
        <f t="shared" si="3"/>
        <v>0.15</v>
      </c>
      <c r="K10" s="28"/>
      <c r="L10" s="28"/>
      <c r="M10" s="174"/>
      <c r="N10" s="174"/>
    </row>
    <row r="11" spans="1:20" x14ac:dyDescent="0.25">
      <c r="B11" s="4" t="s">
        <v>129</v>
      </c>
      <c r="C11" s="8">
        <f>IncState!C17/IncState!C16</f>
        <v>0.24613267465209801</v>
      </c>
      <c r="D11" s="8">
        <f>IncState!D17/IncState!D16</f>
        <v>0.23188691067755426</v>
      </c>
      <c r="E11" s="8">
        <f>IncState!E17/IncState!E16</f>
        <v>0.22242272928298581</v>
      </c>
      <c r="F11" s="99">
        <f>E11-0.01</f>
        <v>0.21242272928298581</v>
      </c>
      <c r="G11" s="99">
        <f t="shared" ref="G11:J11" si="4">F11-0.01</f>
        <v>0.2024227292829858</v>
      </c>
      <c r="H11" s="99">
        <f t="shared" si="4"/>
        <v>0.19242272928298579</v>
      </c>
      <c r="I11" s="99">
        <f t="shared" si="4"/>
        <v>0.18242272928298578</v>
      </c>
      <c r="J11" s="99">
        <f t="shared" si="4"/>
        <v>0.17242272928298577</v>
      </c>
      <c r="K11" s="174"/>
      <c r="L11" s="174"/>
      <c r="M11" s="174"/>
      <c r="N11" s="174"/>
    </row>
    <row r="12" spans="1:20" x14ac:dyDescent="0.25">
      <c r="B12" s="4" t="s">
        <v>175</v>
      </c>
      <c r="C12" s="8">
        <f>IncState!C18/IncState!C16</f>
        <v>0.39256475803711555</v>
      </c>
      <c r="D12" s="8">
        <f>IncState!D18/IncState!D16</f>
        <v>0.44782968726891331</v>
      </c>
      <c r="E12" s="8">
        <f>IncState!E18/IncState!E16</f>
        <v>0.40094820097507511</v>
      </c>
      <c r="F12" s="99">
        <f>E12-0.01</f>
        <v>0.3909482009750751</v>
      </c>
      <c r="G12" s="99">
        <f t="shared" ref="G12:J12" si="5">F12</f>
        <v>0.3909482009750751</v>
      </c>
      <c r="H12" s="99">
        <f t="shared" si="5"/>
        <v>0.3909482009750751</v>
      </c>
      <c r="I12" s="99">
        <f t="shared" si="5"/>
        <v>0.3909482009750751</v>
      </c>
      <c r="J12" s="99">
        <f t="shared" si="5"/>
        <v>0.3909482009750751</v>
      </c>
      <c r="K12" s="174"/>
      <c r="L12" s="174"/>
      <c r="M12" s="174"/>
      <c r="N12" s="174"/>
    </row>
    <row r="13" spans="1:20" x14ac:dyDescent="0.25">
      <c r="B13" s="4" t="s">
        <v>43</v>
      </c>
      <c r="C13" s="8">
        <f>IncState!C19/IncState!C16</f>
        <v>0.77647668458984331</v>
      </c>
      <c r="D13" s="8">
        <f>IncState!D19/IncState!D16</f>
        <v>0.77006681018006817</v>
      </c>
      <c r="E13" s="8">
        <f>IncState!E19/IncState!E16</f>
        <v>0.67183262312190051</v>
      </c>
      <c r="F13" s="99">
        <f>E13-0.075</f>
        <v>0.59683262312190055</v>
      </c>
      <c r="G13" s="99">
        <f t="shared" ref="G13:J13" si="6">F13-0.075</f>
        <v>0.5218326231219006</v>
      </c>
      <c r="H13" s="99">
        <f t="shared" si="6"/>
        <v>0.44683262312190059</v>
      </c>
      <c r="I13" s="99">
        <f t="shared" si="6"/>
        <v>0.37183262312190057</v>
      </c>
      <c r="J13" s="99">
        <f t="shared" si="6"/>
        <v>0.29683262312190056</v>
      </c>
      <c r="K13" s="174"/>
      <c r="L13" s="174"/>
    </row>
    <row r="14" spans="1:20" x14ac:dyDescent="0.25">
      <c r="B14" s="4" t="s">
        <v>131</v>
      </c>
      <c r="C14" s="4">
        <f>IncState!C23</f>
        <v>0</v>
      </c>
      <c r="D14" s="4">
        <f>IncState!D23</f>
        <v>0</v>
      </c>
      <c r="E14" s="4">
        <f>IncState!E23</f>
        <v>0</v>
      </c>
      <c r="F14" s="100">
        <f>E14</f>
        <v>0</v>
      </c>
      <c r="G14" s="100">
        <f t="shared" ref="G14:J15" si="7">F14</f>
        <v>0</v>
      </c>
      <c r="H14" s="100">
        <f t="shared" si="7"/>
        <v>0</v>
      </c>
      <c r="I14" s="100">
        <f t="shared" si="7"/>
        <v>0</v>
      </c>
      <c r="J14" s="100">
        <f t="shared" si="7"/>
        <v>0</v>
      </c>
      <c r="K14" s="200"/>
      <c r="L14" s="200"/>
    </row>
    <row r="15" spans="1:20" x14ac:dyDescent="0.25">
      <c r="B15" s="4" t="s">
        <v>214</v>
      </c>
      <c r="D15" s="8">
        <f>IncState!D24/IncState!C24-1</f>
        <v>0.47238328204675839</v>
      </c>
      <c r="E15" s="8">
        <f>IncState!E24/IncState!D24-1</f>
        <v>0.17031407876105886</v>
      </c>
      <c r="F15" s="300">
        <f>AVERAGE(D15:E15)</f>
        <v>0.32134868040390863</v>
      </c>
      <c r="G15" s="300">
        <f>F15</f>
        <v>0.32134868040390863</v>
      </c>
      <c r="H15" s="300">
        <f t="shared" si="7"/>
        <v>0.32134868040390863</v>
      </c>
      <c r="I15" s="300">
        <f t="shared" si="7"/>
        <v>0.32134868040390863</v>
      </c>
      <c r="J15" s="300">
        <f t="shared" si="7"/>
        <v>0.32134868040390863</v>
      </c>
      <c r="K15" s="200"/>
      <c r="L15" s="200"/>
    </row>
    <row r="16" spans="1:20" x14ac:dyDescent="0.25">
      <c r="B16" s="4" t="s">
        <v>132</v>
      </c>
      <c r="C16" s="4">
        <f>IncState!C27</f>
        <v>0</v>
      </c>
      <c r="D16" s="4">
        <f>IncState!D27</f>
        <v>0</v>
      </c>
      <c r="E16" s="4">
        <f>IncState!E27</f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200"/>
      <c r="L16" s="200"/>
    </row>
    <row r="17" spans="1:12" x14ac:dyDescent="0.25">
      <c r="B17" s="4" t="s">
        <v>134</v>
      </c>
      <c r="C17" s="4">
        <f>IncState!C28</f>
        <v>-5744</v>
      </c>
      <c r="D17" s="4">
        <f>IncState!D28</f>
        <v>-527</v>
      </c>
      <c r="E17" s="4">
        <f>IncState!E28</f>
        <v>-11530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200"/>
      <c r="L17" s="200"/>
    </row>
    <row r="18" spans="1:12" x14ac:dyDescent="0.25">
      <c r="B18" s="4" t="s">
        <v>46</v>
      </c>
      <c r="C18" s="8">
        <f>IncState!C35/IncState!C33</f>
        <v>-3.8169374449945142E-3</v>
      </c>
      <c r="D18" s="8">
        <f>IncState!D35/IncState!D33</f>
        <v>-3.9189181023804409E-4</v>
      </c>
      <c r="E18" s="8">
        <f>IncState!E35/IncState!E33</f>
        <v>-4.3929524826481579E-3</v>
      </c>
      <c r="F18" s="99">
        <v>0.12</v>
      </c>
      <c r="G18" s="99">
        <f t="shared" ref="G18:J18" si="8">F18</f>
        <v>0.12</v>
      </c>
      <c r="H18" s="99">
        <f t="shared" si="8"/>
        <v>0.12</v>
      </c>
      <c r="I18" s="99">
        <f t="shared" si="8"/>
        <v>0.12</v>
      </c>
      <c r="J18" s="99">
        <f t="shared" si="8"/>
        <v>0.12</v>
      </c>
      <c r="K18" s="174"/>
      <c r="L18" s="174"/>
    </row>
    <row r="19" spans="1:12" x14ac:dyDescent="0.25">
      <c r="B19" s="4" t="s">
        <v>47</v>
      </c>
      <c r="C19" s="4">
        <f>IncState!C39</f>
        <v>595559</v>
      </c>
      <c r="D19" s="4">
        <f>IncState!D39</f>
        <v>616445</v>
      </c>
      <c r="E19" s="4">
        <f>IncState!E39</f>
        <v>647482</v>
      </c>
      <c r="F19" s="100">
        <f>E19</f>
        <v>647482</v>
      </c>
      <c r="G19" s="100">
        <f t="shared" ref="G19:J19" si="9">F19</f>
        <v>647482</v>
      </c>
      <c r="H19" s="100">
        <f t="shared" si="9"/>
        <v>647482</v>
      </c>
      <c r="I19" s="100">
        <f t="shared" si="9"/>
        <v>647482</v>
      </c>
      <c r="J19" s="100">
        <f t="shared" si="9"/>
        <v>647482</v>
      </c>
      <c r="K19" s="200"/>
      <c r="L19" s="200"/>
    </row>
    <row r="20" spans="1:12" x14ac:dyDescent="0.25">
      <c r="F20" s="102"/>
      <c r="G20" s="102"/>
      <c r="H20" s="102"/>
      <c r="I20" s="102"/>
      <c r="J20" s="102"/>
      <c r="K20" s="174"/>
      <c r="L20" s="174"/>
    </row>
    <row r="21" spans="1:12" x14ac:dyDescent="0.25">
      <c r="A21" s="63" t="s">
        <v>120</v>
      </c>
      <c r="B21" s="105" t="s">
        <v>139</v>
      </c>
      <c r="C21" s="106">
        <v>44926</v>
      </c>
      <c r="D21" s="106">
        <v>45291</v>
      </c>
      <c r="E21" s="106">
        <v>45657</v>
      </c>
      <c r="F21" s="116">
        <v>46022</v>
      </c>
      <c r="G21" s="116">
        <v>46387</v>
      </c>
      <c r="H21" s="116">
        <v>46752</v>
      </c>
      <c r="I21" s="116">
        <v>47118</v>
      </c>
      <c r="J21" s="116">
        <v>47483</v>
      </c>
      <c r="K21" s="201"/>
      <c r="L21" s="201"/>
    </row>
    <row r="22" spans="1:12" x14ac:dyDescent="0.25">
      <c r="A22" s="84"/>
      <c r="B22" s="162"/>
      <c r="C22" s="199"/>
      <c r="D22" s="199"/>
      <c r="E22" s="199"/>
      <c r="F22" s="201"/>
      <c r="G22" s="201"/>
      <c r="H22" s="201"/>
      <c r="I22" s="201"/>
      <c r="J22" s="201"/>
      <c r="K22" s="201"/>
      <c r="L22" s="201"/>
    </row>
    <row r="23" spans="1:12" x14ac:dyDescent="0.25">
      <c r="B23" s="4" t="s">
        <v>133</v>
      </c>
      <c r="E23" s="8">
        <v>0</v>
      </c>
      <c r="F23" s="99">
        <f>E23</f>
        <v>0</v>
      </c>
      <c r="G23" s="99">
        <f t="shared" ref="G23:J23" si="10">F23</f>
        <v>0</v>
      </c>
      <c r="H23" s="99">
        <f t="shared" si="10"/>
        <v>0</v>
      </c>
      <c r="I23" s="99">
        <f t="shared" si="10"/>
        <v>0</v>
      </c>
      <c r="J23" s="99">
        <f t="shared" si="10"/>
        <v>0</v>
      </c>
      <c r="K23" s="174"/>
      <c r="L23" s="174"/>
    </row>
    <row r="24" spans="1:12" x14ac:dyDescent="0.25">
      <c r="B24" s="4" t="s">
        <v>24</v>
      </c>
      <c r="E24" s="8">
        <v>0.04</v>
      </c>
      <c r="F24" s="99">
        <f>E24</f>
        <v>0.04</v>
      </c>
      <c r="G24" s="99">
        <f t="shared" ref="G24:J24" si="11">F24</f>
        <v>0.04</v>
      </c>
      <c r="H24" s="99">
        <f t="shared" si="11"/>
        <v>0.04</v>
      </c>
      <c r="I24" s="99">
        <f t="shared" si="11"/>
        <v>0.04</v>
      </c>
      <c r="J24" s="99">
        <f t="shared" si="11"/>
        <v>0.04</v>
      </c>
      <c r="K24" s="174"/>
      <c r="L24" s="174"/>
    </row>
    <row r="25" spans="1:12" x14ac:dyDescent="0.25">
      <c r="B25" s="4" t="s">
        <v>25</v>
      </c>
      <c r="C25" s="8">
        <f>IncState!C30/BalSheet!C16</f>
        <v>1.3193173969583119E-2</v>
      </c>
      <c r="D25" s="8">
        <f>IncState!D30/BalSheet!D16</f>
        <v>0.22281720236535218</v>
      </c>
      <c r="E25" s="8">
        <f>IncState!E30/BalSheet!E16</f>
        <v>0.27298729574563158</v>
      </c>
      <c r="F25" s="129">
        <f>E25</f>
        <v>0.27298729574563158</v>
      </c>
      <c r="G25" s="129">
        <f t="shared" ref="G25:J25" si="12">F25</f>
        <v>0.27298729574563158</v>
      </c>
      <c r="H25" s="129">
        <f t="shared" si="12"/>
        <v>0.27298729574563158</v>
      </c>
      <c r="I25" s="129">
        <f t="shared" si="12"/>
        <v>0.27298729574563158</v>
      </c>
      <c r="J25" s="129">
        <f t="shared" si="12"/>
        <v>0.27298729574563158</v>
      </c>
      <c r="K25" s="174"/>
      <c r="L25" s="174"/>
    </row>
    <row r="26" spans="1:12" x14ac:dyDescent="0.25">
      <c r="F26" s="102"/>
      <c r="G26" s="102"/>
      <c r="H26" s="102"/>
      <c r="I26" s="102"/>
      <c r="J26" s="102"/>
      <c r="K26" s="174"/>
      <c r="L26" s="174"/>
    </row>
    <row r="27" spans="1:12" x14ac:dyDescent="0.25">
      <c r="B27" s="4" t="s">
        <v>26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200"/>
      <c r="L27" s="200"/>
    </row>
    <row r="28" spans="1:12" x14ac:dyDescent="0.25">
      <c r="B28" s="4" t="s">
        <v>27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200"/>
      <c r="L28" s="200"/>
    </row>
    <row r="29" spans="1:12" x14ac:dyDescent="0.25">
      <c r="F29" s="102"/>
      <c r="G29" s="102"/>
      <c r="H29" s="102"/>
      <c r="I29" s="102"/>
      <c r="J29" s="102"/>
      <c r="K29" s="174"/>
      <c r="L29" s="174"/>
    </row>
    <row r="30" spans="1:12" x14ac:dyDescent="0.25">
      <c r="A30" s="63" t="s">
        <v>120</v>
      </c>
      <c r="B30" s="105" t="s">
        <v>136</v>
      </c>
      <c r="C30" s="106">
        <v>44926</v>
      </c>
      <c r="D30" s="106">
        <v>45291</v>
      </c>
      <c r="E30" s="106">
        <v>45657</v>
      </c>
      <c r="F30" s="116">
        <v>46022</v>
      </c>
      <c r="G30" s="116">
        <v>46387</v>
      </c>
      <c r="H30" s="116">
        <v>46752</v>
      </c>
      <c r="I30" s="116">
        <v>47118</v>
      </c>
      <c r="J30" s="116">
        <v>47483</v>
      </c>
      <c r="K30" s="202"/>
      <c r="L30" s="202"/>
    </row>
    <row r="31" spans="1:12" x14ac:dyDescent="0.25">
      <c r="A31" s="84"/>
      <c r="B31" s="162"/>
      <c r="C31" s="199"/>
      <c r="D31" s="199"/>
      <c r="E31" s="199"/>
      <c r="F31" s="201"/>
      <c r="G31" s="201"/>
      <c r="H31" s="201"/>
      <c r="I31" s="201"/>
      <c r="J31" s="201"/>
      <c r="K31" s="202"/>
      <c r="L31" s="202"/>
    </row>
    <row r="32" spans="1:12" x14ac:dyDescent="0.25">
      <c r="B32" s="4" t="s">
        <v>137</v>
      </c>
      <c r="D32" s="8">
        <f>320667/IncState!D16</f>
        <v>0.11455363069138641</v>
      </c>
      <c r="E32" s="8">
        <f>179646/IncState!E16</f>
        <v>4.98742496832991E-2</v>
      </c>
      <c r="F32" s="224">
        <f>E32</f>
        <v>4.98742496832991E-2</v>
      </c>
      <c r="G32" s="224">
        <f t="shared" ref="G32:J32" si="13">F32</f>
        <v>4.98742496832991E-2</v>
      </c>
      <c r="H32" s="224">
        <f t="shared" si="13"/>
        <v>4.98742496832991E-2</v>
      </c>
      <c r="I32" s="224">
        <f t="shared" si="13"/>
        <v>4.98742496832991E-2</v>
      </c>
      <c r="J32" s="224">
        <f t="shared" si="13"/>
        <v>4.98742496832991E-2</v>
      </c>
      <c r="K32" s="174"/>
      <c r="L32" s="174"/>
    </row>
    <row r="33" spans="1:12" x14ac:dyDescent="0.25">
      <c r="B33" s="4" t="s">
        <v>150</v>
      </c>
      <c r="C33" s="8"/>
      <c r="D33" s="8">
        <f>IncState!D22/BalSheet!C21</f>
        <v>0.18611093228037798</v>
      </c>
      <c r="E33" s="8">
        <f>IncState!E22/BalSheet!D21</f>
        <v>0.16644064133859918</v>
      </c>
      <c r="F33" s="99">
        <f>AVERAGE(D33:E33)</f>
        <v>0.17627578680948858</v>
      </c>
      <c r="G33" s="99">
        <f t="shared" ref="G33:J33" si="14">F33</f>
        <v>0.17627578680948858</v>
      </c>
      <c r="H33" s="99">
        <f t="shared" si="14"/>
        <v>0.17627578680948858</v>
      </c>
      <c r="I33" s="99">
        <f t="shared" si="14"/>
        <v>0.17627578680948858</v>
      </c>
      <c r="J33" s="99">
        <f t="shared" si="14"/>
        <v>0.17627578680948858</v>
      </c>
      <c r="K33" s="174"/>
      <c r="L33" s="174"/>
    </row>
    <row r="34" spans="1:12" x14ac:dyDescent="0.25">
      <c r="B34" s="4" t="s">
        <v>138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203"/>
      <c r="L34" s="203"/>
    </row>
    <row r="35" spans="1:12" x14ac:dyDescent="0.25">
      <c r="F35" s="29"/>
      <c r="G35" s="29"/>
      <c r="H35" s="29"/>
      <c r="I35" s="29"/>
      <c r="J35" s="29"/>
      <c r="K35" s="29"/>
      <c r="L35" s="29"/>
    </row>
    <row r="36" spans="1:12" x14ac:dyDescent="0.25">
      <c r="A36" s="63" t="s">
        <v>120</v>
      </c>
      <c r="B36" s="105" t="s">
        <v>125</v>
      </c>
      <c r="C36" s="106">
        <v>44926</v>
      </c>
      <c r="D36" s="106">
        <v>45291</v>
      </c>
      <c r="E36" s="106">
        <v>45657</v>
      </c>
      <c r="F36" s="115">
        <v>46022</v>
      </c>
      <c r="G36" s="115">
        <v>46387</v>
      </c>
      <c r="H36" s="115">
        <v>46752</v>
      </c>
      <c r="I36" s="115">
        <v>47118</v>
      </c>
      <c r="J36" s="115">
        <v>47483</v>
      </c>
      <c r="K36" s="202"/>
      <c r="L36" s="202"/>
    </row>
    <row r="37" spans="1:12" x14ac:dyDescent="0.25">
      <c r="A37" s="84"/>
      <c r="B37" s="162"/>
      <c r="C37" s="199"/>
      <c r="D37" s="199"/>
      <c r="E37" s="199"/>
      <c r="F37" s="267"/>
      <c r="G37" s="267"/>
      <c r="H37" s="267"/>
      <c r="I37" s="267"/>
      <c r="J37" s="267"/>
      <c r="K37" s="202"/>
      <c r="L37" s="202"/>
    </row>
    <row r="38" spans="1:12" x14ac:dyDescent="0.25">
      <c r="B38" s="4" t="s">
        <v>135</v>
      </c>
      <c r="C38" s="8">
        <f>BalSheet!C15/IncState!C16</f>
        <v>1.4999999999999999E-2</v>
      </c>
      <c r="D38" s="8">
        <f>BalSheet!D15/IncState!D16</f>
        <v>1.4999999999999999E-2</v>
      </c>
      <c r="E38" s="8">
        <f>BalSheet!E15/IncState!E16</f>
        <v>1.4999999999999999E-2</v>
      </c>
      <c r="F38" s="99">
        <f>E38</f>
        <v>1.4999999999999999E-2</v>
      </c>
      <c r="G38" s="99">
        <f t="shared" ref="G38:J38" si="15">F38</f>
        <v>1.4999999999999999E-2</v>
      </c>
      <c r="H38" s="99">
        <f t="shared" si="15"/>
        <v>1.4999999999999999E-2</v>
      </c>
      <c r="I38" s="99">
        <f t="shared" si="15"/>
        <v>1.4999999999999999E-2</v>
      </c>
      <c r="J38" s="99">
        <f t="shared" si="15"/>
        <v>1.4999999999999999E-2</v>
      </c>
      <c r="K38" s="174"/>
      <c r="L38" s="174"/>
    </row>
    <row r="39" spans="1:12" x14ac:dyDescent="0.25">
      <c r="B39" s="4" t="s">
        <v>148</v>
      </c>
      <c r="C39" s="8">
        <f>BalSheet!C17/IncState!C16</f>
        <v>0.17049174581088442</v>
      </c>
      <c r="D39" s="8">
        <f>BalSheet!D17/IncState!D16</f>
        <v>0.18067863310272592</v>
      </c>
      <c r="E39" s="8">
        <f>BalSheet!E17/IncState!E16</f>
        <v>0.17069449877414611</v>
      </c>
      <c r="F39" s="99">
        <f>E39</f>
        <v>0.17069449877414611</v>
      </c>
      <c r="G39" s="99">
        <f t="shared" ref="G39:J39" si="16">F39</f>
        <v>0.17069449877414611</v>
      </c>
      <c r="H39" s="99">
        <f t="shared" si="16"/>
        <v>0.17069449877414611</v>
      </c>
      <c r="I39" s="99">
        <f t="shared" si="16"/>
        <v>0.17069449877414611</v>
      </c>
      <c r="J39" s="99">
        <f t="shared" si="16"/>
        <v>0.17069449877414611</v>
      </c>
      <c r="K39" s="174"/>
      <c r="L39" s="174"/>
    </row>
    <row r="40" spans="1:12" x14ac:dyDescent="0.25">
      <c r="B40" s="4" t="s">
        <v>61</v>
      </c>
      <c r="C40" s="8">
        <f>BalSheet!C18/IncState!C16</f>
        <v>0.21652392842953783</v>
      </c>
      <c r="D40" s="8">
        <f>BalSheet!D18/IncState!D16</f>
        <v>0.7470429832878096</v>
      </c>
      <c r="E40" s="8">
        <f>BalSheet!E18/IncState!E16</f>
        <v>0.66671932290554725</v>
      </c>
      <c r="F40" s="99">
        <f>E40-0.1</f>
        <v>0.56671932290554727</v>
      </c>
      <c r="G40" s="99">
        <f t="shared" ref="F40:J40" si="17">F40</f>
        <v>0.56671932290554727</v>
      </c>
      <c r="H40" s="99">
        <f t="shared" si="17"/>
        <v>0.56671932290554727</v>
      </c>
      <c r="I40" s="99">
        <f t="shared" si="17"/>
        <v>0.56671932290554727</v>
      </c>
      <c r="J40" s="99">
        <f t="shared" si="17"/>
        <v>0.56671932290554727</v>
      </c>
      <c r="K40" s="174"/>
      <c r="L40" s="174"/>
    </row>
    <row r="41" spans="1:12" x14ac:dyDescent="0.25">
      <c r="B41" s="4" t="s">
        <v>176</v>
      </c>
      <c r="C41" s="4">
        <f>BalSheet!C23</f>
        <v>0</v>
      </c>
      <c r="D41" s="4">
        <f>BalSheet!D23</f>
        <v>1043399</v>
      </c>
      <c r="E41" s="4">
        <f>BalSheet!E23</f>
        <v>1610215</v>
      </c>
      <c r="F41" s="100">
        <f>E41+1000000</f>
        <v>2610215</v>
      </c>
      <c r="G41" s="100">
        <f t="shared" ref="G41:J41" si="18">F41+1000000</f>
        <v>3610215</v>
      </c>
      <c r="H41" s="100">
        <f t="shared" si="18"/>
        <v>4610215</v>
      </c>
      <c r="I41" s="100">
        <f t="shared" si="18"/>
        <v>5610215</v>
      </c>
      <c r="J41" s="100">
        <f t="shared" si="18"/>
        <v>6610215</v>
      </c>
      <c r="K41" s="200"/>
      <c r="L41" s="200"/>
    </row>
    <row r="42" spans="1:12" x14ac:dyDescent="0.25">
      <c r="B42" s="4" t="s">
        <v>62</v>
      </c>
      <c r="C42" s="8">
        <f>BalSheet!C24/IncState!C16</f>
        <v>0.10312343262090054</v>
      </c>
      <c r="D42" s="8">
        <f>BalSheet!D24/IncState!D16</f>
        <v>0.10488791022243625</v>
      </c>
      <c r="E42" s="8">
        <f>BalSheet!E24/IncState!E16</f>
        <v>9.3127416900542728E-2</v>
      </c>
      <c r="F42" s="99">
        <f>E42</f>
        <v>9.3127416900542728E-2</v>
      </c>
      <c r="G42" s="99">
        <f t="shared" ref="G42:J42" si="19">F42</f>
        <v>9.3127416900542728E-2</v>
      </c>
      <c r="H42" s="99">
        <f t="shared" si="19"/>
        <v>9.3127416900542728E-2</v>
      </c>
      <c r="I42" s="99">
        <f t="shared" si="19"/>
        <v>9.3127416900542728E-2</v>
      </c>
      <c r="J42" s="99">
        <f t="shared" si="19"/>
        <v>9.3127416900542728E-2</v>
      </c>
      <c r="K42" s="174"/>
      <c r="L42" s="174"/>
    </row>
    <row r="43" spans="1:12" x14ac:dyDescent="0.25">
      <c r="F43" s="29"/>
      <c r="G43" s="29"/>
      <c r="H43" s="29"/>
      <c r="I43" s="29"/>
      <c r="J43" s="29"/>
      <c r="K43" s="29"/>
      <c r="L43" s="29"/>
    </row>
    <row r="44" spans="1:12" x14ac:dyDescent="0.25">
      <c r="A44" s="63" t="s">
        <v>120</v>
      </c>
      <c r="B44" s="105" t="s">
        <v>126</v>
      </c>
      <c r="C44" s="106">
        <v>44926</v>
      </c>
      <c r="D44" s="106">
        <v>45291</v>
      </c>
      <c r="E44" s="106">
        <v>45657</v>
      </c>
      <c r="F44" s="115">
        <v>46022</v>
      </c>
      <c r="G44" s="115">
        <v>46387</v>
      </c>
      <c r="H44" s="115">
        <v>46752</v>
      </c>
      <c r="I44" s="115">
        <v>47118</v>
      </c>
      <c r="J44" s="115">
        <v>47483</v>
      </c>
      <c r="K44" s="202"/>
      <c r="L44" s="202"/>
    </row>
    <row r="45" spans="1:12" x14ac:dyDescent="0.25">
      <c r="A45" s="84"/>
      <c r="B45" s="162"/>
      <c r="C45" s="199"/>
      <c r="D45" s="199"/>
      <c r="E45" s="199"/>
      <c r="F45" s="267"/>
      <c r="G45" s="267"/>
      <c r="H45" s="267"/>
      <c r="I45" s="267"/>
      <c r="J45" s="267"/>
      <c r="K45" s="202"/>
      <c r="L45" s="202"/>
    </row>
    <row r="46" spans="1:12" x14ac:dyDescent="0.25">
      <c r="B46" s="4" t="s">
        <v>149</v>
      </c>
      <c r="C46" s="8">
        <f>BalSheet!C30/IncState!C17</f>
        <v>0.56091210207830433</v>
      </c>
      <c r="D46" s="8">
        <f>BalSheet!D30/IncState!D17</f>
        <v>0.51024548808762704</v>
      </c>
      <c r="E46" s="8">
        <f>BalSheet!E30/IncState!E17</f>
        <v>0.39772106016011743</v>
      </c>
      <c r="F46" s="99">
        <f t="shared" ref="F46:J46" si="20">E46</f>
        <v>0.39772106016011743</v>
      </c>
      <c r="G46" s="99">
        <f t="shared" si="20"/>
        <v>0.39772106016011743</v>
      </c>
      <c r="H46" s="99">
        <f t="shared" si="20"/>
        <v>0.39772106016011743</v>
      </c>
      <c r="I46" s="99">
        <f t="shared" si="20"/>
        <v>0.39772106016011743</v>
      </c>
      <c r="J46" s="99">
        <f t="shared" si="20"/>
        <v>0.39772106016011743</v>
      </c>
      <c r="K46" s="174"/>
      <c r="L46" s="174"/>
    </row>
    <row r="47" spans="1:12" x14ac:dyDescent="0.25">
      <c r="B47" s="4" t="s">
        <v>63</v>
      </c>
      <c r="C47" s="8">
        <f>BalSheet!C31/IncState!C16</f>
        <v>0.97689716914481095</v>
      </c>
      <c r="D47" s="8">
        <f>BalSheet!D31/IncState!D16</f>
        <v>0.97209419299432642</v>
      </c>
      <c r="E47" s="8">
        <f>BalSheet!E31/IncState!E16</f>
        <v>0.92853650729224124</v>
      </c>
      <c r="F47" s="99">
        <f t="shared" ref="F47:J47" si="21">E47</f>
        <v>0.92853650729224124</v>
      </c>
      <c r="G47" s="99">
        <f t="shared" si="21"/>
        <v>0.92853650729224124</v>
      </c>
      <c r="H47" s="99">
        <f t="shared" si="21"/>
        <v>0.92853650729224124</v>
      </c>
      <c r="I47" s="99">
        <f t="shared" si="21"/>
        <v>0.92853650729224124</v>
      </c>
      <c r="J47" s="99">
        <f t="shared" si="21"/>
        <v>0.92853650729224124</v>
      </c>
      <c r="K47" s="174"/>
      <c r="L47" s="174"/>
    </row>
    <row r="48" spans="1:12" x14ac:dyDescent="0.25">
      <c r="B48" s="4" t="s">
        <v>64</v>
      </c>
      <c r="C48" s="8">
        <f>BalSheet!C35/IncState!C16</f>
        <v>0.71936880576274176</v>
      </c>
      <c r="D48" s="8">
        <f>BalSheet!D35/IncState!D16</f>
        <v>0.85757235626094486</v>
      </c>
      <c r="E48" s="8">
        <f>BalSheet!E35/IncState!E16</f>
        <v>0.73101203532835701</v>
      </c>
      <c r="F48" s="99">
        <f t="shared" ref="F48:J48" si="22">E48</f>
        <v>0.73101203532835701</v>
      </c>
      <c r="G48" s="99">
        <f t="shared" si="22"/>
        <v>0.73101203532835701</v>
      </c>
      <c r="H48" s="99">
        <f t="shared" si="22"/>
        <v>0.73101203532835701</v>
      </c>
      <c r="I48" s="99">
        <f t="shared" si="22"/>
        <v>0.73101203532835701</v>
      </c>
      <c r="J48" s="99">
        <f t="shared" si="22"/>
        <v>0.73101203532835701</v>
      </c>
      <c r="K48" s="174"/>
      <c r="L48" s="174"/>
    </row>
    <row r="49" spans="6:10" x14ac:dyDescent="0.25">
      <c r="F49" s="124"/>
      <c r="G49" s="29"/>
      <c r="H49" s="29"/>
      <c r="I49" s="29"/>
      <c r="J49" s="29"/>
    </row>
    <row r="50" spans="6:10" x14ac:dyDescent="0.25">
      <c r="F50" s="125"/>
      <c r="G50" s="93"/>
      <c r="H50" s="93"/>
      <c r="I50" s="93"/>
      <c r="J50" s="93"/>
    </row>
    <row r="51" spans="6:10" x14ac:dyDescent="0.25">
      <c r="F51" s="93"/>
      <c r="G51" s="93"/>
      <c r="H51" s="93"/>
      <c r="I51" s="93"/>
      <c r="J51" s="93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2 F50:J51 F46:J48 K44:L48 F6:K8 K36:L42 F11:L34 F38:J42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E21"/>
  <sheetViews>
    <sheetView showGridLines="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8" sqref="A8"/>
    </sheetView>
  </sheetViews>
  <sheetFormatPr defaultColWidth="11.7109375" defaultRowHeight="15" x14ac:dyDescent="0.25"/>
  <cols>
    <col min="1" max="1" width="2" style="4" bestFit="1" customWidth="1"/>
    <col min="2" max="2" width="16.28515625" style="4" bestFit="1" customWidth="1"/>
    <col min="3" max="6" width="0" style="4" hidden="1" customWidth="1"/>
    <col min="7" max="16384" width="11.7109375" style="4"/>
  </cols>
  <sheetData>
    <row r="1" spans="1:31" ht="19.5" x14ac:dyDescent="0.3">
      <c r="A1" s="261" t="str">
        <f>CoName</f>
        <v>Roblox Corporation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31" s="277" customFormat="1" x14ac:dyDescent="0.25">
      <c r="A2" s="275" t="s">
        <v>184</v>
      </c>
      <c r="B2" s="275"/>
      <c r="C2" s="276" t="s">
        <v>195</v>
      </c>
      <c r="D2" s="276" t="s">
        <v>196</v>
      </c>
      <c r="E2" s="276" t="s">
        <v>197</v>
      </c>
      <c r="F2" s="276" t="s">
        <v>198</v>
      </c>
      <c r="G2" s="276">
        <v>2022</v>
      </c>
      <c r="H2" s="276" t="s">
        <v>192</v>
      </c>
      <c r="I2" s="276" t="s">
        <v>193</v>
      </c>
      <c r="J2" s="276" t="s">
        <v>194</v>
      </c>
      <c r="K2" s="276" t="s">
        <v>199</v>
      </c>
      <c r="L2" s="276">
        <v>2023</v>
      </c>
      <c r="M2" s="276" t="s">
        <v>200</v>
      </c>
      <c r="N2" s="276" t="s">
        <v>201</v>
      </c>
      <c r="O2" s="276" t="s">
        <v>202</v>
      </c>
      <c r="P2" s="276" t="s">
        <v>203</v>
      </c>
      <c r="Q2" s="276">
        <v>2024</v>
      </c>
      <c r="R2" s="276" t="s">
        <v>204</v>
      </c>
      <c r="S2" s="276" t="s">
        <v>205</v>
      </c>
      <c r="T2" s="276" t="s">
        <v>206</v>
      </c>
      <c r="U2" s="276" t="s">
        <v>207</v>
      </c>
      <c r="V2" s="276">
        <v>2025</v>
      </c>
      <c r="W2" s="276" t="s">
        <v>208</v>
      </c>
      <c r="X2" s="276" t="s">
        <v>209</v>
      </c>
      <c r="Y2" s="276" t="s">
        <v>210</v>
      </c>
      <c r="Z2" s="276" t="s">
        <v>211</v>
      </c>
      <c r="AA2" s="276">
        <v>2026</v>
      </c>
      <c r="AB2" s="276">
        <f>AA2+1</f>
        <v>2027</v>
      </c>
      <c r="AC2" s="276">
        <f t="shared" ref="AC2:AD2" si="0">AB2+1</f>
        <v>2028</v>
      </c>
      <c r="AD2" s="294">
        <f t="shared" si="0"/>
        <v>2029</v>
      </c>
    </row>
    <row r="3" spans="1:31" s="269" customFormat="1" x14ac:dyDescent="0.25">
      <c r="A3" s="269" t="s">
        <v>120</v>
      </c>
      <c r="B3" s="269" t="s">
        <v>185</v>
      </c>
      <c r="C3" s="269">
        <v>356646</v>
      </c>
      <c r="D3" s="269">
        <v>390360</v>
      </c>
      <c r="E3" s="269">
        <v>341519</v>
      </c>
      <c r="F3" s="272">
        <f>G3-SUM(C3:E3)</f>
        <v>377430</v>
      </c>
      <c r="G3" s="278">
        <v>1465955</v>
      </c>
      <c r="H3" s="269">
        <v>425763</v>
      </c>
      <c r="I3" s="269">
        <v>439523</v>
      </c>
      <c r="J3" s="269">
        <v>458563</v>
      </c>
      <c r="K3" s="272">
        <f>L3-SUM(H3:J3)</f>
        <v>479963</v>
      </c>
      <c r="L3" s="272">
        <v>1803812</v>
      </c>
      <c r="M3" s="269">
        <v>509564</v>
      </c>
      <c r="N3" s="269">
        <v>565867</v>
      </c>
      <c r="O3" s="269">
        <v>583011</v>
      </c>
      <c r="P3" s="272">
        <f>Q3-SUM(M3:O3)</f>
        <v>622877</v>
      </c>
      <c r="Q3" s="278">
        <v>2281319</v>
      </c>
      <c r="R3" s="269">
        <v>647266</v>
      </c>
      <c r="S3" s="269">
        <v>669648</v>
      </c>
      <c r="T3" s="269">
        <v>816680</v>
      </c>
      <c r="U3" s="272">
        <f>P3*(1+U15)</f>
        <v>1301812.93</v>
      </c>
      <c r="V3" s="278">
        <f>SUM(R3:U3)</f>
        <v>3435406.9299999997</v>
      </c>
      <c r="W3" s="285">
        <f>R3*(1+W15)</f>
        <v>1071225.23</v>
      </c>
      <c r="X3" s="285">
        <f>S3*(1+X15)</f>
        <v>1138401.5999999999</v>
      </c>
      <c r="Y3" s="285">
        <f>T3*(1+Y15)</f>
        <v>1249520.3999999999</v>
      </c>
      <c r="Z3" s="272">
        <f>U3*(1+Z15)</f>
        <v>1510102.9987999997</v>
      </c>
      <c r="AA3" s="278">
        <f>SUM(W3:Z3)</f>
        <v>4969250.2287999997</v>
      </c>
      <c r="AB3" s="269">
        <f>AA3*(1+AB8)</f>
        <v>6708487.8088800004</v>
      </c>
      <c r="AC3" s="269">
        <f t="shared" ref="AC3:AD3" si="1">AB3*(1+AC8)</f>
        <v>8050185.3706560005</v>
      </c>
      <c r="AD3" s="272">
        <f t="shared" si="1"/>
        <v>9257713.1762543991</v>
      </c>
    </row>
    <row r="4" spans="1:31" s="269" customFormat="1" x14ac:dyDescent="0.25">
      <c r="B4" s="269" t="s">
        <v>186</v>
      </c>
      <c r="C4" s="269">
        <v>99202</v>
      </c>
      <c r="D4" s="269">
        <v>108311</v>
      </c>
      <c r="E4" s="269">
        <v>92347</v>
      </c>
      <c r="F4" s="272">
        <f t="shared" ref="F4:F6" si="2">G4-SUM(C4:E4)</f>
        <v>104571</v>
      </c>
      <c r="G4" s="278">
        <v>404431</v>
      </c>
      <c r="H4" s="269">
        <v>118530</v>
      </c>
      <c r="I4" s="269">
        <v>123532</v>
      </c>
      <c r="J4" s="269">
        <v>128412</v>
      </c>
      <c r="K4" s="272">
        <f t="shared" ref="K4:K6" si="3">L4-SUM(H4:J4)</f>
        <v>135159</v>
      </c>
      <c r="L4" s="272">
        <v>505633</v>
      </c>
      <c r="M4" s="269">
        <v>145564</v>
      </c>
      <c r="N4" s="269">
        <v>163407</v>
      </c>
      <c r="O4" s="269">
        <v>167758</v>
      </c>
      <c r="P4" s="272">
        <f t="shared" ref="P4:P6" si="4">Q4-SUM(M4:O4)</f>
        <v>182864</v>
      </c>
      <c r="Q4" s="278">
        <v>659593</v>
      </c>
      <c r="R4" s="269">
        <v>193636</v>
      </c>
      <c r="S4" s="269">
        <v>204672</v>
      </c>
      <c r="T4" s="269">
        <v>264570</v>
      </c>
      <c r="U4" s="272">
        <f>P4*(1+U16)</f>
        <v>382185.75999999995</v>
      </c>
      <c r="V4" s="278">
        <f t="shared" ref="V4:V6" si="5">SUM(R4:U4)</f>
        <v>1045063.76</v>
      </c>
      <c r="W4" s="285">
        <f>R4*(1+W16)</f>
        <v>320467.58</v>
      </c>
      <c r="X4" s="285">
        <f>S4*(1+X16)</f>
        <v>347942.39999999997</v>
      </c>
      <c r="Y4" s="285">
        <f>T4*(1+Y16)</f>
        <v>404792.10000000003</v>
      </c>
      <c r="Z4" s="272">
        <f>U4*(1+Z16)</f>
        <v>443335.48159999994</v>
      </c>
      <c r="AA4" s="278">
        <f t="shared" ref="AA4:AA6" si="6">SUM(W4:Z4)</f>
        <v>1516537.5616000001</v>
      </c>
      <c r="AB4" s="269">
        <f>AA4*(1+AB8)</f>
        <v>2047325.7081600004</v>
      </c>
      <c r="AC4" s="269">
        <f t="shared" ref="AC4:AD4" si="7">AB4*(1+AC8)</f>
        <v>2456790.8497920004</v>
      </c>
      <c r="AD4" s="272">
        <f t="shared" si="7"/>
        <v>2825309.4772608001</v>
      </c>
    </row>
    <row r="5" spans="1:31" s="269" customFormat="1" x14ac:dyDescent="0.25">
      <c r="B5" s="269" t="s">
        <v>187</v>
      </c>
      <c r="C5" s="269">
        <v>45990</v>
      </c>
      <c r="D5" s="269">
        <v>53005</v>
      </c>
      <c r="E5" s="269">
        <v>48573</v>
      </c>
      <c r="F5" s="272">
        <f t="shared" si="2"/>
        <v>56693</v>
      </c>
      <c r="G5" s="278">
        <v>204261</v>
      </c>
      <c r="H5" s="269">
        <v>65128</v>
      </c>
      <c r="I5" s="269">
        <v>69102</v>
      </c>
      <c r="J5" s="269">
        <v>73772</v>
      </c>
      <c r="K5" s="272">
        <f t="shared" si="3"/>
        <v>78928</v>
      </c>
      <c r="L5" s="272">
        <v>286930</v>
      </c>
      <c r="M5" s="269">
        <v>85274</v>
      </c>
      <c r="N5" s="269">
        <v>95055</v>
      </c>
      <c r="O5" s="269">
        <v>95507</v>
      </c>
      <c r="P5" s="272">
        <f t="shared" si="4"/>
        <v>103191</v>
      </c>
      <c r="Q5" s="278">
        <v>379027</v>
      </c>
      <c r="R5" s="269">
        <v>109036</v>
      </c>
      <c r="S5" s="269">
        <v>115706</v>
      </c>
      <c r="T5" s="269">
        <v>152880</v>
      </c>
      <c r="U5" s="272">
        <f>P5*(1+U17)</f>
        <v>215669.18999999997</v>
      </c>
      <c r="V5" s="278">
        <f t="shared" si="5"/>
        <v>593291.18999999994</v>
      </c>
      <c r="W5" s="285">
        <f>R5*(1+W17)</f>
        <v>180454.58000000002</v>
      </c>
      <c r="X5" s="285">
        <f>S5*(1+X17)</f>
        <v>196700.19999999998</v>
      </c>
      <c r="Y5" s="285">
        <f>T5*(1+Y17)</f>
        <v>233906.4</v>
      </c>
      <c r="Z5" s="272">
        <f>U5*(1+Z17)</f>
        <v>250176.26039999994</v>
      </c>
      <c r="AA5" s="278">
        <f t="shared" si="6"/>
        <v>861237.44039999996</v>
      </c>
      <c r="AB5" s="269">
        <f>AA5*(1+AB8)</f>
        <v>1162670.5445399999</v>
      </c>
      <c r="AC5" s="269">
        <f t="shared" ref="AC5:AD5" si="8">AB5*(1+AC8)</f>
        <v>1395204.6534479999</v>
      </c>
      <c r="AD5" s="272">
        <f t="shared" si="8"/>
        <v>1604485.3514651996</v>
      </c>
    </row>
    <row r="6" spans="1:31" s="269" customFormat="1" x14ac:dyDescent="0.25">
      <c r="B6" s="269" t="s">
        <v>188</v>
      </c>
      <c r="C6" s="269">
        <v>35286</v>
      </c>
      <c r="D6" s="269">
        <v>39531</v>
      </c>
      <c r="E6" s="269">
        <v>35268</v>
      </c>
      <c r="F6" s="272">
        <f t="shared" si="2"/>
        <v>40320</v>
      </c>
      <c r="G6" s="278">
        <v>150405</v>
      </c>
      <c r="H6" s="269">
        <v>45923</v>
      </c>
      <c r="I6" s="269">
        <v>48609</v>
      </c>
      <c r="J6" s="269">
        <v>52478</v>
      </c>
      <c r="K6" s="272">
        <f t="shared" si="3"/>
        <v>55889</v>
      </c>
      <c r="L6" s="272">
        <v>202899</v>
      </c>
      <c r="M6" s="269">
        <v>60898</v>
      </c>
      <c r="N6" s="269">
        <v>69214</v>
      </c>
      <c r="O6" s="269">
        <v>72677</v>
      </c>
      <c r="P6" s="272">
        <f t="shared" si="4"/>
        <v>79251</v>
      </c>
      <c r="Q6" s="278">
        <v>282040</v>
      </c>
      <c r="R6" s="269">
        <v>85269</v>
      </c>
      <c r="S6" s="269">
        <v>90651</v>
      </c>
      <c r="T6" s="269">
        <v>125516</v>
      </c>
      <c r="U6" s="272">
        <f>P6*(1+U18)</f>
        <v>165634.59</v>
      </c>
      <c r="V6" s="278">
        <f t="shared" si="5"/>
        <v>467070.58999999997</v>
      </c>
      <c r="W6" s="285">
        <f>R6*(1+W18)</f>
        <v>141120.19500000001</v>
      </c>
      <c r="X6" s="285">
        <f>S6*(1+X18)</f>
        <v>154106.69999999998</v>
      </c>
      <c r="Y6" s="285">
        <f>T6*(1+Y18)</f>
        <v>192039.48</v>
      </c>
      <c r="Z6" s="272">
        <f>U6*(1+Z18)</f>
        <v>192136.12439999997</v>
      </c>
      <c r="AA6" s="278">
        <f t="shared" si="6"/>
        <v>679402.49939999997</v>
      </c>
      <c r="AB6" s="269">
        <f>AA6*(1+AB8)</f>
        <v>917193.37419</v>
      </c>
      <c r="AC6" s="269">
        <f t="shared" ref="AC6:AD6" si="9">AB6*(1+AC8)</f>
        <v>1100632.0490279999</v>
      </c>
      <c r="AD6" s="272">
        <f t="shared" si="9"/>
        <v>1265726.8563821998</v>
      </c>
    </row>
    <row r="7" spans="1:31" s="270" customFormat="1" x14ac:dyDescent="0.25">
      <c r="B7" s="270" t="s">
        <v>189</v>
      </c>
      <c r="C7" s="270">
        <f t="shared" ref="C7:S7" si="10">SUM(C3:C6)</f>
        <v>537124</v>
      </c>
      <c r="D7" s="270">
        <f t="shared" si="10"/>
        <v>591207</v>
      </c>
      <c r="E7" s="270">
        <f t="shared" si="10"/>
        <v>517707</v>
      </c>
      <c r="F7" s="273">
        <f t="shared" si="10"/>
        <v>579014</v>
      </c>
      <c r="G7" s="279">
        <f t="shared" si="10"/>
        <v>2225052</v>
      </c>
      <c r="H7" s="270">
        <f t="shared" si="10"/>
        <v>655344</v>
      </c>
      <c r="I7" s="270">
        <f t="shared" si="10"/>
        <v>680766</v>
      </c>
      <c r="J7" s="270">
        <f t="shared" si="10"/>
        <v>713225</v>
      </c>
      <c r="K7" s="273">
        <f t="shared" si="10"/>
        <v>749939</v>
      </c>
      <c r="L7" s="273">
        <f t="shared" si="10"/>
        <v>2799274</v>
      </c>
      <c r="M7" s="270">
        <f t="shared" si="10"/>
        <v>801300</v>
      </c>
      <c r="N7" s="270">
        <f t="shared" si="10"/>
        <v>893543</v>
      </c>
      <c r="O7" s="270">
        <f t="shared" si="10"/>
        <v>918953</v>
      </c>
      <c r="P7" s="273">
        <f t="shared" ref="P7" si="11">SUM(P3:P6)</f>
        <v>988183</v>
      </c>
      <c r="Q7" s="279">
        <f t="shared" ref="Q7" si="12">SUM(Q3:Q6)</f>
        <v>3601979</v>
      </c>
      <c r="R7" s="270">
        <f t="shared" si="10"/>
        <v>1035207</v>
      </c>
      <c r="S7" s="270">
        <f t="shared" si="10"/>
        <v>1080677</v>
      </c>
      <c r="T7" s="270">
        <f>SUM(T3:T6)</f>
        <v>1359646</v>
      </c>
      <c r="U7" s="273">
        <f t="shared" ref="U7" si="13">SUM(U3:U6)</f>
        <v>2065302.47</v>
      </c>
      <c r="V7" s="279">
        <f t="shared" ref="V7" si="14">SUM(V3:V6)</f>
        <v>5540832.4699999988</v>
      </c>
      <c r="W7" s="270">
        <f t="shared" ref="W7:Y7" si="15">SUM(W3:W6)</f>
        <v>1713267.5850000002</v>
      </c>
      <c r="X7" s="270">
        <f t="shared" si="15"/>
        <v>1837150.8999999997</v>
      </c>
      <c r="Y7" s="270">
        <f t="shared" si="15"/>
        <v>2080258.38</v>
      </c>
      <c r="Z7" s="273">
        <f t="shared" ref="Z7:AA7" si="16">SUM(Z3:Z6)</f>
        <v>2395750.8651999999</v>
      </c>
      <c r="AA7" s="279">
        <f t="shared" si="16"/>
        <v>8026427.7302000001</v>
      </c>
      <c r="AB7" s="270">
        <f t="shared" ref="AB7" si="17">SUM(AB3:AB6)</f>
        <v>10835677.435770001</v>
      </c>
      <c r="AC7" s="270">
        <f t="shared" ref="AC7" si="18">SUM(AC3:AC6)</f>
        <v>13002812.922924001</v>
      </c>
      <c r="AD7" s="273">
        <f t="shared" ref="AD7" si="19">SUM(AD3:AD6)</f>
        <v>14953234.861362599</v>
      </c>
    </row>
    <row r="8" spans="1:31" s="193" customFormat="1" x14ac:dyDescent="0.25">
      <c r="B8" s="193" t="s">
        <v>190</v>
      </c>
      <c r="F8" s="282"/>
      <c r="G8" s="284"/>
      <c r="H8" s="193">
        <f>H7/C7-1</f>
        <v>0.22009815238194541</v>
      </c>
      <c r="I8" s="193">
        <f t="shared" ref="I8:K8" si="20">I7/D7-1</f>
        <v>0.15148501286351479</v>
      </c>
      <c r="J8" s="193">
        <f t="shared" si="20"/>
        <v>0.37766149578815811</v>
      </c>
      <c r="K8" s="282">
        <f t="shared" si="20"/>
        <v>0.2952001160593698</v>
      </c>
      <c r="L8" s="282">
        <f>L7/G7-1</f>
        <v>0.25807127204218139</v>
      </c>
      <c r="M8" s="193">
        <f>M7/H7-1</f>
        <v>0.22271661905808249</v>
      </c>
      <c r="N8" s="193">
        <f t="shared" ref="N8" si="21">N7/I7-1</f>
        <v>0.31255526862387373</v>
      </c>
      <c r="O8" s="193">
        <f t="shared" ref="O8" si="22">O7/J7-1</f>
        <v>0.28844754460373645</v>
      </c>
      <c r="P8" s="282">
        <f t="shared" ref="P8" si="23">P7/K7-1</f>
        <v>0.31768450500640721</v>
      </c>
      <c r="Q8" s="282">
        <f>Q7/L7-1</f>
        <v>0.28675470854228635</v>
      </c>
      <c r="R8" s="193">
        <f>R7/M7-1</f>
        <v>0.29190939722950215</v>
      </c>
      <c r="S8" s="193">
        <f t="shared" ref="S8" si="24">S7/N7-1</f>
        <v>0.20942920486199323</v>
      </c>
      <c r="T8" s="193">
        <f t="shared" ref="T8" si="25">T7/O7-1</f>
        <v>0.47955989044053404</v>
      </c>
      <c r="U8" s="282"/>
      <c r="V8" s="288">
        <f>V7/Q7-1</f>
        <v>0.53827450687524792</v>
      </c>
      <c r="Z8" s="282"/>
      <c r="AA8" s="288">
        <f>AA7/V7-1</f>
        <v>0.44859599593705135</v>
      </c>
      <c r="AB8" s="290">
        <v>0.35</v>
      </c>
      <c r="AC8" s="290">
        <v>0.2</v>
      </c>
      <c r="AD8" s="288">
        <v>0.15</v>
      </c>
      <c r="AE8" s="292"/>
    </row>
    <row r="9" spans="1:31" s="193" customFormat="1" x14ac:dyDescent="0.25">
      <c r="F9" s="286"/>
      <c r="G9" s="282"/>
      <c r="K9" s="282"/>
      <c r="L9" s="282"/>
      <c r="P9" s="282"/>
      <c r="Q9" s="282"/>
      <c r="U9" s="274"/>
      <c r="V9" s="282"/>
      <c r="Z9" s="274"/>
      <c r="AA9" s="280"/>
      <c r="AB9" s="286"/>
      <c r="AD9" s="274"/>
    </row>
    <row r="10" spans="1:31" s="286" customFormat="1" x14ac:dyDescent="0.25">
      <c r="A10" s="271" t="s">
        <v>191</v>
      </c>
      <c r="B10" s="271" t="str">
        <f>B3</f>
        <v>U.S. / Canada</v>
      </c>
      <c r="C10" s="271">
        <f>C3/C7</f>
        <v>0.66399192737617385</v>
      </c>
      <c r="D10" s="271">
        <f>D3/D7</f>
        <v>0.6602763499079003</v>
      </c>
      <c r="E10" s="271">
        <f>E3/E7</f>
        <v>0.65967622612790633</v>
      </c>
      <c r="F10" s="271">
        <f>F3/F7</f>
        <v>0.65184952350029535</v>
      </c>
      <c r="G10" s="281">
        <f>G3/G7</f>
        <v>0.65884078214801267</v>
      </c>
      <c r="H10" s="271">
        <f>H3/H7</f>
        <v>0.64967864205669079</v>
      </c>
      <c r="I10" s="271">
        <f>I3/I7</f>
        <v>0.64563006965682779</v>
      </c>
      <c r="J10" s="271">
        <f>J3/J7</f>
        <v>0.64294297031091174</v>
      </c>
      <c r="K10" s="281">
        <f>K3/K7</f>
        <v>0.64000272022124471</v>
      </c>
      <c r="L10" s="283">
        <f>L3/L7</f>
        <v>0.64438565142247595</v>
      </c>
      <c r="M10" s="271">
        <f>M3/M7</f>
        <v>0.63592162735554725</v>
      </c>
      <c r="N10" s="271">
        <f>N3/N7</f>
        <v>0.63328457612000766</v>
      </c>
      <c r="O10" s="271">
        <f>O3/O7</f>
        <v>0.63442961718390389</v>
      </c>
      <c r="P10" s="281">
        <f>P3/P7</f>
        <v>0.63032555710834937</v>
      </c>
      <c r="Q10" s="283">
        <f>Q3/Q7</f>
        <v>0.6333515547980707</v>
      </c>
      <c r="R10" s="271">
        <f>R3/R7</f>
        <v>0.62525272723233127</v>
      </c>
      <c r="S10" s="271">
        <f>S3/S7</f>
        <v>0.61965601192585762</v>
      </c>
      <c r="T10" s="271">
        <f>T3/T7</f>
        <v>0.60065634731393314</v>
      </c>
      <c r="U10" s="271">
        <f>U3/U7</f>
        <v>0.63032555710834937</v>
      </c>
      <c r="V10" s="283">
        <f>V3/V7</f>
        <v>0.62001638717656449</v>
      </c>
      <c r="W10" s="271">
        <f>W3/W7</f>
        <v>0.62525272723233127</v>
      </c>
      <c r="X10" s="271">
        <f>X3/X7</f>
        <v>0.61965601192585762</v>
      </c>
      <c r="Y10" s="271">
        <f>Y3/Y7</f>
        <v>0.60065634731393314</v>
      </c>
      <c r="Z10" s="271">
        <f>Z3/Z7</f>
        <v>0.63032555710834925</v>
      </c>
      <c r="AA10" s="283">
        <f>AA3/AA7</f>
        <v>0.61911106607274935</v>
      </c>
      <c r="AB10" s="293"/>
      <c r="AC10" s="271"/>
      <c r="AD10" s="271"/>
    </row>
    <row r="11" spans="1:31" s="286" customFormat="1" x14ac:dyDescent="0.25">
      <c r="A11" s="193" t="s">
        <v>191</v>
      </c>
      <c r="B11" s="193" t="str">
        <f>B4</f>
        <v>Europe</v>
      </c>
      <c r="C11" s="193">
        <f>C4/C7</f>
        <v>0.18469105830311064</v>
      </c>
      <c r="D11" s="193">
        <f>D4/D7</f>
        <v>0.18320317587579307</v>
      </c>
      <c r="E11" s="193">
        <f>E4/E7</f>
        <v>0.17837695839538581</v>
      </c>
      <c r="F11" s="193">
        <f>F4/F7</f>
        <v>0.18060185073245205</v>
      </c>
      <c r="G11" s="282">
        <f>G4/G7</f>
        <v>0.18176249364059807</v>
      </c>
      <c r="H11" s="193">
        <f>H4/H7</f>
        <v>0.1808668424522083</v>
      </c>
      <c r="I11" s="193">
        <f>I4/I7</f>
        <v>0.18146029619575596</v>
      </c>
      <c r="J11" s="193">
        <f>J4/J7</f>
        <v>0.18004416558589506</v>
      </c>
      <c r="K11" s="282">
        <f>K4/K7</f>
        <v>0.18022665843488603</v>
      </c>
      <c r="L11" s="284">
        <f>L4/L7</f>
        <v>0.18063004907701069</v>
      </c>
      <c r="M11" s="193">
        <f>M4/M7</f>
        <v>0.18165980282041683</v>
      </c>
      <c r="N11" s="193">
        <f>N4/N7</f>
        <v>0.18287536246157152</v>
      </c>
      <c r="O11" s="193">
        <f>O4/O7</f>
        <v>0.18255340588691696</v>
      </c>
      <c r="P11" s="282">
        <f>P4/P7</f>
        <v>0.18505074464952342</v>
      </c>
      <c r="Q11" s="284">
        <f>Q4/Q7</f>
        <v>0.18311961285726541</v>
      </c>
      <c r="R11" s="193">
        <f>R4/R7</f>
        <v>0.18705051260279346</v>
      </c>
      <c r="S11" s="193">
        <f>S4/S7</f>
        <v>0.18939239014062481</v>
      </c>
      <c r="T11" s="193">
        <f>T4/T7</f>
        <v>0.19458741466528787</v>
      </c>
      <c r="U11" s="193">
        <f>U4/U7</f>
        <v>0.1850507446495234</v>
      </c>
      <c r="V11" s="284">
        <f>V4/V7</f>
        <v>0.18861132612442985</v>
      </c>
      <c r="W11" s="193">
        <f>W4/W7</f>
        <v>0.18705051260279343</v>
      </c>
      <c r="X11" s="193">
        <f>X4/X7</f>
        <v>0.18939239014062484</v>
      </c>
      <c r="Y11" s="193">
        <f>Y4/Y7</f>
        <v>0.19458741466528789</v>
      </c>
      <c r="Z11" s="193">
        <f>Z4/Z7</f>
        <v>0.1850507446495234</v>
      </c>
      <c r="AA11" s="284">
        <f>AA4/AA7</f>
        <v>0.18894302827818665</v>
      </c>
      <c r="AB11" s="193"/>
    </row>
    <row r="12" spans="1:31" s="286" customFormat="1" x14ac:dyDescent="0.25">
      <c r="A12" s="193" t="s">
        <v>191</v>
      </c>
      <c r="B12" s="193" t="str">
        <f>B5</f>
        <v>APAC</v>
      </c>
      <c r="C12" s="193">
        <f>C5/C7</f>
        <v>8.5622686753896685E-2</v>
      </c>
      <c r="D12" s="193">
        <f>D5/D7</f>
        <v>8.9655569030813231E-2</v>
      </c>
      <c r="E12" s="193">
        <f>E5/E7</f>
        <v>9.3823340229125737E-2</v>
      </c>
      <c r="F12" s="193">
        <f>F5/F7</f>
        <v>9.7913003830650033E-2</v>
      </c>
      <c r="G12" s="282">
        <f>G5/G7</f>
        <v>9.1800551178129769E-2</v>
      </c>
      <c r="H12" s="193">
        <f>H5/H7</f>
        <v>9.9379867672550595E-2</v>
      </c>
      <c r="I12" s="193">
        <f>I5/I7</f>
        <v>0.10150624443641428</v>
      </c>
      <c r="J12" s="193">
        <f>J5/J7</f>
        <v>0.10343440008412493</v>
      </c>
      <c r="K12" s="282">
        <f>K5/K7</f>
        <v>0.10524589333265773</v>
      </c>
      <c r="L12" s="284">
        <f>L5/L7</f>
        <v>0.10250157719465833</v>
      </c>
      <c r="M12" s="193">
        <f>M5/M7</f>
        <v>0.10641956820167228</v>
      </c>
      <c r="N12" s="193">
        <f>N5/N7</f>
        <v>0.10637988322889889</v>
      </c>
      <c r="O12" s="193">
        <f>O5/O7</f>
        <v>0.10393023364633447</v>
      </c>
      <c r="P12" s="282">
        <f>P5/P7</f>
        <v>0.1044249901081075</v>
      </c>
      <c r="Q12" s="284">
        <f>Q5/Q7</f>
        <v>0.10522743192006394</v>
      </c>
      <c r="R12" s="193">
        <f>R5/R7</f>
        <v>0.10532772672518637</v>
      </c>
      <c r="S12" s="193">
        <f>S5/S7</f>
        <v>0.10706806936762789</v>
      </c>
      <c r="T12" s="193">
        <f>T5/T7</f>
        <v>0.11244103244521</v>
      </c>
      <c r="U12" s="193">
        <f>U5/U7</f>
        <v>0.10442499010810749</v>
      </c>
      <c r="V12" s="284">
        <f>V5/V7</f>
        <v>0.10707618272385704</v>
      </c>
      <c r="W12" s="193">
        <f>W5/W7</f>
        <v>0.10532772672518637</v>
      </c>
      <c r="X12" s="193">
        <f>X5/X7</f>
        <v>0.10706806936762789</v>
      </c>
      <c r="Y12" s="193">
        <f>Y5/Y7</f>
        <v>0.11244103244521</v>
      </c>
      <c r="Z12" s="193">
        <f>Z5/Z7</f>
        <v>0.10442499010810749</v>
      </c>
      <c r="AA12" s="284">
        <f>AA5/AA7</f>
        <v>0.10730021740051722</v>
      </c>
      <c r="AB12" s="193"/>
    </row>
    <row r="13" spans="1:31" s="286" customFormat="1" x14ac:dyDescent="0.25">
      <c r="A13" s="193" t="s">
        <v>191</v>
      </c>
      <c r="B13" s="193" t="str">
        <f>B6</f>
        <v>Other</v>
      </c>
      <c r="C13" s="193">
        <f>C6/C7</f>
        <v>6.5694327566818839E-2</v>
      </c>
      <c r="D13" s="193">
        <f>D6/D7</f>
        <v>6.6864905185493401E-2</v>
      </c>
      <c r="E13" s="193">
        <f>E6/E7</f>
        <v>6.8123475247582124E-2</v>
      </c>
      <c r="F13" s="193">
        <f>F6/F7</f>
        <v>6.9635621936602568E-2</v>
      </c>
      <c r="G13" s="282">
        <f>G6/G7</f>
        <v>6.7596173033259446E-2</v>
      </c>
      <c r="H13" s="193">
        <f>H6/H7</f>
        <v>7.0074647818550259E-2</v>
      </c>
      <c r="I13" s="193">
        <f>I6/I7</f>
        <v>7.1403389711002019E-2</v>
      </c>
      <c r="J13" s="193">
        <f>J6/J7</f>
        <v>7.3578464019068313E-2</v>
      </c>
      <c r="K13" s="282">
        <f>K6/K7</f>
        <v>7.4524728011211572E-2</v>
      </c>
      <c r="L13" s="284">
        <f>L6/L7</f>
        <v>7.2482722305855021E-2</v>
      </c>
      <c r="M13" s="193">
        <f>M6/M7</f>
        <v>7.5999001622363657E-2</v>
      </c>
      <c r="N13" s="193">
        <f>N6/N7</f>
        <v>7.746017818952193E-2</v>
      </c>
      <c r="O13" s="193">
        <f>O6/O7</f>
        <v>7.9086743282844721E-2</v>
      </c>
      <c r="P13" s="282">
        <f>P6/P7</f>
        <v>8.0198708134019706E-2</v>
      </c>
      <c r="Q13" s="284">
        <f>Q6/Q7</f>
        <v>7.8301400424599918E-2</v>
      </c>
      <c r="R13" s="193">
        <f>R6/R7</f>
        <v>8.2369033439688877E-2</v>
      </c>
      <c r="S13" s="193">
        <f>S6/S7</f>
        <v>8.3883528565889709E-2</v>
      </c>
      <c r="T13" s="193">
        <f>T6/T7</f>
        <v>9.2315205575568937E-2</v>
      </c>
      <c r="U13" s="193">
        <f>U6/U7</f>
        <v>8.0198708134019706E-2</v>
      </c>
      <c r="V13" s="284">
        <f>V6/V7</f>
        <v>8.4296103975148709E-2</v>
      </c>
      <c r="W13" s="193">
        <f>W6/W7</f>
        <v>8.2369033439688863E-2</v>
      </c>
      <c r="X13" s="193">
        <f>X6/X7</f>
        <v>8.3883528565889723E-2</v>
      </c>
      <c r="Y13" s="193">
        <f>Y6/Y7</f>
        <v>9.2315205575568951E-2</v>
      </c>
      <c r="Z13" s="193">
        <f>Z6/Z7</f>
        <v>8.0198708134019706E-2</v>
      </c>
      <c r="AA13" s="284">
        <f>AA6/AA7</f>
        <v>8.4645688248546763E-2</v>
      </c>
      <c r="AB13" s="193"/>
    </row>
    <row r="14" spans="1:31" s="286" customFormat="1" x14ac:dyDescent="0.25">
      <c r="A14" s="193"/>
      <c r="B14" s="193"/>
      <c r="C14" s="193"/>
      <c r="D14" s="193"/>
      <c r="E14" s="193"/>
      <c r="F14" s="193"/>
      <c r="G14" s="282"/>
      <c r="H14" s="193"/>
      <c r="I14" s="193"/>
      <c r="J14" s="193"/>
      <c r="K14" s="282"/>
      <c r="L14" s="284"/>
      <c r="M14" s="193"/>
      <c r="N14" s="193"/>
      <c r="O14" s="193"/>
      <c r="P14" s="282"/>
      <c r="Q14" s="284"/>
      <c r="R14" s="193"/>
      <c r="S14" s="193"/>
      <c r="T14" s="193"/>
      <c r="U14" s="193"/>
      <c r="V14" s="284"/>
      <c r="W14" s="193"/>
      <c r="X14" s="193"/>
      <c r="Y14" s="193"/>
      <c r="Z14" s="193"/>
      <c r="AA14" s="280"/>
    </row>
    <row r="15" spans="1:31" s="286" customFormat="1" x14ac:dyDescent="0.25">
      <c r="A15" s="271" t="s">
        <v>212</v>
      </c>
      <c r="B15" s="271" t="str">
        <f>B10</f>
        <v>U.S. / Canada</v>
      </c>
      <c r="C15" s="271"/>
      <c r="D15" s="271"/>
      <c r="E15" s="271"/>
      <c r="F15" s="271"/>
      <c r="G15" s="281"/>
      <c r="H15" s="271">
        <f>H3/C3-1</f>
        <v>0.1937972106794974</v>
      </c>
      <c r="I15" s="271">
        <f>I3/D3-1</f>
        <v>0.12594271954093661</v>
      </c>
      <c r="J15" s="271">
        <f>J3/E3-1</f>
        <v>0.34271592502906123</v>
      </c>
      <c r="K15" s="281">
        <f>K3/F3-1</f>
        <v>0.27166097024613833</v>
      </c>
      <c r="L15" s="283">
        <f>L3/G3-1</f>
        <v>0.23046887523832593</v>
      </c>
      <c r="M15" s="271">
        <f>M3/H3-1</f>
        <v>0.19682546393181188</v>
      </c>
      <c r="N15" s="271">
        <f>N3/I3-1</f>
        <v>0.28745708415714311</v>
      </c>
      <c r="O15" s="271">
        <f>O3/J3-1</f>
        <v>0.27138691957266503</v>
      </c>
      <c r="P15" s="281">
        <f>P3/K3-1</f>
        <v>0.29776045236820337</v>
      </c>
      <c r="Q15" s="283">
        <f>Q3/L3-1</f>
        <v>0.2647210463174654</v>
      </c>
      <c r="R15" s="271">
        <f>R3/M3-1</f>
        <v>0.27023494595379582</v>
      </c>
      <c r="S15" s="271">
        <f>S3/N3-1</f>
        <v>0.1834017534155552</v>
      </c>
      <c r="T15" s="271">
        <f>T3/O3-1</f>
        <v>0.40079689748563929</v>
      </c>
      <c r="U15" s="287">
        <v>1.0900000000000001</v>
      </c>
      <c r="V15" s="283">
        <f>V3/Q3-1</f>
        <v>0.50588625702937629</v>
      </c>
      <c r="W15" s="289">
        <v>0.65500000000000003</v>
      </c>
      <c r="X15" s="289">
        <v>0.7</v>
      </c>
      <c r="Y15" s="289">
        <v>0.53</v>
      </c>
      <c r="Z15" s="289">
        <v>0.16</v>
      </c>
      <c r="AA15" s="283">
        <f>AA3/V3-1</f>
        <v>0.44648081873666134</v>
      </c>
    </row>
    <row r="16" spans="1:31" s="286" customFormat="1" x14ac:dyDescent="0.25">
      <c r="A16" s="193" t="s">
        <v>212</v>
      </c>
      <c r="B16" s="193" t="str">
        <f>B11</f>
        <v>Europe</v>
      </c>
      <c r="C16" s="193"/>
      <c r="D16" s="193"/>
      <c r="E16" s="193"/>
      <c r="F16" s="193"/>
      <c r="G16" s="282"/>
      <c r="H16" s="193">
        <f>H4/C4-1</f>
        <v>0.19483478155682343</v>
      </c>
      <c r="I16" s="193">
        <f>I4/D4-1</f>
        <v>0.14053050936654632</v>
      </c>
      <c r="J16" s="193">
        <f>J4/E4-1</f>
        <v>0.39053786262683143</v>
      </c>
      <c r="K16" s="282">
        <f>K4/F4-1</f>
        <v>0.29250939553030952</v>
      </c>
      <c r="L16" s="284">
        <f>L4/G4-1</f>
        <v>0.25023304346106001</v>
      </c>
      <c r="M16" s="193">
        <f>M4/H4-1</f>
        <v>0.2280772800134987</v>
      </c>
      <c r="N16" s="193">
        <f>N4/I4-1</f>
        <v>0.32279085581064026</v>
      </c>
      <c r="O16" s="193">
        <f>O4/J4-1</f>
        <v>0.30640438588293928</v>
      </c>
      <c r="P16" s="282">
        <f>P4/K4-1</f>
        <v>0.35295466820559485</v>
      </c>
      <c r="Q16" s="284">
        <f>Q4/L4-1</f>
        <v>0.3044896199417364</v>
      </c>
      <c r="R16" s="193">
        <f>R4/M4-1</f>
        <v>0.33024648951663882</v>
      </c>
      <c r="S16" s="193">
        <f>S4/N4-1</f>
        <v>0.25252896142760095</v>
      </c>
      <c r="T16" s="193">
        <f>T4/O4-1</f>
        <v>0.57709319376721235</v>
      </c>
      <c r="U16" s="288">
        <v>1.0900000000000001</v>
      </c>
      <c r="V16" s="284">
        <f>V4/Q4-1</f>
        <v>0.58440699037133514</v>
      </c>
      <c r="W16" s="290">
        <v>0.65500000000000003</v>
      </c>
      <c r="X16" s="290">
        <v>0.7</v>
      </c>
      <c r="Y16" s="290">
        <v>0.53</v>
      </c>
      <c r="Z16" s="290">
        <v>0.16</v>
      </c>
      <c r="AA16" s="284">
        <f>AA4/V4-1</f>
        <v>0.45114357577570208</v>
      </c>
      <c r="AB16" s="193"/>
    </row>
    <row r="17" spans="1:28" s="286" customFormat="1" x14ac:dyDescent="0.25">
      <c r="A17" s="193" t="s">
        <v>212</v>
      </c>
      <c r="B17" s="193" t="str">
        <f>B12</f>
        <v>APAC</v>
      </c>
      <c r="C17" s="193"/>
      <c r="D17" s="193"/>
      <c r="E17" s="193"/>
      <c r="F17" s="193"/>
      <c r="G17" s="282"/>
      <c r="H17" s="193">
        <f>H5/C5-1</f>
        <v>0.41613394216133948</v>
      </c>
      <c r="I17" s="193">
        <f>I5/D5-1</f>
        <v>0.3036883312895009</v>
      </c>
      <c r="J17" s="193">
        <f>J5/E5-1</f>
        <v>0.51878615691845265</v>
      </c>
      <c r="K17" s="282">
        <f>K5/F5-1</f>
        <v>0.39220009524985455</v>
      </c>
      <c r="L17" s="284">
        <f>L5/G5-1</f>
        <v>0.40472238949187567</v>
      </c>
      <c r="M17" s="193">
        <f>M5/H5-1</f>
        <v>0.30932932072227004</v>
      </c>
      <c r="N17" s="193">
        <f>N5/I5-1</f>
        <v>0.37557523660675529</v>
      </c>
      <c r="O17" s="193">
        <f>O5/J5-1</f>
        <v>0.29462397657647887</v>
      </c>
      <c r="P17" s="282">
        <f>P5/K5-1</f>
        <v>0.30740675045611199</v>
      </c>
      <c r="Q17" s="284">
        <f>Q5/L5-1</f>
        <v>0.32097375666538874</v>
      </c>
      <c r="R17" s="193">
        <f>R5/M5-1</f>
        <v>0.27865468958885464</v>
      </c>
      <c r="S17" s="193">
        <f>S5/N5-1</f>
        <v>0.21725316921782123</v>
      </c>
      <c r="T17" s="193">
        <f>T5/O5-1</f>
        <v>0.60072036604646772</v>
      </c>
      <c r="U17" s="288">
        <v>1.0900000000000001</v>
      </c>
      <c r="V17" s="284">
        <f>V5/Q5-1</f>
        <v>0.56530059863809168</v>
      </c>
      <c r="W17" s="290">
        <v>0.65500000000000003</v>
      </c>
      <c r="X17" s="290">
        <v>0.7</v>
      </c>
      <c r="Y17" s="290">
        <v>0.53</v>
      </c>
      <c r="Z17" s="290">
        <v>0.16</v>
      </c>
      <c r="AA17" s="284">
        <f>AA5/V5-1</f>
        <v>0.45162688223973135</v>
      </c>
      <c r="AB17" s="193"/>
    </row>
    <row r="18" spans="1:28" s="286" customFormat="1" x14ac:dyDescent="0.25">
      <c r="A18" s="193" t="s">
        <v>212</v>
      </c>
      <c r="B18" s="193" t="str">
        <f t="shared" ref="B18" si="26">B13</f>
        <v>Other</v>
      </c>
      <c r="C18" s="193"/>
      <c r="D18" s="193"/>
      <c r="E18" s="193"/>
      <c r="F18" s="193"/>
      <c r="G18" s="274"/>
      <c r="H18" s="193">
        <f>H6/C6-1</f>
        <v>0.30145100039675787</v>
      </c>
      <c r="I18" s="193">
        <f>I6/D6-1</f>
        <v>0.22964255900432562</v>
      </c>
      <c r="J18" s="193">
        <f>J6/E6-1</f>
        <v>0.48797777021662703</v>
      </c>
      <c r="K18" s="274">
        <f>K6/F6-1</f>
        <v>0.38613591269841274</v>
      </c>
      <c r="L18" s="284">
        <f>L6/G6-1</f>
        <v>0.34901765233868565</v>
      </c>
      <c r="M18" s="193">
        <f>M6/H6-1</f>
        <v>0.32608932343270247</v>
      </c>
      <c r="N18" s="193">
        <f>N6/I6-1</f>
        <v>0.42389269476845848</v>
      </c>
      <c r="O18" s="193">
        <f>O6/J6-1</f>
        <v>0.38490415031060632</v>
      </c>
      <c r="P18" s="274">
        <f>P6/K6-1</f>
        <v>0.41800712125820816</v>
      </c>
      <c r="Q18" s="284">
        <f>Q6/L6-1</f>
        <v>0.39005120774375435</v>
      </c>
      <c r="R18" s="193">
        <f>R6/M6-1</f>
        <v>0.40019376662616168</v>
      </c>
      <c r="S18" s="193">
        <f>S6/N6-1</f>
        <v>0.30972057676192688</v>
      </c>
      <c r="T18" s="193">
        <f>T6/O6-1</f>
        <v>0.72703881558127059</v>
      </c>
      <c r="U18" s="288">
        <v>1.0900000000000001</v>
      </c>
      <c r="V18" s="284">
        <f>V6/Q6-1</f>
        <v>0.65604378811516084</v>
      </c>
      <c r="W18" s="290">
        <v>0.65500000000000003</v>
      </c>
      <c r="X18" s="290">
        <v>0.7</v>
      </c>
      <c r="Y18" s="290">
        <v>0.53</v>
      </c>
      <c r="Z18" s="290">
        <v>0.16</v>
      </c>
      <c r="AA18" s="280">
        <f>AA6/V6-1</f>
        <v>0.45460346668369778</v>
      </c>
    </row>
    <row r="19" spans="1:28" s="291" customFormat="1" x14ac:dyDescent="0.2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8" s="4" customFormat="1" x14ac:dyDescent="0.25"/>
    <row r="21" spans="1:28" s="4" customFormat="1" x14ac:dyDescent="0.25"/>
  </sheetData>
  <phoneticPr fontId="7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zoomScaleNormal="100" workbookViewId="0"/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5" width="11.7109375" style="4" customWidth="1"/>
    <col min="6" max="7" width="12.140625" style="4" bestFit="1" customWidth="1"/>
    <col min="8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61" t="str">
        <f>CoName</f>
        <v>Roblox Corporation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3" x14ac:dyDescent="0.25">
      <c r="A2" s="20" t="s">
        <v>10</v>
      </c>
      <c r="B2" s="19"/>
      <c r="C2" s="196">
        <v>2022</v>
      </c>
      <c r="D2" s="259">
        <f>C2+1</f>
        <v>2023</v>
      </c>
      <c r="E2" s="259">
        <f t="shared" ref="E2:J2" si="0">D2+1</f>
        <v>2024</v>
      </c>
      <c r="F2" s="259">
        <f t="shared" si="0"/>
        <v>2025</v>
      </c>
      <c r="G2" s="259">
        <f t="shared" si="0"/>
        <v>2026</v>
      </c>
      <c r="H2" s="259">
        <f t="shared" si="0"/>
        <v>2027</v>
      </c>
      <c r="I2" s="259">
        <f t="shared" si="0"/>
        <v>2028</v>
      </c>
      <c r="J2" s="259">
        <f t="shared" si="0"/>
        <v>2029</v>
      </c>
      <c r="K2" s="197"/>
      <c r="L2" s="197"/>
      <c r="M2" s="197"/>
    </row>
    <row r="3" spans="1:13" x14ac:dyDescent="0.25">
      <c r="B3" s="4" t="s">
        <v>11</v>
      </c>
      <c r="C3" s="28"/>
      <c r="D3" s="28"/>
      <c r="E3" s="39"/>
      <c r="F3" s="206">
        <f>Assumptions!F32</f>
        <v>4.98742496832991E-2</v>
      </c>
      <c r="G3" s="206">
        <f>Assumptions!G32</f>
        <v>4.98742496832991E-2</v>
      </c>
      <c r="H3" s="206">
        <f>Assumptions!H32</f>
        <v>4.98742496832991E-2</v>
      </c>
      <c r="I3" s="206">
        <f>Assumptions!I32</f>
        <v>4.98742496832991E-2</v>
      </c>
      <c r="J3" s="206">
        <f>Assumptions!J32</f>
        <v>4.98742496832991E-2</v>
      </c>
      <c r="K3" s="204"/>
      <c r="L3" s="204"/>
    </row>
    <row r="4" spans="1:13" x14ac:dyDescent="0.25">
      <c r="B4" s="4" t="s">
        <v>130</v>
      </c>
      <c r="C4" s="28"/>
      <c r="D4" s="28"/>
      <c r="E4" s="39"/>
      <c r="F4" s="206">
        <f>Assumptions!F33</f>
        <v>0.17627578680948858</v>
      </c>
      <c r="G4" s="206">
        <f>F4</f>
        <v>0.17627578680948858</v>
      </c>
      <c r="H4" s="206">
        <f t="shared" ref="H4:J4" si="1">G4</f>
        <v>0.17627578680948858</v>
      </c>
      <c r="I4" s="206">
        <f t="shared" si="1"/>
        <v>0.17627578680948858</v>
      </c>
      <c r="J4" s="206">
        <f t="shared" si="1"/>
        <v>0.17627578680948858</v>
      </c>
      <c r="K4" s="204"/>
      <c r="L4" s="204"/>
    </row>
    <row r="5" spans="1:13" x14ac:dyDescent="0.25">
      <c r="E5" s="26"/>
      <c r="F5" s="77"/>
      <c r="G5" s="65"/>
      <c r="H5" s="82"/>
      <c r="I5" s="65"/>
      <c r="J5" s="65"/>
    </row>
    <row r="6" spans="1:13" x14ac:dyDescent="0.25">
      <c r="B6" s="4" t="s">
        <v>12</v>
      </c>
      <c r="E6" s="26"/>
      <c r="F6" s="4">
        <f>E9</f>
        <v>1325474</v>
      </c>
      <c r="G6" s="4">
        <f t="shared" ref="G6:J6" si="2">F9</f>
        <v>1368169.8898165908</v>
      </c>
      <c r="H6" s="4">
        <f t="shared" si="2"/>
        <v>1527306.7266810704</v>
      </c>
      <c r="I6" s="4">
        <f t="shared" si="2"/>
        <v>1798500.8136552235</v>
      </c>
      <c r="J6" s="4">
        <f t="shared" si="2"/>
        <v>2129974.2059537834</v>
      </c>
    </row>
    <row r="7" spans="1:13" x14ac:dyDescent="0.25">
      <c r="B7" s="4" t="s">
        <v>13</v>
      </c>
      <c r="C7" s="12"/>
      <c r="D7" s="12"/>
      <c r="E7" s="130"/>
      <c r="F7" s="4">
        <f>F3*IncState!F16</f>
        <v>276344.8620621108</v>
      </c>
      <c r="G7" s="4">
        <f>G3*IncState!G16</f>
        <v>400312.06068095047</v>
      </c>
      <c r="H7" s="4">
        <f>H3*IncState!H16</f>
        <v>540421.28191928321</v>
      </c>
      <c r="I7" s="4">
        <f>I3*IncState!I16</f>
        <v>648505.53830313974</v>
      </c>
      <c r="J7" s="4">
        <f>J3*IncState!J16</f>
        <v>745781.36904861068</v>
      </c>
    </row>
    <row r="8" spans="1:13" x14ac:dyDescent="0.25">
      <c r="B8" s="4" t="s">
        <v>14</v>
      </c>
      <c r="E8" s="26"/>
      <c r="F8" s="4">
        <f>F6*F4</f>
        <v>233648.97224552007</v>
      </c>
      <c r="G8" s="4">
        <f t="shared" ref="G8:J8" si="3">G6*G4</f>
        <v>241175.22381647083</v>
      </c>
      <c r="H8" s="4">
        <f t="shared" si="3"/>
        <v>269227.19494513021</v>
      </c>
      <c r="I8" s="4">
        <f t="shared" si="3"/>
        <v>317032.1460045799</v>
      </c>
      <c r="J8" s="4">
        <f t="shared" si="3"/>
        <v>375462.87903841882</v>
      </c>
    </row>
    <row r="9" spans="1:13" x14ac:dyDescent="0.25">
      <c r="B9" s="4" t="s">
        <v>15</v>
      </c>
      <c r="E9" s="26">
        <f>BalSheet!E21</f>
        <v>1325474</v>
      </c>
      <c r="F9" s="4">
        <f>F6+F7-F8</f>
        <v>1368169.8898165908</v>
      </c>
      <c r="G9" s="4">
        <f t="shared" ref="G9:J9" si="4">G6+G7-G8</f>
        <v>1527306.7266810704</v>
      </c>
      <c r="H9" s="4">
        <f t="shared" si="4"/>
        <v>1798500.8136552235</v>
      </c>
      <c r="I9" s="4">
        <f t="shared" si="4"/>
        <v>2129974.2059537834</v>
      </c>
      <c r="J9" s="4">
        <f t="shared" si="4"/>
        <v>2500292.6959639755</v>
      </c>
    </row>
    <row r="10" spans="1:13" x14ac:dyDescent="0.25">
      <c r="A10" s="20" t="s">
        <v>16</v>
      </c>
      <c r="B10" s="41"/>
      <c r="C10" s="239">
        <f t="shared" ref="C10:J10" si="5">C2</f>
        <v>2022</v>
      </c>
      <c r="D10" s="239">
        <f t="shared" si="5"/>
        <v>2023</v>
      </c>
      <c r="E10" s="239">
        <f t="shared" si="5"/>
        <v>2024</v>
      </c>
      <c r="F10" s="239">
        <f t="shared" si="5"/>
        <v>2025</v>
      </c>
      <c r="G10" s="239">
        <f t="shared" si="5"/>
        <v>2026</v>
      </c>
      <c r="H10" s="239">
        <f t="shared" si="5"/>
        <v>2027</v>
      </c>
      <c r="I10" s="239">
        <f t="shared" si="5"/>
        <v>2028</v>
      </c>
      <c r="J10" s="239">
        <f t="shared" si="5"/>
        <v>2029</v>
      </c>
      <c r="K10" s="199"/>
      <c r="L10" s="199"/>
    </row>
    <row r="11" spans="1:13" x14ac:dyDescent="0.25">
      <c r="B11" s="4" t="s">
        <v>17</v>
      </c>
      <c r="E11" s="26"/>
      <c r="F11" s="262">
        <f>Assumptions!F34</f>
        <v>0</v>
      </c>
      <c r="G11" s="262">
        <f>Assumptions!G34</f>
        <v>0</v>
      </c>
      <c r="H11" s="262">
        <f>Assumptions!H34</f>
        <v>0</v>
      </c>
      <c r="I11" s="262">
        <f>Assumptions!I34</f>
        <v>0</v>
      </c>
      <c r="J11" s="262">
        <f>Assumptions!J34</f>
        <v>0</v>
      </c>
      <c r="K11" s="205"/>
      <c r="L11" s="205"/>
    </row>
    <row r="12" spans="1:13" x14ac:dyDescent="0.25">
      <c r="E12" s="26"/>
      <c r="F12" s="77"/>
      <c r="G12" s="65"/>
      <c r="H12" s="82"/>
      <c r="I12" s="65"/>
      <c r="J12" s="65"/>
    </row>
    <row r="13" spans="1:13" x14ac:dyDescent="0.25">
      <c r="B13" s="4" t="s">
        <v>18</v>
      </c>
      <c r="E13" s="26"/>
      <c r="F13" s="4">
        <f>E17</f>
        <v>208654</v>
      </c>
      <c r="G13" s="4">
        <f t="shared" ref="G13:J13" si="6">F17</f>
        <v>574693.03418638825</v>
      </c>
      <c r="H13" s="4">
        <f t="shared" si="6"/>
        <v>1534518.8625032492</v>
      </c>
      <c r="I13" s="4">
        <f t="shared" si="6"/>
        <v>3589978.1970297336</v>
      </c>
      <c r="J13" s="4">
        <f t="shared" si="6"/>
        <v>7313515.8483303823</v>
      </c>
    </row>
    <row r="14" spans="1:13" x14ac:dyDescent="0.25">
      <c r="B14" s="4" t="s">
        <v>19</v>
      </c>
      <c r="E14" s="26"/>
      <c r="F14" s="4">
        <f>IncState!F36</f>
        <v>-976179.02727581991</v>
      </c>
      <c r="G14" s="4">
        <f>IncState!G36</f>
        <v>-813712.23601052049</v>
      </c>
      <c r="H14" s="4">
        <f>IncState!H36</f>
        <v>-288002.84641860338</v>
      </c>
      <c r="I14" s="4">
        <f>IncState!I36</f>
        <v>627006.99093239009</v>
      </c>
      <c r="J14" s="4">
        <f>IncState!J36</f>
        <v>1839560.0072021706</v>
      </c>
    </row>
    <row r="15" spans="1:13" x14ac:dyDescent="0.25">
      <c r="B15" s="4" t="s">
        <v>216</v>
      </c>
      <c r="E15" s="26"/>
      <c r="F15" s="4">
        <f>IncState!F24</f>
        <v>1342218.0614622082</v>
      </c>
      <c r="G15" s="4">
        <f>IncState!G24</f>
        <v>1773538.0643273813</v>
      </c>
      <c r="H15" s="4">
        <f>IncState!H24</f>
        <v>2343462.1809450877</v>
      </c>
      <c r="I15" s="4">
        <f>IncState!I24</f>
        <v>3096530.6603682577</v>
      </c>
      <c r="J15" s="4">
        <f>IncState!J24</f>
        <v>4091596.7019078415</v>
      </c>
    </row>
    <row r="16" spans="1:13" x14ac:dyDescent="0.25">
      <c r="B16" s="4" t="s">
        <v>20</v>
      </c>
      <c r="E16" s="26"/>
      <c r="F16" s="4">
        <f>F11</f>
        <v>0</v>
      </c>
      <c r="G16" s="4">
        <f t="shared" ref="G16:J16" si="7">G11</f>
        <v>0</v>
      </c>
      <c r="H16" s="4">
        <f t="shared" si="7"/>
        <v>0</v>
      </c>
      <c r="I16" s="4">
        <f t="shared" si="7"/>
        <v>0</v>
      </c>
      <c r="J16" s="4">
        <f t="shared" si="7"/>
        <v>0</v>
      </c>
    </row>
    <row r="17" spans="1:12" x14ac:dyDescent="0.25">
      <c r="B17" s="4" t="s">
        <v>21</v>
      </c>
      <c r="E17" s="26">
        <f>BalSheet!E38</f>
        <v>208654</v>
      </c>
      <c r="F17" s="4">
        <f>SUM(F13:F16)</f>
        <v>574693.03418638825</v>
      </c>
      <c r="G17" s="4">
        <f t="shared" ref="G17:J17" si="8">SUM(G13:G16)</f>
        <v>1534518.8625032492</v>
      </c>
      <c r="H17" s="4">
        <f t="shared" si="8"/>
        <v>3589978.1970297336</v>
      </c>
      <c r="I17" s="4">
        <f t="shared" si="8"/>
        <v>7313515.8483303823</v>
      </c>
      <c r="J17" s="4">
        <f t="shared" si="8"/>
        <v>13244672.557440395</v>
      </c>
    </row>
    <row r="18" spans="1:12" x14ac:dyDescent="0.25">
      <c r="A18" s="20" t="s">
        <v>22</v>
      </c>
      <c r="B18" s="41"/>
      <c r="C18" s="239">
        <f>C10</f>
        <v>2022</v>
      </c>
      <c r="D18" s="239">
        <f t="shared" ref="D18:J18" si="9">D10</f>
        <v>2023</v>
      </c>
      <c r="E18" s="239">
        <f t="shared" si="9"/>
        <v>2024</v>
      </c>
      <c r="F18" s="239">
        <f t="shared" si="9"/>
        <v>2025</v>
      </c>
      <c r="G18" s="239">
        <f t="shared" si="9"/>
        <v>2026</v>
      </c>
      <c r="H18" s="239">
        <f t="shared" si="9"/>
        <v>2027</v>
      </c>
      <c r="I18" s="239">
        <f t="shared" si="9"/>
        <v>2028</v>
      </c>
      <c r="J18" s="239">
        <f t="shared" si="9"/>
        <v>2029</v>
      </c>
      <c r="K18" s="199"/>
      <c r="L18" s="199"/>
    </row>
    <row r="19" spans="1:12" x14ac:dyDescent="0.25">
      <c r="A19" s="85"/>
      <c r="B19" s="176" t="s">
        <v>153</v>
      </c>
      <c r="C19" s="199"/>
      <c r="D19" s="199"/>
      <c r="E19" s="220">
        <f>BalSheet!E15</f>
        <v>54029.684999999998</v>
      </c>
      <c r="F19" s="305">
        <f>BalSheet!F15</f>
        <v>83112.487049999982</v>
      </c>
      <c r="G19" s="305">
        <f>BalSheet!G15</f>
        <v>120396.415953</v>
      </c>
      <c r="H19" s="305">
        <f>BalSheet!H15</f>
        <v>162535.16153655</v>
      </c>
      <c r="I19" s="305">
        <f>BalSheet!I15</f>
        <v>195042.19384386</v>
      </c>
      <c r="J19" s="305">
        <f>BalSheet!J15</f>
        <v>224298.52292043896</v>
      </c>
      <c r="K19" s="199"/>
      <c r="L19" s="199"/>
    </row>
    <row r="20" spans="1:12" x14ac:dyDescent="0.25">
      <c r="B20" s="4" t="str">
        <f>BalSheet!B17</f>
        <v>Accounts receivable</v>
      </c>
      <c r="C20" s="96"/>
      <c r="D20" s="96"/>
      <c r="E20" s="97">
        <f>BalSheet!E17</f>
        <v>614838</v>
      </c>
      <c r="F20" s="298">
        <f>BalSheet!F17</f>
        <v>945789.62125816371</v>
      </c>
      <c r="G20" s="298">
        <f>BalSheet!G17</f>
        <v>1370067.0583533964</v>
      </c>
      <c r="H20" s="298">
        <f>BalSheet!H17</f>
        <v>1849590.528777085</v>
      </c>
      <c r="I20" s="298">
        <f>BalSheet!I17</f>
        <v>2219508.6345325019</v>
      </c>
      <c r="J20" s="298">
        <f>BalSheet!J17</f>
        <v>2552434.929712377</v>
      </c>
      <c r="K20" s="96"/>
      <c r="L20" s="96"/>
    </row>
    <row r="21" spans="1:12" x14ac:dyDescent="0.25">
      <c r="B21" s="4" t="s">
        <v>66</v>
      </c>
      <c r="C21" s="96"/>
      <c r="D21" s="96"/>
      <c r="E21" s="97">
        <f>BalSheet!E18</f>
        <v>2401509</v>
      </c>
      <c r="F21" s="298">
        <f>BalSheet!F18</f>
        <v>3140096.8257314702</v>
      </c>
      <c r="G21" s="298">
        <f>BalSheet!G18</f>
        <v>4548731.6886092527</v>
      </c>
      <c r="H21" s="298">
        <f>BalSheet!H18</f>
        <v>6140787.7796224914</v>
      </c>
      <c r="I21" s="298">
        <f>BalSheet!I18</f>
        <v>7368945.3355469899</v>
      </c>
      <c r="J21" s="298">
        <f>BalSheet!J18</f>
        <v>8474287.1358790379</v>
      </c>
      <c r="K21" s="96"/>
      <c r="L21" s="96"/>
    </row>
    <row r="22" spans="1:12" x14ac:dyDescent="0.25">
      <c r="B22" s="4" t="s">
        <v>159</v>
      </c>
      <c r="C22" s="96"/>
      <c r="D22" s="96"/>
      <c r="E22" s="97">
        <f>BalSheet!E30</f>
        <v>318639</v>
      </c>
      <c r="F22" s="298">
        <f>BalSheet!F30</f>
        <v>468117.19295484212</v>
      </c>
      <c r="G22" s="298">
        <f>BalSheet!G30</f>
        <v>646189.89788213919</v>
      </c>
      <c r="H22" s="298">
        <f>BalSheet!H30</f>
        <v>829260.59096781281</v>
      </c>
      <c r="I22" s="298">
        <f>BalSheet!I30</f>
        <v>943397.7837536853</v>
      </c>
      <c r="J22" s="298">
        <f>BalSheet!J30</f>
        <v>1025435.2870978942</v>
      </c>
      <c r="K22" s="96"/>
      <c r="L22" s="96"/>
    </row>
    <row r="23" spans="1:12" x14ac:dyDescent="0.25">
      <c r="B23" s="4" t="s">
        <v>72</v>
      </c>
      <c r="C23" s="96"/>
      <c r="D23" s="96"/>
      <c r="E23" s="97">
        <f>BalSheet!E31</f>
        <v>3344569</v>
      </c>
      <c r="F23" s="298">
        <f>BalSheet!F31</f>
        <v>5144865.2291852413</v>
      </c>
      <c r="G23" s="298">
        <f>BalSheet!G31</f>
        <v>7452831.1706334995</v>
      </c>
      <c r="H23" s="298">
        <f>BalSheet!H31</f>
        <v>10061322.080355225</v>
      </c>
      <c r="I23" s="298">
        <f>BalSheet!I31</f>
        <v>12073586.496426269</v>
      </c>
      <c r="J23" s="298">
        <f>BalSheet!J31</f>
        <v>13884624.470890209</v>
      </c>
      <c r="K23" s="96"/>
      <c r="L23" s="96"/>
    </row>
    <row r="24" spans="1:12" x14ac:dyDescent="0.25">
      <c r="A24" s="11" t="s">
        <v>120</v>
      </c>
      <c r="B24" s="17" t="s">
        <v>22</v>
      </c>
      <c r="C24" s="18"/>
      <c r="D24" s="18"/>
      <c r="E24" s="18">
        <f>SUM(E19:E21)-SUM(E22:E23)</f>
        <v>-592831.31499999994</v>
      </c>
      <c r="F24" s="18">
        <f>SUM(F19:F21)-SUM(F22:F23)</f>
        <v>-1443983.4881004496</v>
      </c>
      <c r="G24" s="18">
        <f t="shared" ref="G24:J24" si="10">SUM(G19:G21)-SUM(G22:G23)</f>
        <v>-2059825.9055999899</v>
      </c>
      <c r="H24" s="18">
        <f t="shared" si="10"/>
        <v>-2737669.2013869118</v>
      </c>
      <c r="I24" s="18">
        <f t="shared" si="10"/>
        <v>-3233488.1162566021</v>
      </c>
      <c r="J24" s="18">
        <f t="shared" si="10"/>
        <v>-3659039.1694762483</v>
      </c>
      <c r="K24" s="11"/>
      <c r="L24" s="11"/>
    </row>
    <row r="25" spans="1:12" s="11" customFormat="1" x14ac:dyDescent="0.25">
      <c r="A25" s="24"/>
      <c r="B25" s="11" t="s">
        <v>145</v>
      </c>
      <c r="F25" s="11">
        <f>E24-F24</f>
        <v>851152.17310044961</v>
      </c>
      <c r="G25" s="11">
        <f t="shared" ref="G25:J25" si="11">F24-G24</f>
        <v>615842.41749954037</v>
      </c>
      <c r="H25" s="11">
        <f t="shared" si="11"/>
        <v>677843.29578692187</v>
      </c>
      <c r="I25" s="11">
        <f t="shared" si="11"/>
        <v>495818.91486969031</v>
      </c>
      <c r="J25" s="11">
        <f t="shared" si="11"/>
        <v>425551.05321964622</v>
      </c>
    </row>
    <row r="26" spans="1:12" x14ac:dyDescent="0.25">
      <c r="B26" s="65"/>
      <c r="C26" s="65"/>
      <c r="D26" s="65"/>
      <c r="E26" s="65"/>
      <c r="F26" s="65"/>
      <c r="G26" s="65"/>
      <c r="H26" s="82"/>
      <c r="I26" s="65"/>
      <c r="J26" s="65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/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61" t="str">
        <f>CoName</f>
        <v>Roblox Corporation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3" s="2" customFormat="1" x14ac:dyDescent="0.25">
      <c r="A2" s="16" t="s">
        <v>9</v>
      </c>
      <c r="B2" s="198"/>
      <c r="C2" s="106">
        <v>44926</v>
      </c>
      <c r="D2" s="106">
        <v>45291</v>
      </c>
      <c r="E2" s="106">
        <v>45657</v>
      </c>
      <c r="F2" s="106">
        <v>46022</v>
      </c>
      <c r="G2" s="106">
        <v>46387</v>
      </c>
      <c r="H2" s="106">
        <v>46752</v>
      </c>
      <c r="I2" s="106">
        <v>47118</v>
      </c>
      <c r="J2" s="106">
        <v>47483</v>
      </c>
      <c r="K2" s="207"/>
      <c r="L2" s="207"/>
    </row>
    <row r="3" spans="1:13" s="2" customFormat="1" x14ac:dyDescent="0.25">
      <c r="A3" s="85"/>
      <c r="B3" s="11"/>
      <c r="C3" s="199"/>
      <c r="D3" s="199"/>
      <c r="E3" s="199"/>
      <c r="F3" s="199"/>
      <c r="G3" s="199"/>
      <c r="H3" s="199"/>
      <c r="I3" s="199"/>
      <c r="J3" s="199"/>
      <c r="K3" s="207"/>
      <c r="L3" s="207"/>
    </row>
    <row r="4" spans="1:13" s="2" customFormat="1" x14ac:dyDescent="0.25">
      <c r="A4" s="11"/>
      <c r="B4" s="4" t="s">
        <v>23</v>
      </c>
      <c r="C4" s="29"/>
      <c r="D4" s="55"/>
      <c r="E4" s="59"/>
      <c r="F4" s="110">
        <f>Assumptions!F23</f>
        <v>0</v>
      </c>
      <c r="G4" s="110">
        <f>Assumptions!G23</f>
        <v>0</v>
      </c>
      <c r="H4" s="110">
        <f>Assumptions!H23</f>
        <v>0</v>
      </c>
      <c r="I4" s="110">
        <f>Assumptions!I23</f>
        <v>0</v>
      </c>
      <c r="J4" s="110">
        <f>Assumptions!J23</f>
        <v>0</v>
      </c>
      <c r="K4" s="28"/>
      <c r="L4" s="28"/>
    </row>
    <row r="5" spans="1:13" s="2" customFormat="1" x14ac:dyDescent="0.25">
      <c r="A5" s="11"/>
      <c r="B5" s="4" t="s">
        <v>24</v>
      </c>
      <c r="C5" s="29"/>
      <c r="D5" s="56"/>
      <c r="E5" s="60"/>
      <c r="F5" s="110">
        <f>Assumptions!F24</f>
        <v>0.04</v>
      </c>
      <c r="G5" s="110">
        <f>Assumptions!G24</f>
        <v>0.04</v>
      </c>
      <c r="H5" s="110">
        <f>Assumptions!H24</f>
        <v>0.04</v>
      </c>
      <c r="I5" s="110">
        <f>Assumptions!I24</f>
        <v>0.04</v>
      </c>
      <c r="J5" s="110">
        <f>Assumptions!J24</f>
        <v>0.04</v>
      </c>
      <c r="K5" s="28"/>
      <c r="L5" s="28"/>
    </row>
    <row r="6" spans="1:13" s="2" customFormat="1" x14ac:dyDescent="0.25">
      <c r="A6" s="11"/>
      <c r="B6" s="4" t="s">
        <v>25</v>
      </c>
      <c r="C6" s="29"/>
      <c r="D6" s="55"/>
      <c r="E6" s="59"/>
      <c r="F6" s="110">
        <f>Assumptions!F25</f>
        <v>0.27298729574563158</v>
      </c>
      <c r="G6" s="110">
        <f>Assumptions!G25</f>
        <v>0.27298729574563158</v>
      </c>
      <c r="H6" s="110">
        <f>Assumptions!H25</f>
        <v>0.27298729574563158</v>
      </c>
      <c r="I6" s="110">
        <f>Assumptions!I25</f>
        <v>0.27298729574563158</v>
      </c>
      <c r="J6" s="110">
        <f>Assumptions!J25</f>
        <v>0.27298729574563158</v>
      </c>
      <c r="K6" s="28"/>
      <c r="L6" s="28"/>
    </row>
    <row r="7" spans="1:13" s="2" customFormat="1" x14ac:dyDescent="0.25">
      <c r="A7" s="11"/>
      <c r="B7" s="4"/>
      <c r="C7" s="29"/>
      <c r="D7" s="29"/>
      <c r="E7" s="29"/>
      <c r="F7" s="108"/>
      <c r="G7" s="108"/>
      <c r="H7" s="108"/>
      <c r="I7" s="109"/>
      <c r="J7" s="109"/>
      <c r="K7" s="208"/>
      <c r="L7" s="208"/>
    </row>
    <row r="8" spans="1:13" s="2" customFormat="1" x14ac:dyDescent="0.25">
      <c r="A8" s="11"/>
      <c r="B8" s="4" t="s">
        <v>26</v>
      </c>
      <c r="C8" s="29"/>
      <c r="D8" s="57"/>
      <c r="E8" s="61"/>
      <c r="F8" s="111">
        <f>Assumptions!F27</f>
        <v>0</v>
      </c>
      <c r="G8" s="111">
        <f>Assumptions!G27</f>
        <v>0</v>
      </c>
      <c r="H8" s="111">
        <f>Assumptions!H27</f>
        <v>0</v>
      </c>
      <c r="I8" s="111">
        <f>Assumptions!I27</f>
        <v>0</v>
      </c>
      <c r="J8" s="111">
        <f>Assumptions!J27</f>
        <v>0</v>
      </c>
      <c r="K8" s="209"/>
      <c r="L8" s="209"/>
    </row>
    <row r="9" spans="1:13" s="2" customFormat="1" x14ac:dyDescent="0.25">
      <c r="A9" s="11"/>
      <c r="B9" s="4" t="s">
        <v>27</v>
      </c>
      <c r="C9" s="29"/>
      <c r="D9" s="57"/>
      <c r="E9" s="61"/>
      <c r="F9" s="111">
        <f>Assumptions!F28</f>
        <v>0</v>
      </c>
      <c r="G9" s="111">
        <f>Assumptions!G28</f>
        <v>0</v>
      </c>
      <c r="H9" s="111">
        <f>Assumptions!H28</f>
        <v>0</v>
      </c>
      <c r="I9" s="111">
        <f>Assumptions!I28</f>
        <v>0</v>
      </c>
      <c r="J9" s="111">
        <f>Assumptions!J28</f>
        <v>0</v>
      </c>
      <c r="K9" s="209"/>
      <c r="L9" s="209"/>
    </row>
    <row r="10" spans="1:13" s="2" customFormat="1" ht="18.75" x14ac:dyDescent="0.3">
      <c r="A10" s="32"/>
      <c r="B10" s="3"/>
      <c r="C10" s="52"/>
      <c r="D10" s="52"/>
      <c r="E10" s="52"/>
      <c r="F10" s="107"/>
      <c r="G10" s="107"/>
      <c r="H10" s="107"/>
      <c r="I10" s="107"/>
      <c r="J10" s="107"/>
      <c r="K10" s="52"/>
      <c r="L10" s="52"/>
    </row>
    <row r="11" spans="1:13" x14ac:dyDescent="0.25">
      <c r="A11" s="20" t="s">
        <v>28</v>
      </c>
      <c r="B11" s="53"/>
      <c r="C11" s="153">
        <f>C2</f>
        <v>44926</v>
      </c>
      <c r="D11" s="153">
        <f t="shared" ref="D11:J11" si="0">D2</f>
        <v>45291</v>
      </c>
      <c r="E11" s="153">
        <f t="shared" si="0"/>
        <v>45657</v>
      </c>
      <c r="F11" s="153">
        <f t="shared" si="0"/>
        <v>46022</v>
      </c>
      <c r="G11" s="153">
        <f t="shared" si="0"/>
        <v>46387</v>
      </c>
      <c r="H11" s="153">
        <f t="shared" si="0"/>
        <v>46752</v>
      </c>
      <c r="I11" s="153">
        <f t="shared" si="0"/>
        <v>47118</v>
      </c>
      <c r="J11" s="153">
        <f t="shared" si="0"/>
        <v>47483</v>
      </c>
      <c r="K11" s="210"/>
      <c r="L11" s="210"/>
      <c r="M11" s="46"/>
    </row>
    <row r="12" spans="1:13" x14ac:dyDescent="0.25">
      <c r="B12" s="4" t="s">
        <v>29</v>
      </c>
      <c r="E12" s="26"/>
      <c r="F12" s="4" t="s">
        <v>215</v>
      </c>
      <c r="I12" s="4"/>
      <c r="J12" s="4"/>
      <c r="M12" s="46"/>
    </row>
    <row r="13" spans="1:13" x14ac:dyDescent="0.25">
      <c r="B13" s="4" t="s">
        <v>30</v>
      </c>
      <c r="E13" s="27"/>
      <c r="I13" s="4"/>
      <c r="J13" s="4"/>
      <c r="M13" s="46"/>
    </row>
    <row r="14" spans="1:13" x14ac:dyDescent="0.25">
      <c r="B14" s="4" t="s">
        <v>31</v>
      </c>
      <c r="E14" s="26"/>
      <c r="I14" s="4"/>
      <c r="J14" s="4"/>
      <c r="M14" s="46"/>
    </row>
    <row r="15" spans="1:13" x14ac:dyDescent="0.25">
      <c r="E15" s="26"/>
      <c r="I15" s="4"/>
      <c r="J15" s="4"/>
      <c r="M15" s="46"/>
    </row>
    <row r="16" spans="1:13" x14ac:dyDescent="0.25">
      <c r="A16" s="268" t="s">
        <v>32</v>
      </c>
      <c r="B16" s="19"/>
      <c r="C16" s="54">
        <f t="shared" ref="C16:J16" si="1">C11</f>
        <v>44926</v>
      </c>
      <c r="D16" s="54">
        <f t="shared" si="1"/>
        <v>45291</v>
      </c>
      <c r="E16" s="54">
        <f t="shared" si="1"/>
        <v>45657</v>
      </c>
      <c r="F16" s="54">
        <f t="shared" si="1"/>
        <v>46022</v>
      </c>
      <c r="G16" s="54">
        <f t="shared" si="1"/>
        <v>46387</v>
      </c>
      <c r="H16" s="54">
        <f t="shared" si="1"/>
        <v>46752</v>
      </c>
      <c r="I16" s="54">
        <f t="shared" si="1"/>
        <v>47118</v>
      </c>
      <c r="J16" s="54">
        <f t="shared" si="1"/>
        <v>47483</v>
      </c>
      <c r="K16" s="207"/>
      <c r="L16" s="207"/>
      <c r="M16" s="46"/>
    </row>
    <row r="17" spans="1:13" x14ac:dyDescent="0.25">
      <c r="B17" s="4" t="s">
        <v>18</v>
      </c>
      <c r="E17" s="26"/>
      <c r="F17" s="4">
        <f>E20</f>
        <v>670051</v>
      </c>
      <c r="G17" s="4">
        <f t="shared" ref="G17:J17" si="2">F20</f>
        <v>670051</v>
      </c>
      <c r="H17" s="4">
        <f t="shared" si="2"/>
        <v>670051</v>
      </c>
      <c r="I17" s="4">
        <f t="shared" si="2"/>
        <v>670051</v>
      </c>
      <c r="J17" s="4">
        <f t="shared" si="2"/>
        <v>670051</v>
      </c>
      <c r="M17" s="46"/>
    </row>
    <row r="18" spans="1:13" x14ac:dyDescent="0.25">
      <c r="B18" s="4" t="s">
        <v>33</v>
      </c>
      <c r="E18" s="26"/>
      <c r="F18" s="4">
        <f>F8</f>
        <v>0</v>
      </c>
      <c r="G18" s="4">
        <f t="shared" ref="G18:J18" si="3">G8</f>
        <v>0</v>
      </c>
      <c r="H18" s="4">
        <f t="shared" si="3"/>
        <v>0</v>
      </c>
      <c r="I18" s="4">
        <f t="shared" si="3"/>
        <v>0</v>
      </c>
      <c r="J18" s="4">
        <f t="shared" si="3"/>
        <v>0</v>
      </c>
      <c r="M18" s="46"/>
    </row>
    <row r="19" spans="1:13" x14ac:dyDescent="0.25">
      <c r="B19" s="4" t="s">
        <v>34</v>
      </c>
      <c r="E19" s="26"/>
      <c r="F19" s="4">
        <f>F9</f>
        <v>0</v>
      </c>
      <c r="G19" s="4">
        <f t="shared" ref="G19:J19" si="4">G9</f>
        <v>0</v>
      </c>
      <c r="H19" s="4">
        <f t="shared" si="4"/>
        <v>0</v>
      </c>
      <c r="I19" s="4">
        <f t="shared" si="4"/>
        <v>0</v>
      </c>
      <c r="J19" s="4">
        <f t="shared" si="4"/>
        <v>0</v>
      </c>
    </row>
    <row r="20" spans="1:13" x14ac:dyDescent="0.25">
      <c r="B20" s="4" t="s">
        <v>21</v>
      </c>
      <c r="C20" s="10"/>
      <c r="E20" s="26">
        <f>BalSheet!E34</f>
        <v>670051</v>
      </c>
      <c r="F20" s="4">
        <f>SUM(F17:F19)</f>
        <v>670051</v>
      </c>
      <c r="G20" s="4">
        <f t="shared" ref="G20:J20" si="5">SUM(G17:G19)</f>
        <v>670051</v>
      </c>
      <c r="H20" s="4">
        <f t="shared" si="5"/>
        <v>670051</v>
      </c>
      <c r="I20" s="4">
        <f t="shared" si="5"/>
        <v>670051</v>
      </c>
      <c r="J20" s="4">
        <f t="shared" si="5"/>
        <v>670051</v>
      </c>
    </row>
    <row r="21" spans="1:13" x14ac:dyDescent="0.25">
      <c r="B21" s="4" t="s">
        <v>30</v>
      </c>
      <c r="D21" s="47"/>
      <c r="E21" s="26"/>
      <c r="F21" s="8">
        <f>F5</f>
        <v>0.04</v>
      </c>
      <c r="G21" s="8">
        <f t="shared" ref="G21:J21" si="6">G5</f>
        <v>0.04</v>
      </c>
      <c r="H21" s="8">
        <f t="shared" si="6"/>
        <v>0.04</v>
      </c>
      <c r="I21" s="8">
        <f t="shared" si="6"/>
        <v>0.04</v>
      </c>
      <c r="J21" s="8">
        <f t="shared" si="6"/>
        <v>0.04</v>
      </c>
    </row>
    <row r="22" spans="1:13" x14ac:dyDescent="0.25">
      <c r="B22" s="4" t="s">
        <v>31</v>
      </c>
      <c r="E22" s="26"/>
      <c r="F22" s="4">
        <f>F20*F21</f>
        <v>26802.04</v>
      </c>
      <c r="G22" s="4">
        <f t="shared" ref="G22:J22" si="7">G20*G21</f>
        <v>26802.04</v>
      </c>
      <c r="H22" s="4">
        <f t="shared" si="7"/>
        <v>26802.04</v>
      </c>
      <c r="I22" s="4">
        <f t="shared" si="7"/>
        <v>26802.04</v>
      </c>
      <c r="J22" s="4">
        <f t="shared" si="7"/>
        <v>26802.04</v>
      </c>
    </row>
    <row r="23" spans="1:13" x14ac:dyDescent="0.25">
      <c r="E23" s="26"/>
      <c r="I23" s="4"/>
      <c r="J23" s="4"/>
    </row>
    <row r="24" spans="1:13" x14ac:dyDescent="0.25">
      <c r="A24" s="20" t="s">
        <v>35</v>
      </c>
      <c r="B24" s="41"/>
      <c r="C24" s="54">
        <f>C16</f>
        <v>44926</v>
      </c>
      <c r="D24" s="54">
        <f t="shared" ref="D24:J24" si="8">D16</f>
        <v>45291</v>
      </c>
      <c r="E24" s="54">
        <f t="shared" si="8"/>
        <v>45657</v>
      </c>
      <c r="F24" s="54">
        <f t="shared" si="8"/>
        <v>46022</v>
      </c>
      <c r="G24" s="54">
        <f t="shared" si="8"/>
        <v>46387</v>
      </c>
      <c r="H24" s="54">
        <f t="shared" si="8"/>
        <v>46752</v>
      </c>
      <c r="I24" s="54">
        <f t="shared" si="8"/>
        <v>47118</v>
      </c>
      <c r="J24" s="54">
        <f t="shared" si="8"/>
        <v>47483</v>
      </c>
      <c r="K24" s="207"/>
      <c r="L24" s="207"/>
    </row>
    <row r="25" spans="1:13" x14ac:dyDescent="0.25">
      <c r="A25" s="7"/>
      <c r="B25" s="4" t="s">
        <v>28</v>
      </c>
      <c r="E25" s="26"/>
      <c r="F25" s="4" t="str">
        <f>F12</f>
        <v>NO REVOLVER</v>
      </c>
      <c r="G25" s="4">
        <f t="shared" ref="G25:J25" si="9">G12</f>
        <v>0</v>
      </c>
      <c r="H25" s="4">
        <f t="shared" si="9"/>
        <v>0</v>
      </c>
      <c r="I25" s="4">
        <f t="shared" si="9"/>
        <v>0</v>
      </c>
      <c r="J25" s="4">
        <f t="shared" si="9"/>
        <v>0</v>
      </c>
    </row>
    <row r="26" spans="1:13" x14ac:dyDescent="0.25">
      <c r="A26" s="7"/>
      <c r="B26" s="4" t="s">
        <v>36</v>
      </c>
      <c r="E26" s="26"/>
      <c r="F26" s="4">
        <f>F20</f>
        <v>670051</v>
      </c>
      <c r="G26" s="4">
        <f t="shared" ref="G26:J26" si="10">G20</f>
        <v>670051</v>
      </c>
      <c r="H26" s="4">
        <f t="shared" si="10"/>
        <v>670051</v>
      </c>
      <c r="I26" s="4">
        <f t="shared" si="10"/>
        <v>670051</v>
      </c>
      <c r="J26" s="4">
        <f t="shared" si="10"/>
        <v>670051</v>
      </c>
    </row>
    <row r="27" spans="1:13" x14ac:dyDescent="0.25">
      <c r="A27" s="7"/>
      <c r="B27" s="11" t="s">
        <v>37</v>
      </c>
      <c r="D27" s="11"/>
      <c r="E27" s="24"/>
      <c r="F27" s="11">
        <f>SUM(F25:F26)</f>
        <v>670051</v>
      </c>
      <c r="G27" s="11">
        <f t="shared" ref="G27:J27" si="11">SUM(G25:G26)</f>
        <v>670051</v>
      </c>
      <c r="H27" s="11">
        <f t="shared" si="11"/>
        <v>670051</v>
      </c>
      <c r="I27" s="11">
        <f t="shared" si="11"/>
        <v>670051</v>
      </c>
      <c r="J27" s="11">
        <f t="shared" si="11"/>
        <v>670051</v>
      </c>
      <c r="K27" s="11"/>
      <c r="L27" s="11"/>
    </row>
    <row r="28" spans="1:13" x14ac:dyDescent="0.25">
      <c r="A28" s="7"/>
      <c r="B28" s="4" t="s">
        <v>38</v>
      </c>
      <c r="E28" s="26"/>
      <c r="F28" s="4">
        <f>F22</f>
        <v>26802.04</v>
      </c>
      <c r="G28" s="4">
        <f t="shared" ref="G28:J28" si="12">G22</f>
        <v>26802.04</v>
      </c>
      <c r="H28" s="4">
        <f t="shared" si="12"/>
        <v>26802.04</v>
      </c>
      <c r="I28" s="4">
        <f t="shared" si="12"/>
        <v>26802.04</v>
      </c>
      <c r="J28" s="4">
        <f t="shared" si="12"/>
        <v>26802.04</v>
      </c>
    </row>
    <row r="29" spans="1:13" x14ac:dyDescent="0.25">
      <c r="A29" s="7"/>
      <c r="E29" s="26"/>
      <c r="I29" s="4"/>
      <c r="J29" s="4"/>
    </row>
    <row r="30" spans="1:13" x14ac:dyDescent="0.25">
      <c r="A30" s="20" t="s">
        <v>39</v>
      </c>
      <c r="B30" s="41"/>
      <c r="C30" s="54">
        <f>C11</f>
        <v>44926</v>
      </c>
      <c r="D30" s="54">
        <f t="shared" ref="D30:J30" si="13">D11</f>
        <v>45291</v>
      </c>
      <c r="E30" s="54">
        <f t="shared" si="13"/>
        <v>45657</v>
      </c>
      <c r="F30" s="54">
        <f t="shared" si="13"/>
        <v>46022</v>
      </c>
      <c r="G30" s="54">
        <f t="shared" si="13"/>
        <v>46387</v>
      </c>
      <c r="H30" s="54">
        <f t="shared" si="13"/>
        <v>46752</v>
      </c>
      <c r="I30" s="54">
        <f t="shared" si="13"/>
        <v>47118</v>
      </c>
      <c r="J30" s="54">
        <f t="shared" si="13"/>
        <v>47483</v>
      </c>
      <c r="K30" s="207"/>
      <c r="L30" s="207"/>
    </row>
    <row r="31" spans="1:13" x14ac:dyDescent="0.25">
      <c r="A31" s="7"/>
      <c r="B31" s="4" t="s">
        <v>165</v>
      </c>
      <c r="E31" s="26"/>
      <c r="F31" s="4">
        <f>BalSheet!F16</f>
        <v>2068913.4383686401</v>
      </c>
      <c r="G31" s="4">
        <f>BalSheet!G16</f>
        <v>4070967.8314392241</v>
      </c>
      <c r="H31" s="4">
        <f>BalSheet!H16</f>
        <v>7325053.5512844473</v>
      </c>
      <c r="I31" s="4">
        <f>BalSheet!I16</f>
        <v>11595319.11846083</v>
      </c>
      <c r="J31" s="4">
        <f>BalSheet!J16</f>
        <v>17825852.544754438</v>
      </c>
    </row>
    <row r="32" spans="1:13" x14ac:dyDescent="0.25">
      <c r="B32" s="4" t="s">
        <v>30</v>
      </c>
      <c r="D32" s="47"/>
      <c r="E32" s="23"/>
      <c r="F32" s="5">
        <f>F6</f>
        <v>0.27298729574563158</v>
      </c>
      <c r="G32" s="5">
        <f t="shared" ref="G32:J32" si="14">G6</f>
        <v>0.27298729574563158</v>
      </c>
      <c r="H32" s="5">
        <f t="shared" si="14"/>
        <v>0.27298729574563158</v>
      </c>
      <c r="I32" s="5">
        <f t="shared" si="14"/>
        <v>0.27298729574563158</v>
      </c>
      <c r="J32" s="5">
        <f t="shared" si="14"/>
        <v>0.27298729574563158</v>
      </c>
      <c r="K32" s="175"/>
      <c r="L32" s="175"/>
    </row>
    <row r="33" spans="2:10" x14ac:dyDescent="0.25">
      <c r="B33" s="4" t="s">
        <v>39</v>
      </c>
      <c r="E33" s="26"/>
      <c r="F33" s="4">
        <f>F31*F32</f>
        <v>564787.08467205148</v>
      </c>
      <c r="G33" s="4">
        <f t="shared" ref="G33:J33" si="15">G31*G32</f>
        <v>1111322.4993720518</v>
      </c>
      <c r="H33" s="4">
        <f t="shared" si="15"/>
        <v>1999646.5601570762</v>
      </c>
      <c r="I33" s="4">
        <f t="shared" si="15"/>
        <v>3165374.8094562427</v>
      </c>
      <c r="J33" s="4">
        <f t="shared" si="15"/>
        <v>4866231.2805528995</v>
      </c>
    </row>
    <row r="34" spans="2:10" x14ac:dyDescent="0.25">
      <c r="E34" s="26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2"/>
  <sheetViews>
    <sheetView showGridLines="0" zoomScaleNormal="100" workbookViewId="0"/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2.7109375" style="4" customWidth="1"/>
    <col min="8" max="8" width="12.7109375" style="6" customWidth="1"/>
    <col min="9" max="10" width="12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61" t="str">
        <f>CoName</f>
        <v>Roblox Corporation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x14ac:dyDescent="0.25">
      <c r="A2" s="16" t="s">
        <v>9</v>
      </c>
      <c r="B2" s="15"/>
      <c r="C2" s="260">
        <v>44926</v>
      </c>
      <c r="D2" s="260">
        <v>45291</v>
      </c>
      <c r="E2" s="260">
        <v>45657</v>
      </c>
      <c r="F2" s="106">
        <v>46022</v>
      </c>
      <c r="G2" s="106">
        <v>46387</v>
      </c>
      <c r="H2" s="106">
        <v>46752</v>
      </c>
      <c r="I2" s="106">
        <v>47118</v>
      </c>
      <c r="J2" s="106">
        <v>47483</v>
      </c>
    </row>
    <row r="3" spans="1:12" x14ac:dyDescent="0.25">
      <c r="A3" s="85"/>
      <c r="C3" s="98"/>
      <c r="D3" s="98"/>
      <c r="E3" s="98"/>
    </row>
    <row r="4" spans="1:12" x14ac:dyDescent="0.25">
      <c r="B4" s="29" t="s">
        <v>41</v>
      </c>
      <c r="C4" s="30"/>
      <c r="D4" s="30"/>
      <c r="E4" s="31"/>
      <c r="F4" s="179">
        <f>Assumptions!F10</f>
        <v>0.53827450687524792</v>
      </c>
      <c r="G4" s="179">
        <f>Assumptions!G10</f>
        <v>0.44859599593705135</v>
      </c>
      <c r="H4" s="179">
        <f>Assumptions!H10</f>
        <v>0.35</v>
      </c>
      <c r="I4" s="179">
        <f>Assumptions!I10</f>
        <v>0.2</v>
      </c>
      <c r="J4" s="179">
        <f>Assumptions!J10</f>
        <v>0.15</v>
      </c>
      <c r="K4" s="212"/>
      <c r="L4" s="212"/>
    </row>
    <row r="5" spans="1:12" x14ac:dyDescent="0.25">
      <c r="B5" s="29" t="s">
        <v>42</v>
      </c>
      <c r="C5" s="30"/>
      <c r="D5" s="30"/>
      <c r="E5" s="30"/>
      <c r="F5" s="179">
        <f>Assumptions!F11</f>
        <v>0.21242272928298581</v>
      </c>
      <c r="G5" s="179">
        <f>Assumptions!G11</f>
        <v>0.2024227292829858</v>
      </c>
      <c r="H5" s="179">
        <f>Assumptions!H11</f>
        <v>0.19242272928298579</v>
      </c>
      <c r="I5" s="179">
        <f>Assumptions!I11</f>
        <v>0.18242272928298578</v>
      </c>
      <c r="J5" s="179">
        <f>Assumptions!J11</f>
        <v>0.17242272928298577</v>
      </c>
      <c r="K5" s="212"/>
      <c r="L5" s="212"/>
    </row>
    <row r="6" spans="1:12" x14ac:dyDescent="0.25">
      <c r="B6" s="29" t="s">
        <v>175</v>
      </c>
      <c r="C6" s="195"/>
      <c r="D6" s="195"/>
      <c r="E6" s="31"/>
      <c r="F6" s="179">
        <f>Assumptions!F12</f>
        <v>0.3909482009750751</v>
      </c>
      <c r="G6" s="179">
        <f>Assumptions!G12</f>
        <v>0.3909482009750751</v>
      </c>
      <c r="H6" s="179">
        <f>Assumptions!H12</f>
        <v>0.3909482009750751</v>
      </c>
      <c r="I6" s="179">
        <f>Assumptions!I12</f>
        <v>0.3909482009750751</v>
      </c>
      <c r="J6" s="179">
        <f>Assumptions!J12</f>
        <v>0.3909482009750751</v>
      </c>
      <c r="K6" s="212"/>
      <c r="L6" s="212"/>
    </row>
    <row r="7" spans="1:12" x14ac:dyDescent="0.25">
      <c r="B7" s="29" t="s">
        <v>43</v>
      </c>
      <c r="C7" s="30"/>
      <c r="D7" s="30"/>
      <c r="E7" s="30"/>
      <c r="F7" s="179">
        <f>Assumptions!F13</f>
        <v>0.59683262312190055</v>
      </c>
      <c r="G7" s="179">
        <f>Assumptions!G13</f>
        <v>0.5218326231219006</v>
      </c>
      <c r="H7" s="179">
        <f>Assumptions!H13</f>
        <v>0.44683262312190059</v>
      </c>
      <c r="I7" s="179">
        <f>Assumptions!I13</f>
        <v>0.37183262312190057</v>
      </c>
      <c r="J7" s="179">
        <f>Assumptions!J13</f>
        <v>0.29683262312190056</v>
      </c>
      <c r="K7" s="212"/>
      <c r="L7" s="212"/>
    </row>
    <row r="8" spans="1:12" x14ac:dyDescent="0.25">
      <c r="A8" s="85"/>
      <c r="B8" s="4" t="s">
        <v>44</v>
      </c>
      <c r="C8" s="29"/>
      <c r="D8" s="29"/>
      <c r="E8" s="29"/>
      <c r="F8" s="180">
        <f>Assumptions!F14</f>
        <v>0</v>
      </c>
      <c r="G8" s="180">
        <f>Assumptions!G14</f>
        <v>0</v>
      </c>
      <c r="H8" s="180">
        <f>Assumptions!H14</f>
        <v>0</v>
      </c>
      <c r="I8" s="180">
        <f>Assumptions!I14</f>
        <v>0</v>
      </c>
      <c r="J8" s="180">
        <f>Assumptions!J14</f>
        <v>0</v>
      </c>
      <c r="K8" s="213"/>
      <c r="L8" s="213"/>
    </row>
    <row r="9" spans="1:12" s="46" customFormat="1" x14ac:dyDescent="0.25">
      <c r="A9" s="301"/>
      <c r="B9" s="46" t="str">
        <f>B24</f>
        <v>Stock Based Compensation</v>
      </c>
      <c r="C9" s="124"/>
      <c r="D9" s="124"/>
      <c r="E9" s="124"/>
      <c r="F9" s="302">
        <f>Assumptions!F15</f>
        <v>0.32134868040390863</v>
      </c>
      <c r="G9" s="302">
        <f>Assumptions!G15</f>
        <v>0.32134868040390863</v>
      </c>
      <c r="H9" s="302">
        <f>Assumptions!H15</f>
        <v>0.32134868040390863</v>
      </c>
      <c r="I9" s="302">
        <f>Assumptions!I15</f>
        <v>0.32134868040390863</v>
      </c>
      <c r="J9" s="302">
        <f>Assumptions!J15</f>
        <v>0.32134868040390863</v>
      </c>
      <c r="K9" s="303"/>
      <c r="L9" s="303"/>
    </row>
    <row r="10" spans="1:12" x14ac:dyDescent="0.25">
      <c r="A10" s="85"/>
      <c r="B10" s="4" t="s">
        <v>45</v>
      </c>
      <c r="C10" s="29"/>
      <c r="D10" s="29"/>
      <c r="E10" s="29"/>
      <c r="F10" s="181">
        <f>Assumptions!F16</f>
        <v>0</v>
      </c>
      <c r="G10" s="181">
        <f>Assumptions!G16</f>
        <v>0</v>
      </c>
      <c r="H10" s="181">
        <f>Assumptions!H16</f>
        <v>0</v>
      </c>
      <c r="I10" s="181">
        <f>Assumptions!I16</f>
        <v>0</v>
      </c>
      <c r="J10" s="181">
        <f>Assumptions!J16</f>
        <v>0</v>
      </c>
      <c r="K10" s="214"/>
      <c r="L10" s="214"/>
    </row>
    <row r="11" spans="1:12" x14ac:dyDescent="0.25">
      <c r="B11" s="4" t="s">
        <v>140</v>
      </c>
      <c r="F11" s="181">
        <f>Assumptions!F17</f>
        <v>0</v>
      </c>
      <c r="G11" s="181">
        <f>Assumptions!G17</f>
        <v>0</v>
      </c>
      <c r="H11" s="181">
        <f>Assumptions!H17</f>
        <v>0</v>
      </c>
      <c r="I11" s="181">
        <f>Assumptions!I17</f>
        <v>0</v>
      </c>
      <c r="J11" s="181">
        <f>Assumptions!J17</f>
        <v>0</v>
      </c>
      <c r="K11" s="214"/>
      <c r="L11" s="214"/>
    </row>
    <row r="12" spans="1:12" x14ac:dyDescent="0.25">
      <c r="B12" s="29" t="s">
        <v>46</v>
      </c>
      <c r="C12" s="42"/>
      <c r="D12" s="42"/>
      <c r="E12" s="42"/>
      <c r="F12" s="179">
        <f>Assumptions!F18</f>
        <v>0.12</v>
      </c>
      <c r="G12" s="179">
        <f>Assumptions!G18</f>
        <v>0.12</v>
      </c>
      <c r="H12" s="179">
        <f>Assumptions!H18</f>
        <v>0.12</v>
      </c>
      <c r="I12" s="179">
        <f>Assumptions!I18</f>
        <v>0.12</v>
      </c>
      <c r="J12" s="179">
        <f>Assumptions!J18</f>
        <v>0.12</v>
      </c>
      <c r="K12" s="212"/>
      <c r="L12" s="212"/>
    </row>
    <row r="13" spans="1:12" x14ac:dyDescent="0.25">
      <c r="B13" s="4" t="s">
        <v>47</v>
      </c>
      <c r="C13" s="29"/>
      <c r="D13" s="29"/>
      <c r="E13" s="38"/>
      <c r="F13" s="181">
        <f>Assumptions!F19</f>
        <v>647482</v>
      </c>
      <c r="G13" s="181">
        <f>Assumptions!G19</f>
        <v>647482</v>
      </c>
      <c r="H13" s="181">
        <f>Assumptions!H19</f>
        <v>647482</v>
      </c>
      <c r="I13" s="181">
        <f>Assumptions!I19</f>
        <v>647482</v>
      </c>
      <c r="J13" s="181">
        <f>Assumptions!J19</f>
        <v>647482</v>
      </c>
      <c r="K13" s="214"/>
      <c r="L13" s="214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82" t="s">
        <v>40</v>
      </c>
      <c r="B15" s="183"/>
      <c r="C15" s="153">
        <f>C38</f>
        <v>44926</v>
      </c>
      <c r="D15" s="153">
        <f t="shared" ref="D15:J15" si="0">D38</f>
        <v>45291</v>
      </c>
      <c r="E15" s="153">
        <f t="shared" si="0"/>
        <v>45657</v>
      </c>
      <c r="F15" s="153">
        <f t="shared" si="0"/>
        <v>46022</v>
      </c>
      <c r="G15" s="153">
        <f t="shared" si="0"/>
        <v>46022</v>
      </c>
      <c r="H15" s="153">
        <f t="shared" si="0"/>
        <v>46022</v>
      </c>
      <c r="I15" s="153">
        <f t="shared" si="0"/>
        <v>46022</v>
      </c>
      <c r="J15" s="153">
        <f t="shared" si="0"/>
        <v>46022</v>
      </c>
      <c r="K15" s="210"/>
      <c r="L15" s="210"/>
    </row>
    <row r="16" spans="1:12" x14ac:dyDescent="0.25">
      <c r="B16" s="4" t="s">
        <v>48</v>
      </c>
      <c r="C16" s="96">
        <v>2225052</v>
      </c>
      <c r="D16" s="126">
        <v>2799274</v>
      </c>
      <c r="E16" s="22">
        <v>3601979</v>
      </c>
      <c r="F16" s="4">
        <f>E16*(1+F4)</f>
        <v>5540832.4699999988</v>
      </c>
      <c r="G16" s="4">
        <f t="shared" ref="G16:J16" si="1">F16*(1+G4)</f>
        <v>8026427.7302000001</v>
      </c>
      <c r="H16" s="4">
        <f t="shared" si="1"/>
        <v>10835677.435770001</v>
      </c>
      <c r="I16" s="4">
        <f t="shared" si="1"/>
        <v>13002812.922924001</v>
      </c>
      <c r="J16" s="4">
        <f t="shared" si="1"/>
        <v>14953234.861362599</v>
      </c>
    </row>
    <row r="17" spans="1:12" x14ac:dyDescent="0.25">
      <c r="B17" s="4" t="s">
        <v>152</v>
      </c>
      <c r="C17" s="126">
        <v>547658</v>
      </c>
      <c r="D17" s="126">
        <v>649115</v>
      </c>
      <c r="E17" s="22">
        <v>801162</v>
      </c>
      <c r="F17" s="177">
        <f>F16*F5</f>
        <v>1176998.7557771874</v>
      </c>
      <c r="G17" s="177">
        <f t="shared" ref="G17:J17" si="2">G16*G5</f>
        <v>1624731.4075397248</v>
      </c>
      <c r="H17" s="177">
        <f t="shared" si="2"/>
        <v>2085030.6258209285</v>
      </c>
      <c r="I17" s="177">
        <f t="shared" si="2"/>
        <v>2372008.6217558743</v>
      </c>
      <c r="J17" s="177">
        <f t="shared" si="2"/>
        <v>2578277.5664056288</v>
      </c>
      <c r="K17" s="211"/>
      <c r="L17" s="211"/>
    </row>
    <row r="18" spans="1:12" x14ac:dyDescent="0.25">
      <c r="B18" s="4" t="s">
        <v>174</v>
      </c>
      <c r="C18" s="126">
        <v>873477</v>
      </c>
      <c r="D18" s="126">
        <v>1253598</v>
      </c>
      <c r="E18" s="22">
        <v>1444207</v>
      </c>
      <c r="F18" s="177">
        <f>F16*F6</f>
        <v>2166178.4860507813</v>
      </c>
      <c r="G18" s="177">
        <f t="shared" ref="G18:J18" si="3">G16*G6</f>
        <v>3137917.4813781455</v>
      </c>
      <c r="H18" s="177">
        <f t="shared" si="3"/>
        <v>4236188.5998604968</v>
      </c>
      <c r="I18" s="177">
        <f t="shared" si="3"/>
        <v>5083426.319832596</v>
      </c>
      <c r="J18" s="177">
        <f t="shared" si="3"/>
        <v>5845940.2678074846</v>
      </c>
      <c r="K18" s="211"/>
      <c r="L18" s="211"/>
    </row>
    <row r="19" spans="1:12" x14ac:dyDescent="0.25">
      <c r="B19" s="4" t="s">
        <v>49</v>
      </c>
      <c r="C19" s="126">
        <f>3148836-SUM(C17:C18)</f>
        <v>1727701</v>
      </c>
      <c r="D19" s="126">
        <f>4058341-SUM(D17:D18)</f>
        <v>2155628</v>
      </c>
      <c r="E19" s="22">
        <f>4665296-SUM(E17:E18)</f>
        <v>2419927</v>
      </c>
      <c r="F19" s="177">
        <f>F16*F7</f>
        <v>3306949.5773490989</v>
      </c>
      <c r="G19" s="177">
        <f t="shared" ref="G19:J19" si="4">G16*G7</f>
        <v>4188451.8367486289</v>
      </c>
      <c r="H19" s="177">
        <f t="shared" si="4"/>
        <v>4841734.1719278991</v>
      </c>
      <c r="I19" s="177">
        <f t="shared" si="4"/>
        <v>4834870.0370941786</v>
      </c>
      <c r="J19" s="177">
        <f t="shared" si="4"/>
        <v>4438607.9280561097</v>
      </c>
      <c r="K19" s="211"/>
      <c r="L19" s="211"/>
    </row>
    <row r="20" spans="1:12" s="11" customFormat="1" x14ac:dyDescent="0.25">
      <c r="A20" s="11" t="s">
        <v>120</v>
      </c>
      <c r="B20" s="17" t="s">
        <v>52</v>
      </c>
      <c r="C20" s="18">
        <f>C16-SUM(C17:C19)</f>
        <v>-923784</v>
      </c>
      <c r="D20" s="18">
        <f t="shared" ref="D20:F20" si="5">D16-SUM(D17:D19)</f>
        <v>-1259067</v>
      </c>
      <c r="E20" s="18">
        <f t="shared" si="5"/>
        <v>-1063317</v>
      </c>
      <c r="F20" s="18">
        <f t="shared" si="5"/>
        <v>-1109294.3491770681</v>
      </c>
      <c r="G20" s="18">
        <f t="shared" ref="G20:J20" si="6">G16-SUM(G17:G19)</f>
        <v>-924672.99546650052</v>
      </c>
      <c r="H20" s="18">
        <f t="shared" si="6"/>
        <v>-327275.961839322</v>
      </c>
      <c r="I20" s="18">
        <f t="shared" si="6"/>
        <v>712507.94424135238</v>
      </c>
      <c r="J20" s="18">
        <f t="shared" si="6"/>
        <v>2090409.0990933757</v>
      </c>
    </row>
    <row r="21" spans="1:12" s="11" customFormat="1" x14ac:dyDescent="0.25">
      <c r="E21" s="34"/>
    </row>
    <row r="22" spans="1:12" s="11" customFormat="1" x14ac:dyDescent="0.25">
      <c r="B22" s="4" t="s">
        <v>14</v>
      </c>
      <c r="C22" s="127">
        <v>130083</v>
      </c>
      <c r="D22" s="96">
        <v>208142</v>
      </c>
      <c r="E22" s="97">
        <v>226437</v>
      </c>
      <c r="F22" s="4">
        <f>Calcs!F8</f>
        <v>233648.97224552007</v>
      </c>
      <c r="G22" s="4">
        <f>Calcs!G8</f>
        <v>241175.22381647083</v>
      </c>
      <c r="H22" s="4">
        <f>Calcs!H8</f>
        <v>269227.19494513021</v>
      </c>
      <c r="I22" s="4">
        <f>Calcs!I8</f>
        <v>317032.1460045799</v>
      </c>
      <c r="J22" s="4">
        <f>Calcs!J8</f>
        <v>375462.87903841882</v>
      </c>
      <c r="K22" s="4"/>
      <c r="L22" s="4"/>
    </row>
    <row r="23" spans="1:12" s="11" customFormat="1" x14ac:dyDescent="0.25">
      <c r="B23" s="4" t="s">
        <v>51</v>
      </c>
      <c r="C23" s="96">
        <v>0</v>
      </c>
      <c r="D23" s="96">
        <v>0</v>
      </c>
      <c r="E23" s="97">
        <v>0</v>
      </c>
      <c r="F23" s="4">
        <f>F8</f>
        <v>0</v>
      </c>
      <c r="G23" s="4">
        <f t="shared" ref="G23:J23" si="7">G8</f>
        <v>0</v>
      </c>
      <c r="H23" s="4">
        <f t="shared" si="7"/>
        <v>0</v>
      </c>
      <c r="I23" s="4">
        <f t="shared" si="7"/>
        <v>0</v>
      </c>
      <c r="J23" s="4">
        <f t="shared" si="7"/>
        <v>0</v>
      </c>
      <c r="K23" s="4"/>
      <c r="L23" s="4"/>
    </row>
    <row r="24" spans="1:12" x14ac:dyDescent="0.25">
      <c r="B24" s="4" t="s">
        <v>213</v>
      </c>
      <c r="C24" s="96">
        <v>589498</v>
      </c>
      <c r="D24" s="96">
        <v>867967</v>
      </c>
      <c r="E24" s="128">
        <v>1015794</v>
      </c>
      <c r="F24" s="4">
        <f>E24*(1+F9)</f>
        <v>1342218.0614622082</v>
      </c>
      <c r="G24" s="4">
        <f t="shared" ref="G24:J24" si="8">F24*(1+G9)</f>
        <v>1773538.0643273813</v>
      </c>
      <c r="H24" s="4">
        <f t="shared" si="8"/>
        <v>2343462.1809450877</v>
      </c>
      <c r="I24" s="4">
        <f t="shared" si="8"/>
        <v>3096530.6603682577</v>
      </c>
      <c r="J24" s="4">
        <f t="shared" si="8"/>
        <v>4091596.7019078415</v>
      </c>
    </row>
    <row r="25" spans="1:12" s="295" customFormat="1" x14ac:dyDescent="0.25">
      <c r="A25" s="295" t="s">
        <v>120</v>
      </c>
      <c r="B25" s="296" t="s">
        <v>50</v>
      </c>
      <c r="C25" s="297">
        <f>C20+SUM(C22:C24)</f>
        <v>-204203</v>
      </c>
      <c r="D25" s="297">
        <f t="shared" ref="D25:F25" si="9">D20+SUM(D22:D24)</f>
        <v>-182958</v>
      </c>
      <c r="E25" s="297">
        <f t="shared" si="9"/>
        <v>178914</v>
      </c>
      <c r="F25" s="297">
        <f t="shared" si="9"/>
        <v>466572.68453066004</v>
      </c>
      <c r="G25" s="297">
        <f t="shared" ref="G25" si="10">G20+SUM(G22:G24)</f>
        <v>1090040.2926773517</v>
      </c>
      <c r="H25" s="297">
        <f t="shared" ref="H25" si="11">H20+SUM(H22:H24)</f>
        <v>2285413.4140508957</v>
      </c>
      <c r="I25" s="297">
        <f t="shared" ref="I25" si="12">I20+SUM(I22:I24)</f>
        <v>4126070.75061419</v>
      </c>
      <c r="J25" s="297">
        <f t="shared" ref="J25" si="13">J20+SUM(J22:J24)</f>
        <v>6557468.6800396359</v>
      </c>
    </row>
    <row r="26" spans="1:12" s="11" customFormat="1" x14ac:dyDescent="0.25">
      <c r="C26" s="13"/>
      <c r="D26" s="4"/>
      <c r="E26" s="35"/>
      <c r="F26" s="4"/>
      <c r="G26" s="4"/>
      <c r="H26" s="4"/>
      <c r="I26" s="4"/>
      <c r="J26" s="4"/>
      <c r="K26" s="13"/>
      <c r="L26" s="13"/>
    </row>
    <row r="27" spans="1:12" s="11" customFormat="1" x14ac:dyDescent="0.25">
      <c r="B27" s="4" t="s">
        <v>53</v>
      </c>
      <c r="C27" s="94"/>
      <c r="D27" s="94"/>
      <c r="E27" s="95"/>
      <c r="F27" s="4">
        <f>F10</f>
        <v>0</v>
      </c>
      <c r="G27" s="4">
        <f t="shared" ref="G27:J27" si="14">G10</f>
        <v>0</v>
      </c>
      <c r="H27" s="4">
        <f t="shared" si="14"/>
        <v>0</v>
      </c>
      <c r="I27" s="4">
        <f t="shared" si="14"/>
        <v>0</v>
      </c>
      <c r="J27" s="4">
        <f t="shared" si="14"/>
        <v>0</v>
      </c>
      <c r="K27" s="4"/>
      <c r="L27" s="4"/>
    </row>
    <row r="28" spans="1:12" s="11" customFormat="1" x14ac:dyDescent="0.25">
      <c r="B28" s="4" t="s">
        <v>54</v>
      </c>
      <c r="C28" s="94">
        <v>-5744</v>
      </c>
      <c r="D28" s="94">
        <v>-527</v>
      </c>
      <c r="E28" s="95">
        <v>-11530</v>
      </c>
      <c r="F28" s="4">
        <f>F11</f>
        <v>0</v>
      </c>
      <c r="G28" s="4">
        <f t="shared" ref="G28:J28" si="15">G11</f>
        <v>0</v>
      </c>
      <c r="H28" s="4">
        <f t="shared" si="15"/>
        <v>0</v>
      </c>
      <c r="I28" s="4">
        <f t="shared" si="15"/>
        <v>0</v>
      </c>
      <c r="J28" s="4">
        <f t="shared" si="15"/>
        <v>0</v>
      </c>
      <c r="K28" s="4"/>
      <c r="L28" s="4"/>
    </row>
    <row r="29" spans="1:12" s="11" customFormat="1" x14ac:dyDescent="0.25">
      <c r="B29" s="4"/>
      <c r="C29" s="10"/>
      <c r="D29" s="10"/>
      <c r="E29" s="22"/>
      <c r="F29" s="4"/>
      <c r="G29" s="4"/>
      <c r="H29" s="4"/>
      <c r="I29" s="4"/>
      <c r="J29" s="4"/>
      <c r="K29" s="4"/>
      <c r="L29" s="4"/>
    </row>
    <row r="30" spans="1:12" s="11" customFormat="1" x14ac:dyDescent="0.25">
      <c r="B30" s="4" t="s">
        <v>39</v>
      </c>
      <c r="C30" s="9">
        <v>38842</v>
      </c>
      <c r="D30" s="9">
        <v>141818</v>
      </c>
      <c r="E30" s="44">
        <v>179531</v>
      </c>
      <c r="F30" s="304">
        <f>IF(circ=1,Debt!F33,0)</f>
        <v>0</v>
      </c>
      <c r="G30" s="304">
        <f>IF(circ=1,Debt!G33,0)</f>
        <v>0</v>
      </c>
      <c r="H30" s="304">
        <f>IF(circ=1,Debt!H33,0)</f>
        <v>0</v>
      </c>
      <c r="I30" s="304">
        <f>IF(circ=1,Debt!I33,0)</f>
        <v>0</v>
      </c>
      <c r="J30" s="304">
        <f>IF(circ=1,Debt!J33,0)</f>
        <v>0</v>
      </c>
      <c r="K30" s="185"/>
      <c r="L30" s="185"/>
    </row>
    <row r="31" spans="1:12" x14ac:dyDescent="0.25">
      <c r="B31" s="4" t="s">
        <v>31</v>
      </c>
      <c r="C31" s="9">
        <v>-39903</v>
      </c>
      <c r="D31" s="9">
        <v>-40707</v>
      </c>
      <c r="E31" s="44">
        <v>-41184</v>
      </c>
      <c r="F31" s="304">
        <f>IF(circ=1,Debt!F28,0)</f>
        <v>0</v>
      </c>
      <c r="G31" s="304">
        <f>IF(circ=1,Debt!G28,0)</f>
        <v>0</v>
      </c>
      <c r="H31" s="304">
        <f>IF(circ=1,Debt!H28,0)</f>
        <v>0</v>
      </c>
      <c r="I31" s="304">
        <f>IF(circ=1,Debt!I28,0)</f>
        <v>0</v>
      </c>
      <c r="J31" s="304">
        <f>IF(circ=1,Debt!J28,0)</f>
        <v>0</v>
      </c>
      <c r="K31" s="185"/>
      <c r="L31" s="185"/>
    </row>
    <row r="32" spans="1:12" x14ac:dyDescent="0.25">
      <c r="C32" s="10"/>
      <c r="D32" s="10"/>
      <c r="E32" s="22"/>
      <c r="H32" s="4"/>
    </row>
    <row r="33" spans="1:12" s="11" customFormat="1" x14ac:dyDescent="0.25">
      <c r="A33" s="11" t="s">
        <v>120</v>
      </c>
      <c r="B33" s="17" t="s">
        <v>80</v>
      </c>
      <c r="C33" s="18">
        <f t="shared" ref="C33:D33" si="16">C20+SUM(C30:C31,C27:C28)</f>
        <v>-930589</v>
      </c>
      <c r="D33" s="18">
        <f t="shared" si="16"/>
        <v>-1158483</v>
      </c>
      <c r="E33" s="18">
        <f>E20+SUM(E30:E31,E27:E28)</f>
        <v>-936500</v>
      </c>
      <c r="F33" s="18">
        <f>F20+SUM(F30:F31,F27:F28)</f>
        <v>-1109294.3491770681</v>
      </c>
      <c r="G33" s="18">
        <f t="shared" ref="G33:J33" si="17">G20+SUM(G30:G31,G27:G28)</f>
        <v>-924672.99546650052</v>
      </c>
      <c r="H33" s="18">
        <f t="shared" si="17"/>
        <v>-327275.961839322</v>
      </c>
      <c r="I33" s="18">
        <f t="shared" si="17"/>
        <v>712507.94424135238</v>
      </c>
      <c r="J33" s="18">
        <f t="shared" si="17"/>
        <v>2090409.0990933757</v>
      </c>
    </row>
    <row r="34" spans="1:12" x14ac:dyDescent="0.25">
      <c r="E34" s="36"/>
      <c r="H34" s="4"/>
    </row>
    <row r="35" spans="1:12" x14ac:dyDescent="0.25">
      <c r="B35" s="4" t="s">
        <v>55</v>
      </c>
      <c r="C35" s="132">
        <v>3552</v>
      </c>
      <c r="D35" s="4">
        <v>454</v>
      </c>
      <c r="E35" s="58">
        <v>4114</v>
      </c>
      <c r="F35" s="4">
        <f>F33*F12</f>
        <v>-133115.32190124816</v>
      </c>
      <c r="G35" s="4">
        <f t="shared" ref="G35:J35" si="18">G33*G12</f>
        <v>-110960.75945598006</v>
      </c>
      <c r="H35" s="4">
        <f t="shared" si="18"/>
        <v>-39273.115420718641</v>
      </c>
      <c r="I35" s="4">
        <f t="shared" si="18"/>
        <v>85500.953308962286</v>
      </c>
      <c r="J35" s="4">
        <f t="shared" si="18"/>
        <v>250849.09189120508</v>
      </c>
    </row>
    <row r="36" spans="1:12" s="11" customFormat="1" x14ac:dyDescent="0.25">
      <c r="A36" s="11" t="s">
        <v>120</v>
      </c>
      <c r="B36" s="17" t="s">
        <v>56</v>
      </c>
      <c r="C36" s="18">
        <f>C33-C35</f>
        <v>-934141</v>
      </c>
      <c r="D36" s="18">
        <f t="shared" ref="D36:F36" si="19">D33-D35</f>
        <v>-1158937</v>
      </c>
      <c r="E36" s="18">
        <f t="shared" si="19"/>
        <v>-940614</v>
      </c>
      <c r="F36" s="18">
        <f t="shared" si="19"/>
        <v>-976179.02727581991</v>
      </c>
      <c r="G36" s="18">
        <f t="shared" ref="G36:J36" si="20">G33-G35</f>
        <v>-813712.23601052049</v>
      </c>
      <c r="H36" s="18">
        <f t="shared" si="20"/>
        <v>-288002.84641860338</v>
      </c>
      <c r="I36" s="18">
        <f t="shared" si="20"/>
        <v>627006.99093239009</v>
      </c>
      <c r="J36" s="18">
        <f t="shared" si="20"/>
        <v>1839560.0072021706</v>
      </c>
    </row>
    <row r="37" spans="1:12" x14ac:dyDescent="0.25">
      <c r="B37" s="11"/>
      <c r="C37" s="11"/>
      <c r="D37" s="11"/>
      <c r="E37" s="34"/>
      <c r="F37" s="11"/>
      <c r="G37" s="11"/>
      <c r="H37" s="11"/>
      <c r="I37" s="11"/>
      <c r="J37" s="11"/>
      <c r="K37" s="11"/>
      <c r="L37" s="11"/>
    </row>
    <row r="38" spans="1:12" x14ac:dyDescent="0.25">
      <c r="A38" s="20" t="s">
        <v>58</v>
      </c>
      <c r="B38" s="19"/>
      <c r="C38" s="54">
        <v>44926</v>
      </c>
      <c r="D38" s="54">
        <v>45291</v>
      </c>
      <c r="E38" s="54">
        <v>45657</v>
      </c>
      <c r="F38" s="54">
        <v>46022</v>
      </c>
      <c r="G38" s="54">
        <v>46022</v>
      </c>
      <c r="H38" s="54">
        <v>46022</v>
      </c>
      <c r="I38" s="54">
        <v>46022</v>
      </c>
      <c r="J38" s="54">
        <v>46022</v>
      </c>
      <c r="K38" s="207"/>
      <c r="L38" s="207"/>
    </row>
    <row r="39" spans="1:12" x14ac:dyDescent="0.25">
      <c r="B39" s="4" t="s">
        <v>47</v>
      </c>
      <c r="C39" s="10">
        <v>595559</v>
      </c>
      <c r="D39" s="10">
        <v>616445</v>
      </c>
      <c r="E39" s="22">
        <v>647482</v>
      </c>
      <c r="F39" s="178">
        <f>F13</f>
        <v>647482</v>
      </c>
      <c r="G39" s="178">
        <f t="shared" ref="G39:J39" si="21">G13</f>
        <v>647482</v>
      </c>
      <c r="H39" s="178">
        <f t="shared" si="21"/>
        <v>647482</v>
      </c>
      <c r="I39" s="178">
        <f t="shared" si="21"/>
        <v>647482</v>
      </c>
      <c r="J39" s="178">
        <f t="shared" si="21"/>
        <v>647482</v>
      </c>
      <c r="K39" s="211"/>
      <c r="L39" s="211"/>
    </row>
    <row r="40" spans="1:12" s="11" customFormat="1" x14ac:dyDescent="0.25">
      <c r="A40" s="11" t="s">
        <v>120</v>
      </c>
      <c r="B40" s="17" t="s">
        <v>59</v>
      </c>
      <c r="C40" s="184">
        <f>C36/C39</f>
        <v>-1.5685112642072405</v>
      </c>
      <c r="D40" s="184">
        <f t="shared" ref="D40:F40" si="22">D36/D39</f>
        <v>-1.8800330929766647</v>
      </c>
      <c r="E40" s="184">
        <f t="shared" si="22"/>
        <v>-1.4527260989494688</v>
      </c>
      <c r="F40" s="184">
        <f t="shared" si="22"/>
        <v>-1.507654308962751</v>
      </c>
      <c r="G40" s="184">
        <f t="shared" ref="G40" si="23">G36/G39</f>
        <v>-1.2567333702103232</v>
      </c>
      <c r="H40" s="184">
        <f t="shared" ref="H40" si="24">H36/H39</f>
        <v>-0.44480440601994092</v>
      </c>
      <c r="I40" s="184">
        <f t="shared" ref="I40" si="25">I36/I39</f>
        <v>0.96837748529285772</v>
      </c>
      <c r="J40" s="184">
        <f t="shared" ref="J40" si="26">J36/J39</f>
        <v>2.8410982964810922</v>
      </c>
      <c r="K40" s="215"/>
      <c r="L40" s="215"/>
    </row>
    <row r="41" spans="1:12" x14ac:dyDescent="0.25">
      <c r="C41" s="14"/>
      <c r="D41" s="14"/>
      <c r="E41" s="37"/>
      <c r="F41" s="14"/>
      <c r="G41" s="14"/>
      <c r="H41" s="14"/>
      <c r="I41" s="14"/>
      <c r="J41" s="14"/>
    </row>
    <row r="42" spans="1:12" x14ac:dyDescent="0.25">
      <c r="D42" s="14"/>
      <c r="E42" s="14"/>
      <c r="F42" s="14"/>
    </row>
  </sheetData>
  <conditionalFormatting sqref="F4:L13">
    <cfRule type="expression" dxfId="1" priority="36">
      <formula>#REF!&gt;1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4"/>
  <sheetViews>
    <sheetView showGridLines="0" zoomScaleNormal="100" workbookViewId="0"/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5" width="11.7109375" style="4" customWidth="1"/>
    <col min="6" max="8" width="12.42578125" style="4" bestFit="1" customWidth="1"/>
    <col min="9" max="10" width="12.42578125" style="6" bestFit="1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61" t="str">
        <f>CoName</f>
        <v>Roblox Corporation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x14ac:dyDescent="0.25">
      <c r="A2" s="16" t="s">
        <v>9</v>
      </c>
      <c r="B2" s="63"/>
      <c r="C2" s="113">
        <v>44926</v>
      </c>
      <c r="D2" s="113">
        <v>45291</v>
      </c>
      <c r="E2" s="113">
        <v>45657</v>
      </c>
      <c r="F2" s="113">
        <v>46022</v>
      </c>
      <c r="G2" s="113">
        <v>46387</v>
      </c>
      <c r="H2" s="113">
        <v>46752</v>
      </c>
      <c r="I2" s="113">
        <v>47118</v>
      </c>
      <c r="J2" s="113">
        <v>47483</v>
      </c>
      <c r="K2" s="216"/>
      <c r="L2" s="216"/>
    </row>
    <row r="3" spans="1:12" x14ac:dyDescent="0.25">
      <c r="K3" s="6"/>
      <c r="L3" s="6"/>
    </row>
    <row r="4" spans="1:12" x14ac:dyDescent="0.25">
      <c r="B4" s="4" t="s">
        <v>135</v>
      </c>
      <c r="C4" s="42"/>
      <c r="D4" s="42"/>
      <c r="E4" s="43"/>
      <c r="F4" s="101">
        <f>Assumptions!F38</f>
        <v>1.4999999999999999E-2</v>
      </c>
      <c r="G4" s="101">
        <f>F4</f>
        <v>1.4999999999999999E-2</v>
      </c>
      <c r="H4" s="101">
        <f t="shared" ref="H4:J4" si="0">G4</f>
        <v>1.4999999999999999E-2</v>
      </c>
      <c r="I4" s="101">
        <f t="shared" si="0"/>
        <v>1.4999999999999999E-2</v>
      </c>
      <c r="J4" s="101">
        <f t="shared" si="0"/>
        <v>1.4999999999999999E-2</v>
      </c>
      <c r="K4" s="174"/>
      <c r="L4" s="174"/>
    </row>
    <row r="5" spans="1:12" x14ac:dyDescent="0.25">
      <c r="B5" s="4" t="s">
        <v>148</v>
      </c>
      <c r="C5" s="42"/>
      <c r="D5" s="42"/>
      <c r="E5" s="43"/>
      <c r="F5" s="101">
        <f>Assumptions!F39</f>
        <v>0.17069449877414611</v>
      </c>
      <c r="G5" s="101">
        <f>Assumptions!G39</f>
        <v>0.17069449877414611</v>
      </c>
      <c r="H5" s="101">
        <f>Assumptions!H39</f>
        <v>0.17069449877414611</v>
      </c>
      <c r="I5" s="101">
        <f>Assumptions!I39</f>
        <v>0.17069449877414611</v>
      </c>
      <c r="J5" s="101">
        <f>Assumptions!J39</f>
        <v>0.17069449877414611</v>
      </c>
      <c r="K5" s="174"/>
      <c r="L5" s="174"/>
    </row>
    <row r="6" spans="1:12" x14ac:dyDescent="0.25">
      <c r="B6" s="4" t="s">
        <v>61</v>
      </c>
      <c r="C6" s="42"/>
      <c r="D6" s="42"/>
      <c r="E6" s="43"/>
      <c r="F6" s="101">
        <f>Assumptions!F40</f>
        <v>0.56671932290554727</v>
      </c>
      <c r="G6" s="101">
        <f>Assumptions!G40</f>
        <v>0.56671932290554727</v>
      </c>
      <c r="H6" s="101">
        <f>Assumptions!H40</f>
        <v>0.56671932290554727</v>
      </c>
      <c r="I6" s="101">
        <f>Assumptions!I40</f>
        <v>0.56671932290554727</v>
      </c>
      <c r="J6" s="101">
        <f>Assumptions!J40</f>
        <v>0.56671932290554727</v>
      </c>
      <c r="K6" s="174"/>
      <c r="L6" s="174"/>
    </row>
    <row r="7" spans="1:12" x14ac:dyDescent="0.25">
      <c r="B7" s="4" t="s">
        <v>62</v>
      </c>
      <c r="C7" s="42"/>
      <c r="D7" s="42"/>
      <c r="E7" s="43"/>
      <c r="F7" s="101">
        <f>Assumptions!F42</f>
        <v>9.3127416900542728E-2</v>
      </c>
      <c r="G7" s="101">
        <f>Assumptions!G42</f>
        <v>9.3127416900542728E-2</v>
      </c>
      <c r="H7" s="101">
        <f>Assumptions!H42</f>
        <v>9.3127416900542728E-2</v>
      </c>
      <c r="I7" s="101">
        <f>Assumptions!I42</f>
        <v>9.3127416900542728E-2</v>
      </c>
      <c r="J7" s="101">
        <f>Assumptions!J42</f>
        <v>9.3127416900542728E-2</v>
      </c>
      <c r="K7" s="174"/>
      <c r="L7" s="174"/>
    </row>
    <row r="8" spans="1:12" x14ac:dyDescent="0.25">
      <c r="B8" s="4" t="s">
        <v>157</v>
      </c>
      <c r="C8" s="42"/>
      <c r="D8" s="42"/>
      <c r="E8" s="152"/>
      <c r="F8" s="100">
        <f>Assumptions!F41</f>
        <v>2610215</v>
      </c>
      <c r="G8" s="100">
        <f>Assumptions!G41</f>
        <v>3610215</v>
      </c>
      <c r="H8" s="100">
        <f>Assumptions!H41</f>
        <v>4610215</v>
      </c>
      <c r="I8" s="100">
        <f>Assumptions!I41</f>
        <v>5610215</v>
      </c>
      <c r="J8" s="100">
        <f>Assumptions!J41</f>
        <v>6610215</v>
      </c>
      <c r="K8" s="200"/>
      <c r="L8" s="200"/>
    </row>
    <row r="9" spans="1:12" x14ac:dyDescent="0.25">
      <c r="C9" s="29"/>
      <c r="D9" s="29"/>
      <c r="E9" s="29"/>
      <c r="F9" s="102"/>
      <c r="G9" s="102"/>
      <c r="H9" s="102"/>
      <c r="I9" s="102"/>
      <c r="J9" s="102"/>
      <c r="K9" s="174"/>
      <c r="L9" s="174"/>
    </row>
    <row r="10" spans="1:12" x14ac:dyDescent="0.25">
      <c r="B10" s="4" t="s">
        <v>147</v>
      </c>
      <c r="C10" s="42"/>
      <c r="D10" s="42"/>
      <c r="E10" s="43"/>
      <c r="F10" s="101">
        <f>Assumptions!F46</f>
        <v>0.39772106016011743</v>
      </c>
      <c r="G10" s="101">
        <f>Assumptions!G46</f>
        <v>0.39772106016011743</v>
      </c>
      <c r="H10" s="101">
        <f>Assumptions!H46</f>
        <v>0.39772106016011743</v>
      </c>
      <c r="I10" s="101">
        <f>Assumptions!I46</f>
        <v>0.39772106016011743</v>
      </c>
      <c r="J10" s="101">
        <f>Assumptions!J46</f>
        <v>0.39772106016011743</v>
      </c>
      <c r="K10" s="174"/>
      <c r="L10" s="174"/>
    </row>
    <row r="11" spans="1:12" x14ac:dyDescent="0.25">
      <c r="B11" s="4" t="s">
        <v>63</v>
      </c>
      <c r="C11" s="42"/>
      <c r="D11" s="42"/>
      <c r="E11" s="25"/>
      <c r="F11" s="101">
        <f>Assumptions!F47</f>
        <v>0.92853650729224124</v>
      </c>
      <c r="G11" s="101">
        <f>Assumptions!G47</f>
        <v>0.92853650729224124</v>
      </c>
      <c r="H11" s="101">
        <f>Assumptions!H47</f>
        <v>0.92853650729224124</v>
      </c>
      <c r="I11" s="101">
        <f>Assumptions!I47</f>
        <v>0.92853650729224124</v>
      </c>
      <c r="J11" s="101">
        <f>Assumptions!J47</f>
        <v>0.92853650729224124</v>
      </c>
      <c r="K11" s="174"/>
      <c r="L11" s="174"/>
    </row>
    <row r="12" spans="1:12" x14ac:dyDescent="0.25">
      <c r="B12" s="4" t="s">
        <v>64</v>
      </c>
      <c r="C12" s="42"/>
      <c r="D12" s="42"/>
      <c r="E12" s="43"/>
      <c r="F12" s="263">
        <f>Assumptions!F48</f>
        <v>0.73101203532835701</v>
      </c>
      <c r="G12" s="263">
        <f>Assumptions!G48</f>
        <v>0.73101203532835701</v>
      </c>
      <c r="H12" s="263">
        <f>Assumptions!H48</f>
        <v>0.73101203532835701</v>
      </c>
      <c r="I12" s="263">
        <f>Assumptions!I48</f>
        <v>0.73101203532835701</v>
      </c>
      <c r="J12" s="263">
        <f>Assumptions!J48</f>
        <v>0.73101203532835701</v>
      </c>
      <c r="K12" s="174"/>
      <c r="L12" s="174"/>
    </row>
    <row r="13" spans="1:12" x14ac:dyDescent="0.25">
      <c r="C13" s="42"/>
      <c r="D13" s="42"/>
      <c r="E13" s="42"/>
      <c r="F13" s="102"/>
      <c r="G13" s="102"/>
      <c r="H13" s="102"/>
      <c r="I13" s="102"/>
      <c r="J13" s="102"/>
      <c r="K13" s="174"/>
      <c r="L13" s="174"/>
    </row>
    <row r="14" spans="1:12" ht="15" customHeight="1" x14ac:dyDescent="0.25">
      <c r="A14" s="182" t="s">
        <v>60</v>
      </c>
      <c r="B14" s="183"/>
      <c r="C14" s="153">
        <f>C2</f>
        <v>44926</v>
      </c>
      <c r="D14" s="153">
        <f>D2</f>
        <v>45291</v>
      </c>
      <c r="E14" s="153">
        <f>E2</f>
        <v>45657</v>
      </c>
      <c r="F14" s="153">
        <f>F2</f>
        <v>46022</v>
      </c>
      <c r="G14" s="153">
        <f>G2</f>
        <v>46387</v>
      </c>
      <c r="H14" s="153">
        <f>H2</f>
        <v>46752</v>
      </c>
      <c r="I14" s="153">
        <f>I2</f>
        <v>47118</v>
      </c>
      <c r="J14" s="153">
        <f>J2</f>
        <v>47483</v>
      </c>
      <c r="K14" s="210"/>
      <c r="L14" s="210"/>
    </row>
    <row r="15" spans="1:12" x14ac:dyDescent="0.25">
      <c r="B15" s="4" t="s">
        <v>153</v>
      </c>
      <c r="C15" s="299">
        <f>1.5%*IncState!C16</f>
        <v>33375.78</v>
      </c>
      <c r="D15" s="299">
        <f>1.5%*IncState!D16</f>
        <v>41989.11</v>
      </c>
      <c r="E15" s="189">
        <f>1.5%*IncState!E16</f>
        <v>54029.684999999998</v>
      </c>
      <c r="F15" s="4">
        <f>F4*IncState!F16</f>
        <v>83112.487049999982</v>
      </c>
      <c r="G15" s="4">
        <f>G4*IncState!G16</f>
        <v>120396.415953</v>
      </c>
      <c r="H15" s="4">
        <f>H4*IncState!H16</f>
        <v>162535.16153655</v>
      </c>
      <c r="I15" s="4">
        <f>I4*IncState!I16</f>
        <v>195042.19384386</v>
      </c>
      <c r="J15" s="4">
        <f>J4*IncState!J16</f>
        <v>224298.52292043896</v>
      </c>
    </row>
    <row r="16" spans="1:12" x14ac:dyDescent="0.25">
      <c r="B16" s="4" t="s">
        <v>154</v>
      </c>
      <c r="C16" s="188">
        <f>2977474-C15</f>
        <v>2944098.22</v>
      </c>
      <c r="D16" s="188">
        <f>678466-D15</f>
        <v>636476.89</v>
      </c>
      <c r="E16" s="189">
        <f>711683-E15</f>
        <v>657653.31499999994</v>
      </c>
      <c r="F16" s="306">
        <f>MAX(CashFlow!F25,0)</f>
        <v>2068913.4383686401</v>
      </c>
      <c r="G16" s="306">
        <f>MAX(CashFlow!G25,0)</f>
        <v>4070967.8314392241</v>
      </c>
      <c r="H16" s="306">
        <f>MAX(CashFlow!H25,0)</f>
        <v>7325053.5512844473</v>
      </c>
      <c r="I16" s="306">
        <f>MAX(CashFlow!I25,0)</f>
        <v>11595319.11846083</v>
      </c>
      <c r="J16" s="306">
        <f>MAX(CashFlow!J25,0)</f>
        <v>17825852.544754438</v>
      </c>
    </row>
    <row r="17" spans="1:12" x14ac:dyDescent="0.25">
      <c r="B17" s="4" t="s">
        <v>65</v>
      </c>
      <c r="C17" s="190">
        <v>379353</v>
      </c>
      <c r="D17" s="190">
        <v>505769</v>
      </c>
      <c r="E17" s="191">
        <v>614838</v>
      </c>
      <c r="F17" s="4">
        <f>F5*IncState!F16</f>
        <v>945789.62125816371</v>
      </c>
      <c r="G17" s="4">
        <f>G5*IncState!G16</f>
        <v>1370067.0583533964</v>
      </c>
      <c r="H17" s="4">
        <f>H5*IncState!H16</f>
        <v>1849590.528777085</v>
      </c>
      <c r="I17" s="4">
        <f>I5*IncState!I16</f>
        <v>2219508.6345325019</v>
      </c>
      <c r="J17" s="4">
        <f>J5*IncState!J16</f>
        <v>2552434.929712377</v>
      </c>
    </row>
    <row r="18" spans="1:12" x14ac:dyDescent="0.25">
      <c r="B18" s="4" t="s">
        <v>66</v>
      </c>
      <c r="C18" s="190">
        <f>61641+420136</f>
        <v>481777</v>
      </c>
      <c r="D18" s="190">
        <f>74549+501821+1514808</f>
        <v>2091178</v>
      </c>
      <c r="E18" s="191">
        <f>1697862+628232+75415</f>
        <v>2401509</v>
      </c>
      <c r="F18" s="4">
        <f>F6*IncState!F16</f>
        <v>3140096.8257314702</v>
      </c>
      <c r="G18" s="4">
        <f>G6*IncState!G16</f>
        <v>4548731.6886092527</v>
      </c>
      <c r="H18" s="4">
        <f>H6*IncState!H16</f>
        <v>6140787.7796224914</v>
      </c>
      <c r="I18" s="4">
        <f>I6*IncState!I16</f>
        <v>7368945.3355469899</v>
      </c>
      <c r="J18" s="4">
        <f>J6*IncState!J16</f>
        <v>8474287.1358790379</v>
      </c>
    </row>
    <row r="19" spans="1:12" s="11" customFormat="1" x14ac:dyDescent="0.25">
      <c r="B19" s="11" t="s">
        <v>67</v>
      </c>
      <c r="C19" s="11">
        <f>SUM(C15:C18)</f>
        <v>3838604</v>
      </c>
      <c r="D19" s="11">
        <f>SUM(D15:D18)</f>
        <v>3275413</v>
      </c>
      <c r="E19" s="24">
        <f>SUM(E15:E18)</f>
        <v>3728030</v>
      </c>
      <c r="F19" s="11">
        <f>SUM(F15:F18)</f>
        <v>6237912.3724082746</v>
      </c>
      <c r="G19" s="11">
        <f t="shared" ref="G19:J19" si="1">SUM(G15:G18)</f>
        <v>10110162.994354874</v>
      </c>
      <c r="H19" s="11">
        <f t="shared" si="1"/>
        <v>15477967.021220574</v>
      </c>
      <c r="I19" s="11">
        <f t="shared" si="1"/>
        <v>21378815.282384183</v>
      </c>
      <c r="J19" s="11">
        <f t="shared" si="1"/>
        <v>29076873.133266293</v>
      </c>
    </row>
    <row r="20" spans="1:12" x14ac:dyDescent="0.25">
      <c r="A20" s="7"/>
      <c r="E20" s="26"/>
      <c r="I20" s="4"/>
      <c r="J20" s="4"/>
    </row>
    <row r="21" spans="1:12" x14ac:dyDescent="0.25">
      <c r="B21" s="4" t="s">
        <v>68</v>
      </c>
      <c r="C21" s="190">
        <f>592346+526030</f>
        <v>1118376</v>
      </c>
      <c r="D21" s="190">
        <f>695360+665107</f>
        <v>1360467</v>
      </c>
      <c r="E21" s="191">
        <f>659589+665885</f>
        <v>1325474</v>
      </c>
      <c r="F21" s="4">
        <f>Calcs!F9</f>
        <v>1368169.8898165908</v>
      </c>
      <c r="G21" s="4">
        <f>Calcs!G9</f>
        <v>1527306.7266810704</v>
      </c>
      <c r="H21" s="4">
        <f>Calcs!H9</f>
        <v>1798500.8136552235</v>
      </c>
      <c r="I21" s="4">
        <f>Calcs!I9</f>
        <v>2129974.2059537834</v>
      </c>
      <c r="J21" s="4">
        <f>Calcs!J9</f>
        <v>2500292.6959639755</v>
      </c>
    </row>
    <row r="22" spans="1:12" x14ac:dyDescent="0.25">
      <c r="B22" s="4" t="s">
        <v>155</v>
      </c>
      <c r="C22" s="190">
        <f>54717+134335</f>
        <v>189052</v>
      </c>
      <c r="D22" s="190">
        <f>142129+53060</f>
        <v>195189</v>
      </c>
      <c r="E22" s="191">
        <f>34153+141688</f>
        <v>175841</v>
      </c>
      <c r="F22" s="131">
        <f>E22-IncState!F23</f>
        <v>175841</v>
      </c>
      <c r="G22" s="131">
        <f>F22-IncState!G23</f>
        <v>175841</v>
      </c>
      <c r="H22" s="131">
        <f>G22-IncState!H23</f>
        <v>175841</v>
      </c>
      <c r="I22" s="131">
        <f>H22-IncState!I23</f>
        <v>175841</v>
      </c>
      <c r="J22" s="131">
        <f>I22-IncState!J23</f>
        <v>175841</v>
      </c>
      <c r="K22" s="131"/>
      <c r="L22" s="131"/>
    </row>
    <row r="23" spans="1:12" x14ac:dyDescent="0.25">
      <c r="B23" s="4" t="s">
        <v>156</v>
      </c>
      <c r="C23" s="190">
        <v>0</v>
      </c>
      <c r="D23" s="190">
        <v>1043399</v>
      </c>
      <c r="E23" s="191">
        <v>1610215</v>
      </c>
      <c r="F23" s="4">
        <f>F8</f>
        <v>2610215</v>
      </c>
      <c r="G23" s="4">
        <f t="shared" ref="G23:J23" si="2">G8</f>
        <v>3610215</v>
      </c>
      <c r="H23" s="4">
        <f t="shared" si="2"/>
        <v>4610215</v>
      </c>
      <c r="I23" s="4">
        <f t="shared" si="2"/>
        <v>5610215</v>
      </c>
      <c r="J23" s="4">
        <f t="shared" si="2"/>
        <v>6610215</v>
      </c>
    </row>
    <row r="24" spans="1:12" x14ac:dyDescent="0.25">
      <c r="B24" s="4" t="s">
        <v>158</v>
      </c>
      <c r="C24" s="190">
        <f>4323+225132</f>
        <v>229455</v>
      </c>
      <c r="D24" s="190">
        <f>10284+283326</f>
        <v>293610</v>
      </c>
      <c r="E24" s="191">
        <f>13619+321824</f>
        <v>335443</v>
      </c>
      <c r="F24" s="4">
        <f>F7*IncState!F16</f>
        <v>516003.4154097538</v>
      </c>
      <c r="G24" s="4">
        <f>G7*IncState!G16</f>
        <v>747480.48145241232</v>
      </c>
      <c r="H24" s="4">
        <f>H7*IncState!H16</f>
        <v>1009098.6499607567</v>
      </c>
      <c r="I24" s="4">
        <f>I7*IncState!I16</f>
        <v>1210918.379952908</v>
      </c>
      <c r="J24" s="4">
        <f>J7*IncState!J16</f>
        <v>1392556.1369458439</v>
      </c>
    </row>
    <row r="25" spans="1:12" s="11" customFormat="1" x14ac:dyDescent="0.25">
      <c r="B25" s="11" t="s">
        <v>69</v>
      </c>
      <c r="C25" s="11">
        <f>SUM(C21:C24)</f>
        <v>1536883</v>
      </c>
      <c r="D25" s="11">
        <f>SUM(D21:D24)</f>
        <v>2892665</v>
      </c>
      <c r="E25" s="24">
        <f>SUM(E21:E24)</f>
        <v>3446973</v>
      </c>
      <c r="F25" s="11">
        <f>SUM(F21:F24)</f>
        <v>4670229.3052263446</v>
      </c>
      <c r="G25" s="11">
        <f t="shared" ref="G25:J25" si="3">SUM(G21:G24)</f>
        <v>6060843.2081334824</v>
      </c>
      <c r="H25" s="11">
        <f t="shared" si="3"/>
        <v>7593655.46361598</v>
      </c>
      <c r="I25" s="11">
        <f t="shared" si="3"/>
        <v>9126948.5859066918</v>
      </c>
      <c r="J25" s="11">
        <f t="shared" si="3"/>
        <v>10678904.832909819</v>
      </c>
    </row>
    <row r="26" spans="1:12" x14ac:dyDescent="0.25">
      <c r="E26" s="26"/>
      <c r="I26" s="4"/>
      <c r="J26" s="4"/>
    </row>
    <row r="27" spans="1:12" s="11" customFormat="1" x14ac:dyDescent="0.25">
      <c r="A27" s="11" t="s">
        <v>120</v>
      </c>
      <c r="B27" s="17" t="s">
        <v>70</v>
      </c>
      <c r="C27" s="18">
        <f>SUM(C25,C19)</f>
        <v>5375487</v>
      </c>
      <c r="D27" s="18">
        <f>SUM(D25,D19)</f>
        <v>6168078</v>
      </c>
      <c r="E27" s="18">
        <f>SUM(E25,E19)</f>
        <v>7175003</v>
      </c>
      <c r="F27" s="18">
        <f>SUM(F25,F19)</f>
        <v>10908141.677634619</v>
      </c>
      <c r="G27" s="18">
        <f t="shared" ref="G27:J27" si="4">SUM(G25,G19)</f>
        <v>16171006.202488355</v>
      </c>
      <c r="H27" s="18">
        <f t="shared" si="4"/>
        <v>23071622.484836556</v>
      </c>
      <c r="I27" s="18">
        <f t="shared" si="4"/>
        <v>30505763.868290875</v>
      </c>
      <c r="J27" s="18">
        <f t="shared" si="4"/>
        <v>39755777.966176108</v>
      </c>
    </row>
    <row r="28" spans="1:12" x14ac:dyDescent="0.25">
      <c r="A28" s="11"/>
      <c r="E28" s="26"/>
      <c r="I28" s="4"/>
      <c r="J28" s="4"/>
      <c r="K28" s="6"/>
      <c r="L28" s="6"/>
    </row>
    <row r="29" spans="1:12" x14ac:dyDescent="0.25">
      <c r="B29" s="4" t="s">
        <v>71</v>
      </c>
      <c r="C29" s="9">
        <v>0</v>
      </c>
      <c r="D29" s="9">
        <v>0</v>
      </c>
      <c r="E29" s="44">
        <v>0</v>
      </c>
      <c r="F29" s="306">
        <f>MIN(CashFlow!F25,0)</f>
        <v>0</v>
      </c>
      <c r="G29" s="306">
        <f>MIN(CashFlow!G25,0)</f>
        <v>0</v>
      </c>
      <c r="H29" s="306">
        <f>MIN(CashFlow!H25,0)</f>
        <v>0</v>
      </c>
      <c r="I29" s="306">
        <f>MIN(CashFlow!I25,0)</f>
        <v>0</v>
      </c>
      <c r="J29" s="306">
        <f>MIN(CashFlow!J25,0)</f>
        <v>0</v>
      </c>
    </row>
    <row r="30" spans="1:12" x14ac:dyDescent="0.25">
      <c r="B30" s="4" t="s">
        <v>146</v>
      </c>
      <c r="C30" s="190">
        <f>71182+236006</f>
        <v>307188</v>
      </c>
      <c r="D30" s="9">
        <f>60087+271121</f>
        <v>331208</v>
      </c>
      <c r="E30" s="44">
        <f>42885+275754</f>
        <v>318639</v>
      </c>
      <c r="F30" s="4">
        <f>F10*IncState!F17</f>
        <v>468117.19295484212</v>
      </c>
      <c r="G30" s="4">
        <f>G10*IncState!G17</f>
        <v>646189.89788213919</v>
      </c>
      <c r="H30" s="4">
        <f>H10*IncState!H17</f>
        <v>829260.59096781281</v>
      </c>
      <c r="I30" s="4">
        <f>I10*IncState!I17</f>
        <v>943397.7837536853</v>
      </c>
      <c r="J30" s="4">
        <f>J10*IncState!J17</f>
        <v>1025435.2870978942</v>
      </c>
    </row>
    <row r="31" spans="1:12" x14ac:dyDescent="0.25">
      <c r="B31" s="4" t="s">
        <v>72</v>
      </c>
      <c r="C31" s="190">
        <f>231704+1941943</f>
        <v>2173647</v>
      </c>
      <c r="D31" s="9">
        <f>314866+2406292</f>
        <v>2721158</v>
      </c>
      <c r="E31" s="44">
        <f>339600+3004969</f>
        <v>3344569</v>
      </c>
      <c r="F31" s="4">
        <f>F11*IncState!F16</f>
        <v>5144865.2291852413</v>
      </c>
      <c r="G31" s="4">
        <f>G11*IncState!G16</f>
        <v>7452831.1706334995</v>
      </c>
      <c r="H31" s="4">
        <f>H11*IncState!H16</f>
        <v>10061322.080355225</v>
      </c>
      <c r="I31" s="4">
        <f>I11*IncState!I16</f>
        <v>12073586.496426269</v>
      </c>
      <c r="J31" s="4">
        <f>J11*IncState!J16</f>
        <v>13884624.470890209</v>
      </c>
    </row>
    <row r="32" spans="1:12" s="11" customFormat="1" x14ac:dyDescent="0.25">
      <c r="B32" s="11" t="s">
        <v>73</v>
      </c>
      <c r="C32" s="11">
        <f t="shared" ref="C32:E32" si="5">SUM(C29:C31)</f>
        <v>2480835</v>
      </c>
      <c r="D32" s="11">
        <f t="shared" si="5"/>
        <v>3052366</v>
      </c>
      <c r="E32" s="24">
        <f t="shared" si="5"/>
        <v>3663208</v>
      </c>
      <c r="F32" s="11">
        <f>SUM(F29:F31)</f>
        <v>5612982.4221400833</v>
      </c>
      <c r="G32" s="11">
        <f t="shared" ref="G32:J32" si="6">SUM(G29:G31)</f>
        <v>8099021.0685156388</v>
      </c>
      <c r="H32" s="11">
        <f t="shared" si="6"/>
        <v>10890582.671323039</v>
      </c>
      <c r="I32" s="11">
        <f t="shared" si="6"/>
        <v>13016984.280179955</v>
      </c>
      <c r="J32" s="11">
        <f t="shared" si="6"/>
        <v>14910059.757988103</v>
      </c>
    </row>
    <row r="33" spans="1:12" x14ac:dyDescent="0.25">
      <c r="B33" s="11"/>
      <c r="E33" s="26"/>
      <c r="I33" s="4"/>
      <c r="J33" s="4"/>
    </row>
    <row r="34" spans="1:12" x14ac:dyDescent="0.25">
      <c r="B34" s="4" t="s">
        <v>74</v>
      </c>
      <c r="C34" s="190">
        <v>988984</v>
      </c>
      <c r="D34" s="9">
        <v>646506</v>
      </c>
      <c r="E34" s="44">
        <v>670051</v>
      </c>
      <c r="F34" s="4">
        <f>Debt!F26</f>
        <v>670051</v>
      </c>
      <c r="G34" s="4">
        <f>Debt!G26</f>
        <v>670051</v>
      </c>
      <c r="H34" s="4">
        <f>Debt!H26</f>
        <v>670051</v>
      </c>
      <c r="I34" s="4">
        <f>Debt!I26</f>
        <v>670051</v>
      </c>
      <c r="J34" s="4">
        <f>Debt!J26</f>
        <v>670051</v>
      </c>
    </row>
    <row r="35" spans="1:12" x14ac:dyDescent="0.25">
      <c r="B35" s="4" t="s">
        <v>75</v>
      </c>
      <c r="C35" s="190">
        <f>10752+1095291+494590</f>
        <v>1600633</v>
      </c>
      <c r="D35" s="9">
        <f>1373250+1005000+22330</f>
        <v>2400580</v>
      </c>
      <c r="E35" s="44">
        <f>59712+1567007+1006371</f>
        <v>2633090</v>
      </c>
      <c r="F35" s="4">
        <f>F12*IncState!F16</f>
        <v>4050415.2213081466</v>
      </c>
      <c r="G35" s="4">
        <f>G12*IncState!G16</f>
        <v>5867415.2714694673</v>
      </c>
      <c r="H35" s="4">
        <f>H12*IncState!H16</f>
        <v>7921010.6164837815</v>
      </c>
      <c r="I35" s="4">
        <f>I12*IncState!I16</f>
        <v>9505212.7397805359</v>
      </c>
      <c r="J35" s="4">
        <f>J12*IncState!J16</f>
        <v>10930994.650747616</v>
      </c>
    </row>
    <row r="36" spans="1:12" x14ac:dyDescent="0.25">
      <c r="B36" s="11" t="s">
        <v>76</v>
      </c>
      <c r="C36" s="11">
        <f t="shared" ref="C36:E36" si="7">SUM(C34:C35)</f>
        <v>2589617</v>
      </c>
      <c r="D36" s="11">
        <f t="shared" si="7"/>
        <v>3047086</v>
      </c>
      <c r="E36" s="24">
        <f t="shared" si="7"/>
        <v>3303141</v>
      </c>
      <c r="F36" s="11">
        <f>SUM(F34:F35)</f>
        <v>4720466.2213081466</v>
      </c>
      <c r="G36" s="11">
        <f t="shared" ref="G36:J36" si="8">SUM(G34:G35)</f>
        <v>6537466.2714694673</v>
      </c>
      <c r="H36" s="11">
        <f t="shared" si="8"/>
        <v>8591061.6164837815</v>
      </c>
      <c r="I36" s="11">
        <f t="shared" si="8"/>
        <v>10175263.739780536</v>
      </c>
      <c r="J36" s="11">
        <f t="shared" si="8"/>
        <v>11601045.650747616</v>
      </c>
      <c r="K36" s="11"/>
      <c r="L36" s="11"/>
    </row>
    <row r="37" spans="1:12" x14ac:dyDescent="0.25">
      <c r="E37" s="26"/>
      <c r="I37" s="4"/>
      <c r="J37" s="4"/>
    </row>
    <row r="38" spans="1:12" x14ac:dyDescent="0.25">
      <c r="B38" s="4" t="s">
        <v>16</v>
      </c>
      <c r="C38" s="192">
        <v>305035</v>
      </c>
      <c r="D38" s="192">
        <v>68626</v>
      </c>
      <c r="E38" s="221">
        <v>208654</v>
      </c>
      <c r="F38" s="4">
        <f>Calcs!F17</f>
        <v>574693.03418638825</v>
      </c>
      <c r="G38" s="4">
        <f>Calcs!G17</f>
        <v>1534518.8625032492</v>
      </c>
      <c r="H38" s="4">
        <f>Calcs!H17</f>
        <v>3589978.1970297336</v>
      </c>
      <c r="I38" s="4">
        <f>Calcs!I17</f>
        <v>7313515.8483303823</v>
      </c>
      <c r="J38" s="4">
        <f>Calcs!J17</f>
        <v>13244672.557440395</v>
      </c>
    </row>
    <row r="39" spans="1:12" s="11" customFormat="1" x14ac:dyDescent="0.25">
      <c r="A39" s="11" t="s">
        <v>120</v>
      </c>
      <c r="B39" s="17" t="s">
        <v>77</v>
      </c>
      <c r="C39" s="18">
        <f>SUM(C38,C36,C32)</f>
        <v>5375487</v>
      </c>
      <c r="D39" s="18">
        <f>SUM(D38,D36,D32)</f>
        <v>6168078</v>
      </c>
      <c r="E39" s="18">
        <f t="shared" ref="E39:F39" si="9">SUM(E38,E36,E32)</f>
        <v>7175003</v>
      </c>
      <c r="F39" s="18">
        <f t="shared" si="9"/>
        <v>10908141.677634619</v>
      </c>
      <c r="G39" s="18">
        <f t="shared" ref="G39:J39" si="10">SUM(G38,G36,G32)</f>
        <v>16171006.202488355</v>
      </c>
      <c r="H39" s="18">
        <f t="shared" si="10"/>
        <v>23071622.484836556</v>
      </c>
      <c r="I39" s="18">
        <f t="shared" si="10"/>
        <v>30505763.868290871</v>
      </c>
      <c r="J39" s="18">
        <f t="shared" si="10"/>
        <v>39755777.966176115</v>
      </c>
    </row>
    <row r="40" spans="1:12" x14ac:dyDescent="0.25">
      <c r="E40" s="26"/>
      <c r="I40" s="4"/>
      <c r="J40" s="4"/>
      <c r="K40" s="6"/>
      <c r="L40" s="6"/>
    </row>
    <row r="41" spans="1:12" x14ac:dyDescent="0.25">
      <c r="A41" s="4" t="s">
        <v>120</v>
      </c>
      <c r="B41" s="11" t="s">
        <v>78</v>
      </c>
      <c r="C41" s="45">
        <f>C39-C27</f>
        <v>0</v>
      </c>
      <c r="D41" s="45">
        <f t="shared" ref="D41:J41" si="11">D39-D27</f>
        <v>0</v>
      </c>
      <c r="E41" s="154">
        <f t="shared" si="11"/>
        <v>0</v>
      </c>
      <c r="F41" s="45">
        <f t="shared" si="11"/>
        <v>0</v>
      </c>
      <c r="G41" s="45">
        <f t="shared" ref="G41:J41" si="12">G39-G27</f>
        <v>0</v>
      </c>
      <c r="H41" s="45">
        <f t="shared" si="12"/>
        <v>0</v>
      </c>
      <c r="I41" s="45">
        <f t="shared" si="12"/>
        <v>0</v>
      </c>
      <c r="J41" s="45">
        <f t="shared" si="12"/>
        <v>0</v>
      </c>
      <c r="K41" s="45"/>
      <c r="L41" s="45"/>
    </row>
    <row r="42" spans="1:12" x14ac:dyDescent="0.25">
      <c r="I42" s="4"/>
      <c r="J42" s="4"/>
    </row>
    <row r="43" spans="1:12" x14ac:dyDescent="0.25">
      <c r="H43" s="6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</sheetData>
  <conditionalFormatting sqref="F4:L13">
    <cfRule type="expression" dxfId="0" priority="35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5"/>
  <sheetViews>
    <sheetView showGridLines="0" zoomScaleNormal="100" workbookViewId="0"/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5" width="11.7109375" style="4" customWidth="1"/>
    <col min="6" max="8" width="12.140625" style="4" bestFit="1" customWidth="1"/>
    <col min="9" max="10" width="12.140625" style="6" bestFit="1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61" t="str">
        <f>CoName</f>
        <v>Roblox Corporation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s="2" customFormat="1" x14ac:dyDescent="0.25">
      <c r="A2" s="182" t="s">
        <v>79</v>
      </c>
      <c r="B2" s="183"/>
      <c r="C2" s="186">
        <v>2022</v>
      </c>
      <c r="D2" s="186">
        <f>C2+1</f>
        <v>2023</v>
      </c>
      <c r="E2" s="186">
        <f t="shared" ref="E2:J2" si="0">D2+1</f>
        <v>2024</v>
      </c>
      <c r="F2" s="186">
        <f t="shared" si="0"/>
        <v>2025</v>
      </c>
      <c r="G2" s="186">
        <f t="shared" si="0"/>
        <v>2026</v>
      </c>
      <c r="H2" s="186">
        <f t="shared" si="0"/>
        <v>2027</v>
      </c>
      <c r="I2" s="186">
        <f t="shared" si="0"/>
        <v>2028</v>
      </c>
      <c r="J2" s="186">
        <f t="shared" si="0"/>
        <v>2029</v>
      </c>
      <c r="K2" s="210"/>
      <c r="L2" s="210"/>
    </row>
    <row r="3" spans="1:12" x14ac:dyDescent="0.25">
      <c r="B3" s="4" t="s">
        <v>151</v>
      </c>
      <c r="F3" s="4">
        <f>IncState!F36</f>
        <v>-976179.02727581991</v>
      </c>
      <c r="G3" s="4">
        <f>IncState!G36</f>
        <v>-813712.23601052049</v>
      </c>
      <c r="H3" s="4">
        <f>IncState!H36</f>
        <v>-288002.84641860338</v>
      </c>
      <c r="I3" s="4">
        <f>IncState!I36</f>
        <v>627006.99093239009</v>
      </c>
      <c r="J3" s="4">
        <f>IncState!J36</f>
        <v>1839560.0072021706</v>
      </c>
    </row>
    <row r="4" spans="1:12" x14ac:dyDescent="0.25">
      <c r="B4" s="4" t="s">
        <v>14</v>
      </c>
      <c r="F4" s="4">
        <f>IncState!F22</f>
        <v>233648.97224552007</v>
      </c>
      <c r="G4" s="4">
        <f>IncState!G22</f>
        <v>241175.22381647083</v>
      </c>
      <c r="H4" s="4">
        <f>IncState!H22</f>
        <v>269227.19494513021</v>
      </c>
      <c r="I4" s="4">
        <f>IncState!I22</f>
        <v>317032.1460045799</v>
      </c>
      <c r="J4" s="4">
        <f>IncState!J22</f>
        <v>375462.87903841882</v>
      </c>
    </row>
    <row r="5" spans="1:12" x14ac:dyDescent="0.25">
      <c r="B5" s="4" t="s">
        <v>51</v>
      </c>
      <c r="F5" s="4">
        <f>IncState!F23</f>
        <v>0</v>
      </c>
      <c r="G5" s="4">
        <f>IncState!G23</f>
        <v>0</v>
      </c>
      <c r="H5" s="4">
        <f>IncState!H23</f>
        <v>0</v>
      </c>
      <c r="I5" s="4">
        <f>IncState!I23</f>
        <v>0</v>
      </c>
      <c r="J5" s="4">
        <f>IncState!J23</f>
        <v>0</v>
      </c>
    </row>
    <row r="6" spans="1:12" x14ac:dyDescent="0.25">
      <c r="B6" s="4" t="s">
        <v>217</v>
      </c>
      <c r="F6" s="4">
        <f>IncState!F24</f>
        <v>1342218.0614622082</v>
      </c>
      <c r="G6" s="4">
        <f>IncState!G24</f>
        <v>1773538.0643273813</v>
      </c>
      <c r="H6" s="4">
        <f>IncState!H24</f>
        <v>2343462.1809450877</v>
      </c>
      <c r="I6" s="4">
        <f>IncState!I24</f>
        <v>3096530.6603682577</v>
      </c>
      <c r="J6" s="4">
        <f>IncState!J24</f>
        <v>4091596.7019078415</v>
      </c>
    </row>
    <row r="7" spans="1:12" x14ac:dyDescent="0.25">
      <c r="B7" s="4" t="s">
        <v>85</v>
      </c>
      <c r="F7" s="4">
        <f>Calcs!F25</f>
        <v>851152.17310044961</v>
      </c>
      <c r="G7" s="4">
        <f>Calcs!G25</f>
        <v>615842.41749954037</v>
      </c>
      <c r="H7" s="4">
        <f>Calcs!H25</f>
        <v>677843.29578692187</v>
      </c>
      <c r="I7" s="4">
        <f>Calcs!I25</f>
        <v>495818.91486969031</v>
      </c>
      <c r="J7" s="4">
        <f>Calcs!J25</f>
        <v>425551.05321964622</v>
      </c>
    </row>
    <row r="8" spans="1:12" x14ac:dyDescent="0.25">
      <c r="B8" s="4" t="s">
        <v>218</v>
      </c>
      <c r="F8" s="4">
        <f>BalSheet!E24-BalSheet!F24</f>
        <v>-180560.4154097538</v>
      </c>
      <c r="G8" s="4">
        <f>BalSheet!F24-BalSheet!G24</f>
        <v>-231477.06604265852</v>
      </c>
      <c r="H8" s="4">
        <f>BalSheet!G24-BalSheet!H24</f>
        <v>-261618.16850834433</v>
      </c>
      <c r="I8" s="4">
        <f>BalSheet!H24-BalSheet!I24</f>
        <v>-201819.72999215138</v>
      </c>
      <c r="J8" s="4">
        <f>BalSheet!I24-BalSheet!J24</f>
        <v>-181637.7569929359</v>
      </c>
    </row>
    <row r="9" spans="1:12" x14ac:dyDescent="0.25">
      <c r="B9" s="4" t="s">
        <v>219</v>
      </c>
      <c r="F9" s="4">
        <f>BalSheet!F35-BalSheet!E35</f>
        <v>1417325.2213081466</v>
      </c>
      <c r="G9" s="4">
        <f>BalSheet!G35-BalSheet!F35</f>
        <v>1817000.0501613207</v>
      </c>
      <c r="H9" s="4">
        <f>BalSheet!H35-BalSheet!G35</f>
        <v>2053595.3450143142</v>
      </c>
      <c r="I9" s="4">
        <f>BalSheet!I35-BalSheet!H35</f>
        <v>1584202.1232967544</v>
      </c>
      <c r="J9" s="4">
        <f>BalSheet!J35-BalSheet!I35</f>
        <v>1425781.9109670799</v>
      </c>
    </row>
    <row r="10" spans="1:12" s="11" customFormat="1" x14ac:dyDescent="0.25">
      <c r="B10" s="11" t="s">
        <v>220</v>
      </c>
      <c r="F10" s="11">
        <f>SUM(F3:F9)</f>
        <v>2687604.985430751</v>
      </c>
      <c r="G10" s="11">
        <f t="shared" ref="G10:J10" si="1">SUM(G3:G9)</f>
        <v>3402366.4537515342</v>
      </c>
      <c r="H10" s="11">
        <f t="shared" si="1"/>
        <v>4794507.0017645061</v>
      </c>
      <c r="I10" s="11">
        <f t="shared" si="1"/>
        <v>5918771.1054795217</v>
      </c>
      <c r="J10" s="11">
        <f t="shared" si="1"/>
        <v>7976314.7953422209</v>
      </c>
    </row>
    <row r="11" spans="1:12" x14ac:dyDescent="0.25">
      <c r="I11" s="4"/>
      <c r="J11" s="4"/>
    </row>
    <row r="12" spans="1:12" x14ac:dyDescent="0.25">
      <c r="B12" s="4" t="s">
        <v>13</v>
      </c>
      <c r="F12" s="4">
        <f>-Calcs!F7</f>
        <v>-276344.8620621108</v>
      </c>
      <c r="G12" s="4">
        <f>-Calcs!G7</f>
        <v>-400312.06068095047</v>
      </c>
      <c r="H12" s="4">
        <f>-Calcs!H7</f>
        <v>-540421.28191928321</v>
      </c>
      <c r="I12" s="4">
        <f>-Calcs!I7</f>
        <v>-648505.53830313974</v>
      </c>
      <c r="J12" s="4">
        <f>-Calcs!J7</f>
        <v>-745781.36904861068</v>
      </c>
    </row>
    <row r="13" spans="1:12" x14ac:dyDescent="0.25">
      <c r="B13" s="4" t="s">
        <v>228</v>
      </c>
      <c r="F13" s="4">
        <f>BalSheet!E23-BalSheet!F23</f>
        <v>-1000000</v>
      </c>
      <c r="G13" s="4">
        <f>BalSheet!F23-BalSheet!G23</f>
        <v>-1000000</v>
      </c>
      <c r="H13" s="4">
        <f>BalSheet!G23-BalSheet!H23</f>
        <v>-1000000</v>
      </c>
      <c r="I13" s="4">
        <f>BalSheet!H23-BalSheet!I23</f>
        <v>-1000000</v>
      </c>
      <c r="J13" s="4">
        <f>BalSheet!I23-BalSheet!J23</f>
        <v>-1000000</v>
      </c>
    </row>
    <row r="14" spans="1:12" s="11" customFormat="1" x14ac:dyDescent="0.25">
      <c r="B14" s="11" t="s">
        <v>221</v>
      </c>
      <c r="F14" s="11">
        <f>SUM(F12:F13)</f>
        <v>-1276344.8620621108</v>
      </c>
      <c r="G14" s="11">
        <f t="shared" ref="G14:J14" si="2">SUM(G12:G13)</f>
        <v>-1400312.0606809505</v>
      </c>
      <c r="H14" s="11">
        <f t="shared" si="2"/>
        <v>-1540421.2819192833</v>
      </c>
      <c r="I14" s="11">
        <f t="shared" si="2"/>
        <v>-1648505.5383031396</v>
      </c>
      <c r="J14" s="11">
        <f t="shared" si="2"/>
        <v>-1745781.3690486108</v>
      </c>
    </row>
    <row r="15" spans="1:12" x14ac:dyDescent="0.25">
      <c r="I15" s="4"/>
      <c r="J15" s="4"/>
    </row>
    <row r="16" spans="1:12" x14ac:dyDescent="0.25">
      <c r="B16" s="4" t="s">
        <v>222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2:10" x14ac:dyDescent="0.25">
      <c r="B17" s="4" t="s">
        <v>223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2:10" x14ac:dyDescent="0.25">
      <c r="B18" s="4" t="s">
        <v>57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</row>
    <row r="19" spans="2:10" s="11" customFormat="1" x14ac:dyDescent="0.25">
      <c r="B19" s="11" t="s">
        <v>224</v>
      </c>
      <c r="F19" s="11">
        <f>SUM(F16:F18)</f>
        <v>0</v>
      </c>
      <c r="G19" s="11">
        <f t="shared" ref="G19:J19" si="3">SUM(G16:G18)</f>
        <v>0</v>
      </c>
      <c r="H19" s="11">
        <f t="shared" si="3"/>
        <v>0</v>
      </c>
      <c r="I19" s="11">
        <f t="shared" si="3"/>
        <v>0</v>
      </c>
      <c r="J19" s="11">
        <f t="shared" si="3"/>
        <v>0</v>
      </c>
    </row>
    <row r="20" spans="2:10" x14ac:dyDescent="0.25">
      <c r="I20" s="4"/>
      <c r="J20" s="4"/>
    </row>
    <row r="21" spans="2:10" x14ac:dyDescent="0.25">
      <c r="B21" s="4" t="s">
        <v>225</v>
      </c>
      <c r="F21" s="4">
        <f>SUM(F19,F14,F10)</f>
        <v>1411260.1233686402</v>
      </c>
      <c r="G21" s="4">
        <f t="shared" ref="G21:J21" si="4">SUM(G19,G14,G10)</f>
        <v>2002054.3930705837</v>
      </c>
      <c r="H21" s="4">
        <f t="shared" si="4"/>
        <v>3254085.7198452228</v>
      </c>
      <c r="I21" s="4">
        <f t="shared" si="4"/>
        <v>4270265.5671763821</v>
      </c>
      <c r="J21" s="4">
        <f t="shared" si="4"/>
        <v>6230533.4262936097</v>
      </c>
    </row>
    <row r="22" spans="2:10" x14ac:dyDescent="0.25">
      <c r="I22" s="4"/>
      <c r="J22" s="4"/>
    </row>
    <row r="23" spans="2:10" x14ac:dyDescent="0.25">
      <c r="B23" s="4" t="s">
        <v>226</v>
      </c>
      <c r="F23" s="4">
        <f>BalSheet!E16</f>
        <v>657653.31499999994</v>
      </c>
      <c r="G23" s="4">
        <f>BalSheet!F16</f>
        <v>2068913.4383686401</v>
      </c>
      <c r="H23" s="4">
        <f>BalSheet!G16</f>
        <v>4070967.8314392241</v>
      </c>
      <c r="I23" s="4">
        <f>BalSheet!H16</f>
        <v>7325053.5512844473</v>
      </c>
      <c r="J23" s="4">
        <f>BalSheet!I16</f>
        <v>11595319.11846083</v>
      </c>
    </row>
    <row r="24" spans="2:10" x14ac:dyDescent="0.25">
      <c r="B24" s="4" t="str">
        <f>B21</f>
        <v>Net changes in cash</v>
      </c>
      <c r="F24" s="4">
        <f>F21</f>
        <v>1411260.1233686402</v>
      </c>
      <c r="G24" s="4">
        <f t="shared" ref="G24:J24" si="5">G21</f>
        <v>2002054.3930705837</v>
      </c>
      <c r="H24" s="4">
        <f t="shared" si="5"/>
        <v>3254085.7198452228</v>
      </c>
      <c r="I24" s="4">
        <f t="shared" si="5"/>
        <v>4270265.5671763821</v>
      </c>
      <c r="J24" s="4">
        <f t="shared" si="5"/>
        <v>6230533.4262936097</v>
      </c>
    </row>
    <row r="25" spans="2:10" x14ac:dyDescent="0.25">
      <c r="B25" s="4" t="s">
        <v>227</v>
      </c>
      <c r="F25" s="4">
        <f>SUM(F23:F24)</f>
        <v>2068913.4383686401</v>
      </c>
      <c r="G25" s="4">
        <f t="shared" ref="G25:J25" si="6">SUM(G23:G24)</f>
        <v>4070967.8314392241</v>
      </c>
      <c r="H25" s="4">
        <f t="shared" si="6"/>
        <v>7325053.5512844473</v>
      </c>
      <c r="I25" s="4">
        <f t="shared" si="6"/>
        <v>11595319.11846083</v>
      </c>
      <c r="J25" s="4">
        <f t="shared" si="6"/>
        <v>17825852.544754438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1"/>
  <sheetViews>
    <sheetView showGridLines="0" zoomScaleNormal="100" workbookViewId="0"/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5" width="11.7109375" style="4" customWidth="1"/>
    <col min="6" max="6" width="12.140625" style="4" bestFit="1" customWidth="1"/>
    <col min="7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61" t="str">
        <f>CoName</f>
        <v>Roblox Corporation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s="2" customFormat="1" ht="16.350000000000001" customHeight="1" x14ac:dyDescent="0.25">
      <c r="A2" s="182" t="s">
        <v>82</v>
      </c>
      <c r="B2" s="183"/>
      <c r="C2" s="186">
        <v>2022</v>
      </c>
      <c r="D2" s="186">
        <f>C2+1</f>
        <v>2023</v>
      </c>
      <c r="E2" s="186">
        <f t="shared" ref="E2:J2" si="0">D2+1</f>
        <v>2024</v>
      </c>
      <c r="F2" s="186">
        <f t="shared" si="0"/>
        <v>2025</v>
      </c>
      <c r="G2" s="186">
        <f t="shared" si="0"/>
        <v>2026</v>
      </c>
      <c r="H2" s="186">
        <f t="shared" si="0"/>
        <v>2027</v>
      </c>
      <c r="I2" s="186">
        <f t="shared" si="0"/>
        <v>2028</v>
      </c>
      <c r="J2" s="186">
        <f t="shared" si="0"/>
        <v>2029</v>
      </c>
      <c r="K2" s="210"/>
      <c r="L2" s="210"/>
    </row>
    <row r="3" spans="1:12" x14ac:dyDescent="0.25">
      <c r="A3" s="11" t="s">
        <v>120</v>
      </c>
      <c r="B3" s="4" t="s">
        <v>83</v>
      </c>
      <c r="D3" s="240"/>
      <c r="E3" s="23"/>
      <c r="F3" s="241">
        <f>IncState!F16</f>
        <v>5540832.4699999988</v>
      </c>
      <c r="G3" s="241">
        <f>IncState!G16</f>
        <v>8026427.7302000001</v>
      </c>
      <c r="H3" s="241">
        <f>IncState!H16</f>
        <v>10835677.435770001</v>
      </c>
      <c r="I3" s="241">
        <f>IncState!I16</f>
        <v>13002812.922924001</v>
      </c>
      <c r="J3" s="241">
        <f>IncState!J16</f>
        <v>14953234.861362599</v>
      </c>
      <c r="K3" s="218"/>
      <c r="L3" s="218"/>
    </row>
    <row r="4" spans="1:12" x14ac:dyDescent="0.25">
      <c r="B4" s="4" t="s">
        <v>52</v>
      </c>
      <c r="E4" s="26"/>
      <c r="F4" s="4">
        <f>IncState!F20</f>
        <v>-1109294.3491770681</v>
      </c>
      <c r="G4" s="4">
        <f>IncState!G20</f>
        <v>-924672.99546650052</v>
      </c>
      <c r="H4" s="4">
        <f>IncState!H20</f>
        <v>-327275.961839322</v>
      </c>
      <c r="I4" s="4">
        <f>IncState!I20</f>
        <v>712507.94424135238</v>
      </c>
      <c r="J4" s="4">
        <f>IncState!J20</f>
        <v>2090409.0990933757</v>
      </c>
    </row>
    <row r="5" spans="1:12" x14ac:dyDescent="0.25">
      <c r="B5" s="29" t="s">
        <v>88</v>
      </c>
      <c r="C5" s="29"/>
      <c r="D5" s="29"/>
      <c r="E5" s="38"/>
      <c r="F5" s="42">
        <f>IncState!F12</f>
        <v>0.12</v>
      </c>
      <c r="G5" s="42">
        <f>IncState!G12</f>
        <v>0.12</v>
      </c>
      <c r="H5" s="42">
        <f>IncState!H12</f>
        <v>0.12</v>
      </c>
      <c r="I5" s="42">
        <f>IncState!I12</f>
        <v>0.12</v>
      </c>
      <c r="J5" s="42">
        <f>IncState!J12</f>
        <v>0.12</v>
      </c>
      <c r="K5" s="42"/>
      <c r="L5" s="42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75"/>
      <c r="L6" s="175"/>
    </row>
    <row r="7" spans="1:12" x14ac:dyDescent="0.25">
      <c r="A7" s="24" t="s">
        <v>120</v>
      </c>
      <c r="B7" s="21" t="s">
        <v>84</v>
      </c>
      <c r="C7" s="121"/>
      <c r="D7" s="121"/>
      <c r="E7" s="121"/>
      <c r="F7" s="133">
        <f t="shared" ref="F7:J7" si="1">F4*(1-F5)</f>
        <v>-976179.02727581991</v>
      </c>
      <c r="G7" s="133">
        <f t="shared" ref="G7:J7" si="2">G4*(1-G5)</f>
        <v>-813712.23601052049</v>
      </c>
      <c r="H7" s="133">
        <f t="shared" si="2"/>
        <v>-288002.84641860338</v>
      </c>
      <c r="I7" s="133">
        <f t="shared" si="2"/>
        <v>627006.99093239009</v>
      </c>
      <c r="J7" s="133">
        <f t="shared" si="2"/>
        <v>1839560.0072021706</v>
      </c>
      <c r="K7" s="218"/>
      <c r="L7" s="218"/>
    </row>
    <row r="8" spans="1:12" x14ac:dyDescent="0.25">
      <c r="B8" s="4" t="s">
        <v>14</v>
      </c>
      <c r="C8" s="121"/>
      <c r="D8" s="121"/>
      <c r="E8" s="122"/>
      <c r="F8" s="134">
        <f>CashFlow!F4</f>
        <v>233648.97224552007</v>
      </c>
      <c r="G8" s="134">
        <f>CashFlow!G4</f>
        <v>241175.22381647083</v>
      </c>
      <c r="H8" s="134">
        <f>CashFlow!H4</f>
        <v>269227.19494513021</v>
      </c>
      <c r="I8" s="134">
        <f>CashFlow!I4</f>
        <v>317032.1460045799</v>
      </c>
      <c r="J8" s="134">
        <f>CashFlow!J4</f>
        <v>375462.87903841882</v>
      </c>
      <c r="K8" s="217"/>
      <c r="L8" s="217"/>
    </row>
    <row r="9" spans="1:12" x14ac:dyDescent="0.25">
      <c r="B9" s="4" t="s">
        <v>51</v>
      </c>
      <c r="C9" s="5"/>
      <c r="D9" s="5"/>
      <c r="E9" s="23"/>
      <c r="F9" s="187">
        <f>CashFlow!F5</f>
        <v>0</v>
      </c>
      <c r="G9" s="187">
        <f>CashFlow!G5</f>
        <v>0</v>
      </c>
      <c r="H9" s="187">
        <f>CashFlow!H5</f>
        <v>0</v>
      </c>
      <c r="I9" s="187">
        <f>CashFlow!I5</f>
        <v>0</v>
      </c>
      <c r="J9" s="187">
        <f>CashFlow!J5</f>
        <v>0</v>
      </c>
      <c r="K9" s="217"/>
      <c r="L9" s="217"/>
    </row>
    <row r="10" spans="1:12" x14ac:dyDescent="0.25">
      <c r="B10" s="4" t="str">
        <f>CashFlow!B6</f>
        <v>Additional Paid in Compensation</v>
      </c>
      <c r="C10" s="5"/>
      <c r="D10" s="5"/>
      <c r="E10" s="23"/>
      <c r="F10" s="187">
        <f>CashFlow!F6</f>
        <v>1342218.0614622082</v>
      </c>
      <c r="G10" s="187">
        <f>CashFlow!G6</f>
        <v>1773538.0643273813</v>
      </c>
      <c r="H10" s="187">
        <f>CashFlow!H6</f>
        <v>2343462.1809450877</v>
      </c>
      <c r="I10" s="187">
        <f>CashFlow!I6</f>
        <v>3096530.6603682577</v>
      </c>
      <c r="J10" s="187">
        <f>CashFlow!J6</f>
        <v>4091596.7019078415</v>
      </c>
      <c r="K10" s="217"/>
      <c r="L10" s="217"/>
    </row>
    <row r="11" spans="1:12" x14ac:dyDescent="0.25">
      <c r="B11" s="4" t="s">
        <v>85</v>
      </c>
      <c r="C11" s="5"/>
      <c r="D11" s="5"/>
      <c r="E11" s="23"/>
      <c r="F11" s="187">
        <f>CashFlow!F7</f>
        <v>851152.17310044961</v>
      </c>
      <c r="G11" s="187">
        <f>CashFlow!G7</f>
        <v>615842.41749954037</v>
      </c>
      <c r="H11" s="187">
        <f>CashFlow!H7</f>
        <v>677843.29578692187</v>
      </c>
      <c r="I11" s="187">
        <f>CashFlow!I7</f>
        <v>495818.91486969031</v>
      </c>
      <c r="J11" s="187">
        <f>CashFlow!J7</f>
        <v>425551.05321964622</v>
      </c>
      <c r="K11" s="217"/>
      <c r="L11" s="217"/>
    </row>
    <row r="12" spans="1:12" x14ac:dyDescent="0.25">
      <c r="B12" s="4" t="s">
        <v>160</v>
      </c>
      <c r="C12" s="5"/>
      <c r="D12" s="5"/>
      <c r="E12" s="23"/>
      <c r="F12" s="187">
        <f>CashFlow!F8</f>
        <v>-180560.4154097538</v>
      </c>
      <c r="G12" s="187">
        <f>CashFlow!G8</f>
        <v>-231477.06604265852</v>
      </c>
      <c r="H12" s="187">
        <f>CashFlow!H8</f>
        <v>-261618.16850834433</v>
      </c>
      <c r="I12" s="187">
        <f>CashFlow!I8</f>
        <v>-201819.72999215138</v>
      </c>
      <c r="J12" s="187">
        <f>CashFlow!J8</f>
        <v>-181637.7569929359</v>
      </c>
      <c r="K12" s="217"/>
      <c r="L12" s="217"/>
    </row>
    <row r="13" spans="1:12" x14ac:dyDescent="0.25">
      <c r="B13" s="4" t="s">
        <v>161</v>
      </c>
      <c r="E13" s="26"/>
      <c r="F13" s="187">
        <f>CashFlow!F9</f>
        <v>1417325.2213081466</v>
      </c>
      <c r="G13" s="187">
        <f>CashFlow!G9</f>
        <v>1817000.0501613207</v>
      </c>
      <c r="H13" s="187">
        <f>CashFlow!H9</f>
        <v>2053595.3450143142</v>
      </c>
      <c r="I13" s="187">
        <f>CashFlow!I9</f>
        <v>1584202.1232967544</v>
      </c>
      <c r="J13" s="187">
        <f>CashFlow!J9</f>
        <v>1425781.9109670799</v>
      </c>
      <c r="K13" s="217"/>
      <c r="L13" s="217"/>
    </row>
    <row r="14" spans="1:12" x14ac:dyDescent="0.25">
      <c r="B14" s="4" t="s">
        <v>86</v>
      </c>
      <c r="E14" s="26"/>
      <c r="F14" s="131">
        <f>CashFlow!F12</f>
        <v>-276344.8620621108</v>
      </c>
      <c r="G14" s="131">
        <f>CashFlow!G12</f>
        <v>-400312.06068095047</v>
      </c>
      <c r="H14" s="131">
        <f>CashFlow!H12</f>
        <v>-540421.28191928321</v>
      </c>
      <c r="I14" s="131">
        <f>CashFlow!I12</f>
        <v>-648505.53830313974</v>
      </c>
      <c r="J14" s="131">
        <f>CashFlow!J12</f>
        <v>-745781.36904861068</v>
      </c>
      <c r="K14" s="131"/>
      <c r="L14" s="131"/>
    </row>
    <row r="15" spans="1:12" x14ac:dyDescent="0.25">
      <c r="E15" s="62"/>
      <c r="F15" s="135"/>
      <c r="G15" s="135"/>
      <c r="H15" s="135"/>
      <c r="I15" s="135"/>
      <c r="J15" s="135"/>
      <c r="K15" s="135"/>
      <c r="L15" s="135"/>
    </row>
    <row r="16" spans="1:12" s="11" customFormat="1" x14ac:dyDescent="0.25">
      <c r="A16" s="24" t="s">
        <v>120</v>
      </c>
      <c r="B16" s="33" t="s">
        <v>87</v>
      </c>
      <c r="C16" s="33"/>
      <c r="D16" s="33"/>
      <c r="E16" s="33"/>
      <c r="F16" s="33">
        <f>SUM(F7:F14)</f>
        <v>2411260.1233686404</v>
      </c>
      <c r="G16" s="33">
        <f t="shared" ref="G16:J16" si="3">SUM(G7:G14)</f>
        <v>3002054.3930705837</v>
      </c>
      <c r="H16" s="33">
        <f t="shared" si="3"/>
        <v>4254085.7198452232</v>
      </c>
      <c r="I16" s="33">
        <f t="shared" si="3"/>
        <v>5270265.5671763821</v>
      </c>
      <c r="J16" s="33">
        <f t="shared" si="3"/>
        <v>7230533.4262936106</v>
      </c>
    </row>
    <row r="17" spans="2:10" x14ac:dyDescent="0.25">
      <c r="B17" s="65"/>
      <c r="C17" s="65"/>
      <c r="D17" s="65"/>
      <c r="E17" s="65"/>
      <c r="F17" s="65"/>
      <c r="G17" s="65"/>
      <c r="H17" s="65"/>
      <c r="I17" s="82"/>
      <c r="J17" s="82"/>
    </row>
    <row r="18" spans="2:10" x14ac:dyDescent="0.25">
      <c r="C18" s="5"/>
      <c r="D18" s="5"/>
      <c r="E18" s="5"/>
      <c r="F18" s="5"/>
      <c r="G18" s="5"/>
      <c r="H18" s="5"/>
    </row>
    <row r="21" spans="2:10" x14ac:dyDescent="0.25">
      <c r="C21" s="5"/>
      <c r="D21" s="5"/>
      <c r="E21" s="5"/>
      <c r="F21" s="5"/>
      <c r="G21" s="5"/>
      <c r="H21" s="5"/>
    </row>
    <row r="29" spans="2:10" x14ac:dyDescent="0.25">
      <c r="C29" s="5"/>
      <c r="D29" s="5"/>
      <c r="E29" s="5"/>
      <c r="F29" s="5"/>
      <c r="G29" s="5"/>
      <c r="H29" s="5"/>
    </row>
    <row r="30" spans="2:10" x14ac:dyDescent="0.25">
      <c r="C30" s="5"/>
      <c r="D30" s="5"/>
      <c r="E30" s="5"/>
      <c r="F30" s="5"/>
      <c r="G30" s="5"/>
      <c r="H30" s="5"/>
    </row>
    <row r="31" spans="2:10" x14ac:dyDescent="0.25">
      <c r="C31" s="5"/>
      <c r="D31" s="5"/>
      <c r="E31" s="5"/>
      <c r="F31" s="5"/>
      <c r="G31" s="5"/>
      <c r="H31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/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61" t="str">
        <f>CoName</f>
        <v>Roblox Corporation</v>
      </c>
    </row>
    <row r="2" spans="1:13" x14ac:dyDescent="0.25">
      <c r="G2" s="145"/>
    </row>
    <row r="3" spans="1:13" x14ac:dyDescent="0.25">
      <c r="A3" s="26" t="s">
        <v>120</v>
      </c>
      <c r="B3" s="165" t="s">
        <v>96</v>
      </c>
      <c r="C3" s="166"/>
      <c r="D3" s="166"/>
      <c r="E3" s="167"/>
      <c r="F3" s="11"/>
      <c r="G3" s="76" t="s">
        <v>104</v>
      </c>
      <c r="H3" s="76" t="s">
        <v>99</v>
      </c>
      <c r="I3" s="76" t="s">
        <v>100</v>
      </c>
      <c r="J3" s="76" t="s">
        <v>101</v>
      </c>
      <c r="K3" s="76" t="s">
        <v>102</v>
      </c>
      <c r="L3" s="76" t="s">
        <v>107</v>
      </c>
      <c r="M3" s="76" t="s">
        <v>103</v>
      </c>
    </row>
    <row r="4" spans="1:13" x14ac:dyDescent="0.25">
      <c r="A4" s="26"/>
      <c r="B4" s="264" t="s">
        <v>162</v>
      </c>
      <c r="C4" s="66"/>
      <c r="D4" s="71"/>
      <c r="E4" s="265">
        <v>0.12</v>
      </c>
      <c r="G4" s="137"/>
      <c r="H4" s="138"/>
      <c r="I4" s="78"/>
      <c r="J4" s="79"/>
      <c r="K4" s="140"/>
      <c r="L4" s="155">
        <f>E4</f>
        <v>0.12</v>
      </c>
      <c r="M4" s="141">
        <f>H4/((1+K4*(1-L4)))</f>
        <v>0</v>
      </c>
    </row>
    <row r="5" spans="1:13" x14ac:dyDescent="0.25">
      <c r="A5" s="26"/>
      <c r="B5" s="66" t="s">
        <v>89</v>
      </c>
      <c r="C5" s="66"/>
      <c r="D5" s="71"/>
      <c r="E5" s="136">
        <v>0.04</v>
      </c>
      <c r="G5" s="137"/>
      <c r="H5" s="138"/>
      <c r="I5" s="78"/>
      <c r="J5" s="79"/>
      <c r="K5" s="140"/>
      <c r="L5" s="155">
        <f>L4</f>
        <v>0.12</v>
      </c>
      <c r="M5" s="141">
        <f t="shared" ref="M5:M7" si="0">H5/((1+K5*(1-L5)))</f>
        <v>0</v>
      </c>
    </row>
    <row r="6" spans="1:13" x14ac:dyDescent="0.25">
      <c r="A6" s="26"/>
      <c r="B6" s="66" t="s">
        <v>90</v>
      </c>
      <c r="C6" s="66"/>
      <c r="D6" s="71"/>
      <c r="E6" s="136">
        <v>0.05</v>
      </c>
      <c r="G6" s="137"/>
      <c r="H6" s="139"/>
      <c r="I6" s="80"/>
      <c r="J6" s="79"/>
      <c r="K6" s="140"/>
      <c r="L6" s="155">
        <f t="shared" ref="L6:L7" si="1">L5</f>
        <v>0.12</v>
      </c>
      <c r="M6" s="141">
        <f t="shared" si="0"/>
        <v>0</v>
      </c>
    </row>
    <row r="7" spans="1:13" x14ac:dyDescent="0.25">
      <c r="A7" s="26"/>
      <c r="B7" s="66" t="s">
        <v>91</v>
      </c>
      <c r="C7" s="66"/>
      <c r="D7" s="71"/>
      <c r="E7" s="223">
        <f>1.61*0.66</f>
        <v>1.0626000000000002</v>
      </c>
      <c r="G7" s="137"/>
      <c r="H7" s="139"/>
      <c r="I7" s="80"/>
      <c r="J7" s="81"/>
      <c r="K7" s="140"/>
      <c r="L7" s="155">
        <f t="shared" si="1"/>
        <v>0.12</v>
      </c>
      <c r="M7" s="141">
        <f t="shared" si="0"/>
        <v>0</v>
      </c>
    </row>
    <row r="8" spans="1:13" x14ac:dyDescent="0.25">
      <c r="A8" s="26"/>
      <c r="B8" s="66" t="s">
        <v>92</v>
      </c>
      <c r="C8" s="66"/>
      <c r="D8" s="71"/>
      <c r="E8" s="136">
        <f>E5+E6*E7</f>
        <v>9.3130000000000018E-2</v>
      </c>
      <c r="L8" s="65"/>
    </row>
    <row r="9" spans="1:13" x14ac:dyDescent="0.25">
      <c r="A9" s="26"/>
      <c r="B9" s="67" t="s">
        <v>93</v>
      </c>
      <c r="C9" s="67"/>
      <c r="D9" s="72"/>
      <c r="E9" s="142">
        <f>1-E10</f>
        <v>0.98556324847850274</v>
      </c>
      <c r="G9" s="4" t="s">
        <v>105</v>
      </c>
      <c r="L9" s="26"/>
      <c r="M9" s="222">
        <f>AVERAGE(M4:M7)</f>
        <v>0</v>
      </c>
    </row>
    <row r="10" spans="1:13" x14ac:dyDescent="0.25">
      <c r="A10" s="26"/>
      <c r="B10" s="68" t="s">
        <v>94</v>
      </c>
      <c r="C10" s="68"/>
      <c r="D10" s="73"/>
      <c r="E10" s="143">
        <f>MAIN!F8/MAIN!F6</f>
        <v>1.4436751521497284E-2</v>
      </c>
      <c r="M10" s="65"/>
    </row>
    <row r="11" spans="1:13" x14ac:dyDescent="0.25">
      <c r="A11" s="26"/>
      <c r="B11" s="164" t="s">
        <v>177</v>
      </c>
      <c r="C11" s="69"/>
      <c r="D11" s="74"/>
      <c r="E11" s="144">
        <f>Debt!F5</f>
        <v>0.04</v>
      </c>
      <c r="G11" s="4" t="s">
        <v>106</v>
      </c>
      <c r="L11" s="26"/>
      <c r="M11" s="222">
        <f>M9*(1+E10*(1-E4))</f>
        <v>0</v>
      </c>
    </row>
    <row r="12" spans="1:13" x14ac:dyDescent="0.25">
      <c r="A12" s="26"/>
      <c r="B12" s="70" t="s">
        <v>95</v>
      </c>
      <c r="C12" s="70"/>
      <c r="D12" s="75"/>
      <c r="E12" s="144">
        <f>E11*(1-E4)</f>
        <v>3.5200000000000002E-2</v>
      </c>
      <c r="M12" s="65"/>
    </row>
    <row r="13" spans="1:13" s="11" customFormat="1" x14ac:dyDescent="0.25">
      <c r="A13" s="24" t="s">
        <v>120</v>
      </c>
      <c r="B13" s="165" t="s">
        <v>96</v>
      </c>
      <c r="C13" s="166"/>
      <c r="D13" s="167"/>
      <c r="E13" s="161">
        <f>WACC!E8*WACC!E9+WACC!E12*WACC!E10</f>
        <v>9.2293678984359681E-2</v>
      </c>
      <c r="F13" s="4"/>
    </row>
    <row r="14" spans="1:13" s="11" customFormat="1" x14ac:dyDescent="0.25">
      <c r="A14" s="24"/>
      <c r="B14" s="76" t="s">
        <v>97</v>
      </c>
      <c r="C14" s="76"/>
      <c r="D14" s="114"/>
      <c r="E14" s="146">
        <v>2.5000000000000001E-2</v>
      </c>
      <c r="F14" s="4"/>
    </row>
    <row r="15" spans="1:13" x14ac:dyDescent="0.25">
      <c r="B15" s="65"/>
      <c r="C15" s="65"/>
      <c r="D15" s="65"/>
      <c r="E15" s="6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5"/>
  <sheetViews>
    <sheetView showGridLines="0" zoomScaleNormal="100" workbookViewId="0"/>
  </sheetViews>
  <sheetFormatPr defaultColWidth="10.7109375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1.42578125" style="4" bestFit="1" customWidth="1"/>
    <col min="6" max="6" width="12.140625" style="4" customWidth="1"/>
    <col min="7" max="8" width="12.42578125" style="4" bestFit="1" customWidth="1"/>
    <col min="9" max="9" width="10.7109375" style="4"/>
    <col min="10" max="12" width="9.7109375" style="4" customWidth="1"/>
    <col min="13" max="16384" width="10.7109375" style="4"/>
  </cols>
  <sheetData>
    <row r="1" spans="1:17" ht="19.5" x14ac:dyDescent="0.3">
      <c r="A1" s="261" t="str">
        <f>CoName</f>
        <v>Roblox Corporation</v>
      </c>
      <c r="B1" s="3"/>
      <c r="C1" s="3"/>
      <c r="D1" s="40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/>
      <c r="J1" s="40"/>
      <c r="K1" s="40"/>
      <c r="L1" s="40"/>
      <c r="M1" s="40"/>
    </row>
    <row r="2" spans="1:17" x14ac:dyDescent="0.25">
      <c r="A2" s="76" t="s">
        <v>108</v>
      </c>
      <c r="B2" s="19"/>
      <c r="C2" s="41"/>
      <c r="D2" s="76">
        <v>0.5</v>
      </c>
      <c r="E2" s="76">
        <f>D2+1</f>
        <v>1.5</v>
      </c>
      <c r="F2" s="76">
        <f t="shared" ref="F2:H2" si="0">E2+1</f>
        <v>2.5</v>
      </c>
      <c r="G2" s="76">
        <f t="shared" si="0"/>
        <v>3.5</v>
      </c>
      <c r="H2" s="76">
        <f t="shared" si="0"/>
        <v>4.5</v>
      </c>
      <c r="I2" s="165" t="s">
        <v>96</v>
      </c>
      <c r="J2" s="166"/>
      <c r="K2" s="167"/>
      <c r="L2" s="161">
        <f>WACC!E13</f>
        <v>9.2293678984359681E-2</v>
      </c>
      <c r="M2" s="162"/>
      <c r="N2" s="162"/>
    </row>
    <row r="3" spans="1:17" x14ac:dyDescent="0.25">
      <c r="B3" s="4" t="s">
        <v>229</v>
      </c>
      <c r="D3" s="8">
        <f>1/(1+$L$2)^D2</f>
        <v>0.95682009952069214</v>
      </c>
      <c r="E3" s="8">
        <f>1/(1+$L$2)^E2</f>
        <v>0.87597330088952441</v>
      </c>
      <c r="F3" s="8">
        <f>1/(1+$L$2)^F2</f>
        <v>0.80195767653258332</v>
      </c>
      <c r="G3" s="8">
        <f>1/(1+$L$2)^G2</f>
        <v>0.73419602434966258</v>
      </c>
      <c r="H3" s="8">
        <f>1/(1+$L$2)^H2</f>
        <v>0.67215991310353029</v>
      </c>
      <c r="I3" s="76" t="s">
        <v>97</v>
      </c>
      <c r="J3" s="76"/>
      <c r="K3" s="114"/>
      <c r="L3" s="146">
        <v>2.5000000000000001E-2</v>
      </c>
    </row>
    <row r="4" spans="1:17" x14ac:dyDescent="0.25">
      <c r="B4" s="4" t="s">
        <v>230</v>
      </c>
      <c r="D4" s="4">
        <f>'Free Cash Flow'!F16*D3</f>
        <v>2307142.1512118587</v>
      </c>
      <c r="E4" s="4">
        <f>'Free Cash Flow'!G16*E3</f>
        <v>2629719.4961479371</v>
      </c>
      <c r="F4" s="4">
        <f>'Free Cash Flow'!H16*F3</f>
        <v>3411596.6996575175</v>
      </c>
      <c r="G4" s="4">
        <f>'Free Cash Flow'!I16*G3</f>
        <v>3869408.026687819</v>
      </c>
      <c r="H4" s="4">
        <f>'Free Cash Flow'!J16*H3</f>
        <v>4860074.7195096845</v>
      </c>
    </row>
    <row r="5" spans="1:17" x14ac:dyDescent="0.25">
      <c r="G5" s="145"/>
      <c r="H5" s="4">
        <f>((H4*(1+L3)))/(L2-L3)</f>
        <v>74027407.368457884</v>
      </c>
    </row>
    <row r="6" spans="1:17" x14ac:dyDescent="0.25">
      <c r="A6" s="76" t="s">
        <v>109</v>
      </c>
      <c r="B6" s="19"/>
      <c r="C6" s="41"/>
      <c r="D6" s="84"/>
      <c r="E6" s="76" t="s">
        <v>167</v>
      </c>
      <c r="F6" s="19"/>
      <c r="G6" s="41"/>
      <c r="H6" s="84" t="s">
        <v>163</v>
      </c>
    </row>
    <row r="7" spans="1:17" x14ac:dyDescent="0.25">
      <c r="B7" s="4" t="s">
        <v>110</v>
      </c>
      <c r="C7" s="4">
        <f>SUM(D4:H4)</f>
        <v>17077941.093214817</v>
      </c>
      <c r="E7" s="4" t="s">
        <v>110</v>
      </c>
      <c r="G7" s="4">
        <f>C7</f>
        <v>17077941.093214817</v>
      </c>
      <c r="I7" s="172"/>
      <c r="J7" s="172"/>
      <c r="K7" s="172" t="s">
        <v>231</v>
      </c>
      <c r="L7" s="172"/>
      <c r="N7" s="172"/>
      <c r="O7" s="172"/>
      <c r="P7" s="172" t="s">
        <v>233</v>
      </c>
      <c r="Q7" s="172"/>
    </row>
    <row r="8" spans="1:17" x14ac:dyDescent="0.25">
      <c r="B8" s="4" t="s">
        <v>111</v>
      </c>
      <c r="C8" s="4">
        <f>H5*H3</f>
        <v>49758255.70406229</v>
      </c>
      <c r="E8" s="4" t="s">
        <v>168</v>
      </c>
      <c r="G8" s="4">
        <f>G10*H3*IncState!J25</f>
        <v>44076675.781545632</v>
      </c>
      <c r="I8" s="172">
        <f>C18</f>
        <v>104.88802687017424</v>
      </c>
      <c r="J8" s="229">
        <f>K8-E23</f>
        <v>2.2500000000000003E-2</v>
      </c>
      <c r="K8" s="229">
        <v>2.5000000000000001E-2</v>
      </c>
      <c r="L8" s="229">
        <f>K8+$E$23</f>
        <v>2.75E-2</v>
      </c>
      <c r="N8" s="172">
        <f>G18</f>
        <v>96.212534546893338</v>
      </c>
      <c r="O8" s="228">
        <f>P8-1</f>
        <v>9</v>
      </c>
      <c r="P8" s="228">
        <v>10</v>
      </c>
      <c r="Q8" s="228">
        <f>P8+1</f>
        <v>11</v>
      </c>
    </row>
    <row r="9" spans="1:17" x14ac:dyDescent="0.25">
      <c r="B9" s="4" t="s">
        <v>112</v>
      </c>
      <c r="C9" s="4">
        <f>SUM(C7:C8)</f>
        <v>66836196.797277108</v>
      </c>
      <c r="E9" s="4" t="s">
        <v>112</v>
      </c>
      <c r="G9" s="4">
        <f>SUM(G7:G8)</f>
        <v>61154616.874760449</v>
      </c>
      <c r="I9" s="231">
        <f>I10+$E$22</f>
        <v>0.10229367898435969</v>
      </c>
      <c r="J9" s="307">
        <f t="dataTable" ref="J9:L13" dt2D="1" dtr="1" r1="L3" r2="L2" ca="1"/>
        <v>87.124382158515772</v>
      </c>
      <c r="K9" s="308">
        <v>89.177644075622368</v>
      </c>
      <c r="L9" s="307">
        <v>91.36816772025648</v>
      </c>
      <c r="N9" s="231">
        <f t="shared" ref="N9:N10" si="1">I9</f>
        <v>0.10229367898435969</v>
      </c>
      <c r="O9" s="307">
        <f t="dataTable" ref="O9:Q13" dt2D="1" dtr="1" r1="G10" r2="L2"/>
        <v>86.376841747844892</v>
      </c>
      <c r="P9" s="308">
        <v>92.836704754555299</v>
      </c>
      <c r="Q9" s="307">
        <v>99.296567761265706</v>
      </c>
    </row>
    <row r="10" spans="1:17" x14ac:dyDescent="0.25">
      <c r="C10" s="83"/>
      <c r="E10" s="4" t="s">
        <v>113</v>
      </c>
      <c r="G10" s="83">
        <v>10</v>
      </c>
      <c r="I10" s="231">
        <f>I11+$E$22</f>
        <v>9.7293678984359686E-2</v>
      </c>
      <c r="J10" s="307">
        <v>94.017097950542336</v>
      </c>
      <c r="K10" s="308">
        <v>96.445872003751063</v>
      </c>
      <c r="L10" s="307">
        <v>99.048642763291369</v>
      </c>
      <c r="N10" s="231">
        <f t="shared" si="1"/>
        <v>9.7293678984359686E-2</v>
      </c>
      <c r="O10" s="307">
        <v>87.910824663766306</v>
      </c>
      <c r="P10" s="308">
        <v>94.504207391976635</v>
      </c>
      <c r="Q10" s="307">
        <v>101.09759012018698</v>
      </c>
    </row>
    <row r="11" spans="1:17" x14ac:dyDescent="0.25">
      <c r="I11" s="231">
        <v>9.2293678984359681E-2</v>
      </c>
      <c r="J11" s="308">
        <v>101.98781564403447</v>
      </c>
      <c r="K11" s="308">
        <v>104.88802687017424</v>
      </c>
      <c r="L11" s="308">
        <v>108.01204165798855</v>
      </c>
      <c r="M11" s="11"/>
      <c r="N11" s="231">
        <f>I11</f>
        <v>9.2293678984359681E-2</v>
      </c>
      <c r="O11" s="308">
        <v>89.482243543450736</v>
      </c>
      <c r="P11" s="308">
        <v>96.212534546893338</v>
      </c>
      <c r="Q11" s="308">
        <v>102.94282555033595</v>
      </c>
    </row>
    <row r="12" spans="1:17" x14ac:dyDescent="0.25">
      <c r="B12" s="26" t="s">
        <v>114</v>
      </c>
      <c r="C12" s="36">
        <f>MAIN!F7</f>
        <v>2860500</v>
      </c>
      <c r="E12" s="26" t="s">
        <v>114</v>
      </c>
      <c r="F12" s="158"/>
      <c r="G12" s="36">
        <f>C12</f>
        <v>2860500</v>
      </c>
      <c r="I12" s="231">
        <f>I11-$E$22</f>
        <v>8.7293678984359677E-2</v>
      </c>
      <c r="J12" s="307">
        <v>111.2919521376879</v>
      </c>
      <c r="K12" s="308">
        <v>114.79288538412463</v>
      </c>
      <c r="L12" s="307">
        <v>118.58656974622299</v>
      </c>
      <c r="N12" s="231">
        <f t="shared" ref="N12:N13" si="2">I12</f>
        <v>8.7293678984359677E-2</v>
      </c>
      <c r="O12" s="307">
        <v>91.092203335744571</v>
      </c>
      <c r="P12" s="308">
        <v>97.962893271476901</v>
      </c>
      <c r="Q12" s="307">
        <v>104.8335832072092</v>
      </c>
    </row>
    <row r="13" spans="1:17" x14ac:dyDescent="0.25">
      <c r="B13" s="26" t="s">
        <v>115</v>
      </c>
      <c r="C13" s="36">
        <f>MAIN!F8</f>
        <v>992736</v>
      </c>
      <c r="E13" s="26" t="s">
        <v>115</v>
      </c>
      <c r="F13" s="158"/>
      <c r="G13" s="36">
        <f t="shared" ref="G13:G14" si="3">C13</f>
        <v>992736</v>
      </c>
      <c r="I13" s="231">
        <f>I12-$E$22</f>
        <v>8.2293678984359672E-2</v>
      </c>
      <c r="J13" s="307">
        <v>122.27074606395105</v>
      </c>
      <c r="K13" s="308">
        <v>126.5504368770786</v>
      </c>
      <c r="L13" s="307">
        <v>131.22065547483888</v>
      </c>
      <c r="N13" s="231">
        <f t="shared" si="2"/>
        <v>8.2293678984359672E-2</v>
      </c>
      <c r="O13" s="307">
        <v>92.741847090105622</v>
      </c>
      <c r="P13" s="308">
        <v>99.756532284897318</v>
      </c>
      <c r="Q13" s="307">
        <v>106.77121747968901</v>
      </c>
    </row>
    <row r="14" spans="1:17" x14ac:dyDescent="0.25">
      <c r="B14" s="26" t="s">
        <v>116</v>
      </c>
      <c r="C14" s="36">
        <f>MAIN!F9</f>
        <v>12792</v>
      </c>
      <c r="E14" s="4" t="s">
        <v>116</v>
      </c>
      <c r="F14" s="26"/>
      <c r="G14" s="36">
        <f t="shared" si="3"/>
        <v>12792</v>
      </c>
      <c r="I14" s="172"/>
      <c r="J14" s="172"/>
      <c r="K14" s="172"/>
      <c r="L14" s="172"/>
      <c r="N14" s="172"/>
      <c r="O14" s="172"/>
      <c r="P14" s="172"/>
      <c r="Q14" s="172"/>
    </row>
    <row r="15" spans="1:17" x14ac:dyDescent="0.25">
      <c r="B15" s="4" t="s">
        <v>117</v>
      </c>
      <c r="C15" s="65">
        <f>C9+C12-SUM(C13:C14)</f>
        <v>68691168.797277108</v>
      </c>
      <c r="E15" s="4" t="s">
        <v>117</v>
      </c>
      <c r="G15" s="65">
        <f>G9+G12-SUM(G13:G14)</f>
        <v>63009588.874760449</v>
      </c>
      <c r="I15" s="172"/>
      <c r="J15" s="172"/>
      <c r="K15" s="173" t="s">
        <v>232</v>
      </c>
      <c r="L15" s="172"/>
      <c r="N15" s="172"/>
      <c r="O15" s="172"/>
      <c r="P15" s="173" t="s">
        <v>232</v>
      </c>
      <c r="Q15" s="172"/>
    </row>
    <row r="16" spans="1:17" x14ac:dyDescent="0.25">
      <c r="I16" s="172"/>
      <c r="J16" s="172"/>
      <c r="K16" s="308">
        <f>AVERAGE(J9:L13)</f>
        <v>106.45219576853872</v>
      </c>
      <c r="L16" s="172"/>
      <c r="N16" s="172"/>
      <c r="O16" s="172"/>
      <c r="P16" s="308">
        <f>AVERAGE(O9:Q13)</f>
        <v>96.254574449959904</v>
      </c>
      <c r="Q16" s="172"/>
    </row>
    <row r="17" spans="1:17" x14ac:dyDescent="0.25">
      <c r="B17" s="4" t="s">
        <v>118</v>
      </c>
      <c r="C17" s="4">
        <f>MAIN!F5</f>
        <v>654900</v>
      </c>
      <c r="E17" s="4" t="s">
        <v>118</v>
      </c>
      <c r="G17" s="4">
        <f>C17</f>
        <v>654900</v>
      </c>
    </row>
    <row r="18" spans="1:17" x14ac:dyDescent="0.25">
      <c r="A18" s="4" t="s">
        <v>120</v>
      </c>
      <c r="B18" s="147" t="s">
        <v>119</v>
      </c>
      <c r="C18" s="160">
        <f>C15/C17</f>
        <v>104.88802687017424</v>
      </c>
      <c r="E18" s="147" t="s">
        <v>119</v>
      </c>
      <c r="F18" s="158"/>
      <c r="G18" s="160">
        <f>G15/G17</f>
        <v>96.212534546893338</v>
      </c>
    </row>
    <row r="19" spans="1:17" x14ac:dyDescent="0.25">
      <c r="C19" s="21"/>
    </row>
    <row r="20" spans="1:17" x14ac:dyDescent="0.25">
      <c r="A20" s="117" t="s">
        <v>141</v>
      </c>
      <c r="B20" s="19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219"/>
    </row>
    <row r="21" spans="1:17" x14ac:dyDescent="0.25">
      <c r="B21" s="118"/>
      <c r="C21" s="118"/>
      <c r="D21" s="118"/>
      <c r="E21" s="118"/>
      <c r="F21" s="118"/>
      <c r="G21" s="118"/>
      <c r="H21" s="118"/>
      <c r="I21" s="118"/>
    </row>
    <row r="22" spans="1:17" x14ac:dyDescent="0.25">
      <c r="B22" s="118"/>
      <c r="C22" s="118" t="s">
        <v>142</v>
      </c>
      <c r="D22" s="118"/>
      <c r="E22" s="119">
        <v>5.0000000000000001E-3</v>
      </c>
      <c r="F22" s="118"/>
      <c r="G22" s="118"/>
      <c r="J22" s="118" t="s">
        <v>142</v>
      </c>
      <c r="K22" s="118"/>
      <c r="L22" s="119">
        <v>5.0000000000000001E-3</v>
      </c>
    </row>
    <row r="23" spans="1:17" x14ac:dyDescent="0.25">
      <c r="B23" s="118"/>
      <c r="C23" s="118" t="s">
        <v>143</v>
      </c>
      <c r="D23" s="118"/>
      <c r="E23" s="148">
        <v>2.5000000000000001E-3</v>
      </c>
      <c r="F23" s="118"/>
      <c r="G23" s="118"/>
      <c r="J23" s="118" t="s">
        <v>166</v>
      </c>
      <c r="K23" s="118"/>
      <c r="L23" s="157">
        <v>1</v>
      </c>
    </row>
    <row r="24" spans="1:17" x14ac:dyDescent="0.25">
      <c r="B24" s="118"/>
      <c r="C24" s="118"/>
      <c r="D24" s="118"/>
      <c r="E24" s="170"/>
      <c r="F24" s="118"/>
      <c r="G24" s="118"/>
      <c r="J24" s="118"/>
      <c r="K24" s="118"/>
      <c r="L24" s="169"/>
    </row>
    <row r="25" spans="1:17" x14ac:dyDescent="0.25">
      <c r="A25" s="151" t="s">
        <v>169</v>
      </c>
      <c r="B25" s="15"/>
      <c r="C25" s="149"/>
      <c r="D25" s="149"/>
      <c r="E25" s="150"/>
      <c r="F25" s="149"/>
      <c r="G25" s="149"/>
      <c r="H25" s="149"/>
      <c r="I25" s="149"/>
      <c r="J25" s="159"/>
      <c r="K25" s="15"/>
      <c r="L25" s="15"/>
      <c r="M25" s="15"/>
      <c r="N25" s="15"/>
      <c r="O25" s="15"/>
      <c r="P25" s="15"/>
    </row>
    <row r="26" spans="1:17" x14ac:dyDescent="0.25">
      <c r="B26" s="118"/>
      <c r="C26" s="118"/>
      <c r="D26" s="118"/>
      <c r="E26" s="118"/>
      <c r="F26" s="118"/>
      <c r="H26" s="118"/>
      <c r="I26" s="172"/>
      <c r="P26" s="172"/>
    </row>
    <row r="27" spans="1:17" x14ac:dyDescent="0.25">
      <c r="B27" s="162"/>
      <c r="C27" s="168"/>
      <c r="D27" s="118"/>
      <c r="E27" s="242"/>
      <c r="F27" s="243"/>
      <c r="G27" s="242"/>
      <c r="I27" s="118"/>
      <c r="J27" s="242"/>
    </row>
    <row r="28" spans="1:17" x14ac:dyDescent="0.25">
      <c r="B28" s="162"/>
      <c r="C28" s="244"/>
      <c r="E28" s="118"/>
      <c r="F28" s="245"/>
      <c r="G28" s="245"/>
      <c r="H28" s="245"/>
      <c r="I28" s="172"/>
      <c r="J28" s="172"/>
      <c r="N28" s="246"/>
      <c r="P28" s="172"/>
    </row>
    <row r="29" spans="1:17" x14ac:dyDescent="0.25">
      <c r="B29" s="162"/>
      <c r="C29" s="244"/>
      <c r="E29" s="247"/>
      <c r="F29" s="172"/>
      <c r="G29" s="172"/>
      <c r="H29" s="229"/>
      <c r="I29" s="229"/>
      <c r="J29" s="229"/>
      <c r="N29" s="248"/>
      <c r="O29" s="46"/>
      <c r="P29" s="46"/>
      <c r="Q29" s="46"/>
    </row>
    <row r="30" spans="1:17" x14ac:dyDescent="0.25">
      <c r="E30" s="225"/>
      <c r="F30" s="172"/>
      <c r="G30" s="249"/>
      <c r="H30" s="250"/>
      <c r="I30" s="250"/>
      <c r="J30" s="250"/>
      <c r="N30" s="251"/>
      <c r="O30" s="168"/>
      <c r="P30" s="168"/>
      <c r="Q30" s="168"/>
    </row>
    <row r="31" spans="1:17" x14ac:dyDescent="0.25">
      <c r="F31" s="229"/>
      <c r="G31" s="250"/>
      <c r="H31" s="230"/>
      <c r="I31" s="230"/>
      <c r="J31" s="230"/>
      <c r="K31" s="252"/>
      <c r="M31" s="46"/>
      <c r="N31" s="168"/>
      <c r="O31" s="83"/>
      <c r="P31" s="83"/>
      <c r="Q31" s="83"/>
    </row>
    <row r="32" spans="1:17" x14ac:dyDescent="0.25">
      <c r="F32" s="229"/>
      <c r="G32" s="250"/>
      <c r="H32" s="230"/>
      <c r="I32" s="230"/>
      <c r="J32" s="230"/>
      <c r="K32" s="252"/>
      <c r="M32" s="46"/>
      <c r="N32" s="168"/>
      <c r="O32" s="83"/>
      <c r="P32" s="83"/>
      <c r="Q32" s="83"/>
    </row>
    <row r="33" spans="2:17" x14ac:dyDescent="0.25">
      <c r="D33" s="46"/>
      <c r="E33" s="145"/>
      <c r="F33" s="229"/>
      <c r="G33" s="250"/>
      <c r="H33" s="230"/>
      <c r="I33" s="230"/>
      <c r="J33" s="230"/>
      <c r="K33" s="252"/>
      <c r="L33" s="145"/>
      <c r="M33" s="46"/>
      <c r="N33" s="168"/>
      <c r="O33" s="83"/>
      <c r="P33" s="83"/>
      <c r="Q33" s="83"/>
    </row>
    <row r="34" spans="2:17" x14ac:dyDescent="0.25">
      <c r="D34" s="46"/>
      <c r="E34" s="225"/>
      <c r="F34" s="229"/>
      <c r="G34" s="250"/>
      <c r="H34" s="230"/>
      <c r="I34" s="230"/>
      <c r="J34" s="230"/>
      <c r="K34" s="246"/>
      <c r="M34" s="46"/>
      <c r="N34" s="168"/>
      <c r="O34" s="83"/>
      <c r="P34" s="83"/>
      <c r="Q34" s="83"/>
    </row>
    <row r="35" spans="2:17" x14ac:dyDescent="0.25">
      <c r="D35" s="46"/>
      <c r="E35" s="225"/>
      <c r="F35" s="229"/>
      <c r="G35" s="250"/>
      <c r="H35" s="230"/>
      <c r="I35" s="230"/>
      <c r="J35" s="230"/>
      <c r="K35" s="246"/>
      <c r="M35" s="46"/>
      <c r="N35" s="168"/>
      <c r="O35" s="83"/>
      <c r="P35" s="83"/>
      <c r="Q35" s="83"/>
    </row>
    <row r="36" spans="2:17" x14ac:dyDescent="0.25">
      <c r="B36" s="253"/>
      <c r="C36" s="253"/>
      <c r="D36" s="253"/>
      <c r="E36" s="254"/>
      <c r="F36" s="255"/>
      <c r="G36" s="254"/>
    </row>
    <row r="37" spans="2:17" x14ac:dyDescent="0.25">
      <c r="B37" s="118"/>
      <c r="C37" s="118"/>
      <c r="D37" s="118"/>
      <c r="E37" s="118"/>
      <c r="F37" s="243"/>
      <c r="G37" s="243"/>
      <c r="H37" s="243"/>
      <c r="I37" s="172"/>
      <c r="J37" s="172"/>
      <c r="P37" s="172"/>
    </row>
    <row r="38" spans="2:17" x14ac:dyDescent="0.25">
      <c r="F38" s="231"/>
      <c r="G38" s="231"/>
      <c r="H38" s="229"/>
      <c r="I38" s="229"/>
      <c r="J38" s="229"/>
      <c r="M38" s="172"/>
      <c r="O38" s="83"/>
      <c r="P38" s="83"/>
      <c r="Q38" s="83"/>
    </row>
    <row r="39" spans="2:17" x14ac:dyDescent="0.25">
      <c r="E39" s="46"/>
      <c r="F39" s="228"/>
      <c r="G39" s="256"/>
      <c r="H39" s="250"/>
      <c r="I39" s="250"/>
      <c r="J39" s="250"/>
      <c r="L39" s="83"/>
      <c r="M39" s="83"/>
      <c r="N39" s="257"/>
      <c r="O39" s="171"/>
      <c r="P39" s="171"/>
      <c r="Q39" s="171"/>
    </row>
    <row r="40" spans="2:17" x14ac:dyDescent="0.25">
      <c r="E40" s="46"/>
      <c r="F40" s="229"/>
      <c r="G40" s="250"/>
      <c r="H40" s="228"/>
      <c r="I40" s="228"/>
      <c r="J40" s="228"/>
      <c r="K40" s="46"/>
      <c r="M40" s="46"/>
      <c r="N40" s="168"/>
      <c r="O40" s="258"/>
      <c r="P40" s="258"/>
      <c r="Q40" s="258"/>
    </row>
    <row r="41" spans="2:17" x14ac:dyDescent="0.25">
      <c r="D41" s="8"/>
      <c r="E41" s="46"/>
      <c r="F41" s="229"/>
      <c r="G41" s="250"/>
      <c r="H41" s="228"/>
      <c r="I41" s="228"/>
      <c r="J41" s="228"/>
      <c r="K41" s="8"/>
      <c r="L41" s="46"/>
      <c r="M41" s="46"/>
      <c r="N41" s="168"/>
      <c r="O41" s="258"/>
      <c r="P41" s="258"/>
      <c r="Q41" s="258"/>
    </row>
    <row r="42" spans="2:17" x14ac:dyDescent="0.25">
      <c r="D42" s="8"/>
      <c r="E42" s="145"/>
      <c r="F42" s="229"/>
      <c r="G42" s="250"/>
      <c r="H42" s="228"/>
      <c r="I42" s="228"/>
      <c r="J42" s="228"/>
      <c r="K42" s="8"/>
      <c r="L42" s="145"/>
      <c r="M42" s="46"/>
      <c r="N42" s="168"/>
      <c r="O42" s="258"/>
      <c r="P42" s="258"/>
      <c r="Q42" s="258"/>
    </row>
    <row r="43" spans="2:17" x14ac:dyDescent="0.25">
      <c r="D43" s="8"/>
      <c r="E43" s="46"/>
      <c r="F43" s="229"/>
      <c r="G43" s="250"/>
      <c r="H43" s="228"/>
      <c r="I43" s="228"/>
      <c r="J43" s="228"/>
      <c r="K43" s="8"/>
      <c r="L43" s="46"/>
      <c r="M43" s="46"/>
      <c r="N43" s="168"/>
      <c r="O43" s="258"/>
      <c r="P43" s="258"/>
      <c r="Q43" s="258"/>
    </row>
    <row r="44" spans="2:17" x14ac:dyDescent="0.25">
      <c r="D44" s="8"/>
      <c r="E44" s="8"/>
      <c r="F44" s="229"/>
      <c r="G44" s="250"/>
      <c r="H44" s="228"/>
      <c r="I44" s="228"/>
      <c r="J44" s="228"/>
      <c r="K44" s="8"/>
      <c r="L44" s="46"/>
      <c r="M44" s="46"/>
      <c r="N44" s="168"/>
      <c r="O44" s="258"/>
      <c r="P44" s="258"/>
      <c r="Q44" s="258"/>
    </row>
    <row r="45" spans="2:17" x14ac:dyDescent="0.25">
      <c r="D45" s="8"/>
      <c r="E45" s="8"/>
      <c r="F45" s="83"/>
      <c r="G45" s="83"/>
      <c r="H45" s="83"/>
      <c r="J45" s="8"/>
      <c r="K45" s="8"/>
      <c r="L45" s="46"/>
      <c r="M45" s="46"/>
      <c r="N45" s="46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88a26cf8-717e-46a4-ac0d-03f11284dc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Assumptions</vt:lpstr>
      <vt:lpstr>Revenue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2025-11-13T02:23:19Z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