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28B5E574-A22E-43CD-820A-085DAE752C80}" xr6:coauthVersionLast="47" xr6:coauthVersionMax="47" xr10:uidLastSave="{00000000-0000-0000-0000-000000000000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" i="32" l="1"/>
  <c r="AH19" i="32"/>
  <c r="AI19" i="32" s="1"/>
  <c r="AJ19" i="32" s="1"/>
  <c r="AI13" i="32"/>
  <c r="AJ13" i="32"/>
  <c r="AK13" i="32"/>
  <c r="AH13" i="32"/>
  <c r="AH12" i="32" s="1"/>
  <c r="AH17" i="32"/>
  <c r="AI17" i="32" s="1"/>
  <c r="AJ17" i="32" s="1"/>
  <c r="AK17" i="32" s="1"/>
  <c r="AH15" i="32"/>
  <c r="AI15" i="32" s="1"/>
  <c r="AJ15" i="32" s="1"/>
  <c r="AK15" i="32" s="1"/>
  <c r="C12" i="13"/>
  <c r="D12" i="13"/>
  <c r="E12" i="13"/>
  <c r="C11" i="13"/>
  <c r="D11" i="13"/>
  <c r="E11" i="13"/>
  <c r="I32" i="12"/>
  <c r="I31" i="12"/>
  <c r="I29" i="12"/>
  <c r="I28" i="12"/>
  <c r="I30" i="12"/>
  <c r="L27" i="12"/>
  <c r="J27" i="12"/>
  <c r="C32" i="12"/>
  <c r="C31" i="12"/>
  <c r="C28" i="12"/>
  <c r="C29" i="12"/>
  <c r="D27" i="12"/>
  <c r="F27" i="12"/>
  <c r="G17" i="12"/>
  <c r="G13" i="12"/>
  <c r="G14" i="12"/>
  <c r="G12" i="12"/>
  <c r="C17" i="12"/>
  <c r="C13" i="12"/>
  <c r="C12" i="12"/>
  <c r="D3" i="12"/>
  <c r="K6" i="12"/>
  <c r="E9" i="11"/>
  <c r="E7" i="11"/>
  <c r="G5" i="10"/>
  <c r="H5" i="10"/>
  <c r="I5" i="10"/>
  <c r="J5" i="10"/>
  <c r="K5" i="10"/>
  <c r="L5" i="10"/>
  <c r="G9" i="10"/>
  <c r="H9" i="10"/>
  <c r="I9" i="10"/>
  <c r="J9" i="10"/>
  <c r="K9" i="10"/>
  <c r="L9" i="10"/>
  <c r="G5" i="9"/>
  <c r="H5" i="9"/>
  <c r="I5" i="9"/>
  <c r="J5" i="9"/>
  <c r="K5" i="9"/>
  <c r="L5" i="9"/>
  <c r="G14" i="9"/>
  <c r="H14" i="9"/>
  <c r="I14" i="9"/>
  <c r="J14" i="9"/>
  <c r="K14" i="9"/>
  <c r="L14" i="9"/>
  <c r="G15" i="9"/>
  <c r="H15" i="9"/>
  <c r="I15" i="9"/>
  <c r="J15" i="9"/>
  <c r="K15" i="9"/>
  <c r="L15" i="9"/>
  <c r="G16" i="9"/>
  <c r="H16" i="9"/>
  <c r="I16" i="9"/>
  <c r="J16" i="9"/>
  <c r="K16" i="9"/>
  <c r="K17" i="9" s="1"/>
  <c r="L16" i="9"/>
  <c r="G17" i="9"/>
  <c r="H17" i="9"/>
  <c r="I17" i="9"/>
  <c r="J17" i="9"/>
  <c r="L17" i="9"/>
  <c r="G25" i="8"/>
  <c r="H25" i="8"/>
  <c r="I25" i="8"/>
  <c r="J25" i="8"/>
  <c r="K25" i="8"/>
  <c r="L25" i="8"/>
  <c r="G26" i="8"/>
  <c r="H26" i="8"/>
  <c r="I26" i="8"/>
  <c r="J26" i="8"/>
  <c r="K26" i="8"/>
  <c r="L26" i="8"/>
  <c r="G37" i="8"/>
  <c r="H37" i="8"/>
  <c r="I37" i="8"/>
  <c r="J37" i="8"/>
  <c r="K37" i="8"/>
  <c r="L37" i="8"/>
  <c r="G22" i="7"/>
  <c r="H22" i="7"/>
  <c r="I22" i="7"/>
  <c r="J22" i="7"/>
  <c r="K22" i="7"/>
  <c r="L22" i="7"/>
  <c r="G25" i="7"/>
  <c r="H25" i="7"/>
  <c r="I25" i="7"/>
  <c r="J25" i="7"/>
  <c r="K25" i="7"/>
  <c r="L25" i="7"/>
  <c r="G26" i="7"/>
  <c r="H26" i="7"/>
  <c r="I26" i="7"/>
  <c r="J26" i="7"/>
  <c r="K26" i="7"/>
  <c r="L26" i="7"/>
  <c r="G28" i="7"/>
  <c r="H28" i="7"/>
  <c r="I28" i="7"/>
  <c r="J28" i="7"/>
  <c r="K28" i="7"/>
  <c r="L28" i="7"/>
  <c r="G29" i="7"/>
  <c r="H29" i="7"/>
  <c r="I29" i="7"/>
  <c r="J29" i="7"/>
  <c r="K29" i="7"/>
  <c r="L29" i="7"/>
  <c r="G35" i="7"/>
  <c r="H35" i="7"/>
  <c r="I35" i="7"/>
  <c r="J35" i="7"/>
  <c r="K35" i="7"/>
  <c r="L35" i="7"/>
  <c r="G37" i="7"/>
  <c r="H37" i="7"/>
  <c r="I37" i="7"/>
  <c r="J37" i="7"/>
  <c r="K37" i="7"/>
  <c r="L37" i="7"/>
  <c r="G38" i="7"/>
  <c r="G36" i="7" s="1"/>
  <c r="G15" i="5" s="1"/>
  <c r="H38" i="7"/>
  <c r="H36" i="7" s="1"/>
  <c r="H15" i="5" s="1"/>
  <c r="I38" i="7"/>
  <c r="I36" i="7" s="1"/>
  <c r="I15" i="5" s="1"/>
  <c r="J38" i="7"/>
  <c r="J36" i="7" s="1"/>
  <c r="J15" i="5" s="1"/>
  <c r="K38" i="7"/>
  <c r="K36" i="7" s="1"/>
  <c r="K15" i="5" s="1"/>
  <c r="L38" i="7"/>
  <c r="L36" i="7" s="1"/>
  <c r="L15" i="5" s="1"/>
  <c r="G39" i="7"/>
  <c r="H39" i="7"/>
  <c r="I39" i="7"/>
  <c r="J39" i="7"/>
  <c r="K39" i="7"/>
  <c r="L39" i="7"/>
  <c r="F29" i="7"/>
  <c r="F28" i="7"/>
  <c r="G13" i="6"/>
  <c r="H13" i="6"/>
  <c r="I13" i="6"/>
  <c r="J13" i="6"/>
  <c r="K13" i="6"/>
  <c r="L13" i="6"/>
  <c r="G16" i="6"/>
  <c r="H16" i="6"/>
  <c r="I16" i="6"/>
  <c r="J16" i="6"/>
  <c r="K16" i="6"/>
  <c r="L16" i="6"/>
  <c r="G17" i="6"/>
  <c r="G18" i="6"/>
  <c r="H18" i="6"/>
  <c r="I18" i="6"/>
  <c r="J18" i="6"/>
  <c r="K18" i="6"/>
  <c r="L18" i="6"/>
  <c r="G19" i="6"/>
  <c r="H19" i="6"/>
  <c r="I19" i="6"/>
  <c r="J19" i="6"/>
  <c r="K19" i="6"/>
  <c r="L19" i="6"/>
  <c r="G20" i="6"/>
  <c r="H17" i="6" s="1"/>
  <c r="H20" i="6" s="1"/>
  <c r="G21" i="6"/>
  <c r="H21" i="6"/>
  <c r="I21" i="6"/>
  <c r="J21" i="6"/>
  <c r="K21" i="6"/>
  <c r="L21" i="6"/>
  <c r="G22" i="6"/>
  <c r="G24" i="6"/>
  <c r="H24" i="6"/>
  <c r="I24" i="6"/>
  <c r="J24" i="6"/>
  <c r="K24" i="6"/>
  <c r="L24" i="6"/>
  <c r="G26" i="6"/>
  <c r="G28" i="6"/>
  <c r="G30" i="6"/>
  <c r="H30" i="6"/>
  <c r="I30" i="6"/>
  <c r="J30" i="6"/>
  <c r="K30" i="6"/>
  <c r="L30" i="6"/>
  <c r="G32" i="6"/>
  <c r="H32" i="6"/>
  <c r="I32" i="6"/>
  <c r="J32" i="6"/>
  <c r="K32" i="6"/>
  <c r="L32" i="6"/>
  <c r="G10" i="5"/>
  <c r="H10" i="5"/>
  <c r="H18" i="5" s="1"/>
  <c r="I10" i="5"/>
  <c r="I18" i="5" s="1"/>
  <c r="J10" i="5"/>
  <c r="J18" i="5" s="1"/>
  <c r="K10" i="5"/>
  <c r="K18" i="5" s="1"/>
  <c r="L10" i="5"/>
  <c r="L18" i="5" s="1"/>
  <c r="G11" i="5"/>
  <c r="H11" i="5"/>
  <c r="I11" i="5"/>
  <c r="J11" i="5"/>
  <c r="K11" i="5"/>
  <c r="L11" i="5"/>
  <c r="G16" i="5"/>
  <c r="H16" i="5"/>
  <c r="I16" i="5"/>
  <c r="J16" i="5"/>
  <c r="K16" i="5"/>
  <c r="L16" i="5"/>
  <c r="G18" i="5"/>
  <c r="F9" i="10"/>
  <c r="F8" i="10"/>
  <c r="F21" i="9"/>
  <c r="B22" i="9"/>
  <c r="F17" i="9"/>
  <c r="F16" i="9"/>
  <c r="F15" i="9"/>
  <c r="F14" i="9"/>
  <c r="F5" i="9"/>
  <c r="F4" i="9"/>
  <c r="E25" i="5"/>
  <c r="E24" i="5"/>
  <c r="E23" i="5"/>
  <c r="E22" i="5"/>
  <c r="E21" i="5"/>
  <c r="E20" i="5"/>
  <c r="E19" i="5"/>
  <c r="F16" i="5"/>
  <c r="F15" i="5"/>
  <c r="F13" i="5"/>
  <c r="E17" i="5"/>
  <c r="F37" i="8"/>
  <c r="F32" i="6"/>
  <c r="F28" i="6"/>
  <c r="F26" i="6"/>
  <c r="F22" i="6"/>
  <c r="F21" i="6"/>
  <c r="F9" i="6"/>
  <c r="G9" i="6"/>
  <c r="H9" i="6"/>
  <c r="I9" i="6"/>
  <c r="J9" i="6"/>
  <c r="K9" i="6"/>
  <c r="L9" i="6"/>
  <c r="F19" i="6"/>
  <c r="F20" i="6" s="1"/>
  <c r="F18" i="6"/>
  <c r="F17" i="6"/>
  <c r="E20" i="6"/>
  <c r="F13" i="6"/>
  <c r="E13" i="6"/>
  <c r="E12" i="6"/>
  <c r="F26" i="8"/>
  <c r="F25" i="8"/>
  <c r="F36" i="7"/>
  <c r="F39" i="7"/>
  <c r="F38" i="7"/>
  <c r="F35" i="7"/>
  <c r="H16" i="13"/>
  <c r="I16" i="13"/>
  <c r="G16" i="13"/>
  <c r="G17" i="13"/>
  <c r="H17" i="13"/>
  <c r="I17" i="13"/>
  <c r="J17" i="13"/>
  <c r="K17" i="13"/>
  <c r="L17" i="13"/>
  <c r="F17" i="13"/>
  <c r="D35" i="7"/>
  <c r="C35" i="7"/>
  <c r="E35" i="7"/>
  <c r="F26" i="7"/>
  <c r="F25" i="7"/>
  <c r="F21" i="7"/>
  <c r="F8" i="5"/>
  <c r="F6" i="5"/>
  <c r="E9" i="5"/>
  <c r="F22" i="7"/>
  <c r="H12" i="13"/>
  <c r="G12" i="13"/>
  <c r="F12" i="13"/>
  <c r="G32" i="13"/>
  <c r="H32" i="13"/>
  <c r="I32" i="13"/>
  <c r="J32" i="13"/>
  <c r="K32" i="13"/>
  <c r="L32" i="13"/>
  <c r="F32" i="13"/>
  <c r="C32" i="13"/>
  <c r="D32" i="13"/>
  <c r="E32" i="13"/>
  <c r="E25" i="13"/>
  <c r="C38" i="8"/>
  <c r="C32" i="8"/>
  <c r="C34" i="8"/>
  <c r="C33" i="8"/>
  <c r="C27" i="8"/>
  <c r="C26" i="8"/>
  <c r="C25" i="8"/>
  <c r="C24" i="8"/>
  <c r="C21" i="8"/>
  <c r="C18" i="8"/>
  <c r="D38" i="8"/>
  <c r="D34" i="8"/>
  <c r="D33" i="8"/>
  <c r="E38" i="8"/>
  <c r="E34" i="8"/>
  <c r="E33" i="8"/>
  <c r="D27" i="8"/>
  <c r="D26" i="8"/>
  <c r="D25" i="8"/>
  <c r="D24" i="8"/>
  <c r="E27" i="8"/>
  <c r="E25" i="8"/>
  <c r="E26" i="8"/>
  <c r="E24" i="8"/>
  <c r="D21" i="8"/>
  <c r="E21" i="8"/>
  <c r="D18" i="8"/>
  <c r="E18" i="8"/>
  <c r="D17" i="8"/>
  <c r="C17" i="8"/>
  <c r="E17" i="8"/>
  <c r="AE15" i="32"/>
  <c r="AD15" i="32"/>
  <c r="AC15" i="32"/>
  <c r="E18" i="7"/>
  <c r="D18" i="7"/>
  <c r="C18" i="7"/>
  <c r="E17" i="7"/>
  <c r="D17" i="7"/>
  <c r="C17" i="7"/>
  <c r="E16" i="7"/>
  <c r="D16" i="7"/>
  <c r="C16" i="7"/>
  <c r="AG13" i="32"/>
  <c r="F11" i="13"/>
  <c r="D10" i="13"/>
  <c r="E10" i="13"/>
  <c r="H6" i="13"/>
  <c r="I6" i="13"/>
  <c r="J6" i="13"/>
  <c r="K6" i="13"/>
  <c r="L6" i="13"/>
  <c r="G6" i="13"/>
  <c r="F6" i="13"/>
  <c r="AB21" i="32"/>
  <c r="Z21" i="32"/>
  <c r="Y21" i="32"/>
  <c r="X21" i="32"/>
  <c r="W21" i="32"/>
  <c r="AG18" i="32"/>
  <c r="AG16" i="32"/>
  <c r="AG12" i="32"/>
  <c r="AG19" i="32"/>
  <c r="AG17" i="32"/>
  <c r="AE18" i="32"/>
  <c r="AD18" i="32"/>
  <c r="AC18" i="32"/>
  <c r="AB18" i="32"/>
  <c r="AE16" i="32"/>
  <c r="AD16" i="32"/>
  <c r="AC16" i="32"/>
  <c r="AB16" i="32"/>
  <c r="AF16" i="32" s="1"/>
  <c r="AC14" i="32"/>
  <c r="AB14" i="32"/>
  <c r="AE12" i="32"/>
  <c r="AD12" i="32"/>
  <c r="AC12" i="32"/>
  <c r="AB12" i="32"/>
  <c r="AB19" i="32"/>
  <c r="AC19" i="32" s="1"/>
  <c r="AD19" i="32" s="1"/>
  <c r="AE19" i="32" s="1"/>
  <c r="AB17" i="32"/>
  <c r="AC17" i="32" s="1"/>
  <c r="AD17" i="32" s="1"/>
  <c r="AE17" i="32" s="1"/>
  <c r="AB15" i="32"/>
  <c r="AB13" i="32"/>
  <c r="AC13" i="32" s="1"/>
  <c r="AD13" i="32" s="1"/>
  <c r="AE10" i="32"/>
  <c r="AD10" i="32"/>
  <c r="AC10" i="32"/>
  <c r="AB10" i="32"/>
  <c r="AG7" i="32"/>
  <c r="AH7" i="32" s="1"/>
  <c r="AI7" i="32" s="1"/>
  <c r="AJ7" i="32" s="1"/>
  <c r="AK7" i="32" s="1"/>
  <c r="AG5" i="32"/>
  <c r="AH5" i="32" s="1"/>
  <c r="AI5" i="32" s="1"/>
  <c r="AJ5" i="32" s="1"/>
  <c r="AK5" i="32" s="1"/>
  <c r="AG3" i="32"/>
  <c r="AG8" i="32"/>
  <c r="AH8" i="32" s="1"/>
  <c r="AI8" i="32" s="1"/>
  <c r="AJ8" i="32" s="1"/>
  <c r="AK8" i="32" s="1"/>
  <c r="AG6" i="32"/>
  <c r="AH4" i="32"/>
  <c r="AI4" i="32" s="1"/>
  <c r="AJ4" i="32" s="1"/>
  <c r="AK4" i="32" s="1"/>
  <c r="AD8" i="32"/>
  <c r="AE8" i="32"/>
  <c r="AC8" i="32"/>
  <c r="AC7" i="32" s="1"/>
  <c r="AE7" i="32"/>
  <c r="AD7" i="32"/>
  <c r="AB7" i="32"/>
  <c r="AE5" i="32"/>
  <c r="AD5" i="32"/>
  <c r="AC5" i="32"/>
  <c r="AB5" i="32"/>
  <c r="AE3" i="32"/>
  <c r="AD3" i="32"/>
  <c r="AD9" i="32" s="1"/>
  <c r="AC3" i="32"/>
  <c r="AB3" i="32"/>
  <c r="Z10" i="32"/>
  <c r="Y10" i="32"/>
  <c r="X10" i="32"/>
  <c r="W10" i="32"/>
  <c r="Z7" i="32"/>
  <c r="Y7" i="32"/>
  <c r="X7" i="32"/>
  <c r="W7" i="32"/>
  <c r="AA7" i="32" s="1"/>
  <c r="Z5" i="32"/>
  <c r="Y5" i="32"/>
  <c r="X5" i="32"/>
  <c r="W5" i="32"/>
  <c r="AA5" i="32" s="1"/>
  <c r="AA6" i="32" s="1"/>
  <c r="X3" i="32"/>
  <c r="Y3" i="32"/>
  <c r="Z3" i="32"/>
  <c r="W3" i="32"/>
  <c r="X8" i="32"/>
  <c r="Y8" i="32" s="1"/>
  <c r="Z8" i="32" s="1"/>
  <c r="W8" i="32"/>
  <c r="Y4" i="32"/>
  <c r="X4" i="32"/>
  <c r="X9" i="32" s="1"/>
  <c r="W19" i="32"/>
  <c r="X19" i="32" s="1"/>
  <c r="Y19" i="32" s="1"/>
  <c r="Z19" i="32" s="1"/>
  <c r="W17" i="32"/>
  <c r="X17" i="32" s="1"/>
  <c r="Y17" i="32" s="1"/>
  <c r="Z17" i="32" s="1"/>
  <c r="W15" i="32"/>
  <c r="X15" i="32" s="1"/>
  <c r="Y15" i="32" s="1"/>
  <c r="Z15" i="32" s="1"/>
  <c r="Y13" i="32"/>
  <c r="Z13" i="32"/>
  <c r="X13" i="32"/>
  <c r="W13" i="32"/>
  <c r="V21" i="32"/>
  <c r="U21" i="32"/>
  <c r="T21" i="32"/>
  <c r="S21" i="32"/>
  <c r="R21" i="32"/>
  <c r="V19" i="32"/>
  <c r="U19" i="32"/>
  <c r="T19" i="32"/>
  <c r="S19" i="32"/>
  <c r="R19" i="32"/>
  <c r="V17" i="32"/>
  <c r="U17" i="32"/>
  <c r="T17" i="32"/>
  <c r="S17" i="32"/>
  <c r="R17" i="32"/>
  <c r="V15" i="32"/>
  <c r="U15" i="32"/>
  <c r="T15" i="32"/>
  <c r="S15" i="32"/>
  <c r="R15" i="32"/>
  <c r="U13" i="32"/>
  <c r="T13" i="32"/>
  <c r="S13" i="32"/>
  <c r="R13" i="32"/>
  <c r="P21" i="32"/>
  <c r="O21" i="32"/>
  <c r="N21" i="32"/>
  <c r="M21" i="32"/>
  <c r="P19" i="32"/>
  <c r="O19" i="32"/>
  <c r="N19" i="32"/>
  <c r="M19" i="32"/>
  <c r="P17" i="32"/>
  <c r="O17" i="32"/>
  <c r="N17" i="32"/>
  <c r="M17" i="32"/>
  <c r="P15" i="32"/>
  <c r="O15" i="32"/>
  <c r="N15" i="32"/>
  <c r="M15" i="32"/>
  <c r="P13" i="32"/>
  <c r="O13" i="32"/>
  <c r="N13" i="32"/>
  <c r="M13" i="32"/>
  <c r="V4" i="32"/>
  <c r="U4" i="32"/>
  <c r="T4" i="32"/>
  <c r="S4" i="32"/>
  <c r="R4" i="32"/>
  <c r="V6" i="32"/>
  <c r="U6" i="32"/>
  <c r="U9" i="32" s="1"/>
  <c r="T6" i="32"/>
  <c r="T9" i="32" s="1"/>
  <c r="T10" i="32" s="1"/>
  <c r="S6" i="32"/>
  <c r="S9" i="32" s="1"/>
  <c r="S10" i="32" s="1"/>
  <c r="R6" i="32"/>
  <c r="V8" i="32"/>
  <c r="U8" i="32"/>
  <c r="T8" i="32"/>
  <c r="S8" i="32"/>
  <c r="R8" i="32"/>
  <c r="Q10" i="32"/>
  <c r="P10" i="32"/>
  <c r="O10" i="32"/>
  <c r="N10" i="32"/>
  <c r="M10" i="32"/>
  <c r="Q8" i="32"/>
  <c r="P8" i="32"/>
  <c r="O8" i="32"/>
  <c r="N8" i="32"/>
  <c r="M8" i="32"/>
  <c r="Q6" i="32"/>
  <c r="P6" i="32"/>
  <c r="O6" i="32"/>
  <c r="N6" i="32"/>
  <c r="M6" i="32"/>
  <c r="Q4" i="32"/>
  <c r="P4" i="32"/>
  <c r="O4" i="32"/>
  <c r="N4" i="32"/>
  <c r="M4" i="32"/>
  <c r="K21" i="32"/>
  <c r="J21" i="32"/>
  <c r="I21" i="32"/>
  <c r="H21" i="32"/>
  <c r="K19" i="32"/>
  <c r="J19" i="32"/>
  <c r="I19" i="32"/>
  <c r="H19" i="32"/>
  <c r="K17" i="32"/>
  <c r="J17" i="32"/>
  <c r="I17" i="32"/>
  <c r="H17" i="32"/>
  <c r="K15" i="32"/>
  <c r="J15" i="32"/>
  <c r="I15" i="32"/>
  <c r="H15" i="32"/>
  <c r="K13" i="32"/>
  <c r="J13" i="32"/>
  <c r="I13" i="32"/>
  <c r="H13" i="32"/>
  <c r="K10" i="32"/>
  <c r="J10" i="32"/>
  <c r="I10" i="32"/>
  <c r="H10" i="32"/>
  <c r="K8" i="32"/>
  <c r="J8" i="32"/>
  <c r="I8" i="32"/>
  <c r="H8" i="32"/>
  <c r="K6" i="32"/>
  <c r="K9" i="32" s="1"/>
  <c r="J6" i="32"/>
  <c r="I6" i="32"/>
  <c r="H6" i="32"/>
  <c r="I4" i="32"/>
  <c r="J4" i="32"/>
  <c r="K4" i="32"/>
  <c r="H4" i="32"/>
  <c r="H9" i="32" s="1"/>
  <c r="AF18" i="32"/>
  <c r="AF12" i="32"/>
  <c r="AF5" i="32"/>
  <c r="V18" i="32"/>
  <c r="V16" i="32"/>
  <c r="V14" i="32"/>
  <c r="V12" i="32"/>
  <c r="V7" i="32"/>
  <c r="V5" i="32"/>
  <c r="V3" i="32"/>
  <c r="Q18" i="32"/>
  <c r="Q16" i="32"/>
  <c r="Q14" i="32"/>
  <c r="Q12" i="32"/>
  <c r="Q7" i="32"/>
  <c r="Q5" i="32"/>
  <c r="Q3" i="32"/>
  <c r="L10" i="32"/>
  <c r="L8" i="32"/>
  <c r="L6" i="32"/>
  <c r="L4" i="32"/>
  <c r="L18" i="32"/>
  <c r="L16" i="32"/>
  <c r="L14" i="32"/>
  <c r="L12" i="32"/>
  <c r="L7" i="32"/>
  <c r="L5" i="32"/>
  <c r="L3" i="32"/>
  <c r="L9" i="32" s="1"/>
  <c r="D21" i="32"/>
  <c r="E21" i="32"/>
  <c r="F21" i="32"/>
  <c r="G21" i="32"/>
  <c r="C21" i="32"/>
  <c r="D19" i="32"/>
  <c r="E19" i="32"/>
  <c r="F19" i="32"/>
  <c r="G19" i="32"/>
  <c r="D17" i="32"/>
  <c r="E17" i="32"/>
  <c r="F17" i="32"/>
  <c r="G17" i="32"/>
  <c r="D15" i="32"/>
  <c r="E15" i="32"/>
  <c r="F15" i="32"/>
  <c r="G15" i="32"/>
  <c r="D13" i="32"/>
  <c r="E13" i="32"/>
  <c r="F13" i="32"/>
  <c r="G13" i="32"/>
  <c r="C19" i="32"/>
  <c r="C17" i="32"/>
  <c r="C15" i="32"/>
  <c r="C13" i="32"/>
  <c r="G18" i="32"/>
  <c r="G16" i="32"/>
  <c r="G14" i="32"/>
  <c r="G12" i="32"/>
  <c r="G7" i="32"/>
  <c r="G5" i="32"/>
  <c r="G3" i="32"/>
  <c r="C18" i="32"/>
  <c r="H18" i="32"/>
  <c r="D18" i="32"/>
  <c r="I18" i="32"/>
  <c r="E18" i="32"/>
  <c r="J18" i="32"/>
  <c r="F18" i="32"/>
  <c r="K18" i="32"/>
  <c r="M18" i="32"/>
  <c r="R18" i="32"/>
  <c r="N18" i="32"/>
  <c r="S18" i="32"/>
  <c r="O18" i="32"/>
  <c r="T18" i="32"/>
  <c r="P18" i="32"/>
  <c r="P9" i="32"/>
  <c r="O9" i="32"/>
  <c r="N9" i="32"/>
  <c r="M9" i="32"/>
  <c r="J9" i="32"/>
  <c r="I9" i="32"/>
  <c r="F9" i="32"/>
  <c r="E9" i="32"/>
  <c r="D9" i="32"/>
  <c r="C9" i="32"/>
  <c r="U18" i="32"/>
  <c r="K2" i="10"/>
  <c r="L2" i="10"/>
  <c r="K2" i="9"/>
  <c r="L2" i="9"/>
  <c r="K2" i="8"/>
  <c r="L2" i="8"/>
  <c r="K16" i="8"/>
  <c r="L16" i="8"/>
  <c r="K8" i="7"/>
  <c r="L8" i="7"/>
  <c r="K9" i="7"/>
  <c r="L9" i="7"/>
  <c r="K2" i="6"/>
  <c r="L2" i="6"/>
  <c r="K8" i="6"/>
  <c r="L8" i="6"/>
  <c r="K11" i="6"/>
  <c r="L11" i="6"/>
  <c r="E2" i="6"/>
  <c r="F2" i="6"/>
  <c r="G2" i="6"/>
  <c r="H2" i="6"/>
  <c r="I2" i="6"/>
  <c r="J2" i="6"/>
  <c r="D2" i="6"/>
  <c r="K2" i="5"/>
  <c r="L2" i="5"/>
  <c r="C15" i="7"/>
  <c r="C37" i="7" s="1"/>
  <c r="AF2" i="32"/>
  <c r="AG2" i="32" s="1"/>
  <c r="AH2" i="32" s="1"/>
  <c r="AI2" i="32" s="1"/>
  <c r="AJ2" i="32" s="1"/>
  <c r="AK2" i="32" s="1"/>
  <c r="A1" i="32"/>
  <c r="F8" i="3"/>
  <c r="F7" i="3"/>
  <c r="I12" i="13" l="1"/>
  <c r="J12" i="13"/>
  <c r="I17" i="6"/>
  <c r="I20" i="6" s="1"/>
  <c r="H26" i="6"/>
  <c r="H22" i="6"/>
  <c r="H28" i="6" s="1"/>
  <c r="AE14" i="32"/>
  <c r="AD14" i="32"/>
  <c r="AH18" i="32"/>
  <c r="AI12" i="32"/>
  <c r="AH16" i="32"/>
  <c r="K7" i="13"/>
  <c r="K8" i="13"/>
  <c r="K10" i="13"/>
  <c r="K4" i="7" s="1"/>
  <c r="L7" i="13"/>
  <c r="L8" i="13"/>
  <c r="L10" i="13"/>
  <c r="L4" i="7" s="1"/>
  <c r="AE13" i="32"/>
  <c r="AH3" i="32"/>
  <c r="AI3" i="32"/>
  <c r="AJ3" i="32" s="1"/>
  <c r="AK3" i="32" s="1"/>
  <c r="AG9" i="32"/>
  <c r="AH6" i="32"/>
  <c r="AF7" i="32"/>
  <c r="AC9" i="32"/>
  <c r="AC20" i="32" s="1"/>
  <c r="AC21" i="32" s="1"/>
  <c r="AE9" i="32"/>
  <c r="AE20" i="32" s="1"/>
  <c r="AE21" i="32" s="1"/>
  <c r="AB9" i="32"/>
  <c r="AB20" i="32" s="1"/>
  <c r="AF3" i="32"/>
  <c r="AF4" i="32" s="1"/>
  <c r="AF9" i="32" s="1"/>
  <c r="AF8" i="32"/>
  <c r="AA8" i="32"/>
  <c r="AF6" i="32"/>
  <c r="AA3" i="32"/>
  <c r="W9" i="32"/>
  <c r="Z4" i="32"/>
  <c r="Z9" i="32" s="1"/>
  <c r="Y9" i="32"/>
  <c r="X12" i="32"/>
  <c r="X14" i="32"/>
  <c r="X16" i="32"/>
  <c r="X18" i="32"/>
  <c r="W18" i="32"/>
  <c r="W16" i="32"/>
  <c r="W14" i="32"/>
  <c r="W12" i="32"/>
  <c r="R9" i="32"/>
  <c r="U10" i="32"/>
  <c r="U20" i="32"/>
  <c r="AA4" i="32"/>
  <c r="AA9" i="32" s="1"/>
  <c r="V9" i="32"/>
  <c r="V10" i="32" s="1"/>
  <c r="Q9" i="32"/>
  <c r="L17" i="32"/>
  <c r="L15" i="32"/>
  <c r="L13" i="32"/>
  <c r="L19" i="32"/>
  <c r="G9" i="32"/>
  <c r="G20" i="32" s="1"/>
  <c r="T20" i="32"/>
  <c r="P20" i="32"/>
  <c r="O20" i="32"/>
  <c r="N20" i="32"/>
  <c r="M20" i="32"/>
  <c r="K20" i="32"/>
  <c r="J20" i="32"/>
  <c r="I20" i="32"/>
  <c r="H20" i="32"/>
  <c r="F20" i="32"/>
  <c r="D20" i="32"/>
  <c r="C20" i="32"/>
  <c r="E20" i="32"/>
  <c r="S20" i="32"/>
  <c r="D17" i="13"/>
  <c r="D38" i="13" s="1"/>
  <c r="C17" i="13"/>
  <c r="C38" i="13" s="1"/>
  <c r="E14" i="13"/>
  <c r="D46" i="13"/>
  <c r="D14" i="13"/>
  <c r="E54" i="13"/>
  <c r="F54" i="13" s="1"/>
  <c r="F12" i="8" s="1"/>
  <c r="D33" i="13"/>
  <c r="E33" i="13"/>
  <c r="F33" i="13" s="1"/>
  <c r="G33" i="13" s="1"/>
  <c r="H33" i="13" s="1"/>
  <c r="I33" i="13" s="1"/>
  <c r="J33" i="13" s="1"/>
  <c r="K33" i="13" s="1"/>
  <c r="L33" i="13" s="1"/>
  <c r="E56" i="13"/>
  <c r="D56" i="13"/>
  <c r="C56" i="13"/>
  <c r="E55" i="13"/>
  <c r="D55" i="13"/>
  <c r="C55" i="13"/>
  <c r="C54" i="13"/>
  <c r="E49" i="13"/>
  <c r="F49" i="13" s="1"/>
  <c r="G49" i="13" s="1"/>
  <c r="D49" i="13"/>
  <c r="C49" i="13"/>
  <c r="E50" i="13"/>
  <c r="D50" i="13"/>
  <c r="C50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38" i="13" s="1"/>
  <c r="E15" i="13"/>
  <c r="D15" i="13"/>
  <c r="C15" i="13"/>
  <c r="C14" i="13"/>
  <c r="E13" i="13"/>
  <c r="F13" i="13" s="1"/>
  <c r="F7" i="7" s="1"/>
  <c r="D13" i="13"/>
  <c r="C13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6" i="3"/>
  <c r="B38" i="13"/>
  <c r="G8" i="13"/>
  <c r="H8" i="13"/>
  <c r="I8" i="13"/>
  <c r="J8" i="13"/>
  <c r="F8" i="13"/>
  <c r="G7" i="13"/>
  <c r="H7" i="13"/>
  <c r="I7" i="13"/>
  <c r="J7" i="13"/>
  <c r="F7" i="13"/>
  <c r="D2" i="8"/>
  <c r="E2" i="8" s="1"/>
  <c r="E16" i="8" s="1"/>
  <c r="D2" i="7"/>
  <c r="C21" i="13"/>
  <c r="C30" i="13" s="1"/>
  <c r="C36" i="13" s="1"/>
  <c r="C42" i="13" s="1"/>
  <c r="C52" i="13" s="1"/>
  <c r="D2" i="13"/>
  <c r="E2" i="13" s="1"/>
  <c r="G8" i="7"/>
  <c r="H8" i="7"/>
  <c r="I8" i="7"/>
  <c r="J8" i="7"/>
  <c r="G9" i="7"/>
  <c r="H9" i="7"/>
  <c r="I9" i="7"/>
  <c r="J9" i="7"/>
  <c r="A1" i="10"/>
  <c r="C22" i="8"/>
  <c r="D22" i="8"/>
  <c r="E22" i="8"/>
  <c r="D28" i="8"/>
  <c r="C28" i="8"/>
  <c r="E28" i="8"/>
  <c r="E35" i="8"/>
  <c r="C35" i="8"/>
  <c r="D35" i="8"/>
  <c r="C39" i="8"/>
  <c r="D39" i="8"/>
  <c r="E39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9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1" i="5"/>
  <c r="B20" i="5"/>
  <c r="J8" i="6"/>
  <c r="I8" i="6"/>
  <c r="H8" i="6"/>
  <c r="G8" i="6"/>
  <c r="E2" i="12"/>
  <c r="F8" i="7"/>
  <c r="L12" i="13" l="1"/>
  <c r="K12" i="13"/>
  <c r="F2" i="12"/>
  <c r="E3" i="12"/>
  <c r="J17" i="6"/>
  <c r="J20" i="6" s="1"/>
  <c r="I26" i="6"/>
  <c r="I22" i="6"/>
  <c r="I28" i="6" s="1"/>
  <c r="C42" i="8"/>
  <c r="D42" i="8"/>
  <c r="AF14" i="32"/>
  <c r="AD20" i="32"/>
  <c r="AD21" i="32" s="1"/>
  <c r="E2" i="7"/>
  <c r="D15" i="7"/>
  <c r="D37" i="7" s="1"/>
  <c r="AI18" i="32"/>
  <c r="AK12" i="32"/>
  <c r="AJ12" i="32"/>
  <c r="AI16" i="32"/>
  <c r="G24" i="13"/>
  <c r="E11" i="11"/>
  <c r="AG10" i="32"/>
  <c r="AI6" i="32"/>
  <c r="AH9" i="32"/>
  <c r="W20" i="32"/>
  <c r="X20" i="32"/>
  <c r="Z12" i="32"/>
  <c r="Z14" i="32"/>
  <c r="Z16" i="32"/>
  <c r="Z18" i="32"/>
  <c r="Y16" i="32"/>
  <c r="AA16" i="32" s="1"/>
  <c r="AA17" i="32" s="1"/>
  <c r="Y12" i="32"/>
  <c r="Y14" i="32"/>
  <c r="Y18" i="32"/>
  <c r="R10" i="32"/>
  <c r="R20" i="32"/>
  <c r="AF13" i="32"/>
  <c r="AF15" i="32"/>
  <c r="AG15" i="32" s="1"/>
  <c r="AF17" i="32"/>
  <c r="AF19" i="32"/>
  <c r="AF10" i="32"/>
  <c r="AA10" i="32"/>
  <c r="V13" i="32"/>
  <c r="Q13" i="32"/>
  <c r="Q15" i="32"/>
  <c r="Q17" i="32"/>
  <c r="Q19" i="32"/>
  <c r="Q20" i="32"/>
  <c r="Q21" i="32" s="1"/>
  <c r="L20" i="32"/>
  <c r="L21" i="32" s="1"/>
  <c r="D11" i="6"/>
  <c r="D16" i="6" s="1"/>
  <c r="D24" i="6" s="1"/>
  <c r="C23" i="7"/>
  <c r="C34" i="7"/>
  <c r="F11" i="7"/>
  <c r="D54" i="13"/>
  <c r="D19" i="7"/>
  <c r="D23" i="7" s="1"/>
  <c r="E46" i="13"/>
  <c r="F46" i="13" s="1"/>
  <c r="F6" i="8" s="1"/>
  <c r="E10" i="11"/>
  <c r="F9" i="3"/>
  <c r="D21" i="13"/>
  <c r="D30" i="13" s="1"/>
  <c r="D36" i="13" s="1"/>
  <c r="D42" i="13" s="1"/>
  <c r="D52" i="13" s="1"/>
  <c r="F2" i="13"/>
  <c r="E21" i="13"/>
  <c r="E30" i="13" s="1"/>
  <c r="E36" i="13" s="1"/>
  <c r="E42" i="13" s="1"/>
  <c r="E52" i="13" s="1"/>
  <c r="F2" i="8"/>
  <c r="F11" i="6"/>
  <c r="F30" i="6" s="1"/>
  <c r="E11" i="6"/>
  <c r="F5" i="6"/>
  <c r="F10" i="8"/>
  <c r="G5" i="6"/>
  <c r="H24" i="13"/>
  <c r="G25" i="13"/>
  <c r="G6" i="6" s="1"/>
  <c r="G54" i="13"/>
  <c r="G13" i="13"/>
  <c r="G23" i="13"/>
  <c r="G4" i="6" s="1"/>
  <c r="D10" i="5"/>
  <c r="D18" i="5" s="1"/>
  <c r="E10" i="5"/>
  <c r="E18" i="5" s="1"/>
  <c r="F2" i="5"/>
  <c r="D30" i="6"/>
  <c r="D30" i="8"/>
  <c r="C16" i="6"/>
  <c r="C24" i="6" s="1"/>
  <c r="E42" i="8"/>
  <c r="E30" i="8"/>
  <c r="C30" i="8"/>
  <c r="G10" i="8"/>
  <c r="H49" i="13"/>
  <c r="H10" i="8" s="1"/>
  <c r="F4" i="5"/>
  <c r="G4" i="5" s="1"/>
  <c r="H4" i="5" s="1"/>
  <c r="I4" i="5" s="1"/>
  <c r="J4" i="5" s="1"/>
  <c r="K4" i="5" s="1"/>
  <c r="L4" i="5" s="1"/>
  <c r="F7" i="8"/>
  <c r="G47" i="13"/>
  <c r="F44" i="13"/>
  <c r="F55" i="13"/>
  <c r="F45" i="13"/>
  <c r="E19" i="7"/>
  <c r="E23" i="7" s="1"/>
  <c r="F50" i="13"/>
  <c r="F56" i="13"/>
  <c r="F3" i="12" l="1"/>
  <c r="G2" i="12"/>
  <c r="K17" i="6"/>
  <c r="K20" i="6" s="1"/>
  <c r="J26" i="6"/>
  <c r="J22" i="6"/>
  <c r="J28" i="6" s="1"/>
  <c r="C44" i="8"/>
  <c r="D44" i="8"/>
  <c r="AG14" i="32"/>
  <c r="AG20" i="32" s="1"/>
  <c r="AG21" i="32" s="1"/>
  <c r="E15" i="7"/>
  <c r="E37" i="7" s="1"/>
  <c r="F2" i="7"/>
  <c r="C40" i="7"/>
  <c r="C41" i="7"/>
  <c r="AJ18" i="32"/>
  <c r="AK18" i="32"/>
  <c r="AK16" i="32"/>
  <c r="AJ16" i="32"/>
  <c r="AH10" i="32"/>
  <c r="AI9" i="32"/>
  <c r="AJ6" i="32"/>
  <c r="AF20" i="32"/>
  <c r="AF21" i="32" s="1"/>
  <c r="AA18" i="32"/>
  <c r="AA19" i="32" s="1"/>
  <c r="Z20" i="32"/>
  <c r="Y20" i="32"/>
  <c r="AA12" i="32"/>
  <c r="AA13" i="32" s="1"/>
  <c r="AA14" i="32"/>
  <c r="V20" i="32"/>
  <c r="E16" i="6"/>
  <c r="E24" i="6" s="1"/>
  <c r="E30" i="6"/>
  <c r="F38" i="13"/>
  <c r="D31" i="7"/>
  <c r="G46" i="13"/>
  <c r="H46" i="13" s="1"/>
  <c r="H6" i="8" s="1"/>
  <c r="G2" i="13"/>
  <c r="F21" i="13"/>
  <c r="F30" i="13" s="1"/>
  <c r="F36" i="13" s="1"/>
  <c r="F42" i="13" s="1"/>
  <c r="F52" i="13" s="1"/>
  <c r="G38" i="13"/>
  <c r="F16" i="8"/>
  <c r="G2" i="8"/>
  <c r="G11" i="6"/>
  <c r="F16" i="6"/>
  <c r="F24" i="6" s="1"/>
  <c r="E44" i="8"/>
  <c r="H25" i="13"/>
  <c r="I25" i="13" s="1"/>
  <c r="H5" i="6"/>
  <c r="I24" i="13"/>
  <c r="I49" i="13"/>
  <c r="H23" i="13"/>
  <c r="H13" i="13"/>
  <c r="G7" i="7"/>
  <c r="G12" i="8"/>
  <c r="H54" i="13"/>
  <c r="G2" i="5"/>
  <c r="F10" i="5"/>
  <c r="F18" i="5" s="1"/>
  <c r="G3" i="5"/>
  <c r="H4" i="6"/>
  <c r="I23" i="13"/>
  <c r="F5" i="8"/>
  <c r="G45" i="13"/>
  <c r="G44" i="13"/>
  <c r="H44" i="13" s="1"/>
  <c r="I44" i="13" s="1"/>
  <c r="J44" i="13" s="1"/>
  <c r="K44" i="13" s="1"/>
  <c r="L44" i="13" s="1"/>
  <c r="F4" i="8"/>
  <c r="F14" i="8"/>
  <c r="G56" i="13"/>
  <c r="G50" i="13"/>
  <c r="F9" i="8"/>
  <c r="G11" i="13"/>
  <c r="E31" i="7"/>
  <c r="F13" i="8"/>
  <c r="G55" i="13"/>
  <c r="G7" i="8"/>
  <c r="H47" i="13"/>
  <c r="G3" i="12" l="1"/>
  <c r="H2" i="12"/>
  <c r="L17" i="6"/>
  <c r="L20" i="6" s="1"/>
  <c r="K26" i="6"/>
  <c r="K22" i="6"/>
  <c r="K28" i="6" s="1"/>
  <c r="G11" i="7"/>
  <c r="AH14" i="32"/>
  <c r="AH20" i="32" s="1"/>
  <c r="AH21" i="32" s="1"/>
  <c r="F15" i="7"/>
  <c r="F37" i="7" s="1"/>
  <c r="G2" i="7"/>
  <c r="J49" i="13"/>
  <c r="I10" i="8"/>
  <c r="AI10" i="32"/>
  <c r="AK6" i="32"/>
  <c r="AK9" i="32" s="1"/>
  <c r="AJ9" i="32"/>
  <c r="AA15" i="32"/>
  <c r="AA20" i="32"/>
  <c r="AA21" i="32" s="1"/>
  <c r="I46" i="13"/>
  <c r="J46" i="13" s="1"/>
  <c r="G6" i="8"/>
  <c r="D34" i="7"/>
  <c r="D16" i="13"/>
  <c r="I6" i="8"/>
  <c r="E34" i="7"/>
  <c r="E16" i="13"/>
  <c r="H2" i="13"/>
  <c r="G21" i="13"/>
  <c r="G30" i="13" s="1"/>
  <c r="G36" i="13" s="1"/>
  <c r="G42" i="13" s="1"/>
  <c r="G52" i="13" s="1"/>
  <c r="G16" i="8"/>
  <c r="H2" i="8"/>
  <c r="H11" i="6"/>
  <c r="H6" i="6"/>
  <c r="J24" i="13"/>
  <c r="K24" i="13" s="1"/>
  <c r="I5" i="6"/>
  <c r="H12" i="8"/>
  <c r="I54" i="13"/>
  <c r="G5" i="7"/>
  <c r="H11" i="13"/>
  <c r="I13" i="13"/>
  <c r="H7" i="7"/>
  <c r="G6" i="7"/>
  <c r="H2" i="5"/>
  <c r="I4" i="6"/>
  <c r="J23" i="13"/>
  <c r="K23" i="13" s="1"/>
  <c r="H3" i="5"/>
  <c r="J25" i="13"/>
  <c r="K25" i="13" s="1"/>
  <c r="I6" i="6"/>
  <c r="H55" i="13"/>
  <c r="G13" i="8"/>
  <c r="F5" i="7"/>
  <c r="H50" i="13"/>
  <c r="G9" i="8"/>
  <c r="H56" i="13"/>
  <c r="G14" i="8"/>
  <c r="I47" i="13"/>
  <c r="H7" i="8"/>
  <c r="F6" i="7"/>
  <c r="G4" i="8"/>
  <c r="H45" i="13"/>
  <c r="G5" i="8"/>
  <c r="I2" i="12" l="1"/>
  <c r="H3" i="12"/>
  <c r="L26" i="6"/>
  <c r="L22" i="6"/>
  <c r="L28" i="6" s="1"/>
  <c r="H38" i="13"/>
  <c r="H11" i="7"/>
  <c r="AI14" i="32"/>
  <c r="AI20" i="32" s="1"/>
  <c r="AI21" i="32" s="1"/>
  <c r="G15" i="7"/>
  <c r="H2" i="7"/>
  <c r="K49" i="13"/>
  <c r="J10" i="8"/>
  <c r="D40" i="7"/>
  <c r="D41" i="7"/>
  <c r="E40" i="7"/>
  <c r="E41" i="7"/>
  <c r="J6" i="8"/>
  <c r="K46" i="13"/>
  <c r="K5" i="6"/>
  <c r="L24" i="13"/>
  <c r="L5" i="6" s="1"/>
  <c r="K4" i="6"/>
  <c r="L23" i="13"/>
  <c r="L4" i="6" s="1"/>
  <c r="K6" i="6"/>
  <c r="L25" i="13"/>
  <c r="L6" i="6" s="1"/>
  <c r="AK10" i="32"/>
  <c r="AJ10" i="32"/>
  <c r="F5" i="10"/>
  <c r="E4" i="11"/>
  <c r="L4" i="11" s="1"/>
  <c r="L5" i="11" s="1"/>
  <c r="L6" i="11" s="1"/>
  <c r="L7" i="11" s="1"/>
  <c r="I2" i="13"/>
  <c r="H21" i="13"/>
  <c r="H30" i="13" s="1"/>
  <c r="H36" i="13" s="1"/>
  <c r="H42" i="13" s="1"/>
  <c r="H52" i="13" s="1"/>
  <c r="I38" i="13"/>
  <c r="I11" i="7"/>
  <c r="I2" i="8"/>
  <c r="H16" i="8"/>
  <c r="J11" i="6"/>
  <c r="I11" i="6"/>
  <c r="J5" i="6"/>
  <c r="H6" i="7"/>
  <c r="J13" i="13"/>
  <c r="K13" i="13" s="1"/>
  <c r="I7" i="7"/>
  <c r="I11" i="13"/>
  <c r="H5" i="7"/>
  <c r="J54" i="13"/>
  <c r="K54" i="13" s="1"/>
  <c r="I12" i="8"/>
  <c r="I2" i="5"/>
  <c r="I3" i="5"/>
  <c r="J4" i="6"/>
  <c r="J6" i="6"/>
  <c r="F18" i="13"/>
  <c r="J47" i="13"/>
  <c r="K47" i="13" s="1"/>
  <c r="I7" i="8"/>
  <c r="H14" i="8"/>
  <c r="I56" i="13"/>
  <c r="I50" i="13"/>
  <c r="H9" i="8"/>
  <c r="I45" i="13"/>
  <c r="H5" i="8"/>
  <c r="H4" i="8"/>
  <c r="I55" i="13"/>
  <c r="H13" i="8"/>
  <c r="I3" i="12" l="1"/>
  <c r="J2" i="12"/>
  <c r="J3" i="12" s="1"/>
  <c r="AJ14" i="32"/>
  <c r="AJ20" i="32" s="1"/>
  <c r="AJ21" i="32" s="1"/>
  <c r="AK14" i="32"/>
  <c r="AK20" i="32" s="1"/>
  <c r="AK21" i="32" s="1"/>
  <c r="L49" i="13"/>
  <c r="L10" i="8" s="1"/>
  <c r="K10" i="8"/>
  <c r="H15" i="7"/>
  <c r="I2" i="7"/>
  <c r="K6" i="8"/>
  <c r="L46" i="13"/>
  <c r="L6" i="8" s="1"/>
  <c r="K11" i="7"/>
  <c r="K38" i="13"/>
  <c r="K7" i="7"/>
  <c r="L13" i="13"/>
  <c r="L7" i="7" s="1"/>
  <c r="K12" i="8"/>
  <c r="L54" i="13"/>
  <c r="L12" i="8" s="1"/>
  <c r="K3" i="5"/>
  <c r="L3" i="5"/>
  <c r="K7" i="8"/>
  <c r="L47" i="13"/>
  <c r="L7" i="8" s="1"/>
  <c r="G10" i="7"/>
  <c r="J2" i="13"/>
  <c r="I21" i="13"/>
  <c r="I30" i="13" s="1"/>
  <c r="I36" i="13" s="1"/>
  <c r="I42" i="13" s="1"/>
  <c r="I52" i="13" s="1"/>
  <c r="J38" i="13"/>
  <c r="J11" i="7"/>
  <c r="G18" i="13"/>
  <c r="G39" i="13" s="1"/>
  <c r="F39" i="13"/>
  <c r="I16" i="8"/>
  <c r="J2" i="8"/>
  <c r="J16" i="8" s="1"/>
  <c r="J12" i="8"/>
  <c r="J11" i="13"/>
  <c r="K11" i="13" s="1"/>
  <c r="I5" i="7"/>
  <c r="J7" i="7"/>
  <c r="I6" i="7"/>
  <c r="J2" i="5"/>
  <c r="J3" i="5"/>
  <c r="I4" i="8"/>
  <c r="F19" i="13"/>
  <c r="I5" i="8"/>
  <c r="J45" i="13"/>
  <c r="K45" i="13" s="1"/>
  <c r="J50" i="13"/>
  <c r="K50" i="13" s="1"/>
  <c r="I9" i="8"/>
  <c r="I14" i="8"/>
  <c r="J56" i="13"/>
  <c r="K56" i="13" s="1"/>
  <c r="J7" i="8"/>
  <c r="J55" i="13"/>
  <c r="K55" i="13" s="1"/>
  <c r="I13" i="8"/>
  <c r="F10" i="7"/>
  <c r="E12" i="11"/>
  <c r="F12" i="7"/>
  <c r="I15" i="7" l="1"/>
  <c r="J2" i="7"/>
  <c r="L11" i="7"/>
  <c r="L38" i="13"/>
  <c r="J21" i="13"/>
  <c r="J30" i="13" s="1"/>
  <c r="J36" i="13" s="1"/>
  <c r="J42" i="13" s="1"/>
  <c r="J52" i="13" s="1"/>
  <c r="K2" i="13"/>
  <c r="K5" i="8"/>
  <c r="L45" i="13"/>
  <c r="L5" i="8" s="1"/>
  <c r="K9" i="8"/>
  <c r="L50" i="13"/>
  <c r="L9" i="8" s="1"/>
  <c r="K14" i="8"/>
  <c r="L56" i="13"/>
  <c r="L14" i="8" s="1"/>
  <c r="K13" i="8"/>
  <c r="L55" i="13"/>
  <c r="L13" i="8" s="1"/>
  <c r="K5" i="7"/>
  <c r="L11" i="13"/>
  <c r="L5" i="7" s="1"/>
  <c r="K6" i="7"/>
  <c r="L6" i="7"/>
  <c r="H10" i="7"/>
  <c r="G12" i="7"/>
  <c r="G19" i="13"/>
  <c r="F40" i="13"/>
  <c r="H18" i="13"/>
  <c r="H39" i="13" s="1"/>
  <c r="J6" i="7"/>
  <c r="J5" i="7"/>
  <c r="J9" i="8"/>
  <c r="M4" i="11"/>
  <c r="J14" i="8"/>
  <c r="J13" i="8"/>
  <c r="J5" i="8"/>
  <c r="F13" i="7"/>
  <c r="J4" i="8"/>
  <c r="K4" i="8" s="1"/>
  <c r="L4" i="8" s="1"/>
  <c r="J15" i="7" l="1"/>
  <c r="K2" i="7"/>
  <c r="K21" i="13"/>
  <c r="K30" i="13" s="1"/>
  <c r="K36" i="13" s="1"/>
  <c r="K42" i="13" s="1"/>
  <c r="K52" i="13" s="1"/>
  <c r="L2" i="13"/>
  <c r="L21" i="13" s="1"/>
  <c r="L30" i="13" s="1"/>
  <c r="L36" i="13" s="1"/>
  <c r="L42" i="13" s="1"/>
  <c r="L52" i="13" s="1"/>
  <c r="G40" i="13"/>
  <c r="G13" i="7"/>
  <c r="I18" i="13"/>
  <c r="H19" i="13"/>
  <c r="H12" i="7"/>
  <c r="J16" i="13"/>
  <c r="I10" i="7"/>
  <c r="I19" i="13"/>
  <c r="I40" i="13" s="1"/>
  <c r="J18" i="13"/>
  <c r="M5" i="11"/>
  <c r="K15" i="7" l="1"/>
  <c r="L2" i="7"/>
  <c r="L15" i="7" s="1"/>
  <c r="I39" i="13"/>
  <c r="I12" i="7"/>
  <c r="H40" i="13"/>
  <c r="H13" i="7"/>
  <c r="J10" i="7"/>
  <c r="K16" i="13"/>
  <c r="J39" i="13"/>
  <c r="K18" i="13"/>
  <c r="J12" i="7"/>
  <c r="J19" i="13"/>
  <c r="I13" i="7"/>
  <c r="M6" i="11"/>
  <c r="M7" i="11"/>
  <c r="K10" i="7" l="1"/>
  <c r="L16" i="13"/>
  <c r="L10" i="7" s="1"/>
  <c r="K12" i="7"/>
  <c r="K39" i="13"/>
  <c r="L18" i="13"/>
  <c r="J40" i="13"/>
  <c r="K19" i="13"/>
  <c r="J13" i="7"/>
  <c r="M9" i="11"/>
  <c r="M11" i="11" s="1"/>
  <c r="E8" i="11" s="1"/>
  <c r="E13" i="11" s="1"/>
  <c r="L12" i="7" l="1"/>
  <c r="L39" i="13"/>
  <c r="K13" i="7"/>
  <c r="K40" i="13"/>
  <c r="L19" i="13"/>
  <c r="L13" i="7" l="1"/>
  <c r="L40" i="13"/>
  <c r="F10" i="13" l="1"/>
  <c r="F4" i="7" l="1"/>
  <c r="F16" i="7" s="1"/>
  <c r="F18" i="7" l="1"/>
  <c r="F3" i="10"/>
  <c r="F17" i="7"/>
  <c r="F19" i="7" s="1"/>
  <c r="F7" i="5"/>
  <c r="F17" i="8"/>
  <c r="F34" i="8"/>
  <c r="F24" i="5" s="1"/>
  <c r="F19" i="8"/>
  <c r="F21" i="5" s="1"/>
  <c r="F21" i="8"/>
  <c r="F22" i="5" s="1"/>
  <c r="F38" i="8"/>
  <c r="F27" i="8"/>
  <c r="G16" i="7"/>
  <c r="F20" i="8" l="1"/>
  <c r="F20" i="5" s="1"/>
  <c r="F33" i="8"/>
  <c r="F23" i="5" s="1"/>
  <c r="F9" i="5"/>
  <c r="F11" i="9"/>
  <c r="F12" i="9" s="1"/>
  <c r="F13" i="10" s="1"/>
  <c r="F19" i="5"/>
  <c r="F4" i="10"/>
  <c r="F7" i="10" s="1"/>
  <c r="F31" i="7"/>
  <c r="F33" i="7" s="1"/>
  <c r="F34" i="7" s="1"/>
  <c r="F23" i="7"/>
  <c r="F39" i="8"/>
  <c r="F8" i="9"/>
  <c r="F12" i="10" s="1"/>
  <c r="F7" i="9"/>
  <c r="F11" i="10" s="1"/>
  <c r="G38" i="8"/>
  <c r="G34" i="8"/>
  <c r="G24" i="5" s="1"/>
  <c r="G27" i="8"/>
  <c r="G7" i="9" s="1"/>
  <c r="G11" i="10" s="1"/>
  <c r="G21" i="8"/>
  <c r="G22" i="5" s="1"/>
  <c r="G17" i="8"/>
  <c r="H16" i="7"/>
  <c r="G19" i="8"/>
  <c r="G21" i="5" s="1"/>
  <c r="G3" i="10"/>
  <c r="G7" i="5"/>
  <c r="G11" i="9" s="1"/>
  <c r="G12" i="9" s="1"/>
  <c r="G13" i="10" s="1"/>
  <c r="G18" i="7"/>
  <c r="G17" i="7"/>
  <c r="G19" i="7" s="1"/>
  <c r="F25" i="5" l="1"/>
  <c r="F26" i="5" s="1"/>
  <c r="F6" i="9" s="1"/>
  <c r="F10" i="10" s="1"/>
  <c r="F15" i="10" s="1"/>
  <c r="D4" i="12" s="1"/>
  <c r="F24" i="8"/>
  <c r="F28" i="8" s="1"/>
  <c r="G6" i="5"/>
  <c r="F3" i="9"/>
  <c r="F40" i="7"/>
  <c r="F41" i="7"/>
  <c r="F14" i="5"/>
  <c r="F17" i="5" s="1"/>
  <c r="G39" i="8"/>
  <c r="G8" i="9"/>
  <c r="G12" i="10" s="1"/>
  <c r="G19" i="5"/>
  <c r="G4" i="10"/>
  <c r="G7" i="10" s="1"/>
  <c r="G31" i="7"/>
  <c r="H38" i="8"/>
  <c r="H34" i="8"/>
  <c r="H24" i="5" s="1"/>
  <c r="H27" i="8"/>
  <c r="H21" i="8"/>
  <c r="H22" i="5" s="1"/>
  <c r="H17" i="8"/>
  <c r="H3" i="10"/>
  <c r="H7" i="5"/>
  <c r="H11" i="9" s="1"/>
  <c r="H12" i="9" s="1"/>
  <c r="H13" i="10" s="1"/>
  <c r="H18" i="7"/>
  <c r="I16" i="7"/>
  <c r="H19" i="8"/>
  <c r="H21" i="5" s="1"/>
  <c r="H17" i="7"/>
  <c r="H19" i="7" s="1"/>
  <c r="G20" i="8"/>
  <c r="G20" i="5" s="1"/>
  <c r="G33" i="8"/>
  <c r="G23" i="5" s="1"/>
  <c r="G25" i="5" l="1"/>
  <c r="G26" i="5" s="1"/>
  <c r="G6" i="9" s="1"/>
  <c r="G10" i="10" s="1"/>
  <c r="G8" i="5"/>
  <c r="G21" i="7" s="1"/>
  <c r="G9" i="5"/>
  <c r="G13" i="5"/>
  <c r="F41" i="8"/>
  <c r="G33" i="7"/>
  <c r="G34" i="7" s="1"/>
  <c r="H39" i="8"/>
  <c r="H8" i="9"/>
  <c r="H12" i="10" s="1"/>
  <c r="H7" i="9"/>
  <c r="H11" i="10" s="1"/>
  <c r="H19" i="5"/>
  <c r="H31" i="7"/>
  <c r="H4" i="10"/>
  <c r="H7" i="10" s="1"/>
  <c r="I38" i="8"/>
  <c r="I34" i="8"/>
  <c r="I24" i="5" s="1"/>
  <c r="I27" i="8"/>
  <c r="I7" i="9" s="1"/>
  <c r="I11" i="10" s="1"/>
  <c r="I21" i="8"/>
  <c r="I22" i="5" s="1"/>
  <c r="I19" i="8"/>
  <c r="I21" i="5" s="1"/>
  <c r="I18" i="7"/>
  <c r="J16" i="7"/>
  <c r="I17" i="8"/>
  <c r="I3" i="10"/>
  <c r="I7" i="5"/>
  <c r="I11" i="9" s="1"/>
  <c r="I12" i="9" s="1"/>
  <c r="I13" i="10" s="1"/>
  <c r="I17" i="7"/>
  <c r="H20" i="8"/>
  <c r="H20" i="5" s="1"/>
  <c r="H33" i="8"/>
  <c r="H23" i="5" s="1"/>
  <c r="F9" i="9"/>
  <c r="F19" i="9" s="1"/>
  <c r="F22" i="9" s="1"/>
  <c r="F23" i="9" s="1"/>
  <c r="H25" i="5" l="1"/>
  <c r="H26" i="5" s="1"/>
  <c r="H6" i="9" s="1"/>
  <c r="H10" i="10" s="1"/>
  <c r="I19" i="7"/>
  <c r="G4" i="9"/>
  <c r="G8" i="10" s="1"/>
  <c r="G15" i="10" s="1"/>
  <c r="E4" i="12" s="1"/>
  <c r="G23" i="7"/>
  <c r="G24" i="8"/>
  <c r="G28" i="8" s="1"/>
  <c r="H6" i="5"/>
  <c r="G3" i="9"/>
  <c r="G9" i="9" s="1"/>
  <c r="G19" i="9" s="1"/>
  <c r="G22" i="9" s="1"/>
  <c r="G14" i="5"/>
  <c r="G17" i="5" s="1"/>
  <c r="G41" i="7"/>
  <c r="G40" i="7"/>
  <c r="H33" i="7"/>
  <c r="H34" i="7" s="1"/>
  <c r="I8" i="9"/>
  <c r="I12" i="10" s="1"/>
  <c r="I39" i="8"/>
  <c r="J38" i="8"/>
  <c r="J34" i="8"/>
  <c r="J24" i="5" s="1"/>
  <c r="J27" i="8"/>
  <c r="J19" i="8"/>
  <c r="J21" i="5" s="1"/>
  <c r="J3" i="10"/>
  <c r="J18" i="7"/>
  <c r="K16" i="7"/>
  <c r="J21" i="8"/>
  <c r="J22" i="5" s="1"/>
  <c r="J17" i="8"/>
  <c r="J7" i="5"/>
  <c r="J11" i="9" s="1"/>
  <c r="J12" i="9" s="1"/>
  <c r="J13" i="10" s="1"/>
  <c r="J17" i="7"/>
  <c r="I19" i="5"/>
  <c r="I33" i="8"/>
  <c r="I23" i="5" s="1"/>
  <c r="I20" i="8"/>
  <c r="I20" i="5" s="1"/>
  <c r="F32" i="8"/>
  <c r="F18" i="8"/>
  <c r="J19" i="7" l="1"/>
  <c r="I4" i="10"/>
  <c r="I7" i="10" s="1"/>
  <c r="I31" i="7"/>
  <c r="I33" i="7" s="1"/>
  <c r="I34" i="7" s="1"/>
  <c r="H8" i="5"/>
  <c r="H13" i="5"/>
  <c r="G41" i="8"/>
  <c r="H3" i="9"/>
  <c r="H14" i="5"/>
  <c r="H41" i="7"/>
  <c r="H40" i="7"/>
  <c r="J8" i="9"/>
  <c r="J12" i="10" s="1"/>
  <c r="J39" i="8"/>
  <c r="J7" i="9"/>
  <c r="J11" i="10" s="1"/>
  <c r="K34" i="8"/>
  <c r="K24" i="5" s="1"/>
  <c r="K27" i="8"/>
  <c r="K7" i="9" s="1"/>
  <c r="K11" i="10" s="1"/>
  <c r="K19" i="8"/>
  <c r="K21" i="5" s="1"/>
  <c r="L16" i="7"/>
  <c r="K38" i="8"/>
  <c r="K21" i="8"/>
  <c r="K22" i="5" s="1"/>
  <c r="K17" i="8"/>
  <c r="K3" i="10"/>
  <c r="K7" i="5"/>
  <c r="K11" i="9" s="1"/>
  <c r="K12" i="9" s="1"/>
  <c r="K13" i="10" s="1"/>
  <c r="K18" i="7"/>
  <c r="K17" i="7"/>
  <c r="J19" i="5"/>
  <c r="J33" i="8"/>
  <c r="J23" i="5" s="1"/>
  <c r="J20" i="8"/>
  <c r="J20" i="5" s="1"/>
  <c r="F35" i="8"/>
  <c r="F42" i="8" s="1"/>
  <c r="F12" i="6"/>
  <c r="F22" i="8"/>
  <c r="F30" i="8" s="1"/>
  <c r="G21" i="9"/>
  <c r="G23" i="9" s="1"/>
  <c r="F31" i="6"/>
  <c r="F33" i="6" s="1"/>
  <c r="I25" i="5"/>
  <c r="K19" i="7" l="1"/>
  <c r="J31" i="7"/>
  <c r="J33" i="7" s="1"/>
  <c r="J34" i="7" s="1"/>
  <c r="J4" i="10"/>
  <c r="J7" i="10" s="1"/>
  <c r="I3" i="9"/>
  <c r="I14" i="5"/>
  <c r="I41" i="7"/>
  <c r="I40" i="7"/>
  <c r="L34" i="8"/>
  <c r="L24" i="5" s="1"/>
  <c r="L19" i="8"/>
  <c r="L21" i="5" s="1"/>
  <c r="L3" i="10"/>
  <c r="L18" i="7"/>
  <c r="L38" i="8"/>
  <c r="L27" i="8"/>
  <c r="L7" i="9" s="1"/>
  <c r="L11" i="10" s="1"/>
  <c r="L21" i="8"/>
  <c r="L22" i="5" s="1"/>
  <c r="L17" i="8"/>
  <c r="L7" i="5"/>
  <c r="L11" i="9" s="1"/>
  <c r="L12" i="9" s="1"/>
  <c r="L13" i="10" s="1"/>
  <c r="L17" i="7"/>
  <c r="K8" i="9"/>
  <c r="K12" i="10" s="1"/>
  <c r="K39" i="8"/>
  <c r="K19" i="5"/>
  <c r="K33" i="8"/>
  <c r="K23" i="5" s="1"/>
  <c r="K20" i="8"/>
  <c r="K20" i="5" s="1"/>
  <c r="F25" i="6"/>
  <c r="F27" i="6" s="1"/>
  <c r="F14" i="6"/>
  <c r="G32" i="8"/>
  <c r="G18" i="8"/>
  <c r="I26" i="5"/>
  <c r="I6" i="9" s="1"/>
  <c r="I10" i="10" s="1"/>
  <c r="J25" i="5"/>
  <c r="J26" i="5" s="1"/>
  <c r="J6" i="9" s="1"/>
  <c r="J10" i="10" s="1"/>
  <c r="F44" i="8"/>
  <c r="H17" i="5"/>
  <c r="H21" i="7"/>
  <c r="H9" i="5"/>
  <c r="K4" i="10" l="1"/>
  <c r="K7" i="10" s="1"/>
  <c r="K31" i="7"/>
  <c r="K33" i="7" s="1"/>
  <c r="K34" i="7" s="1"/>
  <c r="K3" i="9" s="1"/>
  <c r="L19" i="7"/>
  <c r="J3" i="9"/>
  <c r="J14" i="5"/>
  <c r="J41" i="7"/>
  <c r="J40" i="7"/>
  <c r="L8" i="9"/>
  <c r="L12" i="10" s="1"/>
  <c r="L39" i="8"/>
  <c r="L19" i="5"/>
  <c r="L33" i="8"/>
  <c r="L23" i="5" s="1"/>
  <c r="L20" i="8"/>
  <c r="L20" i="5" s="1"/>
  <c r="G12" i="6"/>
  <c r="G35" i="8"/>
  <c r="G42" i="8" s="1"/>
  <c r="G22" i="8"/>
  <c r="G30" i="8" s="1"/>
  <c r="G31" i="6"/>
  <c r="G33" i="6" s="1"/>
  <c r="H21" i="9"/>
  <c r="H41" i="8"/>
  <c r="I13" i="5"/>
  <c r="I17" i="5" s="1"/>
  <c r="H23" i="7"/>
  <c r="H4" i="9"/>
  <c r="I6" i="5"/>
  <c r="H24" i="8"/>
  <c r="H28" i="8" s="1"/>
  <c r="K25" i="5"/>
  <c r="K40" i="7" l="1"/>
  <c r="K41" i="7"/>
  <c r="K14" i="5"/>
  <c r="L4" i="10"/>
  <c r="L7" i="10" s="1"/>
  <c r="L31" i="7"/>
  <c r="L33" i="7" s="1"/>
  <c r="L34" i="7" s="1"/>
  <c r="G25" i="6"/>
  <c r="G27" i="6" s="1"/>
  <c r="G14" i="6"/>
  <c r="J13" i="5"/>
  <c r="J17" i="5" s="1"/>
  <c r="I41" i="8"/>
  <c r="H9" i="9"/>
  <c r="H19" i="9" s="1"/>
  <c r="H22" i="9" s="1"/>
  <c r="H23" i="9" s="1"/>
  <c r="H8" i="10"/>
  <c r="H15" i="10" s="1"/>
  <c r="F4" i="12" s="1"/>
  <c r="I8" i="5"/>
  <c r="K26" i="5"/>
  <c r="K6" i="9" s="1"/>
  <c r="K10" i="10" s="1"/>
  <c r="L25" i="5"/>
  <c r="L26" i="5" s="1"/>
  <c r="L6" i="9" s="1"/>
  <c r="L10" i="10" s="1"/>
  <c r="G44" i="8"/>
  <c r="L40" i="7" l="1"/>
  <c r="L41" i="7"/>
  <c r="L14" i="5"/>
  <c r="L3" i="9"/>
  <c r="I21" i="7"/>
  <c r="I9" i="5"/>
  <c r="K13" i="5"/>
  <c r="K17" i="5" s="1"/>
  <c r="J41" i="8"/>
  <c r="H32" i="8"/>
  <c r="H18" i="8"/>
  <c r="I4" i="9" l="1"/>
  <c r="I23" i="7"/>
  <c r="I24" i="8"/>
  <c r="I28" i="8" s="1"/>
  <c r="J6" i="5"/>
  <c r="J8" i="5" s="1"/>
  <c r="L13" i="5"/>
  <c r="L17" i="5" s="1"/>
  <c r="L41" i="8" s="1"/>
  <c r="K41" i="8"/>
  <c r="H12" i="6"/>
  <c r="H35" i="8"/>
  <c r="H42" i="8" s="1"/>
  <c r="H22" i="8"/>
  <c r="H30" i="8" s="1"/>
  <c r="I21" i="9"/>
  <c r="H31" i="6"/>
  <c r="H33" i="6" s="1"/>
  <c r="I9" i="9"/>
  <c r="I19" i="9" s="1"/>
  <c r="I22" i="9" s="1"/>
  <c r="I8" i="10"/>
  <c r="I15" i="10" s="1"/>
  <c r="G4" i="12" s="1"/>
  <c r="H25" i="6" l="1"/>
  <c r="H27" i="6" s="1"/>
  <c r="H14" i="6"/>
  <c r="H44" i="8"/>
  <c r="I23" i="9"/>
  <c r="J21" i="7"/>
  <c r="J9" i="5"/>
  <c r="I32" i="8" l="1"/>
  <c r="I18" i="8"/>
  <c r="J23" i="7"/>
  <c r="J4" i="9"/>
  <c r="K6" i="5"/>
  <c r="J24" i="8"/>
  <c r="J28" i="8" s="1"/>
  <c r="I35" i="8" l="1"/>
  <c r="I42" i="8" s="1"/>
  <c r="I12" i="6"/>
  <c r="I22" i="8"/>
  <c r="I30" i="8" s="1"/>
  <c r="J21" i="9"/>
  <c r="I31" i="6"/>
  <c r="I33" i="6" s="1"/>
  <c r="J9" i="9"/>
  <c r="J19" i="9" s="1"/>
  <c r="J22" i="9" s="1"/>
  <c r="J8" i="10"/>
  <c r="J15" i="10" s="1"/>
  <c r="H4" i="12" s="1"/>
  <c r="K8" i="5"/>
  <c r="I25" i="6" l="1"/>
  <c r="I27" i="6" s="1"/>
  <c r="I14" i="6"/>
  <c r="J23" i="9"/>
  <c r="I44" i="8"/>
  <c r="K21" i="7"/>
  <c r="K9" i="5"/>
  <c r="J32" i="8" l="1"/>
  <c r="J18" i="8"/>
  <c r="K23" i="7"/>
  <c r="K4" i="9"/>
  <c r="L6" i="5"/>
  <c r="K24" i="8"/>
  <c r="K28" i="8" s="1"/>
  <c r="J35" i="8" l="1"/>
  <c r="J42" i="8" s="1"/>
  <c r="J12" i="6"/>
  <c r="J22" i="8"/>
  <c r="J30" i="8" s="1"/>
  <c r="K21" i="9"/>
  <c r="J31" i="6"/>
  <c r="J33" i="6" s="1"/>
  <c r="K9" i="9"/>
  <c r="K19" i="9" s="1"/>
  <c r="K22" i="9" s="1"/>
  <c r="K8" i="10"/>
  <c r="K15" i="10" s="1"/>
  <c r="I4" i="12" s="1"/>
  <c r="L8" i="5"/>
  <c r="J44" i="8" l="1"/>
  <c r="K23" i="9"/>
  <c r="J25" i="6"/>
  <c r="J27" i="6" s="1"/>
  <c r="J14" i="6"/>
  <c r="L21" i="7"/>
  <c r="L9" i="5"/>
  <c r="L24" i="8" s="1"/>
  <c r="L28" i="8" s="1"/>
  <c r="K32" i="8" l="1"/>
  <c r="K18" i="8"/>
  <c r="L21" i="9" s="1"/>
  <c r="L23" i="7"/>
  <c r="G8" i="12" s="1"/>
  <c r="L4" i="9"/>
  <c r="K22" i="8" l="1"/>
  <c r="K30" i="8" s="1"/>
  <c r="K31" i="6"/>
  <c r="K33" i="6" s="1"/>
  <c r="K12" i="6"/>
  <c r="K35" i="8"/>
  <c r="K42" i="8" s="1"/>
  <c r="L9" i="9"/>
  <c r="L19" i="9" s="1"/>
  <c r="L22" i="9" s="1"/>
  <c r="L23" i="9" s="1"/>
  <c r="L8" i="10"/>
  <c r="L15" i="10" s="1"/>
  <c r="J4" i="12" s="1"/>
  <c r="K44" i="8" l="1"/>
  <c r="K25" i="6"/>
  <c r="K27" i="6" s="1"/>
  <c r="K14" i="6"/>
  <c r="L32" i="8"/>
  <c r="L18" i="8"/>
  <c r="C7" i="12"/>
  <c r="J5" i="12"/>
  <c r="C8" i="12" s="1"/>
  <c r="L35" i="8" l="1"/>
  <c r="L42" i="8" s="1"/>
  <c r="L12" i="6"/>
  <c r="L22" i="8"/>
  <c r="L30" i="8" s="1"/>
  <c r="L31" i="6"/>
  <c r="L33" i="6" s="1"/>
  <c r="G7" i="12"/>
  <c r="G9" i="12" s="1"/>
  <c r="G15" i="12" s="1"/>
  <c r="G18" i="12" s="1"/>
  <c r="C9" i="12"/>
  <c r="C15" i="12" s="1"/>
  <c r="C18" i="12" s="1"/>
  <c r="L44" i="8" l="1"/>
  <c r="L25" i="6"/>
  <c r="L27" i="6" s="1"/>
  <c r="L14" i="6"/>
  <c r="I27" i="12"/>
  <c r="I5" i="3"/>
  <c r="C27" i="12"/>
  <c r="J5" i="3"/>
  <c r="J6" i="3" s="1"/>
  <c r="K5" i="3" l="1"/>
  <c r="K6" i="3" s="1"/>
  <c r="I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<sst xmlns="http://schemas.openxmlformats.org/spreadsheetml/2006/main" count="420" uniqueCount="239">
  <si>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</si>
  <si>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</si>
  <si>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</si>
  <si>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</si>
  <si>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</si>
  <si>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</si>
  <si>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</si>
  <si>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</si>
  <si>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</si>
  <si>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</si>
  <si>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</si>
  <si>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</si>
  <si>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</si>
  <si>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</si>
  <si>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</si>
  <si>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</si>
  <si>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</si>
  <si>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</si>
  <si>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</si>
  <si>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</si>
  <si>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</si>
  <si>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</si>
  <si>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</si>
  <si>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</si>
  <si>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</si>
  <si>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</si>
  <si>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</si>
  <si>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</si>
  <si>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</si>
  <si>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</si>
  <si>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</si>
  <si>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</si>
  <si>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</si>
  <si>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</si>
  <si>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</si>
  <si>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</si>
  <si>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</si>
  <si>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</si>
  <si>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</si>
  <si>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</si>
  <si>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</si>
  <si>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</si>
  <si>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</si>
  <si>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</si>
  <si>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</si>
  <si>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</si>
  <si>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</si>
  <si>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</si>
  <si>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</si>
  <si>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</si>
  <si>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</si>
  <si>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</si>
  <si>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</si>
  <si>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</si>
  <si>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</si>
  <si>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</si>
  <si>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</si>
  <si>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</si>
  <si>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</si>
  <si>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</si>
  <si>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</si>
  <si>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</si>
  <si>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</si>
  <si>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</si>
  <si>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</si>
  <si>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</si>
  <si>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</si>
  <si>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</si>
  <si>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</si>
  <si>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</si>
  <si>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</si>
  <si>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</si>
  <si>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</si>
  <si>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</si>
  <si>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</si>
  <si>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</si>
  <si>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</si>
  <si>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</si>
  <si>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</si>
  <si>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</si>
  <si>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</si>
  <si>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</si>
  <si>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</si>
  <si>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</si>
  <si>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</si>
  <si>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</si>
  <si>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</si>
  <si>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</si>
  <si>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</si>
  <si>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</si>
  <si>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</si>
  <si>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</si>
  <si>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</si>
  <si>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</si>
  <si>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</si>
  <si>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</si>
  <si>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</si>
  <si>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</si>
  <si>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</si>
  <si>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</si>
  <si>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</si>
  <si>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</si>
  <si>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</si>
  <si>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</si>
  <si>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</si>
  <si>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</si>
  <si>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</si>
  <si>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</si>
  <si>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</si>
  <si>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</si>
  <si>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</si>
  <si>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</si>
  <si>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</si>
  <si>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</si>
  <si>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</si>
  <si>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</si>
  <si>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</si>
  <si>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</si>
  <si>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</si>
  <si>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</si>
  <si>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</si>
  <si>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</si>
  <si>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</si>
  <si>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</si>
  <si>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</si>
  <si>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</si>
  <si>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</si>
  <si>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</si>
  <si>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</si>
  <si>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</si>
  <si>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</si>
  <si>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</si>
  <si>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</si>
  <si>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</si>
  <si>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</si>
  <si>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</si>
  <si>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</si>
  <si>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</si>
  <si>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</si>
  <si>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</si>
  <si>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</si>
  <si>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</si>
  <si>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</si>
  <si>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</si>
  <si>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</si>
  <si>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</si>
  <si>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</si>
  <si>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</si>
  <si>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</si>
  <si>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</si>
  <si>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</si>
  <si>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</si>
  <si>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</si>
  <si>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</si>
  <si>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</si>
  <si>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</si>
  <si>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</si>
  <si>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</si>
  <si>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</si>
  <si>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</si>
  <si>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</si>
  <si>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</si>
  <si>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</si>
  <si>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</si>
  <si>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</si>
  <si>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</si>
  <si>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</si>
  <si>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</si>
  <si>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</si>
  <si>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</si>
  <si>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>Current Stock Price</t>
  </si>
  <si>
    <t>Excess Cash</t>
  </si>
  <si>
    <t>TV multiple variance</t>
  </si>
  <si>
    <t>Multiples Calculation</t>
  </si>
  <si>
    <t>Multiple TV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</si>
  <si>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</si>
  <si>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</si>
  <si>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</si>
  <si>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</si>
  <si>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</si>
  <si>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</si>
  <si>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</si>
  <si>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</si>
  <si>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</si>
  <si>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Discount Factor</t>
  </si>
  <si>
    <t>PV FCF</t>
  </si>
  <si>
    <t>Starbucks Corp.</t>
  </si>
  <si>
    <t>S/O</t>
  </si>
  <si>
    <t>Income  Statement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</si>
  <si>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</si>
  <si>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</si>
  <si>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</si>
  <si>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</si>
  <si>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</si>
  <si>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</si>
  <si>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</si>
  <si>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</si>
  <si>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</si>
  <si>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</si>
  <si>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</si>
  <si>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</si>
  <si>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</si>
  <si>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</si>
  <si>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</si>
  <si>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</si>
  <si>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Q426E</t>
  </si>
  <si>
    <t>Q126E</t>
  </si>
  <si>
    <t>Q226E</t>
  </si>
  <si>
    <t>Q326E</t>
  </si>
  <si>
    <t>Q127E</t>
  </si>
  <si>
    <t>Q227E</t>
  </si>
  <si>
    <t>Q327E</t>
  </si>
  <si>
    <t>Q427E</t>
  </si>
  <si>
    <t>Recovery Case</t>
  </si>
  <si>
    <t>Company-operated stores</t>
  </si>
  <si>
    <t>Licensed stores</t>
  </si>
  <si>
    <t>Other</t>
  </si>
  <si>
    <t>Revenues</t>
  </si>
  <si>
    <t>Product distribution costs</t>
  </si>
  <si>
    <t>Store operating expenses</t>
  </si>
  <si>
    <t>Other operating expenses</t>
  </si>
  <si>
    <t>SG&amp;A expenses</t>
  </si>
  <si>
    <t>Operating Income</t>
  </si>
  <si>
    <t>y/y</t>
  </si>
  <si>
    <t>Margin %</t>
  </si>
  <si>
    <t>n/a</t>
  </si>
  <si>
    <t>(inc) / dec in LT assets</t>
  </si>
  <si>
    <t>inc / (dec) in LT liabilities</t>
  </si>
  <si>
    <t>CFFO</t>
  </si>
  <si>
    <t>CFFI</t>
  </si>
  <si>
    <t>Dividends Paid</t>
  </si>
  <si>
    <t>Debt Issuance / (repayment)</t>
  </si>
  <si>
    <t>CFFF</t>
  </si>
  <si>
    <t>Net changes in Cash</t>
  </si>
  <si>
    <t>Beginning cash</t>
  </si>
  <si>
    <t>Ending Cash</t>
  </si>
  <si>
    <t>LTGR</t>
  </si>
  <si>
    <t>Exit Mult.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</si>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</sst>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89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 applyAlignment="1">
      <alignment horizontal="right"/>
    </xf>
    <xf numFmtId="178" fontId="33" fillId="42" borderId="0" xfId="0" applyNumberFormat="1" applyFont="1" applyFill="1" applyAlignment="1"/>
    <xf numFmtId="37" fontId="39" fillId="0" borderId="0" xfId="0" applyNumberFormat="1" applyFont="1"/>
    <xf numFmtId="37" fontId="45" fillId="0" borderId="0" xfId="0" applyNumberFormat="1" applyFont="1"/>
    <xf numFmtId="178" fontId="33" fillId="0" borderId="0" xfId="0" applyNumberFormat="1" applyFont="1" applyFill="1" applyAlignment="1">
      <alignment horizontal="right"/>
    </xf>
    <xf numFmtId="37" fontId="39" fillId="0" borderId="18" xfId="0" applyNumberFormat="1" applyFont="1" applyBorder="1"/>
    <xf numFmtId="37" fontId="45" fillId="0" borderId="18" xfId="0" applyNumberFormat="1" applyFont="1" applyBorder="1"/>
    <xf numFmtId="9" fontId="39" fillId="0" borderId="18" xfId="0" applyNumberFormat="1" applyFont="1" applyBorder="1"/>
    <xf numFmtId="9" fontId="40" fillId="0" borderId="0" xfId="0" applyNumberFormat="1" applyFont="1"/>
    <xf numFmtId="9" fontId="40" fillId="0" borderId="0" xfId="0" applyNumberFormat="1" applyFont="1" applyAlignment="1">
      <alignment horizontal="right"/>
    </xf>
    <xf numFmtId="9" fontId="40" fillId="0" borderId="18" xfId="0" applyNumberFormat="1" applyFont="1" applyBorder="1" applyAlignment="1">
      <alignment horizontal="right"/>
    </xf>
    <xf numFmtId="9" fontId="40" fillId="0" borderId="18" xfId="0" applyNumberFormat="1" applyFont="1" applyBorder="1"/>
    <xf numFmtId="9" fontId="67" fillId="43" borderId="0" xfId="0" applyNumberFormat="1" applyFont="1" applyFill="1"/>
    <xf numFmtId="9" fontId="67" fillId="43" borderId="18" xfId="0" applyNumberFormat="1" applyFont="1" applyFill="1" applyBorder="1"/>
    <xf numFmtId="37" fontId="39" fillId="0" borderId="23" xfId="0" applyNumberFormat="1" applyFont="1" applyBorder="1"/>
    <xf numFmtId="37" fontId="39" fillId="0" borderId="0" xfId="0" applyNumberFormat="1" applyFont="1" applyBorder="1"/>
    <xf numFmtId="9" fontId="67" fillId="43" borderId="0" xfId="0" applyNumberFormat="1" applyFont="1" applyFill="1" applyBorder="1"/>
    <xf numFmtId="9" fontId="40" fillId="0" borderId="23" xfId="0" applyNumberFormat="1" applyFont="1" applyBorder="1"/>
    <xf numFmtId="9" fontId="40" fillId="0" borderId="0" xfId="0" applyNumberFormat="1" applyFont="1" applyBorder="1"/>
    <xf numFmtId="9" fontId="67" fillId="43" borderId="23" xfId="0" applyNumberFormat="1" applyFont="1" applyFill="1" applyBorder="1"/>
    <xf numFmtId="37" fontId="39" fillId="0" borderId="15" xfId="0" applyNumberFormat="1" applyFont="1" applyBorder="1"/>
    <xf numFmtId="9" fontId="40" fillId="0" borderId="25" xfId="0" applyNumberFormat="1" applyFont="1" applyBorder="1"/>
    <xf numFmtId="37" fontId="38" fillId="0" borderId="18" xfId="57" applyNumberFormat="1" applyFont="1" applyBorder="1"/>
    <xf numFmtId="166" fontId="37" fillId="0" borderId="0" xfId="0" applyNumberFormat="1" applyFont="1" applyBorder="1"/>
    <xf numFmtId="10" fontId="45" fillId="0" borderId="0" xfId="0" applyNumberFormat="1" applyFont="1"/>
    <xf numFmtId="10" fontId="39" fillId="0" borderId="18" xfId="4" applyNumberFormat="1" applyFont="1" applyFill="1" applyBorder="1"/>
    <xf numFmtId="166" fontId="39" fillId="0" borderId="0" xfId="57" applyFont="1" applyFill="1"/>
    <xf numFmtId="182" fontId="39" fillId="0" borderId="0" xfId="0" applyNumberFormat="1" applyFont="1" applyAlignment="1">
      <alignment horizontal="center"/>
    </xf>
    <xf numFmtId="182" fontId="45" fillId="0" borderId="0" xfId="0" applyNumberFormat="1" applyFont="1" applyAlignment="1">
      <alignment horizontal="center"/>
    </xf>
    <xf numFmtId="166" fontId="60" fillId="0" borderId="15" xfId="59" applyFont="1" applyFill="1" applyBorder="1" applyProtection="1"/>
    <xf numFmtId="180" fontId="45" fillId="0" borderId="0" xfId="59" applyNumberFormat="1" applyFont="1" applyAlignment="1" applyProtection="1">
      <alignment horizontal="center"/>
    </xf>
    <xf numFmtId="167" fontId="39" fillId="0" borderId="0" xfId="59" applyNumberFormat="1" applyFont="1" applyAlignment="1" applyProtection="1">
      <alignment horizontal="center"/>
    </xf>
    <xf numFmtId="182" fontId="45" fillId="0" borderId="0" xfId="59" applyNumberFormat="1" applyFont="1" applyAlignment="1" applyProtection="1">
      <alignment horizontal="center"/>
    </xf>
    <xf numFmtId="180" fontId="45" fillId="0" borderId="0" xfId="0" applyNumberFormat="1" applyFont="1" applyAlignment="1">
      <alignment horizontal="center"/>
    </xf>
    <xf numFmtId="182" fontId="45" fillId="0" borderId="0" xfId="4" applyNumberFormat="1" applyFont="1" applyFill="1" applyBorder="1" applyAlignment="1" applyProtection="1">
      <alignment horizontal="center"/>
    </xf>
    <xf numFmtId="10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J8" sqref="I8:J8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33" t="str">
        <f>CoName</f>
        <v>Starbucks Corp.</v>
      </c>
      <c r="B1" s="2"/>
      <c r="C1" s="2"/>
      <c r="D1" s="152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3" t="s">
        <v>183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5">
      <c r="B4" s="4" t="s">
        <v>3</v>
      </c>
      <c r="C4" s="50" t="s">
        <v>186</v>
      </c>
      <c r="E4" s="4" t="s">
        <v>170</v>
      </c>
      <c r="F4" s="202">
        <v>85.25</v>
      </c>
      <c r="H4" s="168" t="s">
        <v>213</v>
      </c>
      <c r="I4" s="167" t="s">
        <v>182</v>
      </c>
      <c r="J4" s="167" t="s">
        <v>181</v>
      </c>
      <c r="K4" s="167" t="s">
        <v>238</v>
      </c>
    </row>
    <row r="5" spans="1:15" x14ac:dyDescent="0.25">
      <c r="B5" s="4" t="s">
        <v>4</v>
      </c>
      <c r="C5" s="51">
        <v>247.43</v>
      </c>
      <c r="E5" s="4" t="s">
        <v>187</v>
      </c>
      <c r="F5" s="158">
        <v>1136.7</v>
      </c>
      <c r="H5" s="167" t="s">
        <v>176</v>
      </c>
      <c r="I5" s="209">
        <f>'DCF Model'!G18</f>
        <v>102.27985489576821</v>
      </c>
      <c r="J5" s="208">
        <f>'DCF Model'!C18</f>
        <v>74.733358451409956</v>
      </c>
      <c r="K5" s="208">
        <f>AVERAGE(I5:J5)</f>
        <v>88.50660667358909</v>
      </c>
    </row>
    <row r="6" spans="1:15" x14ac:dyDescent="0.25">
      <c r="B6" s="4" t="s">
        <v>5</v>
      </c>
      <c r="C6" s="50" t="s">
        <v>9</v>
      </c>
      <c r="E6" s="4" t="s">
        <v>104</v>
      </c>
      <c r="F6" s="158">
        <f>F5*F4</f>
        <v>96903.675000000003</v>
      </c>
      <c r="H6" s="167" t="s">
        <v>177</v>
      </c>
      <c r="I6" s="288">
        <f>I5/$F$4-1</f>
        <v>0.19976369379200243</v>
      </c>
      <c r="J6" s="203">
        <f>J5/$F$4-1</f>
        <v>-0.12336236420633484</v>
      </c>
      <c r="K6" s="288">
        <f>K5/$F$4-1</f>
        <v>3.8200664792833905E-2</v>
      </c>
    </row>
    <row r="7" spans="1:15" x14ac:dyDescent="0.25">
      <c r="B7" s="4" t="s">
        <v>6</v>
      </c>
      <c r="C7" s="50" t="s">
        <v>8</v>
      </c>
      <c r="E7" s="4" t="s">
        <v>175</v>
      </c>
      <c r="F7" s="50">
        <f>4172.6+333.3</f>
        <v>4505.9000000000005</v>
      </c>
    </row>
    <row r="8" spans="1:15" x14ac:dyDescent="0.25">
      <c r="B8" s="4" t="s">
        <v>2</v>
      </c>
      <c r="C8" s="50" t="s">
        <v>87</v>
      </c>
      <c r="E8" s="4" t="s">
        <v>146</v>
      </c>
      <c r="F8" s="50">
        <f>14570.9+9070.6</f>
        <v>23641.5</v>
      </c>
    </row>
    <row r="9" spans="1:15" x14ac:dyDescent="0.25">
      <c r="B9" s="4" t="s">
        <v>7</v>
      </c>
      <c r="C9" s="50">
        <v>0</v>
      </c>
      <c r="E9" s="4" t="s">
        <v>118</v>
      </c>
      <c r="F9" s="50">
        <f>F6-F7+F8</f>
        <v>116039.27500000001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K27"/>
  <sheetViews>
    <sheetView showGridLines="0" zoomScaleNormal="10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E13" sqref="AE13:AF13"/>
    </sheetView>
  </sheetViews>
  <sheetFormatPr defaultColWidth="11.7109375" defaultRowHeight="15" x14ac:dyDescent="0.25"/>
  <cols>
    <col min="1" max="1" width="2" style="4" bestFit="1" customWidth="1"/>
    <col min="2" max="2" width="24.42578125" style="4" bestFit="1" customWidth="1"/>
    <col min="3" max="16384" width="11.7109375" style="4"/>
  </cols>
  <sheetData>
    <row r="1" spans="1:37" ht="19.5" x14ac:dyDescent="0.3">
      <c r="A1" s="233" t="str">
        <f>CoName</f>
        <v>Starbucks Corp.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37" s="257" customFormat="1" x14ac:dyDescent="0.25">
      <c r="A2" s="254" t="s">
        <v>188</v>
      </c>
      <c r="B2" s="253"/>
      <c r="C2" s="253" t="s">
        <v>189</v>
      </c>
      <c r="D2" s="253" t="s">
        <v>190</v>
      </c>
      <c r="E2" s="253" t="s">
        <v>191</v>
      </c>
      <c r="F2" s="253" t="s">
        <v>192</v>
      </c>
      <c r="G2" s="253">
        <v>2022</v>
      </c>
      <c r="H2" s="253" t="s">
        <v>193</v>
      </c>
      <c r="I2" s="253" t="s">
        <v>194</v>
      </c>
      <c r="J2" s="253" t="s">
        <v>195</v>
      </c>
      <c r="K2" s="253" t="s">
        <v>196</v>
      </c>
      <c r="L2" s="253">
        <v>2023</v>
      </c>
      <c r="M2" s="253" t="s">
        <v>197</v>
      </c>
      <c r="N2" s="253" t="s">
        <v>198</v>
      </c>
      <c r="O2" s="253" t="s">
        <v>199</v>
      </c>
      <c r="P2" s="253" t="s">
        <v>200</v>
      </c>
      <c r="Q2" s="253">
        <v>2024</v>
      </c>
      <c r="R2" s="253" t="s">
        <v>201</v>
      </c>
      <c r="S2" s="253" t="s">
        <v>202</v>
      </c>
      <c r="T2" s="253" t="s">
        <v>203</v>
      </c>
      <c r="U2" s="253" t="s">
        <v>204</v>
      </c>
      <c r="V2" s="253">
        <v>2025</v>
      </c>
      <c r="W2" s="253" t="s">
        <v>206</v>
      </c>
      <c r="X2" s="253" t="s">
        <v>207</v>
      </c>
      <c r="Y2" s="253" t="s">
        <v>208</v>
      </c>
      <c r="Z2" s="253" t="s">
        <v>205</v>
      </c>
      <c r="AA2" s="253">
        <v>2026</v>
      </c>
      <c r="AB2" s="253" t="s">
        <v>209</v>
      </c>
      <c r="AC2" s="253" t="s">
        <v>210</v>
      </c>
      <c r="AD2" s="253" t="s">
        <v>211</v>
      </c>
      <c r="AE2" s="253" t="s">
        <v>212</v>
      </c>
      <c r="AF2" s="253">
        <f>AA2+1</f>
        <v>2027</v>
      </c>
      <c r="AG2" s="253">
        <f t="shared" ref="AG2:AK2" si="0">AF2+1</f>
        <v>2028</v>
      </c>
      <c r="AH2" s="253">
        <f t="shared" si="0"/>
        <v>2029</v>
      </c>
      <c r="AI2" s="253">
        <f t="shared" si="0"/>
        <v>2030</v>
      </c>
      <c r="AJ2" s="253">
        <f t="shared" si="0"/>
        <v>2031</v>
      </c>
      <c r="AK2" s="253">
        <f t="shared" si="0"/>
        <v>2032</v>
      </c>
    </row>
    <row r="3" spans="1:37" s="255" customFormat="1" x14ac:dyDescent="0.25">
      <c r="B3" s="255" t="s">
        <v>214</v>
      </c>
      <c r="C3" s="255">
        <v>6722.4</v>
      </c>
      <c r="D3" s="255">
        <v>6276.7</v>
      </c>
      <c r="E3" s="255">
        <v>6675.5</v>
      </c>
      <c r="F3" s="258">
        <v>6901.4</v>
      </c>
      <c r="G3" s="258">
        <f>SUM(C3:F3)</f>
        <v>26576</v>
      </c>
      <c r="H3" s="255">
        <v>7083.5</v>
      </c>
      <c r="I3" s="255">
        <v>7142.3</v>
      </c>
      <c r="J3" s="255">
        <v>7556.7</v>
      </c>
      <c r="K3" s="258">
        <v>7679.9</v>
      </c>
      <c r="L3" s="258">
        <f>SUM(H3:K3)</f>
        <v>29462.400000000001</v>
      </c>
      <c r="M3" s="255">
        <v>7755.2</v>
      </c>
      <c r="N3" s="255">
        <v>7052.6</v>
      </c>
      <c r="O3" s="255">
        <v>7516</v>
      </c>
      <c r="P3" s="258">
        <v>7442.1</v>
      </c>
      <c r="Q3" s="258">
        <f>SUM(M3:P3)</f>
        <v>29765.9</v>
      </c>
      <c r="R3" s="255">
        <v>7785.3</v>
      </c>
      <c r="S3" s="255">
        <v>7285</v>
      </c>
      <c r="T3" s="255">
        <v>7812.5</v>
      </c>
      <c r="U3" s="258">
        <v>7862</v>
      </c>
      <c r="V3" s="258">
        <f>SUM(R3:U3)</f>
        <v>30744.799999999999</v>
      </c>
      <c r="W3" s="255">
        <f>R3*(1+W4)</f>
        <v>8018.8590000000004</v>
      </c>
      <c r="X3" s="255">
        <f t="shared" ref="X3:Z3" si="1">S3*(1+X4)</f>
        <v>7503.55</v>
      </c>
      <c r="Y3" s="255">
        <f t="shared" si="1"/>
        <v>8046.875</v>
      </c>
      <c r="Z3" s="258">
        <f t="shared" si="1"/>
        <v>8097.8600000000006</v>
      </c>
      <c r="AA3" s="258">
        <f>SUM(W3:Z3)</f>
        <v>31667.144</v>
      </c>
      <c r="AB3" s="255">
        <f>W3*(1+AB4)</f>
        <v>8339.6133600000012</v>
      </c>
      <c r="AC3" s="255">
        <f t="shared" ref="AC3" si="2">X3*(1+AC4)</f>
        <v>7953.7630000000008</v>
      </c>
      <c r="AD3" s="255">
        <f t="shared" ref="AD3" si="3">Y3*(1+AD4)</f>
        <v>8610.15625</v>
      </c>
      <c r="AE3" s="258">
        <f t="shared" ref="AE3" si="4">Z3*(1+AE4)</f>
        <v>8826.6674000000021</v>
      </c>
      <c r="AF3" s="258">
        <f>SUM(AB3:AE3)</f>
        <v>33730.20001</v>
      </c>
      <c r="AG3" s="267">
        <f>AF3*(1+AG4)</f>
        <v>36428.616010800004</v>
      </c>
      <c r="AH3" s="268">
        <f t="shared" ref="AH3:AK3" si="5">AG3*(1+AH4)</f>
        <v>39707.191451772007</v>
      </c>
      <c r="AI3" s="268">
        <f t="shared" si="5"/>
        <v>43677.910596949208</v>
      </c>
      <c r="AJ3" s="268">
        <f t="shared" si="5"/>
        <v>48482.480762613617</v>
      </c>
      <c r="AK3" s="258">
        <f t="shared" si="5"/>
        <v>54300.378454127247</v>
      </c>
    </row>
    <row r="4" spans="1:37" s="261" customFormat="1" x14ac:dyDescent="0.25">
      <c r="B4" s="261" t="s">
        <v>223</v>
      </c>
      <c r="C4" s="262" t="s">
        <v>225</v>
      </c>
      <c r="D4" s="262" t="s">
        <v>225</v>
      </c>
      <c r="E4" s="262" t="s">
        <v>225</v>
      </c>
      <c r="F4" s="263" t="s">
        <v>225</v>
      </c>
      <c r="G4" s="263" t="s">
        <v>225</v>
      </c>
      <c r="H4" s="261">
        <f>H3/C3-1</f>
        <v>5.3715934785195874E-2</v>
      </c>
      <c r="I4" s="261">
        <f t="shared" ref="I4:K4" si="6">I3/D3-1</f>
        <v>0.13790686188602308</v>
      </c>
      <c r="J4" s="261">
        <f t="shared" si="6"/>
        <v>0.13200509325144183</v>
      </c>
      <c r="K4" s="264">
        <f t="shared" si="6"/>
        <v>0.11280319935085625</v>
      </c>
      <c r="L4" s="263">
        <f>L3/G3-1</f>
        <v>0.10860927152317879</v>
      </c>
      <c r="M4" s="261">
        <f>M3/H3-1</f>
        <v>9.4826004094021199E-2</v>
      </c>
      <c r="N4" s="261">
        <f t="shared" ref="N4" si="7">N3/I3-1</f>
        <v>-1.2558979600408859E-2</v>
      </c>
      <c r="O4" s="261">
        <f t="shared" ref="O4" si="8">O3/J3-1</f>
        <v>-5.3859488930353416E-3</v>
      </c>
      <c r="P4" s="264">
        <f t="shared" ref="P4" si="9">P3/K3-1</f>
        <v>-3.0963944843031665E-2</v>
      </c>
      <c r="Q4" s="263">
        <f>Q3/L3-1</f>
        <v>1.0301265341587929E-2</v>
      </c>
      <c r="R4" s="261">
        <f>R3/M3-1</f>
        <v>3.8812667629462005E-3</v>
      </c>
      <c r="S4" s="261">
        <f t="shared" ref="S4" si="10">S3/N3-1</f>
        <v>3.2952386353968688E-2</v>
      </c>
      <c r="T4" s="261">
        <f t="shared" ref="T4" si="11">T3/O3-1</f>
        <v>3.9449175093134725E-2</v>
      </c>
      <c r="U4" s="264">
        <f t="shared" ref="U4" si="12">U3/P3-1</f>
        <v>5.6422246408943666E-2</v>
      </c>
      <c r="V4" s="263">
        <f>V3/Q3-1</f>
        <v>3.2886625299419769E-2</v>
      </c>
      <c r="W4" s="265">
        <v>0.03</v>
      </c>
      <c r="X4" s="265">
        <f>W4</f>
        <v>0.03</v>
      </c>
      <c r="Y4" s="265">
        <f t="shared" ref="Y4:Z4" si="13">X4</f>
        <v>0.03</v>
      </c>
      <c r="Z4" s="266">
        <f t="shared" si="13"/>
        <v>0.03</v>
      </c>
      <c r="AA4" s="263">
        <f>AA3/V3-1</f>
        <v>3.0000000000000027E-2</v>
      </c>
      <c r="AB4" s="265">
        <v>0.04</v>
      </c>
      <c r="AC4" s="265">
        <v>0.06</v>
      </c>
      <c r="AD4" s="265">
        <v>7.0000000000000007E-2</v>
      </c>
      <c r="AE4" s="266">
        <v>0.09</v>
      </c>
      <c r="AF4" s="263">
        <f>AF3/AA3-1</f>
        <v>6.5148155135177355E-2</v>
      </c>
      <c r="AG4" s="265">
        <v>0.08</v>
      </c>
      <c r="AH4" s="269">
        <f>AG4+0.01</f>
        <v>0.09</v>
      </c>
      <c r="AI4" s="269">
        <f t="shared" ref="AI4:AK8" si="14">AH4+0.01</f>
        <v>9.9999999999999992E-2</v>
      </c>
      <c r="AJ4" s="269">
        <f t="shared" si="14"/>
        <v>0.10999999999999999</v>
      </c>
      <c r="AK4" s="266">
        <f t="shared" si="14"/>
        <v>0.11999999999999998</v>
      </c>
    </row>
    <row r="5" spans="1:37" s="255" customFormat="1" x14ac:dyDescent="0.25">
      <c r="B5" s="255" t="s">
        <v>215</v>
      </c>
      <c r="C5" s="255">
        <v>850.8</v>
      </c>
      <c r="D5" s="255">
        <v>849.5</v>
      </c>
      <c r="E5" s="255">
        <v>956.8</v>
      </c>
      <c r="F5" s="258">
        <v>998.4</v>
      </c>
      <c r="G5" s="258">
        <f>SUM(C5:F5)</f>
        <v>3655.5</v>
      </c>
      <c r="H5" s="255">
        <v>1119.5</v>
      </c>
      <c r="I5" s="255">
        <v>1069.5</v>
      </c>
      <c r="J5" s="255">
        <v>1136.2</v>
      </c>
      <c r="K5" s="258">
        <v>1187.5</v>
      </c>
      <c r="L5" s="258">
        <f>SUM(H5:K5)</f>
        <v>4512.7</v>
      </c>
      <c r="M5" s="255">
        <v>1192.0999999999999</v>
      </c>
      <c r="N5" s="255">
        <v>1054.5</v>
      </c>
      <c r="O5" s="255">
        <v>1129</v>
      </c>
      <c r="P5" s="258">
        <v>1129.5</v>
      </c>
      <c r="Q5" s="258">
        <f>SUM(M5:P5)</f>
        <v>4505.1000000000004</v>
      </c>
      <c r="R5" s="255">
        <v>1135.7</v>
      </c>
      <c r="S5" s="255">
        <v>1016</v>
      </c>
      <c r="T5" s="255">
        <v>1105.5999999999999</v>
      </c>
      <c r="U5" s="258">
        <v>1093</v>
      </c>
      <c r="V5" s="258">
        <f>SUM(R5:U5)</f>
        <v>4350.2999999999993</v>
      </c>
      <c r="W5" s="255">
        <f>R5*(1+W6)</f>
        <v>1124.3430000000001</v>
      </c>
      <c r="X5" s="255">
        <f t="shared" ref="X5" si="15">S5*(1+X6)</f>
        <v>1005.84</v>
      </c>
      <c r="Y5" s="255">
        <f t="shared" ref="Y5" si="16">T5*(1+Y6)</f>
        <v>1094.5439999999999</v>
      </c>
      <c r="Z5" s="258">
        <f t="shared" ref="Z5" si="17">U5*(1+Z6)</f>
        <v>1082.07</v>
      </c>
      <c r="AA5" s="258">
        <f>SUM(W5:Z5)</f>
        <v>4306.7969999999996</v>
      </c>
      <c r="AB5" s="255">
        <f>W5*(1+AB6)</f>
        <v>1124.3430000000001</v>
      </c>
      <c r="AC5" s="255">
        <f t="shared" ref="AC5" si="18">X5*(1+AC6)</f>
        <v>1005.84</v>
      </c>
      <c r="AD5" s="255">
        <f t="shared" ref="AD5" si="19">Y5*(1+AD6)</f>
        <v>1094.5439999999999</v>
      </c>
      <c r="AE5" s="258">
        <f t="shared" ref="AE5" si="20">Z5*(1+AE6)</f>
        <v>1082.07</v>
      </c>
      <c r="AF5" s="258">
        <f>SUM(AB5:AE5)</f>
        <v>4306.7969999999996</v>
      </c>
      <c r="AG5" s="267">
        <f>AF5*(1+AG6)</f>
        <v>4306.7969999999996</v>
      </c>
      <c r="AH5" s="268">
        <f t="shared" ref="AH5" si="21">AG5*(1+AH6)</f>
        <v>4349.8649699999996</v>
      </c>
      <c r="AI5" s="268">
        <f t="shared" ref="AI5" si="22">AH5*(1+AI6)</f>
        <v>4436.8622693999996</v>
      </c>
      <c r="AJ5" s="268">
        <f t="shared" ref="AJ5" si="23">AI5*(1+AJ6)</f>
        <v>4569.9681374819993</v>
      </c>
      <c r="AK5" s="258">
        <f t="shared" ref="AK5" si="24">AJ5*(1+AK6)</f>
        <v>4752.7668629812797</v>
      </c>
    </row>
    <row r="6" spans="1:37" s="261" customFormat="1" x14ac:dyDescent="0.25">
      <c r="B6" s="261" t="s">
        <v>223</v>
      </c>
      <c r="C6" s="262" t="s">
        <v>225</v>
      </c>
      <c r="D6" s="262" t="s">
        <v>225</v>
      </c>
      <c r="E6" s="262" t="s">
        <v>225</v>
      </c>
      <c r="F6" s="263" t="s">
        <v>225</v>
      </c>
      <c r="G6" s="263" t="s">
        <v>225</v>
      </c>
      <c r="H6" s="261">
        <f>H5/C5-1</f>
        <v>0.31582040432534098</v>
      </c>
      <c r="I6" s="261">
        <f t="shared" ref="I6" si="25">I5/D5-1</f>
        <v>0.25897586815773987</v>
      </c>
      <c r="J6" s="261">
        <f t="shared" ref="J6" si="26">J5/E5-1</f>
        <v>0.1875</v>
      </c>
      <c r="K6" s="264">
        <f t="shared" ref="K6" si="27">K5/F5-1</f>
        <v>0.18940304487179493</v>
      </c>
      <c r="L6" s="263">
        <f>L5/G5-1</f>
        <v>0.23449596498427017</v>
      </c>
      <c r="M6" s="261">
        <f>M5/H5-1</f>
        <v>6.4850379633764943E-2</v>
      </c>
      <c r="N6" s="261">
        <f t="shared" ref="N6" si="28">N5/I5-1</f>
        <v>-1.4025245441795287E-2</v>
      </c>
      <c r="O6" s="261">
        <f t="shared" ref="O6" si="29">O5/J5-1</f>
        <v>-6.3369125154022488E-3</v>
      </c>
      <c r="P6" s="264">
        <f t="shared" ref="P6" si="30">P5/K5-1</f>
        <v>-4.8842105263157909E-2</v>
      </c>
      <c r="Q6" s="263">
        <f>Q5/L5-1</f>
        <v>-1.6841358831740649E-3</v>
      </c>
      <c r="R6" s="261">
        <f>R5/M5-1</f>
        <v>-4.7311467158795306E-2</v>
      </c>
      <c r="S6" s="261">
        <f t="shared" ref="S6" si="31">S5/N5-1</f>
        <v>-3.6510194404931195E-2</v>
      </c>
      <c r="T6" s="261">
        <f t="shared" ref="T6" si="32">T5/O5-1</f>
        <v>-2.0726306465899125E-2</v>
      </c>
      <c r="U6" s="264">
        <f t="shared" ref="U6" si="33">U5/P5-1</f>
        <v>-3.2315183709606066E-2</v>
      </c>
      <c r="V6" s="263">
        <f>V5/Q5-1</f>
        <v>-3.4361057468202949E-2</v>
      </c>
      <c r="W6" s="265">
        <v>-0.01</v>
      </c>
      <c r="X6" s="265">
        <v>-0.01</v>
      </c>
      <c r="Y6" s="265">
        <v>-0.01</v>
      </c>
      <c r="Z6" s="266">
        <v>-0.01</v>
      </c>
      <c r="AA6" s="263">
        <f>AA5/V5-1</f>
        <v>-9.9999999999998979E-3</v>
      </c>
      <c r="AB6" s="265">
        <v>0</v>
      </c>
      <c r="AC6" s="265">
        <v>0</v>
      </c>
      <c r="AD6" s="265">
        <v>0</v>
      </c>
      <c r="AE6" s="266">
        <v>0</v>
      </c>
      <c r="AF6" s="263">
        <f>AF5/AA5-1</f>
        <v>0</v>
      </c>
      <c r="AG6" s="265">
        <f>AF6</f>
        <v>0</v>
      </c>
      <c r="AH6" s="269">
        <f>AG6+0.01</f>
        <v>0.01</v>
      </c>
      <c r="AI6" s="269">
        <f t="shared" si="14"/>
        <v>0.02</v>
      </c>
      <c r="AJ6" s="269">
        <f t="shared" si="14"/>
        <v>0.03</v>
      </c>
      <c r="AK6" s="266">
        <f t="shared" si="14"/>
        <v>0.04</v>
      </c>
    </row>
    <row r="7" spans="1:37" s="255" customFormat="1" x14ac:dyDescent="0.25">
      <c r="B7" s="255" t="s">
        <v>216</v>
      </c>
      <c r="C7" s="255">
        <v>477.2</v>
      </c>
      <c r="D7" s="255">
        <v>509.4</v>
      </c>
      <c r="E7" s="255">
        <v>517.79999999999995</v>
      </c>
      <c r="F7" s="258">
        <v>514.4</v>
      </c>
      <c r="G7" s="258">
        <f>SUM(C7:F7)</f>
        <v>2018.7999999999997</v>
      </c>
      <c r="H7" s="255">
        <v>510.9</v>
      </c>
      <c r="I7" s="255">
        <v>508</v>
      </c>
      <c r="J7" s="255">
        <v>475.4</v>
      </c>
      <c r="K7" s="258">
        <v>506.2</v>
      </c>
      <c r="L7" s="258">
        <f>SUM(H7:K7)</f>
        <v>2000.5</v>
      </c>
      <c r="M7" s="255">
        <v>478</v>
      </c>
      <c r="N7" s="255">
        <v>455.9</v>
      </c>
      <c r="O7" s="255">
        <v>468.9</v>
      </c>
      <c r="P7" s="258">
        <v>502.4</v>
      </c>
      <c r="Q7" s="258">
        <f>SUM(M7:P7)</f>
        <v>1905.1999999999998</v>
      </c>
      <c r="R7" s="255">
        <v>476.8</v>
      </c>
      <c r="S7" s="255">
        <v>455.9</v>
      </c>
      <c r="T7" s="255">
        <v>537.9</v>
      </c>
      <c r="U7" s="258">
        <v>614</v>
      </c>
      <c r="V7" s="258">
        <f>SUM(R7:U7)</f>
        <v>2084.6</v>
      </c>
      <c r="W7" s="255">
        <f>R7*(1+W8)</f>
        <v>521.69708167121564</v>
      </c>
      <c r="X7" s="255">
        <f t="shared" ref="X7" si="34">S7*(1+X8)</f>
        <v>498.82906781440272</v>
      </c>
      <c r="Y7" s="255">
        <f t="shared" ref="Y7" si="35">T7*(1+Y8)</f>
        <v>588.55046189376446</v>
      </c>
      <c r="Z7" s="258">
        <f t="shared" ref="Z7" si="36">U7*(1+Z8)</f>
        <v>671.81629225278198</v>
      </c>
      <c r="AA7" s="258">
        <f>SUM(W7:Z7)</f>
        <v>2280.8929036321651</v>
      </c>
      <c r="AB7" s="255">
        <f>W7*(1+AB8)</f>
        <v>573.86678983833724</v>
      </c>
      <c r="AC7" s="255">
        <f t="shared" ref="AC7" si="37">X7*(1+AC8)</f>
        <v>548.711974595843</v>
      </c>
      <c r="AD7" s="255">
        <f t="shared" ref="AD7" si="38">Y7*(1+AD8)</f>
        <v>647.40550808314094</v>
      </c>
      <c r="AE7" s="258">
        <f t="shared" ref="AE7" si="39">Z7*(1+AE8)</f>
        <v>738.99792147806022</v>
      </c>
      <c r="AF7" s="258">
        <f>SUM(AB7:AE7)</f>
        <v>2508.9821939953813</v>
      </c>
      <c r="AG7" s="267">
        <f>AF7*(1+AG8)</f>
        <v>2759.8804133949193</v>
      </c>
      <c r="AH7" s="268">
        <f t="shared" ref="AH7" si="40">AG7*(1+AH8)</f>
        <v>3063.4672588683602</v>
      </c>
      <c r="AI7" s="268">
        <f t="shared" ref="AI7" si="41">AH7*(1+AI8)</f>
        <v>3431.0833299325632</v>
      </c>
      <c r="AJ7" s="268">
        <f t="shared" ref="AJ7" si="42">AI7*(1+AJ8)</f>
        <v>3877.1241628237958</v>
      </c>
      <c r="AK7" s="258">
        <f t="shared" ref="AK7" si="43">AJ7*(1+AK8)</f>
        <v>4419.9215456191268</v>
      </c>
    </row>
    <row r="8" spans="1:37" s="261" customFormat="1" x14ac:dyDescent="0.25">
      <c r="B8" s="261" t="s">
        <v>223</v>
      </c>
      <c r="C8" s="262" t="s">
        <v>225</v>
      </c>
      <c r="D8" s="262" t="s">
        <v>225</v>
      </c>
      <c r="E8" s="262" t="s">
        <v>225</v>
      </c>
      <c r="F8" s="263" t="s">
        <v>225</v>
      </c>
      <c r="G8" s="263" t="s">
        <v>225</v>
      </c>
      <c r="H8" s="261">
        <f>H7/C7-1</f>
        <v>7.0620284995808857E-2</v>
      </c>
      <c r="I8" s="261">
        <f t="shared" ref="I8" si="44">I7/D7-1</f>
        <v>-2.748331370239443E-3</v>
      </c>
      <c r="J8" s="261">
        <f t="shared" ref="J8" si="45">J7/E7-1</f>
        <v>-8.1884897643877963E-2</v>
      </c>
      <c r="K8" s="264">
        <f t="shared" ref="K8" si="46">K7/F7-1</f>
        <v>-1.5940902021772896E-2</v>
      </c>
      <c r="L8" s="263">
        <f>L7/G7-1</f>
        <v>-9.0647909649295144E-3</v>
      </c>
      <c r="M8" s="261">
        <f>M7/H7-1</f>
        <v>-6.4396163632804759E-2</v>
      </c>
      <c r="N8" s="261">
        <f t="shared" ref="N8" si="47">N7/I7-1</f>
        <v>-0.10255905511811025</v>
      </c>
      <c r="O8" s="261">
        <f t="shared" ref="O8" si="48">O7/J7-1</f>
        <v>-1.3672696676482965E-2</v>
      </c>
      <c r="P8" s="264">
        <f t="shared" ref="P8" si="49">P7/K7-1</f>
        <v>-7.5069142631370989E-3</v>
      </c>
      <c r="Q8" s="263">
        <f>Q7/L7-1</f>
        <v>-4.7638090477380768E-2</v>
      </c>
      <c r="R8" s="261">
        <f>R7/M7-1</f>
        <v>-2.5104602510459539E-3</v>
      </c>
      <c r="S8" s="261">
        <f t="shared" ref="S8" si="50">S7/N7-1</f>
        <v>0</v>
      </c>
      <c r="T8" s="261">
        <f t="shared" ref="T8" si="51">T7/O7-1</f>
        <v>0.14715291106845818</v>
      </c>
      <c r="U8" s="264">
        <f t="shared" ref="U8" si="52">U7/P7-1</f>
        <v>0.22213375796178347</v>
      </c>
      <c r="V8" s="263">
        <f>V7/Q7-1</f>
        <v>9.4163342431240915E-2</v>
      </c>
      <c r="W8" s="265">
        <f>V8</f>
        <v>9.4163342431240915E-2</v>
      </c>
      <c r="X8" s="265">
        <f t="shared" ref="X8:Z8" si="53">W8</f>
        <v>9.4163342431240915E-2</v>
      </c>
      <c r="Y8" s="265">
        <f t="shared" si="53"/>
        <v>9.4163342431240915E-2</v>
      </c>
      <c r="Z8" s="266">
        <f t="shared" si="53"/>
        <v>9.4163342431240915E-2</v>
      </c>
      <c r="AA8" s="263">
        <f>AA7/V7-1</f>
        <v>9.4163342431241137E-2</v>
      </c>
      <c r="AB8" s="265">
        <v>0.1</v>
      </c>
      <c r="AC8" s="269">
        <f>AB8</f>
        <v>0.1</v>
      </c>
      <c r="AD8" s="269">
        <f t="shared" ref="AD8:AE8" si="54">AC8</f>
        <v>0.1</v>
      </c>
      <c r="AE8" s="266">
        <f t="shared" si="54"/>
        <v>0.1</v>
      </c>
      <c r="AF8" s="263">
        <f>AF7/AA7-1</f>
        <v>9.9999999999999867E-2</v>
      </c>
      <c r="AG8" s="265">
        <f>AF8</f>
        <v>9.9999999999999867E-2</v>
      </c>
      <c r="AH8" s="269">
        <f>AG8+0.01</f>
        <v>0.10999999999999986</v>
      </c>
      <c r="AI8" s="269">
        <f t="shared" si="14"/>
        <v>0.11999999999999986</v>
      </c>
      <c r="AJ8" s="269">
        <f t="shared" si="14"/>
        <v>0.12999999999999987</v>
      </c>
      <c r="AK8" s="266">
        <f t="shared" si="14"/>
        <v>0.13999999999999987</v>
      </c>
    </row>
    <row r="9" spans="1:37" s="256" customFormat="1" x14ac:dyDescent="0.25">
      <c r="A9" s="256" t="s">
        <v>217</v>
      </c>
      <c r="C9" s="256">
        <f t="shared" ref="C9:V9" si="55">SUM(C3:C7)</f>
        <v>8050.4</v>
      </c>
      <c r="D9" s="256">
        <f t="shared" si="55"/>
        <v>7635.5999999999995</v>
      </c>
      <c r="E9" s="256">
        <f t="shared" si="55"/>
        <v>8150.1</v>
      </c>
      <c r="F9" s="259">
        <f t="shared" si="55"/>
        <v>8414.1999999999989</v>
      </c>
      <c r="G9" s="259">
        <f t="shared" si="55"/>
        <v>32250.3</v>
      </c>
      <c r="H9" s="256">
        <f t="shared" si="55"/>
        <v>8714.2695363391085</v>
      </c>
      <c r="I9" s="256">
        <f t="shared" si="55"/>
        <v>8720.1968827300443</v>
      </c>
      <c r="J9" s="256">
        <f t="shared" si="55"/>
        <v>9168.6195050932511</v>
      </c>
      <c r="K9" s="259">
        <f t="shared" si="55"/>
        <v>9373.9022062442236</v>
      </c>
      <c r="L9" s="259">
        <f t="shared" si="55"/>
        <v>35975.943105236511</v>
      </c>
      <c r="M9" s="256">
        <f t="shared" si="55"/>
        <v>9425.4596763837289</v>
      </c>
      <c r="N9" s="256">
        <f t="shared" si="55"/>
        <v>8562.9734157749572</v>
      </c>
      <c r="O9" s="256">
        <f t="shared" si="55"/>
        <v>9113.8882771385925</v>
      </c>
      <c r="P9" s="259">
        <f t="shared" si="55"/>
        <v>9073.9201939498926</v>
      </c>
      <c r="Q9" s="259">
        <f t="shared" si="55"/>
        <v>36176.208617129458</v>
      </c>
      <c r="R9" s="256">
        <f t="shared" si="55"/>
        <v>9397.7565697996033</v>
      </c>
      <c r="S9" s="256">
        <f t="shared" si="55"/>
        <v>8756.89644219195</v>
      </c>
      <c r="T9" s="256">
        <f t="shared" si="55"/>
        <v>9456.0187228686264</v>
      </c>
      <c r="U9" s="259">
        <f>SUM(U3:U7)</f>
        <v>9569.0241070626998</v>
      </c>
      <c r="V9" s="259">
        <f t="shared" si="55"/>
        <v>37179.69852556783</v>
      </c>
      <c r="W9" s="256">
        <f t="shared" ref="V9:AK9" si="56">SUM(W3:W7)</f>
        <v>9664.9190816712162</v>
      </c>
      <c r="X9" s="256">
        <f t="shared" si="56"/>
        <v>9008.239067814402</v>
      </c>
      <c r="Y9" s="256">
        <f t="shared" si="56"/>
        <v>9729.9894618937651</v>
      </c>
      <c r="Z9" s="259">
        <f t="shared" si="56"/>
        <v>9851.7662922527834</v>
      </c>
      <c r="AA9" s="259">
        <f t="shared" si="56"/>
        <v>38254.85390363216</v>
      </c>
      <c r="AB9" s="256">
        <f t="shared" si="56"/>
        <v>10037.86314983834</v>
      </c>
      <c r="AC9" s="256">
        <f t="shared" si="56"/>
        <v>9508.374974595843</v>
      </c>
      <c r="AD9" s="256">
        <f t="shared" si="56"/>
        <v>10352.17575808314</v>
      </c>
      <c r="AE9" s="259">
        <f t="shared" si="56"/>
        <v>10647.825321478062</v>
      </c>
      <c r="AF9" s="259">
        <f t="shared" si="56"/>
        <v>40546.044352150515</v>
      </c>
      <c r="AG9" s="256">
        <f t="shared" si="56"/>
        <v>43495.373424194921</v>
      </c>
      <c r="AH9" s="256">
        <f t="shared" si="56"/>
        <v>47120.623680640369</v>
      </c>
      <c r="AI9" s="256">
        <f t="shared" si="56"/>
        <v>51545.976196281765</v>
      </c>
      <c r="AJ9" s="256">
        <f t="shared" si="56"/>
        <v>56929.713062919414</v>
      </c>
      <c r="AK9" s="259">
        <f t="shared" si="56"/>
        <v>63473.22686272765</v>
      </c>
    </row>
    <row r="10" spans="1:37" s="261" customFormat="1" x14ac:dyDescent="0.25">
      <c r="B10" s="261" t="s">
        <v>223</v>
      </c>
      <c r="C10" s="262" t="s">
        <v>225</v>
      </c>
      <c r="D10" s="262" t="s">
        <v>225</v>
      </c>
      <c r="E10" s="262" t="s">
        <v>225</v>
      </c>
      <c r="F10" s="263" t="s">
        <v>225</v>
      </c>
      <c r="G10" s="263" t="s">
        <v>225</v>
      </c>
      <c r="H10" s="261">
        <f>H9/C9-1</f>
        <v>8.2464167785341047E-2</v>
      </c>
      <c r="I10" s="261">
        <f t="shared" ref="I10" si="57">I9/D9-1</f>
        <v>0.14204474864189387</v>
      </c>
      <c r="J10" s="261">
        <f t="shared" ref="J10" si="58">J9/E9-1</f>
        <v>0.12497018503984614</v>
      </c>
      <c r="K10" s="264">
        <f t="shared" ref="K10" si="59">K9/F9-1</f>
        <v>0.11405745124245015</v>
      </c>
      <c r="L10" s="263">
        <f>L9/G9-1</f>
        <v>0.11552274258647244</v>
      </c>
      <c r="M10" s="261">
        <f>M9/H9-1</f>
        <v>8.1612134795568059E-2</v>
      </c>
      <c r="N10" s="261">
        <f t="shared" ref="N10" si="60">N9/I9-1</f>
        <v>-1.8029807018057231E-2</v>
      </c>
      <c r="O10" s="261">
        <f t="shared" ref="O10" si="61">O9/J9-1</f>
        <v>-5.969407709007335E-3</v>
      </c>
      <c r="P10" s="264">
        <f t="shared" ref="P10" si="62">P9/K9-1</f>
        <v>-3.200182866154766E-2</v>
      </c>
      <c r="Q10" s="263">
        <f>Q9/L9-1</f>
        <v>5.5666507840290702E-3</v>
      </c>
      <c r="R10" s="261">
        <f>R9/M9-1</f>
        <v>-2.93917830379542E-3</v>
      </c>
      <c r="S10" s="261">
        <f t="shared" ref="S10" si="63">S9/N9-1</f>
        <v>2.2646692568231375E-2</v>
      </c>
      <c r="T10" s="261">
        <f t="shared" ref="T10" si="64">T9/O9-1</f>
        <v>3.7539460143289016E-2</v>
      </c>
      <c r="U10" s="264">
        <f t="shared" ref="U10" si="65">U9/P9-1</f>
        <v>5.4563397355304133E-2</v>
      </c>
      <c r="V10" s="263">
        <f>V9/Q9-1</f>
        <v>2.7738946307469536E-2</v>
      </c>
      <c r="W10" s="261">
        <f>W9/R9-1</f>
        <v>2.8428328600270447E-2</v>
      </c>
      <c r="X10" s="261">
        <f t="shared" ref="X10" si="66">X9/S9-1</f>
        <v>2.8702249396424184E-2</v>
      </c>
      <c r="Y10" s="261">
        <f t="shared" ref="Y10" si="67">Y9/T9-1</f>
        <v>2.8973159535160553E-2</v>
      </c>
      <c r="Z10" s="264">
        <f t="shared" ref="Z10" si="68">Z9/U9-1</f>
        <v>2.9547651048490664E-2</v>
      </c>
      <c r="AA10" s="263">
        <f>AA9/V9-1</f>
        <v>2.8917807854869082E-2</v>
      </c>
      <c r="AB10" s="261">
        <f>AB9/W9-1</f>
        <v>3.8587396854091072E-2</v>
      </c>
      <c r="AC10" s="261">
        <f t="shared" ref="AC10" si="69">AC9/X9-1</f>
        <v>5.5519830570258666E-2</v>
      </c>
      <c r="AD10" s="261">
        <f t="shared" ref="AD10" si="70">AD9/Y9-1</f>
        <v>6.3945217888065287E-2</v>
      </c>
      <c r="AE10" s="264">
        <f t="shared" ref="AE10" si="71">AE9/Z9-1</f>
        <v>8.0803685918867441E-2</v>
      </c>
      <c r="AF10" s="263">
        <f>AF9/AA9-1</f>
        <v>5.9892803519524529E-2</v>
      </c>
      <c r="AG10" s="270">
        <f>AG9/AF9-1</f>
        <v>7.2740241845268283E-2</v>
      </c>
      <c r="AH10" s="271">
        <f t="shared" ref="AH10:AK10" si="72">AH9/AG9-1</f>
        <v>8.3347951081823579E-2</v>
      </c>
      <c r="AI10" s="271">
        <f t="shared" si="72"/>
        <v>9.3915406248316735E-2</v>
      </c>
      <c r="AJ10" s="271">
        <f t="shared" si="72"/>
        <v>0.10444533722936855</v>
      </c>
      <c r="AK10" s="264">
        <f t="shared" si="72"/>
        <v>0.11494022098049683</v>
      </c>
    </row>
    <row r="11" spans="1:37" s="187" customFormat="1" x14ac:dyDescent="0.25">
      <c r="F11" s="260"/>
      <c r="G11" s="260"/>
      <c r="K11" s="260"/>
      <c r="L11" s="260"/>
      <c r="P11" s="260"/>
      <c r="Q11" s="260"/>
      <c r="U11" s="260"/>
      <c r="V11" s="260"/>
      <c r="Z11" s="260"/>
      <c r="AA11" s="260"/>
      <c r="AE11" s="260"/>
      <c r="AF11" s="260"/>
      <c r="AK11" s="260"/>
    </row>
    <row r="12" spans="1:37" s="255" customFormat="1" x14ac:dyDescent="0.25">
      <c r="B12" s="255" t="s">
        <v>218</v>
      </c>
      <c r="C12" s="255">
        <v>2526.9</v>
      </c>
      <c r="D12" s="255">
        <v>2465.8000000000002</v>
      </c>
      <c r="E12" s="255">
        <v>2613.6</v>
      </c>
      <c r="F12" s="258">
        <v>2711</v>
      </c>
      <c r="G12" s="258">
        <f>SUM(C12:F12)</f>
        <v>10317.300000000001</v>
      </c>
      <c r="H12" s="255">
        <v>2810.2</v>
      </c>
      <c r="I12" s="255">
        <v>2801.7</v>
      </c>
      <c r="J12" s="255">
        <v>2864.2</v>
      </c>
      <c r="K12" s="258">
        <v>2933.1</v>
      </c>
      <c r="L12" s="258">
        <f>SUM(H12:K12)</f>
        <v>11409.199999999999</v>
      </c>
      <c r="M12" s="255">
        <v>2980.6</v>
      </c>
      <c r="N12" s="255">
        <v>2648.7</v>
      </c>
      <c r="O12" s="255">
        <v>2740.9</v>
      </c>
      <c r="P12" s="258">
        <v>2910.3</v>
      </c>
      <c r="Q12" s="258">
        <f>SUM(M12:P12)</f>
        <v>11280.5</v>
      </c>
      <c r="R12" s="255">
        <v>2893.7</v>
      </c>
      <c r="S12" s="255">
        <v>2737.6</v>
      </c>
      <c r="T12" s="255">
        <v>2955.5</v>
      </c>
      <c r="U12" s="258">
        <v>3071.4</v>
      </c>
      <c r="V12" s="258">
        <f>SUM(R12:U12)</f>
        <v>11658.199999999999</v>
      </c>
      <c r="W12" s="255">
        <f>W13*W9</f>
        <v>3030.5667906493204</v>
      </c>
      <c r="X12" s="255">
        <f t="shared" ref="X12:Z12" si="73">X13*X9</f>
        <v>2824.6558435156094</v>
      </c>
      <c r="Y12" s="255">
        <f t="shared" si="73"/>
        <v>3050.9704931212173</v>
      </c>
      <c r="Z12" s="258">
        <f t="shared" si="73"/>
        <v>3089.1552740633006</v>
      </c>
      <c r="AA12" s="258">
        <f>SUM(W12:Z12)</f>
        <v>11995.348401349449</v>
      </c>
      <c r="AB12" s="255">
        <f>AB13*AB9</f>
        <v>3147.513410734673</v>
      </c>
      <c r="AC12" s="255">
        <f t="shared" ref="AC12" si="74">AC13*AC9</f>
        <v>2981.4849336052521</v>
      </c>
      <c r="AD12" s="255">
        <f t="shared" ref="AD12" si="75">AD13*AD9</f>
        <v>3246.070557295237</v>
      </c>
      <c r="AE12" s="258">
        <f t="shared" ref="AE12" si="76">AE13*AE9</f>
        <v>3338.7756432057131</v>
      </c>
      <c r="AF12" s="258">
        <f>SUM(AB12:AE12)</f>
        <v>12713.844544840875</v>
      </c>
      <c r="AG12" s="255">
        <f t="shared" ref="AG12" si="77">AG13*AG9</f>
        <v>13769.13879208833</v>
      </c>
      <c r="AH12" s="255">
        <f t="shared" ref="AH12" si="78">AH13*AH9</f>
        <v>14751.846115687908</v>
      </c>
      <c r="AI12" s="255">
        <f t="shared" ref="AI12" si="79">AI13*AI9</f>
        <v>15956.860819868405</v>
      </c>
      <c r="AJ12" s="255">
        <f t="shared" ref="AJ12" si="80">AJ13*AJ9</f>
        <v>17424.226533601439</v>
      </c>
      <c r="AK12" s="258">
        <f t="shared" ref="AK12" si="81">AK13*AK9</f>
        <v>19204.814687768278</v>
      </c>
    </row>
    <row r="13" spans="1:37" s="261" customFormat="1" x14ac:dyDescent="0.25">
      <c r="B13" s="261" t="s">
        <v>224</v>
      </c>
      <c r="C13" s="261">
        <f>C12/C9</f>
        <v>0.31388502434661636</v>
      </c>
      <c r="D13" s="261">
        <f t="shared" ref="D13:G13" si="82">D12/D9</f>
        <v>0.32293467441982299</v>
      </c>
      <c r="E13" s="261">
        <f t="shared" si="82"/>
        <v>0.32068318180145028</v>
      </c>
      <c r="F13" s="264">
        <f t="shared" si="82"/>
        <v>0.32219343490765617</v>
      </c>
      <c r="G13" s="264">
        <f t="shared" si="82"/>
        <v>0.31991330313206395</v>
      </c>
      <c r="H13" s="261">
        <f>H12/H9</f>
        <v>0.32248256589737911</v>
      </c>
      <c r="I13" s="261">
        <f t="shared" ref="I13" si="83">I12/I9</f>
        <v>0.32128861741053577</v>
      </c>
      <c r="J13" s="261">
        <f t="shared" ref="J13" si="84">J12/J9</f>
        <v>0.31239163086753802</v>
      </c>
      <c r="K13" s="264">
        <f t="shared" ref="K13" si="85">K12/K9</f>
        <v>0.31290064003934009</v>
      </c>
      <c r="L13" s="264">
        <f t="shared" ref="L13" si="86">L12/L9</f>
        <v>0.3171341461883545</v>
      </c>
      <c r="M13" s="261">
        <f>M12/M9</f>
        <v>0.31622860871901459</v>
      </c>
      <c r="N13" s="261">
        <f t="shared" ref="N13" si="87">N12/N9</f>
        <v>0.3093201241429161</v>
      </c>
      <c r="O13" s="261">
        <f t="shared" ref="O13" si="88">O12/O9</f>
        <v>0.30073881933305158</v>
      </c>
      <c r="P13" s="264">
        <f t="shared" ref="P13" si="89">P12/P9</f>
        <v>0.32073237782501829</v>
      </c>
      <c r="Q13" s="264">
        <f t="shared" ref="Q13" si="90">Q12/Q9</f>
        <v>0.31182095723150699</v>
      </c>
      <c r="R13" s="261">
        <f>R12/R9</f>
        <v>0.30791391312466232</v>
      </c>
      <c r="S13" s="261">
        <f t="shared" ref="S13" si="91">S12/S9</f>
        <v>0.31262217362875971</v>
      </c>
      <c r="T13" s="261">
        <f t="shared" ref="T13" si="92">T12/T9</f>
        <v>0.31255225762744732</v>
      </c>
      <c r="U13" s="264">
        <f t="shared" ref="U13" si="93">U12/U9</f>
        <v>0.32097316984843449</v>
      </c>
      <c r="V13" s="264">
        <f t="shared" ref="V13" si="94">V12/V9</f>
        <v>0.31356359686410201</v>
      </c>
      <c r="W13" s="265">
        <f>V13</f>
        <v>0.31356359686410201</v>
      </c>
      <c r="X13" s="265">
        <f>W13</f>
        <v>0.31356359686410201</v>
      </c>
      <c r="Y13" s="265">
        <f t="shared" ref="Y13:Z19" si="95">X13</f>
        <v>0.31356359686410201</v>
      </c>
      <c r="Z13" s="266">
        <f t="shared" si="95"/>
        <v>0.31356359686410201</v>
      </c>
      <c r="AA13" s="264">
        <f t="shared" ref="AA13" si="96">AA12/AA9</f>
        <v>0.31356408866615837</v>
      </c>
      <c r="AB13" s="265">
        <f>AA13</f>
        <v>0.31356408866615837</v>
      </c>
      <c r="AC13" s="265">
        <f>AB13</f>
        <v>0.31356408866615837</v>
      </c>
      <c r="AD13" s="265">
        <f t="shared" ref="AD13:AE13" si="97">AC13</f>
        <v>0.31356408866615837</v>
      </c>
      <c r="AE13" s="266">
        <f t="shared" si="97"/>
        <v>0.31356408866615837</v>
      </c>
      <c r="AF13" s="264">
        <f t="shared" ref="AF13" si="98">AF12/AF9</f>
        <v>0.31356559555893021</v>
      </c>
      <c r="AG13" s="272">
        <f>AF13+0.003</f>
        <v>0.31656559555893021</v>
      </c>
      <c r="AH13" s="269">
        <f>AG13-0.0035</f>
        <v>0.31306559555893021</v>
      </c>
      <c r="AI13" s="269">
        <f t="shared" ref="AI13:AK13" si="99">AH13-0.0035</f>
        <v>0.30956559555893021</v>
      </c>
      <c r="AJ13" s="269">
        <f t="shared" si="99"/>
        <v>0.3060655955589302</v>
      </c>
      <c r="AK13" s="266">
        <f t="shared" si="99"/>
        <v>0.3025655955589302</v>
      </c>
    </row>
    <row r="14" spans="1:37" s="255" customFormat="1" x14ac:dyDescent="0.25">
      <c r="B14" s="255" t="s">
        <v>219</v>
      </c>
      <c r="C14" s="255">
        <v>3400</v>
      </c>
      <c r="D14" s="255">
        <v>3314.7</v>
      </c>
      <c r="E14" s="255">
        <v>3302.5</v>
      </c>
      <c r="F14" s="258">
        <v>3544.7</v>
      </c>
      <c r="G14" s="258">
        <f>SUM(C14:F14)</f>
        <v>13561.900000000001</v>
      </c>
      <c r="H14" s="255">
        <v>3665.3</v>
      </c>
      <c r="I14" s="255">
        <v>3636</v>
      </c>
      <c r="J14" s="255">
        <v>3697.6</v>
      </c>
      <c r="K14" s="258">
        <v>3721.3</v>
      </c>
      <c r="L14" s="258">
        <f>SUM(H14:K14)</f>
        <v>14720.2</v>
      </c>
      <c r="M14" s="255">
        <v>3851.5</v>
      </c>
      <c r="N14" s="255">
        <v>3724.1</v>
      </c>
      <c r="O14" s="255">
        <v>3829.1</v>
      </c>
      <c r="P14" s="258">
        <v>3881.7</v>
      </c>
      <c r="Q14" s="258">
        <f>SUM(M14:P14)</f>
        <v>15286.400000000001</v>
      </c>
      <c r="R14" s="255">
        <v>4203</v>
      </c>
      <c r="S14" s="255">
        <v>4176</v>
      </c>
      <c r="T14" s="255">
        <v>4344.8</v>
      </c>
      <c r="U14" s="258">
        <v>4335</v>
      </c>
      <c r="V14" s="258">
        <f>SUM(R14:U14)</f>
        <v>17058.8</v>
      </c>
      <c r="W14" s="267">
        <f>W15*W9</f>
        <v>4434.4609603822737</v>
      </c>
      <c r="X14" s="268">
        <f t="shared" ref="X14:Z14" si="100">X15*X9</f>
        <v>4133.162847040202</v>
      </c>
      <c r="Y14" s="268">
        <f t="shared" si="100"/>
        <v>4464.3165710020612</v>
      </c>
      <c r="Z14" s="258">
        <f t="shared" si="100"/>
        <v>4520.1902514274107</v>
      </c>
      <c r="AA14" s="258">
        <f>SUM(W14:Z14)</f>
        <v>17552.130629851948</v>
      </c>
      <c r="AB14" s="267">
        <f>AB15*AB9</f>
        <v>4605.5824888096486</v>
      </c>
      <c r="AC14" s="268">
        <f t="shared" ref="AC14" si="101">AC15*AC9</f>
        <v>4353.1338155338253</v>
      </c>
      <c r="AD14" s="268">
        <f t="shared" ref="AD14" si="102">AD15*AD9</f>
        <v>4729.0913650428211</v>
      </c>
      <c r="AE14" s="258">
        <f t="shared" ref="AE14" si="103">AE15*AE9</f>
        <v>4853.5024712930863</v>
      </c>
      <c r="AF14" s="258">
        <f>SUM(AB14:AE14)</f>
        <v>18541.310140679379</v>
      </c>
      <c r="AG14" s="268">
        <f t="shared" ref="AG14" si="104">AG15*AG9</f>
        <v>19890.009524440524</v>
      </c>
      <c r="AH14" s="268">
        <f t="shared" ref="AH14" si="105">AH15*AH9</f>
        <v>21359.318570578034</v>
      </c>
      <c r="AI14" s="268">
        <f t="shared" ref="AI14" si="106">AI15*AI9</f>
        <v>23159.103746535962</v>
      </c>
      <c r="AJ14" s="268">
        <f t="shared" ref="AJ14" si="107">AJ15*AJ9</f>
        <v>25350.245295021163</v>
      </c>
      <c r="AK14" s="258">
        <f t="shared" ref="AK14" si="108">AK15*AK9</f>
        <v>28010.115183689784</v>
      </c>
    </row>
    <row r="15" spans="1:37" s="261" customFormat="1" x14ac:dyDescent="0.25">
      <c r="B15" s="261" t="s">
        <v>224</v>
      </c>
      <c r="C15" s="261">
        <f>C14/C9</f>
        <v>0.42233926264533439</v>
      </c>
      <c r="D15" s="261">
        <f t="shared" ref="D15:G15" si="109">D14/D9</f>
        <v>0.4341112682696841</v>
      </c>
      <c r="E15" s="261">
        <f t="shared" si="109"/>
        <v>0.40520975202758247</v>
      </c>
      <c r="F15" s="264">
        <f t="shared" si="109"/>
        <v>0.42127593829478743</v>
      </c>
      <c r="G15" s="264">
        <f t="shared" si="109"/>
        <v>0.42052011919268972</v>
      </c>
      <c r="H15" s="261">
        <f>H14/H9</f>
        <v>0.42060897757585358</v>
      </c>
      <c r="I15" s="261">
        <f t="shared" ref="I15" si="110">I14/I9</f>
        <v>0.41696306274929795</v>
      </c>
      <c r="J15" s="261">
        <f t="shared" ref="J15" si="111">J14/J9</f>
        <v>0.40328863008721755</v>
      </c>
      <c r="K15" s="264">
        <f t="shared" ref="K15" si="112">K14/K9</f>
        <v>0.39698515283433788</v>
      </c>
      <c r="L15" s="264">
        <f t="shared" ref="L15" si="113">L14/L9</f>
        <v>0.40916786967726188</v>
      </c>
      <c r="M15" s="261">
        <f>M14/M9</f>
        <v>0.40862728527185288</v>
      </c>
      <c r="N15" s="261">
        <f t="shared" ref="N15" si="114">N14/N9</f>
        <v>0.43490734108076934</v>
      </c>
      <c r="O15" s="261">
        <f t="shared" ref="O15" si="115">O14/O9</f>
        <v>0.42013901021860989</v>
      </c>
      <c r="P15" s="264">
        <f t="shared" ref="P15" si="116">P14/P9</f>
        <v>0.4277864381690456</v>
      </c>
      <c r="Q15" s="264">
        <f t="shared" ref="Q15" si="117">Q14/Q9</f>
        <v>0.42255395422398911</v>
      </c>
      <c r="R15" s="261">
        <f>R14/R9</f>
        <v>0.44723439778240864</v>
      </c>
      <c r="S15" s="261">
        <f t="shared" ref="S15" si="118">S14/S9</f>
        <v>0.47688128180658262</v>
      </c>
      <c r="T15" s="261">
        <f t="shared" ref="T15" si="119">T14/T9</f>
        <v>0.45947455555396144</v>
      </c>
      <c r="U15" s="264">
        <f t="shared" ref="U15" si="120">U14/U9</f>
        <v>0.45302425320471557</v>
      </c>
      <c r="V15" s="264">
        <f t="shared" ref="V15" si="121">V14/V9</f>
        <v>0.45882028839660871</v>
      </c>
      <c r="W15" s="265">
        <f>V15</f>
        <v>0.45882028839660871</v>
      </c>
      <c r="X15" s="265">
        <f>W15</f>
        <v>0.45882028839660871</v>
      </c>
      <c r="Y15" s="265">
        <f t="shared" si="95"/>
        <v>0.45882028839660871</v>
      </c>
      <c r="Z15" s="266">
        <f t="shared" si="95"/>
        <v>0.45882028839660871</v>
      </c>
      <c r="AA15" s="264">
        <f t="shared" ref="AA15" si="122">AA14/AA9</f>
        <v>0.45882100802338804</v>
      </c>
      <c r="AB15" s="265">
        <f>AA15</f>
        <v>0.45882100802338804</v>
      </c>
      <c r="AC15" s="265">
        <f>AB15-0.001</f>
        <v>0.45782100802338804</v>
      </c>
      <c r="AD15" s="265">
        <f>AC15-0.001</f>
        <v>0.45682100802338804</v>
      </c>
      <c r="AE15" s="266">
        <f>AD15-0.001</f>
        <v>0.45582100802338804</v>
      </c>
      <c r="AF15" s="264">
        <f t="shared" ref="AF15" si="123">AF14/AF9</f>
        <v>0.45729023476727809</v>
      </c>
      <c r="AG15" s="272">
        <f>AF15</f>
        <v>0.45729023476727809</v>
      </c>
      <c r="AH15" s="269">
        <f>AG15-0.004</f>
        <v>0.45329023476727809</v>
      </c>
      <c r="AI15" s="269">
        <f t="shared" ref="AI13:AK19" si="124">AH15-0.004</f>
        <v>0.44929023476727808</v>
      </c>
      <c r="AJ15" s="269">
        <f t="shared" si="124"/>
        <v>0.44529023476727808</v>
      </c>
      <c r="AK15" s="266">
        <f t="shared" si="124"/>
        <v>0.44129023476727808</v>
      </c>
    </row>
    <row r="16" spans="1:37" s="255" customFormat="1" x14ac:dyDescent="0.25">
      <c r="B16" s="255" t="s">
        <v>220</v>
      </c>
      <c r="C16" s="255">
        <v>101.7</v>
      </c>
      <c r="D16" s="255">
        <v>101.7</v>
      </c>
      <c r="E16" s="255">
        <v>135.1</v>
      </c>
      <c r="F16" s="258">
        <v>123.1</v>
      </c>
      <c r="G16" s="258">
        <f>SUM(C16:F16)</f>
        <v>461.6</v>
      </c>
      <c r="H16" s="255">
        <v>129.30000000000001</v>
      </c>
      <c r="I16" s="255">
        <v>126.2</v>
      </c>
      <c r="J16" s="255">
        <v>138.69999999999999</v>
      </c>
      <c r="K16" s="258">
        <v>145.19999999999999</v>
      </c>
      <c r="L16" s="258">
        <f>SUM(H16:K16)</f>
        <v>539.4</v>
      </c>
      <c r="M16" s="255">
        <v>150.4</v>
      </c>
      <c r="N16" s="255">
        <v>132.80000000000001</v>
      </c>
      <c r="O16" s="255">
        <v>143.9</v>
      </c>
      <c r="P16" s="258">
        <v>138.69999999999999</v>
      </c>
      <c r="Q16" s="258">
        <f>SUM(M16:P16)</f>
        <v>565.79999999999995</v>
      </c>
      <c r="R16" s="255">
        <v>152.5</v>
      </c>
      <c r="S16" s="255">
        <v>138.69999999999999</v>
      </c>
      <c r="T16" s="255">
        <v>151.6</v>
      </c>
      <c r="U16" s="258">
        <v>141.80000000000001</v>
      </c>
      <c r="V16" s="258">
        <f>SUM(R16:U16)</f>
        <v>584.59999999999991</v>
      </c>
      <c r="W16" s="267">
        <f>W17*W9</f>
        <v>151.9676575983936</v>
      </c>
      <c r="X16" s="268">
        <f t="shared" ref="X16:Z16" si="125">X17*X9</f>
        <v>141.64226090813546</v>
      </c>
      <c r="Y16" s="268">
        <f t="shared" si="125"/>
        <v>152.99080049052714</v>
      </c>
      <c r="Z16" s="258">
        <f t="shared" si="125"/>
        <v>154.90557489298564</v>
      </c>
      <c r="AA16" s="258">
        <f>SUM(W16:Z16)</f>
        <v>601.50629389004189</v>
      </c>
      <c r="AB16" s="267">
        <f>AB17*AB9</f>
        <v>157.83194145884352</v>
      </c>
      <c r="AC16" s="268">
        <f t="shared" ref="AC16" si="126">AC17*AC9</f>
        <v>149.50644972514024</v>
      </c>
      <c r="AD16" s="268">
        <f t="shared" ref="AD16" si="127">AD17*AD9</f>
        <v>162.77408586186505</v>
      </c>
      <c r="AE16" s="258">
        <f t="shared" ref="AE16" si="128">AE17*AE9</f>
        <v>167.42277890395255</v>
      </c>
      <c r="AF16" s="258">
        <f>SUM(AB16:AE16)</f>
        <v>637.53525594980135</v>
      </c>
      <c r="AG16" s="267">
        <f t="shared" ref="AG16" si="129">AG17*AG9</f>
        <v>683.90972465247501</v>
      </c>
      <c r="AH16" s="268">
        <f t="shared" ref="AH16" si="130">AH17*AH9</f>
        <v>552.42970420463143</v>
      </c>
      <c r="AI16" s="268">
        <f t="shared" ref="AI16" si="131">AI17*AI9</f>
        <v>398.12745951351985</v>
      </c>
      <c r="AJ16" s="268">
        <f t="shared" ref="AJ16" si="132">AJ17*AJ9</f>
        <v>211.99116403100351</v>
      </c>
      <c r="AK16" s="258">
        <f t="shared" ref="AK16" si="133">AK17*AK9</f>
        <v>-17.535432180270796</v>
      </c>
    </row>
    <row r="17" spans="1:37" s="261" customFormat="1" x14ac:dyDescent="0.25">
      <c r="B17" s="261" t="s">
        <v>224</v>
      </c>
      <c r="C17" s="261">
        <f>C16/C9</f>
        <v>1.2632912650303092E-2</v>
      </c>
      <c r="D17" s="261">
        <f t="shared" ref="D17:G17" si="134">D16/D9</f>
        <v>1.3319189061763321E-2</v>
      </c>
      <c r="E17" s="261">
        <f t="shared" si="134"/>
        <v>1.6576483724126082E-2</v>
      </c>
      <c r="F17" s="264">
        <f t="shared" si="134"/>
        <v>1.4630030187064725E-2</v>
      </c>
      <c r="G17" s="264">
        <f t="shared" si="134"/>
        <v>1.4313045149967599E-2</v>
      </c>
      <c r="H17" s="261">
        <f>H16/H9</f>
        <v>1.4837732464070573E-2</v>
      </c>
      <c r="I17" s="261">
        <f t="shared" ref="I17" si="135">I16/I9</f>
        <v>1.4472150307745161E-2</v>
      </c>
      <c r="J17" s="261">
        <f t="shared" ref="J17" si="136">J16/J9</f>
        <v>1.5127686335216647E-2</v>
      </c>
      <c r="K17" s="264">
        <f t="shared" ref="K17" si="137">K16/K9</f>
        <v>1.5489813826228967E-2</v>
      </c>
      <c r="L17" s="264">
        <f t="shared" ref="L17" si="138">L16/L9</f>
        <v>1.4993352597377416E-2</v>
      </c>
      <c r="M17" s="261">
        <f>M16/M9</f>
        <v>1.5956781437073003E-2</v>
      </c>
      <c r="N17" s="261">
        <f t="shared" ref="N17" si="139">N16/N9</f>
        <v>1.5508631587638939E-2</v>
      </c>
      <c r="O17" s="261">
        <f t="shared" ref="O17" si="140">O16/O9</f>
        <v>1.5789089752280685E-2</v>
      </c>
      <c r="P17" s="264">
        <f t="shared" ref="P17" si="141">P16/P9</f>
        <v>1.5285565338394678E-2</v>
      </c>
      <c r="Q17" s="264">
        <f t="shared" ref="Q17" si="142">Q16/Q9</f>
        <v>1.5640113257531729E-2</v>
      </c>
      <c r="R17" s="261">
        <f>R16/R9</f>
        <v>1.6227277102502335E-2</v>
      </c>
      <c r="S17" s="261">
        <f t="shared" ref="S17" si="143">S16/S9</f>
        <v>1.5838944872263651E-2</v>
      </c>
      <c r="T17" s="261">
        <f t="shared" ref="T17" si="144">T16/T9</f>
        <v>1.6032117156596519E-2</v>
      </c>
      <c r="U17" s="264">
        <f t="shared" ref="U17" si="145">U16/U9</f>
        <v>1.481864800563522E-2</v>
      </c>
      <c r="V17" s="264">
        <f t="shared" ref="V17" si="146">V16/V9</f>
        <v>1.5723634757231306E-2</v>
      </c>
      <c r="W17" s="265">
        <f>V17</f>
        <v>1.5723634757231306E-2</v>
      </c>
      <c r="X17" s="265">
        <f>W17</f>
        <v>1.5723634757231306E-2</v>
      </c>
      <c r="Y17" s="265">
        <f t="shared" si="95"/>
        <v>1.5723634757231306E-2</v>
      </c>
      <c r="Z17" s="266">
        <f t="shared" si="95"/>
        <v>1.5723634757231306E-2</v>
      </c>
      <c r="AA17" s="264">
        <f t="shared" ref="AA17" si="147">AA16/AA9</f>
        <v>1.5723659418626901E-2</v>
      </c>
      <c r="AB17" s="265">
        <f>AA17</f>
        <v>1.5723659418626901E-2</v>
      </c>
      <c r="AC17" s="265">
        <f>AB17</f>
        <v>1.5723659418626901E-2</v>
      </c>
      <c r="AD17" s="265">
        <f t="shared" ref="AD17:AE17" si="148">AC17</f>
        <v>1.5723659418626901E-2</v>
      </c>
      <c r="AE17" s="266">
        <f t="shared" si="148"/>
        <v>1.5723659418626901E-2</v>
      </c>
      <c r="AF17" s="264">
        <f t="shared" ref="AF17" si="149">AF16/AF9</f>
        <v>1.5723734981708204E-2</v>
      </c>
      <c r="AG17" s="272">
        <f>AF17</f>
        <v>1.5723734981708204E-2</v>
      </c>
      <c r="AH17" s="269">
        <f>AG17-0.004</f>
        <v>1.1723734981708204E-2</v>
      </c>
      <c r="AI17" s="269">
        <f t="shared" si="124"/>
        <v>7.7237349817082038E-3</v>
      </c>
      <c r="AJ17" s="269">
        <f t="shared" si="124"/>
        <v>3.7237349817082037E-3</v>
      </c>
      <c r="AK17" s="266">
        <f t="shared" si="124"/>
        <v>-2.7626501829179639E-4</v>
      </c>
    </row>
    <row r="18" spans="1:37" s="255" customFormat="1" x14ac:dyDescent="0.25">
      <c r="B18" s="255" t="s">
        <v>221</v>
      </c>
      <c r="C18" s="255">
        <f>366+525.8</f>
        <v>891.8</v>
      </c>
      <c r="D18" s="255">
        <f>367.7+481.5</f>
        <v>849.2</v>
      </c>
      <c r="E18" s="255">
        <f>356.8+486.7</f>
        <v>843.5</v>
      </c>
      <c r="F18" s="258">
        <f>357.4+538</f>
        <v>895.4</v>
      </c>
      <c r="G18" s="258">
        <f>SUM(C18:F18)</f>
        <v>3479.9</v>
      </c>
      <c r="H18" s="255">
        <f>327.1+580.9</f>
        <v>908</v>
      </c>
      <c r="I18" s="255">
        <f>341.9+620.4</f>
        <v>962.3</v>
      </c>
      <c r="J18" s="255">
        <f>342.2+604.3</f>
        <v>946.5</v>
      </c>
      <c r="K18" s="258">
        <f>351.4+635.8</f>
        <v>987.19999999999993</v>
      </c>
      <c r="L18" s="258">
        <f>SUM(H18:K18)</f>
        <v>3804</v>
      </c>
      <c r="M18" s="255">
        <f>365.3+648</f>
        <v>1013.3</v>
      </c>
      <c r="N18" s="255">
        <f>371.9+654.6</f>
        <v>1026.5</v>
      </c>
      <c r="O18" s="255">
        <f>380.4+576</f>
        <v>956.4</v>
      </c>
      <c r="P18" s="258">
        <f>395+644.8</f>
        <v>1039.8</v>
      </c>
      <c r="Q18" s="258">
        <f>SUM(M18:P18)</f>
        <v>4036</v>
      </c>
      <c r="R18" s="255">
        <f>407.6+665.8</f>
        <v>1073.4000000000001</v>
      </c>
      <c r="S18" s="255">
        <f>418.9+632.3</f>
        <v>1051.1999999999998</v>
      </c>
      <c r="T18" s="255">
        <f>427.6+677.2</f>
        <v>1104.8000000000002</v>
      </c>
      <c r="U18" s="258">
        <f>430.8+642</f>
        <v>1072.8</v>
      </c>
      <c r="V18" s="258">
        <f>SUM(R18:U18)</f>
        <v>4302.2</v>
      </c>
      <c r="W18" s="267">
        <f>W19*W9</f>
        <v>1118.3634220318322</v>
      </c>
      <c r="X18" s="268">
        <f t="shared" ref="X18:Z18" si="150">X19*X9</f>
        <v>1042.3765564128987</v>
      </c>
      <c r="Y18" s="268">
        <f t="shared" si="150"/>
        <v>1125.8929556454773</v>
      </c>
      <c r="Z18" s="258">
        <f t="shared" si="150"/>
        <v>1139.9842016842338</v>
      </c>
      <c r="AA18" s="258">
        <f>SUM(W18:Z18)</f>
        <v>4426.6171357744415</v>
      </c>
      <c r="AB18" s="267">
        <f>AB19*AB9</f>
        <v>1161.5199769829569</v>
      </c>
      <c r="AC18" s="268">
        <f t="shared" ref="AC18" si="151">AC19*AC9</f>
        <v>1100.2508518773493</v>
      </c>
      <c r="AD18" s="268">
        <f t="shared" ref="AD18" si="152">AD19*AD9</f>
        <v>1197.8903048151144</v>
      </c>
      <c r="AE18" s="258">
        <f t="shared" ref="AE18" si="153">AE19*AE9</f>
        <v>1232.1010595288824</v>
      </c>
      <c r="AF18" s="258">
        <f>SUM(AB18:AE18)</f>
        <v>4691.762193204303</v>
      </c>
      <c r="AG18" s="267">
        <f t="shared" ref="AG18" si="154">AG19*AG9</f>
        <v>5033.0421098184706</v>
      </c>
      <c r="AH18" s="268">
        <f t="shared" ref="AH18" si="155">AH19*AH9</f>
        <v>5287.6136744981377</v>
      </c>
      <c r="AI18" s="268">
        <f t="shared" ref="AI18" si="156">AI19*AI9</f>
        <v>5603.7911441357992</v>
      </c>
      <c r="AJ18" s="268">
        <f t="shared" ref="AJ18" si="157">AJ19*AJ9</f>
        <v>5989.8270042277927</v>
      </c>
      <c r="AK18" s="258">
        <f t="shared" ref="AK18" si="158">AK19*AK9</f>
        <v>6678.2990437286826</v>
      </c>
    </row>
    <row r="19" spans="1:37" s="261" customFormat="1" x14ac:dyDescent="0.25">
      <c r="B19" s="261" t="s">
        <v>224</v>
      </c>
      <c r="C19" s="261">
        <f>C18/C9</f>
        <v>0.11077710424326742</v>
      </c>
      <c r="D19" s="261">
        <f t="shared" ref="D19:G19" si="159">D18/D9</f>
        <v>0.11121588349311123</v>
      </c>
      <c r="E19" s="261">
        <f t="shared" si="159"/>
        <v>0.10349566262990638</v>
      </c>
      <c r="F19" s="264">
        <f t="shared" si="159"/>
        <v>0.10641534548739037</v>
      </c>
      <c r="G19" s="264">
        <f t="shared" si="159"/>
        <v>0.10790287222134368</v>
      </c>
      <c r="H19" s="261">
        <f>H18/H9</f>
        <v>0.10419691475155514</v>
      </c>
      <c r="I19" s="261">
        <f t="shared" ref="I19" si="160">I18/I9</f>
        <v>0.11035301300430402</v>
      </c>
      <c r="J19" s="261">
        <f t="shared" ref="J19" si="161">J18/J9</f>
        <v>0.10323255310946328</v>
      </c>
      <c r="K19" s="264">
        <f t="shared" ref="K19" si="162">K18/K9</f>
        <v>0.10531366535298371</v>
      </c>
      <c r="L19" s="264">
        <f t="shared" ref="L19" si="163">L18/L9</f>
        <v>0.10573732532522005</v>
      </c>
      <c r="M19" s="261">
        <f>M18/M9</f>
        <v>0.10750669301985422</v>
      </c>
      <c r="N19" s="261">
        <f t="shared" ref="N19" si="164">N18/N9</f>
        <v>0.11987658377041695</v>
      </c>
      <c r="O19" s="261">
        <f t="shared" ref="O19" si="165">O18/O9</f>
        <v>0.10493874523336515</v>
      </c>
      <c r="P19" s="264">
        <f t="shared" ref="P19" si="166">P18/P9</f>
        <v>0.11459214736022197</v>
      </c>
      <c r="Q19" s="264">
        <f t="shared" ref="Q19" si="167">Q18/Q9</f>
        <v>0.11156503553799586</v>
      </c>
      <c r="R19" s="261">
        <f>R18/R9</f>
        <v>0.11421874912672793</v>
      </c>
      <c r="S19" s="261">
        <f t="shared" ref="S19" si="168">S18/S9</f>
        <v>0.12004252955820871</v>
      </c>
      <c r="T19" s="261">
        <f t="shared" ref="T19" si="169">T18/T9</f>
        <v>0.11683564006997253</v>
      </c>
      <c r="U19" s="264">
        <f t="shared" ref="U19" si="170">U18/U9</f>
        <v>0.11211174598339535</v>
      </c>
      <c r="V19" s="264">
        <f t="shared" ref="V19" si="171">V18/V9</f>
        <v>0.11571368705535501</v>
      </c>
      <c r="W19" s="265">
        <f>V19</f>
        <v>0.11571368705535501</v>
      </c>
      <c r="X19" s="265">
        <f>W19</f>
        <v>0.11571368705535501</v>
      </c>
      <c r="Y19" s="265">
        <f t="shared" si="95"/>
        <v>0.11571368705535501</v>
      </c>
      <c r="Z19" s="266">
        <f t="shared" si="95"/>
        <v>0.11571368705535501</v>
      </c>
      <c r="AA19" s="264">
        <f t="shared" ref="AA19" si="172">AA18/AA9</f>
        <v>0.11571386854399018</v>
      </c>
      <c r="AB19" s="265">
        <f>AA19</f>
        <v>0.11571386854399018</v>
      </c>
      <c r="AC19" s="265">
        <f>AB19</f>
        <v>0.11571386854399018</v>
      </c>
      <c r="AD19" s="265">
        <f t="shared" ref="AD19:AE19" si="173">AC19</f>
        <v>0.11571386854399018</v>
      </c>
      <c r="AE19" s="266">
        <f t="shared" si="173"/>
        <v>0.11571386854399018</v>
      </c>
      <c r="AF19" s="264">
        <f t="shared" ref="AF19" si="174">AF18/AF9</f>
        <v>0.11571442462932781</v>
      </c>
      <c r="AG19" s="272">
        <f>AF19</f>
        <v>0.11571442462932781</v>
      </c>
      <c r="AH19" s="269">
        <f>AG19-0.0035</f>
        <v>0.11221442462932781</v>
      </c>
      <c r="AI19" s="269">
        <f t="shared" ref="AI19:AK19" si="175">AH19-0.0035</f>
        <v>0.1087144246293278</v>
      </c>
      <c r="AJ19" s="269">
        <f t="shared" si="175"/>
        <v>0.1052144246293278</v>
      </c>
      <c r="AK19" s="266">
        <f>AJ19</f>
        <v>0.1052144246293278</v>
      </c>
    </row>
    <row r="20" spans="1:37" s="256" customFormat="1" x14ac:dyDescent="0.25">
      <c r="A20" s="256" t="s">
        <v>222</v>
      </c>
      <c r="C20" s="256">
        <f>C9-SUM(C12:C18)</f>
        <v>1129.2511428003572</v>
      </c>
      <c r="D20" s="256">
        <f>D9-SUM(D12:D18)</f>
        <v>903.4296348682492</v>
      </c>
      <c r="E20" s="256">
        <f>E9-SUM(E12:E18)</f>
        <v>1254.6575305824472</v>
      </c>
      <c r="F20" s="259">
        <f>F9-SUM(F12:F18)</f>
        <v>1139.2419005966103</v>
      </c>
      <c r="G20" s="259">
        <f>G9-SUM(G12:G18)</f>
        <v>4428.8452535325196</v>
      </c>
      <c r="H20" s="256">
        <f>H9-SUM(H12:H18)</f>
        <v>1200.711607063171</v>
      </c>
      <c r="I20" s="256">
        <f>I9-SUM(I12:I18)</f>
        <v>1193.2441588995771</v>
      </c>
      <c r="J20" s="256">
        <f>J9-SUM(J12:J18)</f>
        <v>1520.8886971459606</v>
      </c>
      <c r="K20" s="259">
        <f>K9-SUM(K12:K18)</f>
        <v>1586.3768306375241</v>
      </c>
      <c r="L20" s="259">
        <f>L9-SUM(L12:L18)</f>
        <v>5502.4018098680463</v>
      </c>
      <c r="M20" s="256">
        <f>M9-SUM(M12:M18)</f>
        <v>1428.9188637083007</v>
      </c>
      <c r="N20" s="256">
        <f>N9-SUM(N12:N18)</f>
        <v>1030.1136796781457</v>
      </c>
      <c r="O20" s="256">
        <f>O9-SUM(O12:O18)</f>
        <v>1442.8516102192889</v>
      </c>
      <c r="P20" s="259">
        <f>P9-SUM(P12:P18)</f>
        <v>1102.6563895685595</v>
      </c>
      <c r="Q20" s="259">
        <f>Q9-SUM(Q12:Q18)</f>
        <v>5006.7586021047427</v>
      </c>
      <c r="R20" s="256">
        <f>R9-SUM(R12:R18)</f>
        <v>1074.3851942115944</v>
      </c>
      <c r="S20" s="256">
        <f>S9-SUM(S12:S18)</f>
        <v>652.59109979164259</v>
      </c>
      <c r="T20" s="256">
        <f>T9-SUM(T12:T18)</f>
        <v>898.53066393828703</v>
      </c>
      <c r="U20" s="259">
        <f>U9-SUM(U12:U18)</f>
        <v>947.2352909916408</v>
      </c>
      <c r="V20" s="259">
        <f>V9-SUM(V12:V18)</f>
        <v>3575.1104180478142</v>
      </c>
      <c r="W20" s="256">
        <f>W9-SUM(W12:W18)</f>
        <v>928.77214348937741</v>
      </c>
      <c r="X20" s="256">
        <f>X9-SUM(X12:X18)</f>
        <v>865.61345241753861</v>
      </c>
      <c r="Y20" s="256">
        <f>Y9-SUM(Y12:Y18)</f>
        <v>935.03053411446308</v>
      </c>
      <c r="Z20" s="259">
        <f>Z9-SUM(Z12:Z18)</f>
        <v>946.74288266483381</v>
      </c>
      <c r="AA20" s="259">
        <f>AA9-SUM(AA12:AA18)</f>
        <v>3678.4633340101791</v>
      </c>
      <c r="AB20" s="256">
        <f>AB9-SUM(AB12:AB18)</f>
        <v>964.62722309610945</v>
      </c>
      <c r="AC20" s="256">
        <f>AC9-SUM(AC12:AC18)</f>
        <v>923.21181509816779</v>
      </c>
      <c r="AD20" s="256">
        <f>AD9-SUM(AD12:AD18)</f>
        <v>1015.5633363119941</v>
      </c>
      <c r="AE20" s="259">
        <f>AE9-SUM(AE12:AE18)</f>
        <v>1055.2382597903197</v>
      </c>
      <c r="AF20" s="259">
        <f>AF9-SUM(AF12:AF18)</f>
        <v>3960.8056379108457</v>
      </c>
      <c r="AG20" s="256">
        <f>AG9-SUM(AG12:AG18)</f>
        <v>4118.4836936298161</v>
      </c>
      <c r="AH20" s="256">
        <f>AH9-SUM(AH12:AH18)</f>
        <v>5168.6375361063474</v>
      </c>
      <c r="AI20" s="256">
        <f>AI9-SUM(AI12:AI18)</f>
        <v>6427.3264466627661</v>
      </c>
      <c r="AJ20" s="256">
        <f>AJ9-SUM(AJ12:AJ18)</f>
        <v>7952.6679864727048</v>
      </c>
      <c r="AK20" s="259">
        <f>AK9-SUM(AK12:AK18)</f>
        <v>9596.7898001558642</v>
      </c>
    </row>
    <row r="21" spans="1:37" s="261" customFormat="1" x14ac:dyDescent="0.25">
      <c r="B21" s="261" t="s">
        <v>224</v>
      </c>
      <c r="C21" s="261">
        <f>C20/C9</f>
        <v>0.14027267499756002</v>
      </c>
      <c r="D21" s="261">
        <f t="shared" ref="D21:G21" si="176">D20/D9</f>
        <v>0.11831809351828923</v>
      </c>
      <c r="E21" s="261">
        <f t="shared" si="176"/>
        <v>0.15394382039268809</v>
      </c>
      <c r="F21" s="264">
        <f t="shared" si="176"/>
        <v>0.13539515350200976</v>
      </c>
      <c r="G21" s="264">
        <f t="shared" si="176"/>
        <v>0.13732725753039568</v>
      </c>
      <c r="H21" s="261">
        <f>H20/H9</f>
        <v>0.13778683365899119</v>
      </c>
      <c r="I21" s="261">
        <f t="shared" ref="I21" si="177">I20/I9</f>
        <v>0.13683683693687504</v>
      </c>
      <c r="J21" s="261">
        <f t="shared" ref="J21" si="178">J20/J9</f>
        <v>0.16587979207786877</v>
      </c>
      <c r="K21" s="264">
        <f t="shared" ref="K21" si="179">K20/K9</f>
        <v>0.16923334548773009</v>
      </c>
      <c r="L21" s="264">
        <f t="shared" ref="L21" si="180">L20/L9</f>
        <v>0.15294670090433679</v>
      </c>
      <c r="M21" s="261">
        <f>M20/M9</f>
        <v>0.15160203457117061</v>
      </c>
      <c r="N21" s="261">
        <f t="shared" ref="N21" si="181">N20/N9</f>
        <v>0.12029859602044782</v>
      </c>
      <c r="O21" s="261">
        <f t="shared" ref="O21" si="182">O20/O9</f>
        <v>0.15831350641400319</v>
      </c>
      <c r="P21" s="264">
        <f t="shared" ref="P21" si="183">P20/P9</f>
        <v>0.12151929551945632</v>
      </c>
      <c r="Q21" s="264">
        <f t="shared" ref="Q21" si="184">Q20/Q9</f>
        <v>0.13839920747620962</v>
      </c>
      <c r="R21" s="261">
        <f>R20/R9</f>
        <v>0.11432358204129398</v>
      </c>
      <c r="S21" s="261">
        <f t="shared" ref="S21" si="185">S20/S9</f>
        <v>7.452310348759722E-2</v>
      </c>
      <c r="T21" s="261">
        <f t="shared" ref="T21" si="186">T20/T9</f>
        <v>9.5022090191642955E-2</v>
      </c>
      <c r="U21" s="264">
        <f t="shared" ref="U21" si="187">U20/U9</f>
        <v>9.8989748629905311E-2</v>
      </c>
      <c r="V21" s="264">
        <f t="shared" ref="V21" si="188">V20/V9</f>
        <v>9.6157595672522009E-2</v>
      </c>
      <c r="W21" s="261">
        <f>W20/W9</f>
        <v>9.6097249820820865E-2</v>
      </c>
      <c r="X21" s="261">
        <f t="shared" ref="X21" si="189">X20/X9</f>
        <v>9.6091305515002903E-2</v>
      </c>
      <c r="Y21" s="261">
        <f t="shared" ref="Y21" si="190">Y20/Y9</f>
        <v>9.6097795149356346E-2</v>
      </c>
      <c r="Z21" s="264">
        <f t="shared" ref="Z21" si="191">Z20/Z9</f>
        <v>9.609879635587093E-2</v>
      </c>
      <c r="AA21" s="264">
        <f t="shared" ref="AA21" si="192">AA20/AA9</f>
        <v>9.6156773811673674E-2</v>
      </c>
      <c r="AB21" s="261">
        <f>AB20/AB9</f>
        <v>9.6098861749439643E-2</v>
      </c>
      <c r="AC21" s="261">
        <f t="shared" ref="AC21" si="193">AC20/AC9</f>
        <v>9.7094594771953577E-2</v>
      </c>
      <c r="AD21" s="261">
        <f t="shared" ref="AD21" si="194">AD20/AD9</f>
        <v>9.8101438774262167E-2</v>
      </c>
      <c r="AE21" s="264">
        <f t="shared" ref="AE21" si="195">AE20/AE9</f>
        <v>9.9103641159642764E-2</v>
      </c>
      <c r="AF21" s="264">
        <f t="shared" ref="AF21" si="196">AF20/AF9</f>
        <v>9.7686610400522816E-2</v>
      </c>
      <c r="AG21" s="274">
        <f>AG20/AG9</f>
        <v>9.4687856877643237E-2</v>
      </c>
      <c r="AH21" s="271">
        <f t="shared" ref="AH21:AK21" si="197">AH20/AH9</f>
        <v>0.10968949755709401</v>
      </c>
      <c r="AI21" s="271">
        <f t="shared" si="197"/>
        <v>0.12469113829929555</v>
      </c>
      <c r="AJ21" s="271">
        <f t="shared" si="197"/>
        <v>0.13969274669772741</v>
      </c>
      <c r="AK21" s="264">
        <f t="shared" si="197"/>
        <v>0.15119429520907549</v>
      </c>
    </row>
    <row r="22" spans="1:37" s="255" customFormat="1" x14ac:dyDescent="0.25"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</row>
    <row r="23" spans="1:37" s="255" customFormat="1" x14ac:dyDescent="0.25"/>
    <row r="24" spans="1:37" s="255" customFormat="1" x14ac:dyDescent="0.25"/>
    <row r="25" spans="1:37" s="255" customFormat="1" x14ac:dyDescent="0.25"/>
    <row r="26" spans="1:37" s="255" customFormat="1" x14ac:dyDescent="0.25"/>
    <row r="27" spans="1:37" s="255" customFormat="1" x14ac:dyDescent="0.25"/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G12" sqref="G12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2" width="11.7109375" style="4" customWidth="1"/>
    <col min="13" max="20" width="11.42578125" style="4" customWidth="1"/>
    <col min="21" max="16384" width="9" style="4"/>
  </cols>
  <sheetData>
    <row r="1" spans="1:20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20" x14ac:dyDescent="0.25">
      <c r="A2" s="62" t="s">
        <v>126</v>
      </c>
      <c r="B2" s="241" t="s">
        <v>127</v>
      </c>
      <c r="C2" s="241">
        <v>2023</v>
      </c>
      <c r="D2" s="241">
        <f>C2+1</f>
        <v>2024</v>
      </c>
      <c r="E2" s="241">
        <f t="shared" ref="E2:J2" si="0">D2+1</f>
        <v>2025</v>
      </c>
      <c r="F2" s="241">
        <f t="shared" si="0"/>
        <v>2026</v>
      </c>
      <c r="G2" s="241">
        <f t="shared" si="0"/>
        <v>2027</v>
      </c>
      <c r="H2" s="241">
        <f t="shared" si="0"/>
        <v>2028</v>
      </c>
      <c r="I2" s="241">
        <f t="shared" si="0"/>
        <v>2029</v>
      </c>
      <c r="J2" s="241">
        <f t="shared" si="0"/>
        <v>2030</v>
      </c>
      <c r="K2" s="241">
        <f t="shared" ref="K2" si="1">J2+1</f>
        <v>2031</v>
      </c>
      <c r="L2" s="241">
        <f t="shared" ref="L2" si="2">K2+1</f>
        <v>2032</v>
      </c>
    </row>
    <row r="3" spans="1:20" x14ac:dyDescent="0.25">
      <c r="A3" s="84"/>
      <c r="B3" s="157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20" x14ac:dyDescent="0.25">
      <c r="B4" s="92" t="s">
        <v>133</v>
      </c>
      <c r="C4"/>
      <c r="D4" s="238">
        <v>1</v>
      </c>
      <c r="E4"/>
      <c r="F4"/>
      <c r="G4" s="87"/>
      <c r="H4" s="87"/>
      <c r="I4" s="87"/>
      <c r="J4" s="87"/>
      <c r="K4" s="87"/>
      <c r="L4" s="87"/>
      <c r="M4" s="210"/>
      <c r="N4" s="211"/>
      <c r="O4" s="211"/>
    </row>
    <row r="5" spans="1:20" x14ac:dyDescent="0.25">
      <c r="B5" s="86"/>
      <c r="C5" s="88"/>
      <c r="D5" s="111" t="s">
        <v>128</v>
      </c>
      <c r="E5" s="89"/>
      <c r="M5" s="212"/>
      <c r="N5" s="213"/>
      <c r="O5" s="213"/>
    </row>
    <row r="6" spans="1:20" x14ac:dyDescent="0.25">
      <c r="B6" s="90" t="s">
        <v>134</v>
      </c>
      <c r="D6" s="99">
        <v>0</v>
      </c>
      <c r="E6" s="91"/>
      <c r="F6" s="99">
        <f>'Quarterly Projections'!AA10</f>
        <v>2.8917807854869082E-2</v>
      </c>
      <c r="G6" s="99">
        <f>'Quarterly Projections'!AF10</f>
        <v>5.9892803519524529E-2</v>
      </c>
      <c r="H6" s="99">
        <f>'Quarterly Projections'!AG10</f>
        <v>7.2740241845268283E-2</v>
      </c>
      <c r="I6" s="99">
        <f>'Quarterly Projections'!AH10</f>
        <v>8.3347951081823579E-2</v>
      </c>
      <c r="J6" s="99">
        <f>'Quarterly Projections'!AI10</f>
        <v>9.3915406248316735E-2</v>
      </c>
      <c r="K6" s="99">
        <f>'Quarterly Projections'!AJ10</f>
        <v>0.10444533722936855</v>
      </c>
      <c r="L6" s="99">
        <f>'Quarterly Projections'!AK10</f>
        <v>0.11494022098049683</v>
      </c>
      <c r="M6" s="169"/>
      <c r="N6" s="214"/>
      <c r="O6" s="214"/>
      <c r="P6" s="214"/>
      <c r="Q6" s="214"/>
      <c r="R6" s="214"/>
      <c r="S6" s="214"/>
      <c r="T6" s="214"/>
    </row>
    <row r="7" spans="1:20" x14ac:dyDescent="0.25">
      <c r="B7" s="4" t="s">
        <v>130</v>
      </c>
      <c r="D7" s="99">
        <v>2.5000000000000001E-2</v>
      </c>
      <c r="E7" s="91"/>
      <c r="F7" s="99">
        <f>F6+$D$7</f>
        <v>5.3917807854869083E-2</v>
      </c>
      <c r="G7" s="99">
        <f t="shared" ref="G7:J7" si="3">G6+$D$7</f>
        <v>8.4892803519524523E-2</v>
      </c>
      <c r="H7" s="99">
        <f t="shared" si="3"/>
        <v>9.7740241845268278E-2</v>
      </c>
      <c r="I7" s="99">
        <f t="shared" si="3"/>
        <v>0.10834795108182357</v>
      </c>
      <c r="J7" s="99">
        <f t="shared" si="3"/>
        <v>0.11891540624831673</v>
      </c>
      <c r="K7" s="99">
        <f t="shared" ref="K7:L7" si="4">K6+$D$7</f>
        <v>0.12944533722936855</v>
      </c>
      <c r="L7" s="99">
        <f t="shared" si="4"/>
        <v>0.13994022098049683</v>
      </c>
      <c r="M7" s="169"/>
      <c r="N7" s="169"/>
      <c r="O7" s="169"/>
      <c r="P7" s="169"/>
      <c r="Q7" s="169"/>
      <c r="R7" s="169"/>
      <c r="S7" s="169"/>
      <c r="T7" s="169"/>
    </row>
    <row r="8" spans="1:20" x14ac:dyDescent="0.25">
      <c r="B8" s="4" t="s">
        <v>129</v>
      </c>
      <c r="D8" s="99">
        <v>-2.5000000000000001E-2</v>
      </c>
      <c r="E8" s="91"/>
      <c r="F8" s="99">
        <f>F6+$D$8</f>
        <v>3.9178078548690806E-3</v>
      </c>
      <c r="G8" s="99">
        <f t="shared" ref="G8:J8" si="5">G6+$D$8</f>
        <v>3.4892803519524528E-2</v>
      </c>
      <c r="H8" s="99">
        <f t="shared" si="5"/>
        <v>4.7740241845268282E-2</v>
      </c>
      <c r="I8" s="99">
        <f t="shared" si="5"/>
        <v>5.8347951081823578E-2</v>
      </c>
      <c r="J8" s="99">
        <f t="shared" si="5"/>
        <v>6.8915406248316741E-2</v>
      </c>
      <c r="K8" s="99">
        <f t="shared" ref="K8:L8" si="6">K6+$D$8</f>
        <v>7.9445337229368557E-2</v>
      </c>
      <c r="L8" s="99">
        <f t="shared" si="6"/>
        <v>8.9940220980496838E-2</v>
      </c>
    </row>
    <row r="9" spans="1:20" x14ac:dyDescent="0.25">
      <c r="M9" s="169"/>
      <c r="N9" s="169"/>
    </row>
    <row r="10" spans="1:20" x14ac:dyDescent="0.25">
      <c r="B10" s="116" t="s">
        <v>151</v>
      </c>
      <c r="C10" s="187"/>
      <c r="D10" s="251">
        <f>'Quarterly Projections'!Q10</f>
        <v>5.5666507840290702E-3</v>
      </c>
      <c r="E10" s="188">
        <f>'Quarterly Projections'!V10</f>
        <v>2.7738946307469536E-2</v>
      </c>
      <c r="F10" s="103">
        <f t="shared" ref="F10" si="7">CHOOSE(ScenarioREV,F6,F7,F8)</f>
        <v>2.8917807854869082E-2</v>
      </c>
      <c r="G10" s="103">
        <f t="shared" ref="G10:J10" si="8">CHOOSE(ScenarioREV,G6,G7,G8)</f>
        <v>5.9892803519524529E-2</v>
      </c>
      <c r="H10" s="103">
        <f t="shared" si="8"/>
        <v>7.2740241845268283E-2</v>
      </c>
      <c r="I10" s="103">
        <f t="shared" si="8"/>
        <v>8.3347951081823579E-2</v>
      </c>
      <c r="J10" s="103">
        <f t="shared" si="8"/>
        <v>9.3915406248316735E-2</v>
      </c>
      <c r="K10" s="103">
        <f t="shared" ref="K10:L10" si="9">CHOOSE(ScenarioREV,K6,K7,K8)</f>
        <v>0.10444533722936855</v>
      </c>
      <c r="L10" s="103">
        <f t="shared" si="9"/>
        <v>0.11494022098049683</v>
      </c>
      <c r="M10" s="169"/>
      <c r="N10" s="169"/>
    </row>
    <row r="11" spans="1:20" x14ac:dyDescent="0.25">
      <c r="B11" s="4" t="s">
        <v>135</v>
      </c>
      <c r="C11" s="8">
        <f>'Quarterly Projections'!L13</f>
        <v>0.3171341461883545</v>
      </c>
      <c r="D11" s="8">
        <f>'Quarterly Projections'!Q13</f>
        <v>0.31182095723150699</v>
      </c>
      <c r="E11" s="8">
        <f>'Quarterly Projections'!V13</f>
        <v>0.31356359686410201</v>
      </c>
      <c r="F11" s="99">
        <f>'Quarterly Projections'!AA13</f>
        <v>0.31356408866615837</v>
      </c>
      <c r="G11" s="99">
        <f t="shared" ref="G11:J11" si="10">F11</f>
        <v>0.31356408866615837</v>
      </c>
      <c r="H11" s="99">
        <f t="shared" si="10"/>
        <v>0.31356408866615837</v>
      </c>
      <c r="I11" s="99">
        <f t="shared" si="10"/>
        <v>0.31356408866615837</v>
      </c>
      <c r="J11" s="99">
        <f t="shared" si="10"/>
        <v>0.31356408866615837</v>
      </c>
      <c r="K11" s="99">
        <f t="shared" ref="K11:K13" si="11">J11</f>
        <v>0.31356408866615837</v>
      </c>
      <c r="L11" s="99">
        <f t="shared" ref="L11:L13" si="12">K11</f>
        <v>0.31356408866615837</v>
      </c>
      <c r="M11" s="169"/>
      <c r="N11" s="169"/>
    </row>
    <row r="12" spans="1:20" x14ac:dyDescent="0.25">
      <c r="B12" s="4" t="s">
        <v>45</v>
      </c>
      <c r="C12" s="8">
        <f>SUM('Quarterly Projections'!L15,'Quarterly Projections'!L17,'Quarterly Projections'!L19)</f>
        <v>0.52989854759985933</v>
      </c>
      <c r="D12" s="187">
        <f>SUM('Quarterly Projections'!Q15,'Quarterly Projections'!Q17,'Quarterly Projections'!Q19)</f>
        <v>0.54975910301951669</v>
      </c>
      <c r="E12" s="8">
        <f>SUM('Quarterly Projections'!V15,'Quarterly Projections'!V17,'Quarterly Projections'!V19)</f>
        <v>0.59025761020919498</v>
      </c>
      <c r="F12" s="99">
        <f>SUM('Quarterly Projections'!AA15,'Quarterly Projections'!AA17,'Quarterly Projections'!AA19)</f>
        <v>0.59025853598600508</v>
      </c>
      <c r="G12" s="99">
        <f>SUM('Quarterly Projections'!AF15,'Quarterly Projections'!AF17,'Quarterly Projections'!AF19)</f>
        <v>0.58872839437831415</v>
      </c>
      <c r="H12" s="99">
        <f>SUM('Quarterly Projections'!AG15,'Quarterly Projections'!AG17,'Quarterly Projections'!AG19)</f>
        <v>0.58872839437831415</v>
      </c>
      <c r="I12" s="99">
        <f>SUM('Quarterly Projections'!AH15,'Quarterly Projections'!AH17,'Quarterly Projections'!AH19)</f>
        <v>0.57722839437831408</v>
      </c>
      <c r="J12" s="99">
        <f>SUM('Quarterly Projections'!AI15,'Quarterly Projections'!AI17,'Quarterly Projections'!AI19)</f>
        <v>0.56572839437831413</v>
      </c>
      <c r="K12" s="99">
        <f>SUM('Quarterly Projections'!AJ15,'Quarterly Projections'!AJ17,'Quarterly Projections'!AJ19)</f>
        <v>0.55422839437831406</v>
      </c>
      <c r="L12" s="99">
        <f>SUM('Quarterly Projections'!AK15,'Quarterly Projections'!AK17,'Quarterly Projections'!AK19)</f>
        <v>0.54622839437831405</v>
      </c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0">
        <f>E13</f>
        <v>0</v>
      </c>
      <c r="G13" s="100">
        <f t="shared" ref="G13:J13" si="13">F13</f>
        <v>0</v>
      </c>
      <c r="H13" s="100">
        <f t="shared" si="13"/>
        <v>0</v>
      </c>
      <c r="I13" s="100">
        <f t="shared" si="13"/>
        <v>0</v>
      </c>
      <c r="J13" s="100">
        <f t="shared" si="13"/>
        <v>0</v>
      </c>
      <c r="K13" s="100">
        <f t="shared" si="11"/>
        <v>0</v>
      </c>
      <c r="L13" s="100">
        <f t="shared" si="12"/>
        <v>0</v>
      </c>
    </row>
    <row r="14" spans="1:20" x14ac:dyDescent="0.25">
      <c r="B14" s="4" t="s">
        <v>138</v>
      </c>
      <c r="C14" s="4">
        <f>IncState!C25</f>
        <v>0</v>
      </c>
      <c r="D14" s="4">
        <f>IncState!D25</f>
        <v>0</v>
      </c>
      <c r="E14" s="4">
        <f>IncState!E25</f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</row>
    <row r="15" spans="1:20" x14ac:dyDescent="0.25">
      <c r="B15" s="4" t="s">
        <v>140</v>
      </c>
      <c r="C15" s="4">
        <f>IncState!C26</f>
        <v>0</v>
      </c>
      <c r="D15" s="4">
        <f>IncState!D26</f>
        <v>0</v>
      </c>
      <c r="E15" s="4">
        <f>IncState!E26</f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</row>
    <row r="16" spans="1:20" x14ac:dyDescent="0.25">
      <c r="B16" s="4" t="s">
        <v>48</v>
      </c>
      <c r="C16" s="8">
        <f>IncState!C33/IncState!C31</f>
        <v>0.23592781800117338</v>
      </c>
      <c r="D16" s="8">
        <f>IncState!D33/IncState!D31</f>
        <v>0.281407829522827</v>
      </c>
      <c r="E16" s="8">
        <f>IncState!E33/IncState!E31</f>
        <v>0.30238800199273014</v>
      </c>
      <c r="F16" s="99">
        <v>0.19</v>
      </c>
      <c r="G16" s="99">
        <f>F16+0.01</f>
        <v>0.2</v>
      </c>
      <c r="H16" s="99">
        <f t="shared" ref="H16:I16" si="14">G16+0.01</f>
        <v>0.21000000000000002</v>
      </c>
      <c r="I16" s="99">
        <f t="shared" si="14"/>
        <v>0.22000000000000003</v>
      </c>
      <c r="J16" s="99">
        <f t="shared" ref="G16:J16" si="15">I16</f>
        <v>0.22000000000000003</v>
      </c>
      <c r="K16" s="99">
        <f t="shared" ref="K16:K19" si="16">J16</f>
        <v>0.22000000000000003</v>
      </c>
      <c r="L16" s="99">
        <f t="shared" ref="L16:L19" si="17">K16</f>
        <v>0.22000000000000003</v>
      </c>
    </row>
    <row r="17" spans="1:12" s="244" customFormat="1" x14ac:dyDescent="0.25">
      <c r="B17" s="244" t="s">
        <v>141</v>
      </c>
      <c r="C17" s="244">
        <f>IncState!C35</f>
        <v>1.9621954391745426</v>
      </c>
      <c r="D17" s="244">
        <f>IncState!D35</f>
        <v>2.1198116498081618</v>
      </c>
      <c r="E17" s="244">
        <f>IncState!E35</f>
        <v>2.2799435526547893</v>
      </c>
      <c r="F17" s="245">
        <f>E17+(E17-D17)</f>
        <v>2.4400754555014168</v>
      </c>
      <c r="G17" s="245">
        <f t="shared" ref="G17:L17" si="18">F17+(F17-E17)</f>
        <v>2.6002073583480443</v>
      </c>
      <c r="H17" s="245">
        <f t="shared" si="18"/>
        <v>2.7603392611946718</v>
      </c>
      <c r="I17" s="245">
        <f t="shared" si="18"/>
        <v>2.9204711640412993</v>
      </c>
      <c r="J17" s="245">
        <f t="shared" si="18"/>
        <v>3.0806030668879267</v>
      </c>
      <c r="K17" s="245">
        <f t="shared" si="18"/>
        <v>3.2407349697345542</v>
      </c>
      <c r="L17" s="245">
        <f t="shared" si="18"/>
        <v>3.4008668725811817</v>
      </c>
    </row>
    <row r="18" spans="1:12" x14ac:dyDescent="0.25">
      <c r="B18" s="4" t="s">
        <v>49</v>
      </c>
      <c r="C18" s="4">
        <f>IncState!C38</f>
        <v>1153.3</v>
      </c>
      <c r="D18" s="4">
        <f>IncState!D38</f>
        <v>1146.8</v>
      </c>
      <c r="E18" s="4">
        <f>IncState!E38</f>
        <v>1133.8</v>
      </c>
      <c r="F18" s="100">
        <f>E18</f>
        <v>1133.8</v>
      </c>
      <c r="G18" s="100">
        <f t="shared" ref="G18:J18" si="19">F18</f>
        <v>1133.8</v>
      </c>
      <c r="H18" s="100">
        <f t="shared" si="19"/>
        <v>1133.8</v>
      </c>
      <c r="I18" s="100">
        <f t="shared" si="19"/>
        <v>1133.8</v>
      </c>
      <c r="J18" s="100">
        <f t="shared" si="19"/>
        <v>1133.8</v>
      </c>
      <c r="K18" s="100">
        <f t="shared" si="16"/>
        <v>1133.8</v>
      </c>
      <c r="L18" s="100">
        <f t="shared" si="17"/>
        <v>1133.8</v>
      </c>
    </row>
    <row r="19" spans="1:12" x14ac:dyDescent="0.25">
      <c r="B19" s="4" t="s">
        <v>50</v>
      </c>
      <c r="C19" s="4">
        <f>IncState!C39</f>
        <v>1158.5</v>
      </c>
      <c r="D19" s="4">
        <f>IncState!D39</f>
        <v>1151.3</v>
      </c>
      <c r="E19" s="4">
        <f>IncState!E39</f>
        <v>1137.3</v>
      </c>
      <c r="F19" s="100">
        <f>E19</f>
        <v>1137.3</v>
      </c>
      <c r="G19" s="100">
        <f t="shared" ref="G19:J19" si="20">F19</f>
        <v>1137.3</v>
      </c>
      <c r="H19" s="100">
        <f t="shared" si="20"/>
        <v>1137.3</v>
      </c>
      <c r="I19" s="100">
        <f t="shared" si="20"/>
        <v>1137.3</v>
      </c>
      <c r="J19" s="100">
        <f t="shared" si="20"/>
        <v>1137.3</v>
      </c>
      <c r="K19" s="100">
        <f t="shared" si="16"/>
        <v>1137.3</v>
      </c>
      <c r="L19" s="100">
        <f t="shared" si="17"/>
        <v>1137.3</v>
      </c>
    </row>
    <row r="20" spans="1:12" x14ac:dyDescent="0.25">
      <c r="F20" s="102"/>
      <c r="G20" s="102"/>
      <c r="H20" s="102"/>
      <c r="I20" s="102"/>
      <c r="J20" s="102"/>
      <c r="K20" s="102"/>
      <c r="L20" s="102"/>
    </row>
    <row r="21" spans="1:12" x14ac:dyDescent="0.25">
      <c r="A21" s="62" t="s">
        <v>126</v>
      </c>
      <c r="B21" s="105" t="s">
        <v>146</v>
      </c>
      <c r="C21" s="241">
        <f>C2</f>
        <v>2023</v>
      </c>
      <c r="D21" s="241">
        <f>D2</f>
        <v>2024</v>
      </c>
      <c r="E21" s="241">
        <f>E2</f>
        <v>2025</v>
      </c>
      <c r="F21" s="241">
        <f>F2</f>
        <v>2026</v>
      </c>
      <c r="G21" s="241">
        <f>G2</f>
        <v>2027</v>
      </c>
      <c r="H21" s="241">
        <f>H2</f>
        <v>2028</v>
      </c>
      <c r="I21" s="241">
        <f>I2</f>
        <v>2029</v>
      </c>
      <c r="J21" s="241">
        <f>J2</f>
        <v>2030</v>
      </c>
      <c r="K21" s="241">
        <f>K2</f>
        <v>2031</v>
      </c>
      <c r="L21" s="241">
        <f>L2</f>
        <v>2032</v>
      </c>
    </row>
    <row r="22" spans="1:12" x14ac:dyDescent="0.25">
      <c r="A22" s="84"/>
      <c r="B22" s="157"/>
      <c r="C22" s="192"/>
      <c r="D22" s="192"/>
      <c r="E22" s="192"/>
      <c r="F22" s="193"/>
      <c r="G22" s="193"/>
      <c r="H22" s="193"/>
      <c r="I22" s="193"/>
      <c r="J22" s="193"/>
      <c r="K22" s="193"/>
      <c r="L22" s="193"/>
    </row>
    <row r="23" spans="1:12" x14ac:dyDescent="0.25">
      <c r="B23" s="4" t="s">
        <v>139</v>
      </c>
      <c r="E23" s="8">
        <v>5.8479999999999997E-2</v>
      </c>
      <c r="F23" s="99">
        <f>E23</f>
        <v>5.8479999999999997E-2</v>
      </c>
      <c r="G23" s="99">
        <f t="shared" ref="G23:J23" si="21">F23</f>
        <v>5.8479999999999997E-2</v>
      </c>
      <c r="H23" s="99">
        <f t="shared" si="21"/>
        <v>5.8479999999999997E-2</v>
      </c>
      <c r="I23" s="99">
        <f t="shared" si="21"/>
        <v>5.8479999999999997E-2</v>
      </c>
      <c r="J23" s="99">
        <f t="shared" si="21"/>
        <v>5.8479999999999997E-2</v>
      </c>
      <c r="K23" s="99">
        <f t="shared" ref="K23:K25" si="22">J23</f>
        <v>5.8479999999999997E-2</v>
      </c>
      <c r="L23" s="99">
        <f t="shared" ref="L23:L25" si="23">K23</f>
        <v>5.8479999999999997E-2</v>
      </c>
    </row>
    <row r="24" spans="1:12" x14ac:dyDescent="0.25">
      <c r="B24" s="4" t="s">
        <v>26</v>
      </c>
      <c r="E24" s="8">
        <v>3.8100000000000002E-2</v>
      </c>
      <c r="F24" s="99">
        <f>E24</f>
        <v>3.8100000000000002E-2</v>
      </c>
      <c r="G24" s="99">
        <f t="shared" ref="G24:J24" si="24">F24</f>
        <v>3.8100000000000002E-2</v>
      </c>
      <c r="H24" s="99">
        <f t="shared" si="24"/>
        <v>3.8100000000000002E-2</v>
      </c>
      <c r="I24" s="99">
        <f t="shared" si="24"/>
        <v>3.8100000000000002E-2</v>
      </c>
      <c r="J24" s="99">
        <f t="shared" si="24"/>
        <v>3.8100000000000002E-2</v>
      </c>
      <c r="K24" s="99">
        <f t="shared" si="22"/>
        <v>3.8100000000000002E-2</v>
      </c>
      <c r="L24" s="99">
        <f t="shared" si="23"/>
        <v>3.8100000000000002E-2</v>
      </c>
    </row>
    <row r="25" spans="1:12" x14ac:dyDescent="0.25">
      <c r="B25" s="4" t="s">
        <v>27</v>
      </c>
      <c r="C25" s="8"/>
      <c r="D25" s="8"/>
      <c r="E25" s="8">
        <f>IncState!E28/SUM(BalSheet!E17:E18)</f>
        <v>3.7368389020753456E-2</v>
      </c>
      <c r="F25" s="125">
        <f>E25</f>
        <v>3.7368389020753456E-2</v>
      </c>
      <c r="G25" s="125">
        <f t="shared" ref="G25:J25" si="25">F25</f>
        <v>3.7368389020753456E-2</v>
      </c>
      <c r="H25" s="125">
        <f t="shared" si="25"/>
        <v>3.7368389020753456E-2</v>
      </c>
      <c r="I25" s="125">
        <f t="shared" si="25"/>
        <v>3.7368389020753456E-2</v>
      </c>
      <c r="J25" s="125">
        <f t="shared" si="25"/>
        <v>3.7368389020753456E-2</v>
      </c>
      <c r="K25" s="125">
        <f t="shared" si="22"/>
        <v>3.7368389020753456E-2</v>
      </c>
      <c r="L25" s="125">
        <f t="shared" si="23"/>
        <v>3.7368389020753456E-2</v>
      </c>
    </row>
    <row r="26" spans="1:12" x14ac:dyDescent="0.25">
      <c r="F26" s="102"/>
      <c r="G26" s="102"/>
      <c r="H26" s="102"/>
      <c r="I26" s="102"/>
      <c r="J26" s="102"/>
      <c r="K26" s="102"/>
      <c r="L26" s="102"/>
    </row>
    <row r="27" spans="1:12" x14ac:dyDescent="0.25">
      <c r="B27" s="4" t="s">
        <v>28</v>
      </c>
      <c r="E27" s="4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</row>
    <row r="28" spans="1:12" x14ac:dyDescent="0.25">
      <c r="B28" s="4" t="s">
        <v>29</v>
      </c>
      <c r="E28" s="4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</row>
    <row r="29" spans="1:12" x14ac:dyDescent="0.25">
      <c r="F29" s="102"/>
      <c r="G29" s="102"/>
      <c r="H29" s="102"/>
      <c r="I29" s="102"/>
      <c r="J29" s="102"/>
      <c r="K29" s="102"/>
      <c r="L29" s="102"/>
    </row>
    <row r="30" spans="1:12" x14ac:dyDescent="0.25">
      <c r="A30" s="62" t="s">
        <v>126</v>
      </c>
      <c r="B30" s="105" t="s">
        <v>143</v>
      </c>
      <c r="C30" s="241">
        <f>C21</f>
        <v>2023</v>
      </c>
      <c r="D30" s="241">
        <f t="shared" ref="D30:J30" si="26">D21</f>
        <v>2024</v>
      </c>
      <c r="E30" s="241">
        <f t="shared" si="26"/>
        <v>2025</v>
      </c>
      <c r="F30" s="241">
        <f t="shared" si="26"/>
        <v>2026</v>
      </c>
      <c r="G30" s="241">
        <f t="shared" si="26"/>
        <v>2027</v>
      </c>
      <c r="H30" s="241">
        <f t="shared" si="26"/>
        <v>2028</v>
      </c>
      <c r="I30" s="241">
        <f t="shared" si="26"/>
        <v>2029</v>
      </c>
      <c r="J30" s="241">
        <f t="shared" si="26"/>
        <v>2030</v>
      </c>
      <c r="K30" s="241">
        <f t="shared" ref="K30:L30" si="27">K21</f>
        <v>2031</v>
      </c>
      <c r="L30" s="241">
        <f t="shared" si="27"/>
        <v>2032</v>
      </c>
    </row>
    <row r="31" spans="1:12" x14ac:dyDescent="0.25">
      <c r="A31" s="84"/>
      <c r="B31" s="157"/>
      <c r="C31" s="192"/>
      <c r="D31" s="192"/>
      <c r="E31" s="192"/>
      <c r="F31" s="193"/>
      <c r="G31" s="193"/>
      <c r="H31" s="193"/>
      <c r="I31" s="193"/>
      <c r="J31" s="193"/>
      <c r="K31" s="193"/>
      <c r="L31" s="193"/>
    </row>
    <row r="32" spans="1:12" x14ac:dyDescent="0.25">
      <c r="B32" s="4" t="s">
        <v>144</v>
      </c>
      <c r="C32" s="8">
        <f>1841.3/IncState!C16</f>
        <v>5.1181424059234405E-2</v>
      </c>
      <c r="D32" s="8">
        <f>2333.6/IncState!D16</f>
        <v>6.4506483382424956E-2</v>
      </c>
      <c r="E32" s="8">
        <f>2777.5/IncState!E16</f>
        <v>7.4704747756089568E-2</v>
      </c>
      <c r="F32" s="200">
        <f>E32+0.001</f>
        <v>7.5704747756089569E-2</v>
      </c>
      <c r="G32" s="200">
        <f t="shared" ref="G32:L32" si="28">F32+0.001</f>
        <v>7.670474775608957E-2</v>
      </c>
      <c r="H32" s="200">
        <f t="shared" si="28"/>
        <v>7.7704747756089571E-2</v>
      </c>
      <c r="I32" s="200">
        <f t="shared" si="28"/>
        <v>7.8704747756089571E-2</v>
      </c>
      <c r="J32" s="200">
        <f t="shared" si="28"/>
        <v>7.9704747756089572E-2</v>
      </c>
      <c r="K32" s="200">
        <f t="shared" si="28"/>
        <v>8.0704747756089573E-2</v>
      </c>
      <c r="L32" s="200">
        <f t="shared" si="28"/>
        <v>8.1704747756089574E-2</v>
      </c>
    </row>
    <row r="33" spans="1:12" x14ac:dyDescent="0.25">
      <c r="B33" s="4" t="s">
        <v>157</v>
      </c>
      <c r="D33" s="8">
        <f>IncState!D21/BalSheet!C24</f>
        <v>9.3468074450641814E-2</v>
      </c>
      <c r="E33" s="8">
        <f>IncState!E21/BalSheet!D24</f>
        <v>9.5735994987246581E-2</v>
      </c>
      <c r="F33" s="99">
        <f>E33</f>
        <v>9.5735994987246581E-2</v>
      </c>
      <c r="G33" s="99">
        <f t="shared" ref="G33:J33" si="29">F33</f>
        <v>9.5735994987246581E-2</v>
      </c>
      <c r="H33" s="99">
        <f t="shared" si="29"/>
        <v>9.5735994987246581E-2</v>
      </c>
      <c r="I33" s="99">
        <f t="shared" si="29"/>
        <v>9.5735994987246581E-2</v>
      </c>
      <c r="J33" s="99">
        <f t="shared" si="29"/>
        <v>9.5735994987246581E-2</v>
      </c>
      <c r="K33" s="99">
        <f t="shared" ref="K32:K33" si="30">J33</f>
        <v>9.5735994987246581E-2</v>
      </c>
      <c r="L33" s="99">
        <f t="shared" ref="L32:L33" si="31">K33</f>
        <v>9.5735994987246581E-2</v>
      </c>
    </row>
    <row r="34" spans="1:12" x14ac:dyDescent="0.25">
      <c r="B34" s="4" t="s">
        <v>145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2" t="s">
        <v>126</v>
      </c>
      <c r="B36" s="105" t="s">
        <v>61</v>
      </c>
      <c r="C36" s="241">
        <f>C30</f>
        <v>2023</v>
      </c>
      <c r="D36" s="241">
        <f t="shared" ref="D36:J36" si="32">D30</f>
        <v>2024</v>
      </c>
      <c r="E36" s="241">
        <f t="shared" si="32"/>
        <v>2025</v>
      </c>
      <c r="F36" s="241">
        <f t="shared" si="32"/>
        <v>2026</v>
      </c>
      <c r="G36" s="241">
        <f t="shared" si="32"/>
        <v>2027</v>
      </c>
      <c r="H36" s="241">
        <f t="shared" si="32"/>
        <v>2028</v>
      </c>
      <c r="I36" s="241">
        <f t="shared" si="32"/>
        <v>2029</v>
      </c>
      <c r="J36" s="241">
        <f t="shared" si="32"/>
        <v>2030</v>
      </c>
      <c r="K36" s="241">
        <f t="shared" ref="K36:L36" si="33">K30</f>
        <v>2031</v>
      </c>
      <c r="L36" s="241">
        <f t="shared" si="33"/>
        <v>2032</v>
      </c>
    </row>
    <row r="37" spans="1:12" x14ac:dyDescent="0.25">
      <c r="A37" s="84"/>
      <c r="B37" s="157"/>
      <c r="C37" s="192"/>
      <c r="D37" s="192"/>
      <c r="E37" s="192"/>
      <c r="F37" s="239"/>
      <c r="G37" s="239"/>
      <c r="H37" s="239"/>
      <c r="I37" s="239"/>
      <c r="J37" s="239"/>
      <c r="K37" s="239"/>
      <c r="L37" s="239"/>
    </row>
    <row r="38" spans="1:12" s="244" customFormat="1" x14ac:dyDescent="0.25">
      <c r="B38" s="244" t="str">
        <f>B17</f>
        <v>Dividend Payout Rate</v>
      </c>
      <c r="C38" s="244">
        <f>C17</f>
        <v>1.9621954391745426</v>
      </c>
      <c r="D38" s="244">
        <f t="shared" ref="D38:E38" si="34">D17</f>
        <v>2.1198116498081618</v>
      </c>
      <c r="E38" s="244">
        <f t="shared" si="34"/>
        <v>2.2799435526547893</v>
      </c>
      <c r="F38" s="245">
        <f>F17</f>
        <v>2.4400754555014168</v>
      </c>
      <c r="G38" s="245">
        <f t="shared" ref="G38:J38" si="35">G17</f>
        <v>2.6002073583480443</v>
      </c>
      <c r="H38" s="245">
        <f t="shared" si="35"/>
        <v>2.7603392611946718</v>
      </c>
      <c r="I38" s="245">
        <f t="shared" si="35"/>
        <v>2.9204711640412993</v>
      </c>
      <c r="J38" s="245">
        <f t="shared" si="35"/>
        <v>3.0806030668879267</v>
      </c>
      <c r="K38" s="245">
        <f t="shared" ref="K38:L38" si="36">K17</f>
        <v>3.2407349697345542</v>
      </c>
      <c r="L38" s="245">
        <f t="shared" si="36"/>
        <v>3.4008668725811817</v>
      </c>
    </row>
    <row r="39" spans="1:12" x14ac:dyDescent="0.25">
      <c r="B39" s="4" t="s">
        <v>49</v>
      </c>
      <c r="C39" s="4">
        <f>C18</f>
        <v>1153.3</v>
      </c>
      <c r="D39" s="4">
        <f t="shared" ref="D39:E39" si="37">D18</f>
        <v>1146.8</v>
      </c>
      <c r="E39" s="4">
        <f t="shared" si="37"/>
        <v>1133.8</v>
      </c>
      <c r="F39" s="100">
        <f>F18</f>
        <v>1133.8</v>
      </c>
      <c r="G39" s="100">
        <f t="shared" ref="G39:J40" si="38">G18</f>
        <v>1133.8</v>
      </c>
      <c r="H39" s="100">
        <f t="shared" si="38"/>
        <v>1133.8</v>
      </c>
      <c r="I39" s="100">
        <f t="shared" si="38"/>
        <v>1133.8</v>
      </c>
      <c r="J39" s="100">
        <f t="shared" si="38"/>
        <v>1133.8</v>
      </c>
      <c r="K39" s="100">
        <f t="shared" ref="K39:L39" si="39">K18</f>
        <v>1133.8</v>
      </c>
      <c r="L39" s="100">
        <f t="shared" si="39"/>
        <v>1133.8</v>
      </c>
    </row>
    <row r="40" spans="1:12" x14ac:dyDescent="0.25">
      <c r="B40" s="4" t="s">
        <v>50</v>
      </c>
      <c r="C40" s="4">
        <f t="shared" ref="C40:E40" si="40">C19</f>
        <v>1158.5</v>
      </c>
      <c r="D40" s="4">
        <f t="shared" si="40"/>
        <v>1151.3</v>
      </c>
      <c r="E40" s="4">
        <f t="shared" si="40"/>
        <v>1137.3</v>
      </c>
      <c r="F40" s="100">
        <f>F19</f>
        <v>1137.3</v>
      </c>
      <c r="G40" s="100">
        <f t="shared" si="38"/>
        <v>1137.3</v>
      </c>
      <c r="H40" s="100">
        <f t="shared" si="38"/>
        <v>1137.3</v>
      </c>
      <c r="I40" s="100">
        <f t="shared" si="38"/>
        <v>1137.3</v>
      </c>
      <c r="J40" s="100">
        <f t="shared" si="38"/>
        <v>1137.3</v>
      </c>
      <c r="K40" s="100">
        <f t="shared" ref="K40:L40" si="41">K19</f>
        <v>1137.3</v>
      </c>
      <c r="L40" s="100">
        <f t="shared" si="41"/>
        <v>1137.3</v>
      </c>
    </row>
    <row r="41" spans="1:12" x14ac:dyDescent="0.25">
      <c r="F41" s="29"/>
      <c r="G41" s="29"/>
      <c r="H41" s="29"/>
      <c r="I41" s="29"/>
      <c r="J41" s="29"/>
      <c r="K41" s="29"/>
      <c r="L41" s="29"/>
    </row>
    <row r="42" spans="1:12" x14ac:dyDescent="0.25">
      <c r="A42" s="62" t="s">
        <v>126</v>
      </c>
      <c r="B42" s="105" t="s">
        <v>131</v>
      </c>
      <c r="C42" s="241">
        <f>C36</f>
        <v>2023</v>
      </c>
      <c r="D42" s="241">
        <f t="shared" ref="D42:J42" si="42">D36</f>
        <v>2024</v>
      </c>
      <c r="E42" s="241">
        <f t="shared" si="42"/>
        <v>2025</v>
      </c>
      <c r="F42" s="241">
        <f t="shared" si="42"/>
        <v>2026</v>
      </c>
      <c r="G42" s="241">
        <f t="shared" si="42"/>
        <v>2027</v>
      </c>
      <c r="H42" s="241">
        <f t="shared" si="42"/>
        <v>2028</v>
      </c>
      <c r="I42" s="241">
        <f t="shared" si="42"/>
        <v>2029</v>
      </c>
      <c r="J42" s="241">
        <f t="shared" si="42"/>
        <v>2030</v>
      </c>
      <c r="K42" s="241">
        <f t="shared" ref="K42:L42" si="43">K36</f>
        <v>2031</v>
      </c>
      <c r="L42" s="241">
        <f t="shared" si="43"/>
        <v>2032</v>
      </c>
    </row>
    <row r="43" spans="1:12" x14ac:dyDescent="0.25">
      <c r="A43" s="84"/>
      <c r="B43" s="157"/>
      <c r="C43" s="192"/>
      <c r="D43" s="192"/>
      <c r="E43" s="192"/>
      <c r="F43" s="239"/>
      <c r="G43" s="239"/>
      <c r="H43" s="239"/>
      <c r="I43" s="239"/>
      <c r="J43" s="239"/>
      <c r="K43" s="239"/>
      <c r="L43" s="239"/>
    </row>
    <row r="44" spans="1:12" x14ac:dyDescent="0.25">
      <c r="B44" s="4" t="s">
        <v>142</v>
      </c>
      <c r="C44" s="8">
        <f>BalSheet!C17/IncState!C16</f>
        <v>0.05</v>
      </c>
      <c r="D44" s="8">
        <f>BalSheet!D17/IncState!D16</f>
        <v>0.05</v>
      </c>
      <c r="E44" s="8">
        <f>BalSheet!E17/IncState!E16</f>
        <v>0.05</v>
      </c>
      <c r="F44" s="99">
        <f>E44</f>
        <v>0.05</v>
      </c>
      <c r="G44" s="99">
        <f t="shared" ref="G44:J44" si="44">F44</f>
        <v>0.05</v>
      </c>
      <c r="H44" s="99">
        <f t="shared" si="44"/>
        <v>0.05</v>
      </c>
      <c r="I44" s="99">
        <f t="shared" si="44"/>
        <v>0.05</v>
      </c>
      <c r="J44" s="99">
        <f t="shared" si="44"/>
        <v>0.05</v>
      </c>
      <c r="K44" s="99">
        <f t="shared" ref="K44:K47" si="45">J44</f>
        <v>0.05</v>
      </c>
      <c r="L44" s="99">
        <f t="shared" ref="L44:L47" si="46">K44</f>
        <v>0.05</v>
      </c>
    </row>
    <row r="45" spans="1:12" x14ac:dyDescent="0.25">
      <c r="B45" s="4" t="s">
        <v>155</v>
      </c>
      <c r="C45" s="8">
        <f>BalSheet!C19/IncState!C16</f>
        <v>3.2674612492059982E-2</v>
      </c>
      <c r="D45" s="8">
        <f>BalSheet!D19/IncState!D16</f>
        <v>3.2731456536308448E-2</v>
      </c>
      <c r="E45" s="8">
        <f>BalSheet!E19/IncState!E16</f>
        <v>3.2646848902373182E-2</v>
      </c>
      <c r="F45" s="99">
        <f>E45</f>
        <v>3.2646848902373182E-2</v>
      </c>
      <c r="G45" s="99">
        <f t="shared" ref="G45:J45" si="47">F45</f>
        <v>3.2646848902373182E-2</v>
      </c>
      <c r="H45" s="99">
        <f t="shared" si="47"/>
        <v>3.2646848902373182E-2</v>
      </c>
      <c r="I45" s="99">
        <f t="shared" si="47"/>
        <v>3.2646848902373182E-2</v>
      </c>
      <c r="J45" s="99">
        <f t="shared" si="47"/>
        <v>3.2646848902373182E-2</v>
      </c>
      <c r="K45" s="99">
        <f t="shared" si="45"/>
        <v>3.2646848902373182E-2</v>
      </c>
      <c r="L45" s="99">
        <f t="shared" si="46"/>
        <v>3.2646848902373182E-2</v>
      </c>
    </row>
    <row r="46" spans="1:12" x14ac:dyDescent="0.25">
      <c r="B46" s="4" t="s">
        <v>65</v>
      </c>
      <c r="C46" s="8">
        <f>BalSheet!C20/IncState!C17</f>
        <v>0.19077586509132982</v>
      </c>
      <c r="D46" s="8">
        <f>BalSheet!D20/IncState!D17</f>
        <v>0.16013474580027481</v>
      </c>
      <c r="E46" s="8">
        <f>BalSheet!E20/IncState!E17</f>
        <v>0.15245063560412414</v>
      </c>
      <c r="F46" s="99">
        <f t="shared" ref="F46:J46" si="48">E46</f>
        <v>0.15245063560412414</v>
      </c>
      <c r="G46" s="99">
        <f t="shared" si="48"/>
        <v>0.15245063560412414</v>
      </c>
      <c r="H46" s="99">
        <f t="shared" si="48"/>
        <v>0.15245063560412414</v>
      </c>
      <c r="I46" s="99">
        <f t="shared" si="48"/>
        <v>0.15245063560412414</v>
      </c>
      <c r="J46" s="99">
        <f t="shared" si="48"/>
        <v>0.15245063560412414</v>
      </c>
      <c r="K46" s="99">
        <f t="shared" si="45"/>
        <v>0.15245063560412414</v>
      </c>
      <c r="L46" s="99">
        <f t="shared" si="46"/>
        <v>0.15245063560412414</v>
      </c>
    </row>
    <row r="47" spans="1:12" x14ac:dyDescent="0.25">
      <c r="B47" s="4" t="s">
        <v>66</v>
      </c>
      <c r="C47" s="8">
        <f>BalSheet!C21/IncState!C16</f>
        <v>2.357686628308403E-2</v>
      </c>
      <c r="D47" s="8">
        <f>BalSheet!D21/IncState!D16</f>
        <v>2.1046981679541638E-2</v>
      </c>
      <c r="E47" s="8">
        <f>BalSheet!E21/IncState!E16</f>
        <v>1.5333636974166216E-2</v>
      </c>
      <c r="F47" s="99">
        <f t="shared" ref="F47:J47" si="49">E47</f>
        <v>1.5333636974166216E-2</v>
      </c>
      <c r="G47" s="99">
        <f t="shared" si="49"/>
        <v>1.5333636974166216E-2</v>
      </c>
      <c r="H47" s="99">
        <f t="shared" si="49"/>
        <v>1.5333636974166216E-2</v>
      </c>
      <c r="I47" s="99">
        <f t="shared" si="49"/>
        <v>1.5333636974166216E-2</v>
      </c>
      <c r="J47" s="99">
        <f t="shared" si="49"/>
        <v>1.5333636974166216E-2</v>
      </c>
      <c r="K47" s="99">
        <f t="shared" si="45"/>
        <v>1.5333636974166216E-2</v>
      </c>
      <c r="L47" s="99">
        <f t="shared" si="46"/>
        <v>1.5333636974166216E-2</v>
      </c>
    </row>
    <row r="48" spans="1:12" x14ac:dyDescent="0.25">
      <c r="E48" s="8"/>
      <c r="F48" s="102"/>
      <c r="G48" s="102"/>
      <c r="H48" s="102"/>
      <c r="I48" s="102"/>
      <c r="J48" s="102"/>
      <c r="K48" s="102"/>
      <c r="L48" s="102"/>
    </row>
    <row r="49" spans="1:12" x14ac:dyDescent="0.25">
      <c r="B49" s="4" t="s">
        <v>178</v>
      </c>
      <c r="C49" s="4">
        <f>BalSheet!C26</f>
        <v>590.29999999999995</v>
      </c>
      <c r="D49" s="4">
        <f>BalSheet!D26</f>
        <v>687.3</v>
      </c>
      <c r="E49" s="4">
        <f>BalSheet!E26</f>
        <v>739.9</v>
      </c>
      <c r="F49" s="100">
        <f>E49</f>
        <v>739.9</v>
      </c>
      <c r="G49" s="100">
        <f t="shared" ref="G49:J49" si="50">F49</f>
        <v>739.9</v>
      </c>
      <c r="H49" s="100">
        <f t="shared" si="50"/>
        <v>739.9</v>
      </c>
      <c r="I49" s="100">
        <f t="shared" si="50"/>
        <v>739.9</v>
      </c>
      <c r="J49" s="100">
        <f t="shared" si="50"/>
        <v>739.9</v>
      </c>
      <c r="K49" s="100">
        <f t="shared" ref="K49:K50" si="51">J49</f>
        <v>739.9</v>
      </c>
      <c r="L49" s="100">
        <f t="shared" ref="L49:L50" si="52">K49</f>
        <v>739.9</v>
      </c>
    </row>
    <row r="50" spans="1:12" x14ac:dyDescent="0.25">
      <c r="B50" s="4" t="s">
        <v>67</v>
      </c>
      <c r="C50" s="8">
        <f>BalSheet!C27/IncState!C16</f>
        <v>6.542983440668651E-2</v>
      </c>
      <c r="D50" s="8">
        <f>BalSheet!D27/IncState!D16</f>
        <v>6.4028268537329E-2</v>
      </c>
      <c r="E50" s="8">
        <f>BalSheet!E27/IncState!E16</f>
        <v>6.411294589601825E-2</v>
      </c>
      <c r="F50" s="99">
        <f>E50</f>
        <v>6.411294589601825E-2</v>
      </c>
      <c r="G50" s="99">
        <f t="shared" ref="G50:J50" si="53">F50</f>
        <v>6.411294589601825E-2</v>
      </c>
      <c r="H50" s="99">
        <f t="shared" si="53"/>
        <v>6.411294589601825E-2</v>
      </c>
      <c r="I50" s="99">
        <f t="shared" si="53"/>
        <v>6.411294589601825E-2</v>
      </c>
      <c r="J50" s="99">
        <f t="shared" si="53"/>
        <v>6.411294589601825E-2</v>
      </c>
      <c r="K50" s="99">
        <f t="shared" si="51"/>
        <v>6.411294589601825E-2</v>
      </c>
      <c r="L50" s="99">
        <f t="shared" si="52"/>
        <v>6.411294589601825E-2</v>
      </c>
    </row>
    <row r="51" spans="1:12" x14ac:dyDescent="0.25">
      <c r="F51" s="29"/>
      <c r="G51" s="29"/>
      <c r="H51" s="29"/>
      <c r="I51" s="29"/>
      <c r="J51" s="29"/>
      <c r="K51" s="29"/>
      <c r="L51" s="29"/>
    </row>
    <row r="52" spans="1:12" x14ac:dyDescent="0.25">
      <c r="A52" s="62" t="s">
        <v>126</v>
      </c>
      <c r="B52" s="105" t="s">
        <v>132</v>
      </c>
      <c r="C52" s="241">
        <f>C42</f>
        <v>2023</v>
      </c>
      <c r="D52" s="241">
        <f t="shared" ref="D52:J52" si="54">D42</f>
        <v>2024</v>
      </c>
      <c r="E52" s="241">
        <f t="shared" si="54"/>
        <v>2025</v>
      </c>
      <c r="F52" s="241">
        <f t="shared" si="54"/>
        <v>2026</v>
      </c>
      <c r="G52" s="241">
        <f t="shared" si="54"/>
        <v>2027</v>
      </c>
      <c r="H52" s="241">
        <f t="shared" si="54"/>
        <v>2028</v>
      </c>
      <c r="I52" s="241">
        <f t="shared" si="54"/>
        <v>2029</v>
      </c>
      <c r="J52" s="241">
        <f t="shared" si="54"/>
        <v>2030</v>
      </c>
      <c r="K52" s="241">
        <f t="shared" ref="K52:L52" si="55">K42</f>
        <v>2031</v>
      </c>
      <c r="L52" s="241">
        <f t="shared" si="55"/>
        <v>2032</v>
      </c>
    </row>
    <row r="53" spans="1:12" x14ac:dyDescent="0.25">
      <c r="A53" s="84"/>
      <c r="B53" s="157"/>
      <c r="C53" s="192"/>
      <c r="D53" s="192"/>
      <c r="E53" s="192"/>
      <c r="F53" s="239"/>
      <c r="G53" s="239"/>
      <c r="H53" s="239"/>
      <c r="I53" s="239"/>
      <c r="J53" s="239"/>
      <c r="K53" s="239"/>
      <c r="L53" s="239"/>
    </row>
    <row r="54" spans="1:12" x14ac:dyDescent="0.25">
      <c r="B54" s="4" t="s">
        <v>156</v>
      </c>
      <c r="C54" s="8">
        <f>BalSheet!C33/IncState!C17</f>
        <v>0.38041229884654493</v>
      </c>
      <c r="D54" s="8">
        <f>BalSheet!D33/IncState!D17</f>
        <v>0.40048756704046806</v>
      </c>
      <c r="E54" s="8">
        <f>BalSheet!E33/IncState!E17</f>
        <v>0.3925820452556999</v>
      </c>
      <c r="F54" s="99">
        <f t="shared" ref="F54:J54" si="56">E54</f>
        <v>0.3925820452556999</v>
      </c>
      <c r="G54" s="99">
        <f t="shared" si="56"/>
        <v>0.3925820452556999</v>
      </c>
      <c r="H54" s="99">
        <f t="shared" si="56"/>
        <v>0.3925820452556999</v>
      </c>
      <c r="I54" s="99">
        <f t="shared" si="56"/>
        <v>0.3925820452556999</v>
      </c>
      <c r="J54" s="99">
        <f t="shared" si="56"/>
        <v>0.3925820452556999</v>
      </c>
      <c r="K54" s="99">
        <f t="shared" ref="K54:K56" si="57">J54</f>
        <v>0.3925820452556999</v>
      </c>
      <c r="L54" s="99">
        <f t="shared" ref="L54:L56" si="58">K54</f>
        <v>0.3925820452556999</v>
      </c>
    </row>
    <row r="55" spans="1:12" x14ac:dyDescent="0.25">
      <c r="B55" s="4" t="s">
        <v>68</v>
      </c>
      <c r="C55" s="8">
        <f>BalSheet!C34/IncState!C16</f>
        <v>8.0264747794191751E-2</v>
      </c>
      <c r="D55" s="8">
        <f>BalSheet!D34/IncState!D16</f>
        <v>8.3176212074784331E-2</v>
      </c>
      <c r="E55" s="8">
        <f>BalSheet!E34/IncState!E16</f>
        <v>8.7259986730902392E-2</v>
      </c>
      <c r="F55" s="99">
        <f t="shared" ref="F55:J55" si="59">E55</f>
        <v>8.7259986730902392E-2</v>
      </c>
      <c r="G55" s="99">
        <f t="shared" si="59"/>
        <v>8.7259986730902392E-2</v>
      </c>
      <c r="H55" s="99">
        <f t="shared" si="59"/>
        <v>8.7259986730902392E-2</v>
      </c>
      <c r="I55" s="99">
        <f t="shared" si="59"/>
        <v>8.7259986730902392E-2</v>
      </c>
      <c r="J55" s="99">
        <f t="shared" si="59"/>
        <v>8.7259986730902392E-2</v>
      </c>
      <c r="K55" s="99">
        <f t="shared" si="57"/>
        <v>8.7259986730902392E-2</v>
      </c>
      <c r="L55" s="99">
        <f t="shared" si="58"/>
        <v>8.7259986730902392E-2</v>
      </c>
    </row>
    <row r="56" spans="1:12" x14ac:dyDescent="0.25">
      <c r="B56" s="4" t="s">
        <v>69</v>
      </c>
      <c r="C56" s="8">
        <f>BalSheet!C38/IncState!C16</f>
        <v>0.40041757787590032</v>
      </c>
      <c r="D56" s="8">
        <f>BalSheet!D38/IncState!D16</f>
        <v>0.40193266668401262</v>
      </c>
      <c r="E56" s="8">
        <f>BalSheet!E38/IncState!E16</f>
        <v>0.41397323298400618</v>
      </c>
      <c r="F56" s="99">
        <f t="shared" ref="F56:J56" si="60">E56</f>
        <v>0.41397323298400618</v>
      </c>
      <c r="G56" s="99">
        <f t="shared" si="60"/>
        <v>0.41397323298400618</v>
      </c>
      <c r="H56" s="99">
        <f t="shared" si="60"/>
        <v>0.41397323298400618</v>
      </c>
      <c r="I56" s="99">
        <f t="shared" si="60"/>
        <v>0.41397323298400618</v>
      </c>
      <c r="J56" s="99">
        <f t="shared" si="60"/>
        <v>0.41397323298400618</v>
      </c>
      <c r="K56" s="99">
        <f t="shared" si="57"/>
        <v>0.41397323298400618</v>
      </c>
      <c r="L56" s="99">
        <f t="shared" si="58"/>
        <v>0.41397323298400618</v>
      </c>
    </row>
    <row r="57" spans="1:12" x14ac:dyDescent="0.25">
      <c r="F57" s="120"/>
      <c r="G57" s="29"/>
      <c r="H57" s="29"/>
      <c r="I57" s="29"/>
      <c r="J57" s="29"/>
      <c r="K57" s="29"/>
      <c r="L57" s="29"/>
    </row>
    <row r="58" spans="1:12" x14ac:dyDescent="0.25">
      <c r="F58" s="121"/>
      <c r="G58" s="93"/>
      <c r="H58" s="93"/>
      <c r="I58" s="93"/>
      <c r="J58" s="93"/>
      <c r="K58" s="93"/>
      <c r="L58" s="93"/>
    </row>
    <row r="59" spans="1:12" x14ac:dyDescent="0.25">
      <c r="F59" s="93"/>
      <c r="G59" s="93"/>
      <c r="H59" s="93"/>
      <c r="I59" s="93"/>
      <c r="J59" s="93"/>
      <c r="K59" s="93"/>
      <c r="L59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F22:L29 F38:L40 F44:L50 F54:L56 F58:L59 F6:L8 F31:L34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topLeftCell="A2" zoomScaleNormal="100" workbookViewId="0">
      <selection activeCell="F26" sqref="F6:L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3" x14ac:dyDescent="0.25">
      <c r="A2" s="20" t="s">
        <v>11</v>
      </c>
      <c r="B2" s="19"/>
      <c r="C2" s="189">
        <v>2023</v>
      </c>
      <c r="D2" s="232">
        <f>C2+1</f>
        <v>2024</v>
      </c>
      <c r="E2" s="232">
        <f t="shared" ref="E2:J2" si="0">D2+1</f>
        <v>2025</v>
      </c>
      <c r="F2" s="232">
        <f t="shared" si="0"/>
        <v>2026</v>
      </c>
      <c r="G2" s="232">
        <f t="shared" si="0"/>
        <v>2027</v>
      </c>
      <c r="H2" s="232">
        <f t="shared" si="0"/>
        <v>2028</v>
      </c>
      <c r="I2" s="232">
        <f t="shared" si="0"/>
        <v>2029</v>
      </c>
      <c r="J2" s="232">
        <f t="shared" si="0"/>
        <v>2030</v>
      </c>
      <c r="K2" s="232">
        <f t="shared" ref="K2" si="1">J2+1</f>
        <v>2031</v>
      </c>
      <c r="L2" s="232">
        <f t="shared" ref="L2" si="2">K2+1</f>
        <v>2032</v>
      </c>
      <c r="M2" s="190"/>
    </row>
    <row r="3" spans="1:13" x14ac:dyDescent="0.25">
      <c r="B3" s="4" t="s">
        <v>12</v>
      </c>
      <c r="C3" s="28"/>
      <c r="D3" s="28"/>
      <c r="E3" s="39"/>
      <c r="F3" s="194">
        <f>Assumptions!F32</f>
        <v>7.5704747756089569E-2</v>
      </c>
      <c r="G3" s="194">
        <f>Assumptions!G32</f>
        <v>7.670474775608957E-2</v>
      </c>
      <c r="H3" s="194">
        <f>Assumptions!H32</f>
        <v>7.7704747756089571E-2</v>
      </c>
      <c r="I3" s="194">
        <f>Assumptions!I32</f>
        <v>7.8704747756089571E-2</v>
      </c>
      <c r="J3" s="194">
        <f>Assumptions!J32</f>
        <v>7.9704747756089572E-2</v>
      </c>
      <c r="K3" s="194">
        <f>Assumptions!K32</f>
        <v>8.0704747756089573E-2</v>
      </c>
      <c r="L3" s="194">
        <f>Assumptions!L32</f>
        <v>8.1704747756089574E-2</v>
      </c>
    </row>
    <row r="4" spans="1:13" x14ac:dyDescent="0.25">
      <c r="B4" s="4" t="s">
        <v>136</v>
      </c>
      <c r="C4" s="28"/>
      <c r="D4" s="28"/>
      <c r="E4" s="39"/>
      <c r="F4" s="194">
        <f>Assumptions!F33</f>
        <v>9.5735994987246581E-2</v>
      </c>
      <c r="G4" s="194">
        <f>F4</f>
        <v>9.5735994987246581E-2</v>
      </c>
      <c r="H4" s="194">
        <f t="shared" ref="H4:J4" si="3">G4</f>
        <v>9.5735994987246581E-2</v>
      </c>
      <c r="I4" s="194">
        <f t="shared" si="3"/>
        <v>9.5735994987246581E-2</v>
      </c>
      <c r="J4" s="194">
        <f t="shared" si="3"/>
        <v>9.5735994987246581E-2</v>
      </c>
      <c r="K4" s="194">
        <f t="shared" ref="K4" si="4">J4</f>
        <v>9.5735994987246581E-2</v>
      </c>
      <c r="L4" s="194">
        <f t="shared" ref="L4" si="5">K4</f>
        <v>9.5735994987246581E-2</v>
      </c>
    </row>
    <row r="5" spans="1:13" x14ac:dyDescent="0.25">
      <c r="E5" s="27"/>
      <c r="F5" s="76"/>
      <c r="G5" s="64"/>
      <c r="H5" s="82"/>
      <c r="I5" s="64"/>
      <c r="J5" s="64"/>
      <c r="K5" s="64"/>
      <c r="L5" s="64"/>
    </row>
    <row r="6" spans="1:13" x14ac:dyDescent="0.25">
      <c r="B6" s="4" t="s">
        <v>13</v>
      </c>
      <c r="E6" s="27"/>
      <c r="F6" s="4">
        <f>E9</f>
        <v>17951.7</v>
      </c>
      <c r="G6" s="4">
        <f t="shared" ref="G6:L6" si="6">F9</f>
        <v>19129.150204007976</v>
      </c>
      <c r="H6" s="4">
        <f t="shared" si="6"/>
        <v>20407.876080505706</v>
      </c>
      <c r="I6" s="4">
        <f t="shared" si="6"/>
        <v>21833.904778846052</v>
      </c>
      <c r="J6" s="4">
        <f t="shared" si="6"/>
        <v>23452.230981280849</v>
      </c>
      <c r="K6" s="4">
        <f t="shared" si="6"/>
        <v>25315.467344183231</v>
      </c>
      <c r="L6" s="4">
        <f t="shared" si="6"/>
        <v>27486.364021990168</v>
      </c>
    </row>
    <row r="7" spans="1:13" x14ac:dyDescent="0.25">
      <c r="B7" s="4" t="s">
        <v>14</v>
      </c>
      <c r="C7" s="12"/>
      <c r="D7" s="12"/>
      <c r="E7" s="126"/>
      <c r="F7" s="4">
        <f>F3*IncState!F16</f>
        <v>2896.0740652205309</v>
      </c>
      <c r="G7" s="4">
        <f>G3*IncState!G16</f>
        <v>3110.0741045389254</v>
      </c>
      <c r="H7" s="4">
        <f>H3*IncState!H16</f>
        <v>3379.797020483988</v>
      </c>
      <c r="I7" s="4">
        <f>I3*IncState!I16</f>
        <v>3708.616800894421</v>
      </c>
      <c r="J7" s="4">
        <f>J3*IncState!J16</f>
        <v>4108.4590305660358</v>
      </c>
      <c r="K7" s="4">
        <f>K3*IncState!K16</f>
        <v>4594.4981325694689</v>
      </c>
      <c r="L7" s="4">
        <f>L3*IncState!L16</f>
        <v>5186.0639900842116</v>
      </c>
    </row>
    <row r="8" spans="1:13" x14ac:dyDescent="0.25">
      <c r="B8" s="4" t="s">
        <v>15</v>
      </c>
      <c r="E8" s="27"/>
      <c r="F8" s="4">
        <f>F6*F4</f>
        <v>1718.6238612125546</v>
      </c>
      <c r="G8" s="4">
        <f t="shared" ref="G8:L8" si="7">G6*G4</f>
        <v>1831.3482280411945</v>
      </c>
      <c r="H8" s="4">
        <f t="shared" si="7"/>
        <v>1953.7683221436437</v>
      </c>
      <c r="I8" s="4">
        <f t="shared" si="7"/>
        <v>2090.290598459625</v>
      </c>
      <c r="J8" s="4">
        <f t="shared" si="7"/>
        <v>2245.2226676636524</v>
      </c>
      <c r="K8" s="4">
        <f t="shared" si="7"/>
        <v>2423.6014547625305</v>
      </c>
      <c r="L8" s="4">
        <f t="shared" si="7"/>
        <v>2631.4344082268854</v>
      </c>
    </row>
    <row r="9" spans="1:13" x14ac:dyDescent="0.25">
      <c r="B9" s="4" t="s">
        <v>16</v>
      </c>
      <c r="E9" s="27">
        <f>BalSheet!E24</f>
        <v>17951.7</v>
      </c>
      <c r="F9" s="4">
        <f>F6+F7-F8</f>
        <v>19129.150204007976</v>
      </c>
      <c r="G9" s="4">
        <f t="shared" ref="G9:L9" si="8">G6+G7-G8</f>
        <v>20407.876080505706</v>
      </c>
      <c r="H9" s="4">
        <f t="shared" si="8"/>
        <v>21833.904778846052</v>
      </c>
      <c r="I9" s="4">
        <f t="shared" si="8"/>
        <v>23452.230981280849</v>
      </c>
      <c r="J9" s="4">
        <f t="shared" si="8"/>
        <v>25315.467344183231</v>
      </c>
      <c r="K9" s="4">
        <f t="shared" si="8"/>
        <v>27486.364021990168</v>
      </c>
      <c r="L9" s="4">
        <f t="shared" si="8"/>
        <v>30040.993603847492</v>
      </c>
    </row>
    <row r="10" spans="1:13" x14ac:dyDescent="0.25">
      <c r="A10" s="20" t="s">
        <v>17</v>
      </c>
      <c r="B10" s="41"/>
      <c r="C10" s="215">
        <f t="shared" ref="C10:J10" si="9">C2</f>
        <v>2023</v>
      </c>
      <c r="D10" s="215">
        <f t="shared" si="9"/>
        <v>2024</v>
      </c>
      <c r="E10" s="215">
        <f t="shared" si="9"/>
        <v>2025</v>
      </c>
      <c r="F10" s="215">
        <f t="shared" si="9"/>
        <v>2026</v>
      </c>
      <c r="G10" s="215">
        <f t="shared" ref="G10:L10" si="10">G2</f>
        <v>2027</v>
      </c>
      <c r="H10" s="215">
        <f t="shared" si="10"/>
        <v>2028</v>
      </c>
      <c r="I10" s="215">
        <f t="shared" si="10"/>
        <v>2029</v>
      </c>
      <c r="J10" s="215">
        <f t="shared" si="10"/>
        <v>2030</v>
      </c>
      <c r="K10" s="215">
        <f t="shared" si="10"/>
        <v>2031</v>
      </c>
      <c r="L10" s="215">
        <f t="shared" si="10"/>
        <v>2032</v>
      </c>
    </row>
    <row r="11" spans="1:13" x14ac:dyDescent="0.25">
      <c r="B11" s="4" t="s">
        <v>18</v>
      </c>
      <c r="E11" s="27"/>
      <c r="F11" s="234">
        <f>Assumptions!F34</f>
        <v>0</v>
      </c>
      <c r="G11" s="234">
        <f>Assumptions!G34</f>
        <v>0</v>
      </c>
      <c r="H11" s="234">
        <f>Assumptions!H34</f>
        <v>0</v>
      </c>
      <c r="I11" s="234">
        <f>Assumptions!I34</f>
        <v>0</v>
      </c>
      <c r="J11" s="234">
        <f>Assumptions!J34</f>
        <v>0</v>
      </c>
      <c r="K11" s="234">
        <f>Assumptions!K34</f>
        <v>0</v>
      </c>
      <c r="L11" s="234">
        <f>Assumptions!L34</f>
        <v>0</v>
      </c>
    </row>
    <row r="12" spans="1:13" x14ac:dyDescent="0.25">
      <c r="E12" s="27"/>
      <c r="F12" s="76"/>
      <c r="G12" s="76"/>
      <c r="H12" s="76"/>
      <c r="I12" s="76"/>
      <c r="J12" s="76"/>
      <c r="K12" s="76"/>
      <c r="L12" s="76"/>
    </row>
    <row r="13" spans="1:13" x14ac:dyDescent="0.25">
      <c r="B13" s="4" t="s">
        <v>19</v>
      </c>
      <c r="E13" s="27"/>
      <c r="F13" s="4">
        <f>E17</f>
        <v>-7441.6</v>
      </c>
      <c r="G13" s="4">
        <f t="shared" ref="G13:L13" si="11">F17</f>
        <v>-7227.9638828068182</v>
      </c>
      <c r="H13" s="4">
        <f t="shared" si="11"/>
        <v>-7006.7563328879805</v>
      </c>
      <c r="I13" s="4">
        <f t="shared" si="11"/>
        <v>-6779.0672875285936</v>
      </c>
      <c r="J13" s="4">
        <f t="shared" si="11"/>
        <v>-6076.4749718629337</v>
      </c>
      <c r="K13" s="4">
        <f t="shared" si="11"/>
        <v>-4716.1130284529818</v>
      </c>
      <c r="L13" s="4">
        <f t="shared" si="11"/>
        <v>-2519.7602532074175</v>
      </c>
    </row>
    <row r="14" spans="1:13" x14ac:dyDescent="0.25">
      <c r="B14" s="4" t="s">
        <v>20</v>
      </c>
      <c r="E14" s="27"/>
      <c r="F14" s="4">
        <f>IncState!F34</f>
        <v>2980.1936686406889</v>
      </c>
      <c r="G14" s="4">
        <f>IncState!G34</f>
        <v>3169.3226528138503</v>
      </c>
      <c r="H14" s="4">
        <f>IncState!H34</f>
        <v>3357.3616997019058</v>
      </c>
      <c r="I14" s="4">
        <f>IncState!I34</f>
        <v>4013.8225214556846</v>
      </c>
      <c r="J14" s="4">
        <f>IncState!J34</f>
        <v>4853.1497006474829</v>
      </c>
      <c r="K14" s="4">
        <f>IncState!K34</f>
        <v>5870.6980839306016</v>
      </c>
      <c r="L14" s="4">
        <f>IncState!L34</f>
        <v>6941.55035463079</v>
      </c>
    </row>
    <row r="15" spans="1:13" x14ac:dyDescent="0.25">
      <c r="B15" s="4" t="s">
        <v>21</v>
      </c>
      <c r="E15" s="27"/>
      <c r="F15" s="4">
        <f>-IncState!F36</f>
        <v>-2766.5575514475063</v>
      </c>
      <c r="G15" s="4">
        <f>-IncState!G36</f>
        <v>-2948.1151028950126</v>
      </c>
      <c r="H15" s="4">
        <f>-IncState!H36</f>
        <v>-3129.6726543425189</v>
      </c>
      <c r="I15" s="4">
        <f>-IncState!I36</f>
        <v>-3311.2302057900251</v>
      </c>
      <c r="J15" s="4">
        <f>-IncState!J36</f>
        <v>-3492.787757237531</v>
      </c>
      <c r="K15" s="4">
        <f>-IncState!K36</f>
        <v>-3674.3453086850373</v>
      </c>
      <c r="L15" s="4">
        <f>-IncState!L36</f>
        <v>-3855.9028601325435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L16" si="12">G11</f>
        <v>0</v>
      </c>
      <c r="H16" s="4">
        <f t="shared" si="12"/>
        <v>0</v>
      </c>
      <c r="I16" s="4">
        <f t="shared" si="12"/>
        <v>0</v>
      </c>
      <c r="J16" s="4">
        <f t="shared" si="12"/>
        <v>0</v>
      </c>
      <c r="K16" s="4">
        <f t="shared" si="12"/>
        <v>0</v>
      </c>
      <c r="L16" s="4">
        <f t="shared" si="12"/>
        <v>0</v>
      </c>
    </row>
    <row r="17" spans="1:12" x14ac:dyDescent="0.25">
      <c r="B17" s="4" t="s">
        <v>23</v>
      </c>
      <c r="E17" s="27">
        <f>BalSheet!E41</f>
        <v>-7441.6</v>
      </c>
      <c r="F17" s="4">
        <f>SUM(F13:F16)</f>
        <v>-7227.9638828068182</v>
      </c>
      <c r="G17" s="4">
        <f t="shared" ref="G17:L17" si="13">SUM(G13:G16)</f>
        <v>-7006.7563328879805</v>
      </c>
      <c r="H17" s="4">
        <f t="shared" si="13"/>
        <v>-6779.0672875285936</v>
      </c>
      <c r="I17" s="4">
        <f t="shared" si="13"/>
        <v>-6076.4749718629337</v>
      </c>
      <c r="J17" s="4">
        <f t="shared" si="13"/>
        <v>-4716.1130284529818</v>
      </c>
      <c r="K17" s="4">
        <f t="shared" si="13"/>
        <v>-2519.7602532074175</v>
      </c>
      <c r="L17" s="4">
        <f t="shared" si="13"/>
        <v>565.88724129082857</v>
      </c>
    </row>
    <row r="18" spans="1:12" x14ac:dyDescent="0.25">
      <c r="A18" s="20" t="s">
        <v>24</v>
      </c>
      <c r="B18" s="41"/>
      <c r="C18" s="215">
        <f>C10</f>
        <v>2023</v>
      </c>
      <c r="D18" s="215">
        <f t="shared" ref="D18:J18" si="14">D10</f>
        <v>2024</v>
      </c>
      <c r="E18" s="215">
        <f t="shared" si="14"/>
        <v>2025</v>
      </c>
      <c r="F18" s="215">
        <f t="shared" si="14"/>
        <v>2026</v>
      </c>
      <c r="G18" s="215">
        <f t="shared" ref="G18:L18" si="15">G10</f>
        <v>2027</v>
      </c>
      <c r="H18" s="215">
        <f t="shared" si="15"/>
        <v>2028</v>
      </c>
      <c r="I18" s="215">
        <f t="shared" si="15"/>
        <v>2029</v>
      </c>
      <c r="J18" s="215">
        <f t="shared" si="15"/>
        <v>2030</v>
      </c>
      <c r="K18" s="215">
        <f t="shared" si="15"/>
        <v>2031</v>
      </c>
      <c r="L18" s="215">
        <f t="shared" si="15"/>
        <v>2032</v>
      </c>
    </row>
    <row r="19" spans="1:12" x14ac:dyDescent="0.25">
      <c r="A19" s="85"/>
      <c r="B19" s="170" t="s">
        <v>160</v>
      </c>
      <c r="C19" s="192"/>
      <c r="D19" s="192"/>
      <c r="E19" s="196">
        <f>BalSheet!E17</f>
        <v>1858.9849262783916</v>
      </c>
      <c r="F19" s="130">
        <f>BalSheet!F17</f>
        <v>1912.742695181608</v>
      </c>
      <c r="G19" s="130">
        <f>BalSheet!G17</f>
        <v>2027.3022176075258</v>
      </c>
      <c r="H19" s="130">
        <f>BalSheet!H17</f>
        <v>2174.7686712097461</v>
      </c>
      <c r="I19" s="130">
        <f>BalSheet!I17</f>
        <v>2356.0311840320187</v>
      </c>
      <c r="J19" s="130">
        <f>BalSheet!J17</f>
        <v>2577.2988098140886</v>
      </c>
      <c r="K19" s="130">
        <f>BalSheet!K17</f>
        <v>2846.4856531459709</v>
      </c>
      <c r="L19" s="130">
        <f>BalSheet!L17</f>
        <v>3173.6613431363826</v>
      </c>
    </row>
    <row r="20" spans="1:12" x14ac:dyDescent="0.25">
      <c r="B20" s="4" t="str">
        <f>BalSheet!B20</f>
        <v>Inventories</v>
      </c>
      <c r="D20" s="96"/>
      <c r="E20" s="97">
        <f>BalSheet!E20</f>
        <v>1777.3</v>
      </c>
      <c r="F20" s="4">
        <f>BalSheet!F20</f>
        <v>1828.6984880786379</v>
      </c>
      <c r="G20" s="4">
        <f>BalSheet!G20</f>
        <v>1938.2243673215833</v>
      </c>
      <c r="H20" s="4">
        <f>BalSheet!H20</f>
        <v>2079.2112765509473</v>
      </c>
      <c r="I20" s="4">
        <f>BalSheet!I20</f>
        <v>2252.5092763176922</v>
      </c>
      <c r="J20" s="4">
        <f>BalSheet!J20</f>
        <v>2464.0546000811701</v>
      </c>
      <c r="K20" s="4">
        <f>BalSheet!K20</f>
        <v>2721.4136137382243</v>
      </c>
      <c r="L20" s="4">
        <f>BalSheet!L20</f>
        <v>3034.2134958806287</v>
      </c>
    </row>
    <row r="21" spans="1:12" x14ac:dyDescent="0.25">
      <c r="B21" s="4" t="str">
        <f>BalSheet!B19</f>
        <v>Accounts receivable</v>
      </c>
      <c r="C21" s="96"/>
      <c r="D21" s="96"/>
      <c r="E21" s="97">
        <f>BalSheet!E19</f>
        <v>1213.8</v>
      </c>
      <c r="F21" s="4">
        <f>BalSheet!F19</f>
        <v>1248.9004351742401</v>
      </c>
      <c r="G21" s="4">
        <f>BalSheet!G19</f>
        <v>1323.7005835535795</v>
      </c>
      <c r="H21" s="4">
        <f>BalSheet!H19</f>
        <v>1419.9868841319897</v>
      </c>
      <c r="I21" s="4">
        <f>BalSheet!I19</f>
        <v>1538.3398814874538</v>
      </c>
      <c r="J21" s="4">
        <f>BalSheet!J19</f>
        <v>1682.8136964053356</v>
      </c>
      <c r="K21" s="4">
        <f>BalSheet!K19</f>
        <v>1858.5757404205908</v>
      </c>
      <c r="L21" s="4">
        <f>BalSheet!L19</f>
        <v>2072.200846733524</v>
      </c>
    </row>
    <row r="22" spans="1:12" x14ac:dyDescent="0.25">
      <c r="B22" s="4" t="s">
        <v>72</v>
      </c>
      <c r="C22" s="96"/>
      <c r="D22" s="96"/>
      <c r="E22" s="97">
        <f>BalSheet!E21</f>
        <v>570.1</v>
      </c>
      <c r="F22" s="4">
        <f>BalSheet!F21</f>
        <v>586.58604225806084</v>
      </c>
      <c r="G22" s="4">
        <f>BalSheet!G21</f>
        <v>621.71832483431842</v>
      </c>
      <c r="H22" s="4">
        <f>BalSheet!H21</f>
        <v>666.94226614240188</v>
      </c>
      <c r="I22" s="4">
        <f>BalSheet!I21</f>
        <v>722.5305375152393</v>
      </c>
      <c r="J22" s="4">
        <f>BalSheet!J21</f>
        <v>790.38728647279765</v>
      </c>
      <c r="K22" s="4">
        <f>BalSheet!K21</f>
        <v>872.9395531502546</v>
      </c>
      <c r="L22" s="4">
        <f>BalSheet!L21</f>
        <v>973.27541829196093</v>
      </c>
    </row>
    <row r="23" spans="1:12" x14ac:dyDescent="0.25">
      <c r="B23" s="4" t="s">
        <v>166</v>
      </c>
      <c r="C23" s="96"/>
      <c r="D23" s="96"/>
      <c r="E23" s="97">
        <f>BalSheet!E33</f>
        <v>4576.8</v>
      </c>
      <c r="F23" s="4">
        <f>BalSheet!F33</f>
        <v>4709.1584089564567</v>
      </c>
      <c r="G23" s="4">
        <f>BalSheet!G33</f>
        <v>4991.2031082864023</v>
      </c>
      <c r="H23" s="4">
        <f>BalSheet!H33</f>
        <v>5354.2644294820102</v>
      </c>
      <c r="I23" s="4">
        <f>BalSheet!I33</f>
        <v>5800.5313992296251</v>
      </c>
      <c r="J23" s="4">
        <f>BalSheet!J33</f>
        <v>6345.2906620443928</v>
      </c>
      <c r="K23" s="4">
        <f>BalSheet!K33</f>
        <v>7008.0266850599819</v>
      </c>
      <c r="L23" s="4">
        <f>BalSheet!L33</f>
        <v>7813.5308208779961</v>
      </c>
    </row>
    <row r="24" spans="1:12" x14ac:dyDescent="0.25">
      <c r="B24" s="4" t="s">
        <v>78</v>
      </c>
      <c r="C24" s="96"/>
      <c r="D24" s="96"/>
      <c r="E24" s="97">
        <f>BalSheet!E34</f>
        <v>3244.3</v>
      </c>
      <c r="F24" s="4">
        <f>BalSheet!F34</f>
        <v>3338.1180440235516</v>
      </c>
      <c r="G24" s="4">
        <f>BalSheet!G34</f>
        <v>3538.0472921592336</v>
      </c>
      <c r="H24" s="4">
        <f>BalSheet!H34</f>
        <v>3795.4057078508931</v>
      </c>
      <c r="I24" s="4">
        <f>BalSheet!I34</f>
        <v>4111.7449971245233</v>
      </c>
      <c r="J24" s="4">
        <f>BalSheet!J34</f>
        <v>4497.9011989189576</v>
      </c>
      <c r="K24" s="4">
        <f>BalSheet!K34</f>
        <v>4967.6860064644288</v>
      </c>
      <c r="L24" s="4">
        <f>BalSheet!L34</f>
        <v>5538.6729338091718</v>
      </c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-2400.9150737216087</v>
      </c>
      <c r="F25" s="18">
        <f>SUM(F19:F22)-SUM(F23:F24)</f>
        <v>-2470.348792287461</v>
      </c>
      <c r="G25" s="18">
        <f t="shared" ref="G25:L25" si="16">SUM(G19:G22)-SUM(G23:G24)</f>
        <v>-2618.3049071286287</v>
      </c>
      <c r="H25" s="18">
        <f t="shared" si="16"/>
        <v>-2808.7610392978186</v>
      </c>
      <c r="I25" s="18">
        <f t="shared" si="16"/>
        <v>-3042.8655170017437</v>
      </c>
      <c r="J25" s="18">
        <f t="shared" si="16"/>
        <v>-3328.6374681899588</v>
      </c>
      <c r="K25" s="18">
        <f t="shared" si="16"/>
        <v>-3676.2981310693722</v>
      </c>
      <c r="L25" s="18">
        <f t="shared" si="16"/>
        <v>-4098.8526506446724</v>
      </c>
    </row>
    <row r="26" spans="1:12" s="11" customFormat="1" x14ac:dyDescent="0.25">
      <c r="A26" s="24"/>
      <c r="B26" s="11" t="s">
        <v>152</v>
      </c>
      <c r="F26" s="11">
        <f>E25-F25</f>
        <v>69.433718565852359</v>
      </c>
      <c r="G26" s="11">
        <f t="shared" ref="G26:L26" si="17">F25-G25</f>
        <v>147.95611484116762</v>
      </c>
      <c r="H26" s="11">
        <f t="shared" si="17"/>
        <v>190.45613216918991</v>
      </c>
      <c r="I26" s="11">
        <f t="shared" si="17"/>
        <v>234.10447770392511</v>
      </c>
      <c r="J26" s="11">
        <f t="shared" si="17"/>
        <v>285.7719511882151</v>
      </c>
      <c r="K26" s="11">
        <f t="shared" si="17"/>
        <v>347.66066287941339</v>
      </c>
      <c r="L26" s="11">
        <f t="shared" si="17"/>
        <v>422.55451957530022</v>
      </c>
    </row>
    <row r="27" spans="1:12" x14ac:dyDescent="0.25">
      <c r="B27" s="64"/>
      <c r="C27" s="64"/>
      <c r="D27" s="64"/>
      <c r="E27" s="64"/>
      <c r="F27" s="64"/>
      <c r="G27" s="64"/>
      <c r="H27" s="82"/>
      <c r="I27" s="64"/>
      <c r="J27" s="64"/>
      <c r="K27" s="64"/>
      <c r="L27" s="64"/>
    </row>
    <row r="28" spans="1:12" x14ac:dyDescent="0.25">
      <c r="H28" s="6"/>
      <c r="I28" s="4"/>
      <c r="J28" s="4"/>
      <c r="K28" s="4"/>
      <c r="L28" s="4"/>
    </row>
    <row r="29" spans="1:12" x14ac:dyDescent="0.25">
      <c r="H29" s="6"/>
      <c r="I29" s="4"/>
      <c r="J29" s="4"/>
      <c r="K29" s="4"/>
      <c r="L29" s="4"/>
    </row>
    <row r="30" spans="1:12" x14ac:dyDescent="0.25">
      <c r="H30" s="6"/>
      <c r="I30" s="4"/>
      <c r="J30" s="4"/>
      <c r="K30" s="4"/>
      <c r="L30" s="4"/>
    </row>
    <row r="31" spans="1:12" x14ac:dyDescent="0.25">
      <c r="H31" s="6"/>
      <c r="I31" s="4"/>
      <c r="J31" s="4"/>
      <c r="K31" s="4"/>
      <c r="L31" s="4"/>
    </row>
    <row r="32" spans="1:12" x14ac:dyDescent="0.25">
      <c r="H32" s="6"/>
      <c r="I32" s="4"/>
      <c r="J32" s="4"/>
      <c r="K32" s="4"/>
      <c r="L32" s="4"/>
    </row>
    <row r="33" spans="8:12" x14ac:dyDescent="0.25">
      <c r="H33" s="6"/>
      <c r="I33" s="4"/>
      <c r="J33" s="4"/>
      <c r="K33" s="4"/>
      <c r="L33" s="4"/>
    </row>
    <row r="34" spans="8:12" x14ac:dyDescent="0.25">
      <c r="H34" s="6"/>
      <c r="I34" s="4"/>
      <c r="J34" s="4"/>
      <c r="K34" s="4"/>
      <c r="L34" s="4"/>
    </row>
    <row r="35" spans="8:12" x14ac:dyDescent="0.25">
      <c r="H35" s="6"/>
      <c r="I35" s="4"/>
      <c r="J35" s="4"/>
      <c r="K35" s="4"/>
      <c r="L35" s="4"/>
    </row>
    <row r="36" spans="8:12" x14ac:dyDescent="0.25">
      <c r="H36" s="6"/>
      <c r="I36" s="4"/>
      <c r="J36" s="4"/>
      <c r="K36" s="4"/>
      <c r="L36" s="4"/>
    </row>
    <row r="37" spans="8:12" x14ac:dyDescent="0.25">
      <c r="H37" s="6"/>
      <c r="I37" s="4"/>
      <c r="J37" s="4"/>
      <c r="K37" s="4"/>
      <c r="L37" s="4"/>
    </row>
    <row r="38" spans="8:12" x14ac:dyDescent="0.25">
      <c r="H38" s="6"/>
      <c r="I38" s="4"/>
      <c r="J38" s="4"/>
      <c r="K38" s="4"/>
      <c r="L38" s="4"/>
    </row>
    <row r="39" spans="8:12" x14ac:dyDescent="0.25">
      <c r="H39" s="6"/>
      <c r="I39" s="4"/>
      <c r="J39" s="4"/>
      <c r="K39" s="4"/>
      <c r="L39" s="4"/>
    </row>
    <row r="40" spans="8:12" x14ac:dyDescent="0.25">
      <c r="H40" s="6"/>
      <c r="I40" s="4"/>
      <c r="J40" s="4"/>
      <c r="K40" s="4"/>
      <c r="L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E32" sqref="E3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3" s="2" customFormat="1" x14ac:dyDescent="0.25">
      <c r="A2" s="16" t="s">
        <v>10</v>
      </c>
      <c r="B2" s="191"/>
      <c r="C2" s="241">
        <v>2023</v>
      </c>
      <c r="D2" s="241">
        <f>C2+1</f>
        <v>2024</v>
      </c>
      <c r="E2" s="241">
        <f t="shared" ref="E2:J2" si="0">D2+1</f>
        <v>2025</v>
      </c>
      <c r="F2" s="241">
        <f t="shared" si="0"/>
        <v>2026</v>
      </c>
      <c r="G2" s="241">
        <f t="shared" si="0"/>
        <v>2027</v>
      </c>
      <c r="H2" s="241">
        <f t="shared" si="0"/>
        <v>2028</v>
      </c>
      <c r="I2" s="241">
        <f t="shared" si="0"/>
        <v>2029</v>
      </c>
      <c r="J2" s="241">
        <f t="shared" si="0"/>
        <v>2030</v>
      </c>
      <c r="K2" s="241">
        <f t="shared" ref="K2:L2" si="1">J2+1</f>
        <v>2031</v>
      </c>
      <c r="L2" s="241">
        <f t="shared" si="1"/>
        <v>2032</v>
      </c>
    </row>
    <row r="3" spans="1:13" s="2" customFormat="1" x14ac:dyDescent="0.25">
      <c r="A3" s="85"/>
      <c r="B3" s="11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13" s="2" customFormat="1" x14ac:dyDescent="0.25">
      <c r="A4" s="11"/>
      <c r="B4" s="4" t="s">
        <v>25</v>
      </c>
      <c r="C4" s="29"/>
      <c r="D4" s="54"/>
      <c r="E4" s="58"/>
      <c r="F4" s="109">
        <f>Assumptions!F23</f>
        <v>5.8479999999999997E-2</v>
      </c>
      <c r="G4" s="109">
        <f>Assumptions!G23</f>
        <v>5.8479999999999997E-2</v>
      </c>
      <c r="H4" s="109">
        <f>Assumptions!H23</f>
        <v>5.8479999999999997E-2</v>
      </c>
      <c r="I4" s="109">
        <f>Assumptions!I23</f>
        <v>5.8479999999999997E-2</v>
      </c>
      <c r="J4" s="109">
        <f>Assumptions!J23</f>
        <v>5.8479999999999997E-2</v>
      </c>
      <c r="K4" s="109">
        <f>Assumptions!K23</f>
        <v>5.8479999999999997E-2</v>
      </c>
      <c r="L4" s="109">
        <f>Assumptions!L23</f>
        <v>5.8479999999999997E-2</v>
      </c>
    </row>
    <row r="5" spans="1:13" s="2" customFormat="1" x14ac:dyDescent="0.25">
      <c r="A5" s="11"/>
      <c r="B5" s="4" t="s">
        <v>26</v>
      </c>
      <c r="C5" s="29"/>
      <c r="D5" s="55"/>
      <c r="E5" s="59"/>
      <c r="F5" s="109">
        <f>Assumptions!F24</f>
        <v>3.8100000000000002E-2</v>
      </c>
      <c r="G5" s="109">
        <f>Assumptions!G24</f>
        <v>3.8100000000000002E-2</v>
      </c>
      <c r="H5" s="109">
        <f>Assumptions!H24</f>
        <v>3.8100000000000002E-2</v>
      </c>
      <c r="I5" s="109">
        <f>Assumptions!I24</f>
        <v>3.8100000000000002E-2</v>
      </c>
      <c r="J5" s="109">
        <f>Assumptions!J24</f>
        <v>3.8100000000000002E-2</v>
      </c>
      <c r="K5" s="109">
        <f>Assumptions!K24</f>
        <v>3.8100000000000002E-2</v>
      </c>
      <c r="L5" s="109">
        <f>Assumptions!L24</f>
        <v>3.8100000000000002E-2</v>
      </c>
    </row>
    <row r="6" spans="1:13" s="2" customFormat="1" x14ac:dyDescent="0.25">
      <c r="A6" s="11"/>
      <c r="B6" s="4" t="s">
        <v>27</v>
      </c>
      <c r="C6" s="29"/>
      <c r="D6" s="54"/>
      <c r="E6" s="58"/>
      <c r="F6" s="109">
        <f>Assumptions!F25</f>
        <v>3.7368389020753456E-2</v>
      </c>
      <c r="G6" s="109">
        <f>Assumptions!G25</f>
        <v>3.7368389020753456E-2</v>
      </c>
      <c r="H6" s="109">
        <f>Assumptions!H25</f>
        <v>3.7368389020753456E-2</v>
      </c>
      <c r="I6" s="109">
        <f>Assumptions!I25</f>
        <v>3.7368389020753456E-2</v>
      </c>
      <c r="J6" s="109">
        <f>Assumptions!J25</f>
        <v>3.7368389020753456E-2</v>
      </c>
      <c r="K6" s="109">
        <f>Assumptions!K25</f>
        <v>3.7368389020753456E-2</v>
      </c>
      <c r="L6" s="109">
        <f>Assumptions!L25</f>
        <v>3.7368389020753456E-2</v>
      </c>
    </row>
    <row r="7" spans="1:13" s="2" customFormat="1" x14ac:dyDescent="0.25">
      <c r="A7" s="11"/>
      <c r="B7" s="4"/>
      <c r="C7" s="29"/>
      <c r="D7" s="29"/>
      <c r="E7" s="29"/>
      <c r="F7" s="107"/>
      <c r="G7" s="107"/>
      <c r="H7" s="107"/>
      <c r="I7" s="108"/>
      <c r="J7" s="108"/>
      <c r="K7" s="108"/>
      <c r="L7" s="108"/>
    </row>
    <row r="8" spans="1:13" s="2" customFormat="1" x14ac:dyDescent="0.25">
      <c r="A8" s="11"/>
      <c r="B8" s="4" t="s">
        <v>28</v>
      </c>
      <c r="C8" s="29"/>
      <c r="D8" s="56"/>
      <c r="E8" s="60"/>
      <c r="F8" s="110">
        <f>Assumptions!F27</f>
        <v>0</v>
      </c>
      <c r="G8" s="110">
        <f>Assumptions!G27</f>
        <v>0</v>
      </c>
      <c r="H8" s="110">
        <f>Assumptions!H27</f>
        <v>0</v>
      </c>
      <c r="I8" s="110">
        <f>Assumptions!I27</f>
        <v>0</v>
      </c>
      <c r="J8" s="110">
        <f>Assumptions!J27</f>
        <v>0</v>
      </c>
      <c r="K8" s="110">
        <f>Assumptions!K27</f>
        <v>0</v>
      </c>
      <c r="L8" s="110">
        <f>Assumptions!L27</f>
        <v>0</v>
      </c>
    </row>
    <row r="9" spans="1:13" s="2" customFormat="1" x14ac:dyDescent="0.25">
      <c r="A9" s="11"/>
      <c r="B9" s="4" t="s">
        <v>29</v>
      </c>
      <c r="C9" s="29"/>
      <c r="D9" s="56"/>
      <c r="E9" s="60"/>
      <c r="F9" s="110">
        <f>Assumptions!F28</f>
        <v>0</v>
      </c>
      <c r="G9" s="110">
        <f>Assumptions!G28</f>
        <v>0</v>
      </c>
      <c r="H9" s="110">
        <f>Assumptions!H28</f>
        <v>0</v>
      </c>
      <c r="I9" s="110">
        <f>Assumptions!I28</f>
        <v>0</v>
      </c>
      <c r="J9" s="110">
        <f>Assumptions!J28</f>
        <v>0</v>
      </c>
      <c r="K9" s="110">
        <f>Assumptions!K28</f>
        <v>0</v>
      </c>
      <c r="L9" s="110">
        <f>Assumptions!L28</f>
        <v>0</v>
      </c>
    </row>
    <row r="10" spans="1:13" s="2" customFormat="1" ht="18.75" x14ac:dyDescent="0.3">
      <c r="A10" s="32"/>
      <c r="B10" s="3"/>
      <c r="C10" s="52"/>
      <c r="D10" s="52"/>
      <c r="E10" s="52"/>
      <c r="F10" s="106"/>
      <c r="G10" s="106"/>
      <c r="H10" s="106"/>
      <c r="I10" s="106"/>
      <c r="J10" s="106"/>
      <c r="K10" s="106"/>
      <c r="L10" s="106"/>
    </row>
    <row r="11" spans="1:13" x14ac:dyDescent="0.25">
      <c r="A11" s="20" t="s">
        <v>30</v>
      </c>
      <c r="B11" s="53"/>
      <c r="C11" s="232">
        <f>C2</f>
        <v>2023</v>
      </c>
      <c r="D11" s="232">
        <f t="shared" ref="D11:J11" si="2">D2</f>
        <v>2024</v>
      </c>
      <c r="E11" s="232">
        <f t="shared" si="2"/>
        <v>2025</v>
      </c>
      <c r="F11" s="232">
        <f t="shared" si="2"/>
        <v>2026</v>
      </c>
      <c r="G11" s="232">
        <f t="shared" si="2"/>
        <v>2027</v>
      </c>
      <c r="H11" s="232">
        <f t="shared" si="2"/>
        <v>2028</v>
      </c>
      <c r="I11" s="232">
        <f t="shared" si="2"/>
        <v>2029</v>
      </c>
      <c r="J11" s="232">
        <f t="shared" si="2"/>
        <v>2030</v>
      </c>
      <c r="K11" s="232">
        <f t="shared" ref="K11:L11" si="3">K2</f>
        <v>2031</v>
      </c>
      <c r="L11" s="232">
        <f t="shared" si="3"/>
        <v>2032</v>
      </c>
      <c r="M11" s="46"/>
    </row>
    <row r="12" spans="1:13" x14ac:dyDescent="0.25">
      <c r="B12" s="4" t="s">
        <v>31</v>
      </c>
      <c r="E12" s="27">
        <f>BalSheet!E32</f>
        <v>1248.9000000000001</v>
      </c>
      <c r="F12" s="4">
        <f>BalSheet!F32</f>
        <v>339.911125293552</v>
      </c>
      <c r="G12" s="4">
        <f>BalSheet!G32</f>
        <v>447.87678893938869</v>
      </c>
      <c r="H12" s="4">
        <f>BalSheet!H32</f>
        <v>423.907193888753</v>
      </c>
      <c r="I12" s="4">
        <f>BalSheet!I32</f>
        <v>0</v>
      </c>
      <c r="J12" s="4">
        <f>BalSheet!J32</f>
        <v>0</v>
      </c>
      <c r="K12" s="4">
        <f>BalSheet!K32</f>
        <v>0</v>
      </c>
      <c r="L12" s="4">
        <f>BalSheet!L32</f>
        <v>0</v>
      </c>
      <c r="M12" s="46"/>
    </row>
    <row r="13" spans="1:13" s="46" customFormat="1" x14ac:dyDescent="0.25">
      <c r="A13" s="277"/>
      <c r="B13" s="46" t="s">
        <v>32</v>
      </c>
      <c r="E13" s="278">
        <f>F4</f>
        <v>5.8479999999999997E-2</v>
      </c>
      <c r="F13" s="46">
        <f>F4</f>
        <v>5.8479999999999997E-2</v>
      </c>
      <c r="G13" s="46">
        <f t="shared" ref="G13:L13" si="4">G4</f>
        <v>5.8479999999999997E-2</v>
      </c>
      <c r="H13" s="46">
        <f t="shared" si="4"/>
        <v>5.8479999999999997E-2</v>
      </c>
      <c r="I13" s="46">
        <f t="shared" si="4"/>
        <v>5.8479999999999997E-2</v>
      </c>
      <c r="J13" s="46">
        <f t="shared" si="4"/>
        <v>5.8479999999999997E-2</v>
      </c>
      <c r="K13" s="46">
        <f t="shared" si="4"/>
        <v>5.8479999999999997E-2</v>
      </c>
      <c r="L13" s="46">
        <f t="shared" si="4"/>
        <v>5.8479999999999997E-2</v>
      </c>
    </row>
    <row r="14" spans="1:13" x14ac:dyDescent="0.25">
      <c r="B14" s="4" t="s">
        <v>33</v>
      </c>
      <c r="E14" s="27"/>
      <c r="F14" s="4">
        <f>F12*F13</f>
        <v>19.87800260716692</v>
      </c>
      <c r="G14" s="4">
        <f t="shared" ref="G14:L14" si="5">G12*G13</f>
        <v>26.191834617175449</v>
      </c>
      <c r="H14" s="4">
        <f t="shared" si="5"/>
        <v>24.790092698614274</v>
      </c>
      <c r="I14" s="4">
        <f t="shared" si="5"/>
        <v>0</v>
      </c>
      <c r="J14" s="4">
        <f t="shared" si="5"/>
        <v>0</v>
      </c>
      <c r="K14" s="4">
        <f t="shared" si="5"/>
        <v>0</v>
      </c>
      <c r="L14" s="4">
        <f t="shared" si="5"/>
        <v>0</v>
      </c>
      <c r="M14" s="46"/>
    </row>
    <row r="15" spans="1:13" x14ac:dyDescent="0.25">
      <c r="E15" s="27"/>
      <c r="I15" s="4"/>
      <c r="J15" s="4"/>
      <c r="K15" s="4"/>
      <c r="L15" s="4"/>
      <c r="M15" s="46"/>
    </row>
    <row r="16" spans="1:13" x14ac:dyDescent="0.25">
      <c r="A16" s="240" t="s">
        <v>34</v>
      </c>
      <c r="B16" s="19"/>
      <c r="C16" s="232">
        <f t="shared" ref="C16:J16" si="6">C11</f>
        <v>2023</v>
      </c>
      <c r="D16" s="232">
        <f t="shared" si="6"/>
        <v>2024</v>
      </c>
      <c r="E16" s="232">
        <f t="shared" si="6"/>
        <v>2025</v>
      </c>
      <c r="F16" s="232">
        <f t="shared" si="6"/>
        <v>2026</v>
      </c>
      <c r="G16" s="232">
        <f t="shared" ref="G16:L16" si="7">G11</f>
        <v>2027</v>
      </c>
      <c r="H16" s="232">
        <f t="shared" si="7"/>
        <v>2028</v>
      </c>
      <c r="I16" s="232">
        <f t="shared" si="7"/>
        <v>2029</v>
      </c>
      <c r="J16" s="232">
        <f t="shared" si="7"/>
        <v>2030</v>
      </c>
      <c r="K16" s="232">
        <f t="shared" si="7"/>
        <v>2031</v>
      </c>
      <c r="L16" s="232">
        <f t="shared" si="7"/>
        <v>2032</v>
      </c>
      <c r="M16" s="46"/>
    </row>
    <row r="17" spans="1:13" x14ac:dyDescent="0.25">
      <c r="B17" s="4" t="s">
        <v>19</v>
      </c>
      <c r="E17" s="27"/>
      <c r="F17" s="4">
        <f>E20</f>
        <v>14319.5</v>
      </c>
      <c r="G17" s="4">
        <f t="shared" ref="G17:L17" si="8">F20</f>
        <v>14319.5</v>
      </c>
      <c r="H17" s="4">
        <f t="shared" si="8"/>
        <v>14319.5</v>
      </c>
      <c r="I17" s="4">
        <f t="shared" si="8"/>
        <v>14319.5</v>
      </c>
      <c r="J17" s="4">
        <f t="shared" si="8"/>
        <v>14319.5</v>
      </c>
      <c r="K17" s="4">
        <f t="shared" si="8"/>
        <v>14319.5</v>
      </c>
      <c r="L17" s="4">
        <f t="shared" si="8"/>
        <v>14319.5</v>
      </c>
      <c r="M17" s="46"/>
    </row>
    <row r="18" spans="1:13" x14ac:dyDescent="0.25">
      <c r="B18" s="4" t="s">
        <v>35</v>
      </c>
      <c r="E18" s="27"/>
      <c r="F18" s="4">
        <f>SUM(F8)</f>
        <v>0</v>
      </c>
      <c r="G18" s="4">
        <f t="shared" ref="G18:L18" si="9">SUM(G8)</f>
        <v>0</v>
      </c>
      <c r="H18" s="4">
        <f t="shared" si="9"/>
        <v>0</v>
      </c>
      <c r="I18" s="4">
        <f t="shared" si="9"/>
        <v>0</v>
      </c>
      <c r="J18" s="4">
        <f t="shared" si="9"/>
        <v>0</v>
      </c>
      <c r="K18" s="4">
        <f t="shared" si="9"/>
        <v>0</v>
      </c>
      <c r="L18" s="4">
        <f t="shared" si="9"/>
        <v>0</v>
      </c>
      <c r="M18" s="46"/>
    </row>
    <row r="19" spans="1:13" x14ac:dyDescent="0.25">
      <c r="B19" s="4" t="s">
        <v>36</v>
      </c>
      <c r="E19" s="27"/>
      <c r="F19" s="4">
        <f>SUM(F9)</f>
        <v>0</v>
      </c>
      <c r="G19" s="4">
        <f t="shared" ref="G19:L19" si="10">SUM(G9)</f>
        <v>0</v>
      </c>
      <c r="H19" s="4">
        <f t="shared" si="10"/>
        <v>0</v>
      </c>
      <c r="I19" s="4">
        <f t="shared" si="10"/>
        <v>0</v>
      </c>
      <c r="J19" s="4">
        <f t="shared" si="10"/>
        <v>0</v>
      </c>
      <c r="K19" s="4">
        <f t="shared" si="10"/>
        <v>0</v>
      </c>
      <c r="L19" s="4">
        <f t="shared" si="10"/>
        <v>0</v>
      </c>
    </row>
    <row r="20" spans="1:13" x14ac:dyDescent="0.25">
      <c r="B20" s="4" t="s">
        <v>23</v>
      </c>
      <c r="C20" s="10"/>
      <c r="E20" s="27">
        <f>BalSheet!E37</f>
        <v>14319.5</v>
      </c>
      <c r="F20" s="4">
        <f>SUM(F17:F19)</f>
        <v>14319.5</v>
      </c>
      <c r="G20" s="4">
        <f t="shared" ref="G20:L20" si="11">SUM(G17:G19)</f>
        <v>14319.5</v>
      </c>
      <c r="H20" s="4">
        <f t="shared" si="11"/>
        <v>14319.5</v>
      </c>
      <c r="I20" s="4">
        <f t="shared" si="11"/>
        <v>14319.5</v>
      </c>
      <c r="J20" s="4">
        <f t="shared" si="11"/>
        <v>14319.5</v>
      </c>
      <c r="K20" s="4">
        <f t="shared" si="11"/>
        <v>14319.5</v>
      </c>
      <c r="L20" s="4">
        <f t="shared" si="11"/>
        <v>14319.5</v>
      </c>
    </row>
    <row r="21" spans="1:13" x14ac:dyDescent="0.25">
      <c r="B21" s="4" t="s">
        <v>32</v>
      </c>
      <c r="D21" s="47"/>
      <c r="E21" s="27"/>
      <c r="F21" s="8">
        <f>F5</f>
        <v>3.8100000000000002E-2</v>
      </c>
      <c r="G21" s="8">
        <f t="shared" ref="G21:L21" si="12">G5</f>
        <v>3.8100000000000002E-2</v>
      </c>
      <c r="H21" s="8">
        <f t="shared" si="12"/>
        <v>3.8100000000000002E-2</v>
      </c>
      <c r="I21" s="8">
        <f t="shared" si="12"/>
        <v>3.8100000000000002E-2</v>
      </c>
      <c r="J21" s="8">
        <f t="shared" si="12"/>
        <v>3.8100000000000002E-2</v>
      </c>
      <c r="K21" s="8">
        <f t="shared" si="12"/>
        <v>3.8100000000000002E-2</v>
      </c>
      <c r="L21" s="8">
        <f t="shared" si="12"/>
        <v>3.8100000000000002E-2</v>
      </c>
    </row>
    <row r="22" spans="1:13" x14ac:dyDescent="0.25">
      <c r="B22" s="4" t="s">
        <v>33</v>
      </c>
      <c r="E22" s="27"/>
      <c r="F22" s="4">
        <f>F20*F21</f>
        <v>545.57294999999999</v>
      </c>
      <c r="G22" s="4">
        <f t="shared" ref="G22:L22" si="13">G20*G21</f>
        <v>545.57294999999999</v>
      </c>
      <c r="H22" s="4">
        <f t="shared" si="13"/>
        <v>545.57294999999999</v>
      </c>
      <c r="I22" s="4">
        <f t="shared" si="13"/>
        <v>545.57294999999999</v>
      </c>
      <c r="J22" s="4">
        <f t="shared" si="13"/>
        <v>545.57294999999999</v>
      </c>
      <c r="K22" s="4">
        <f t="shared" si="13"/>
        <v>545.57294999999999</v>
      </c>
      <c r="L22" s="4">
        <f t="shared" si="13"/>
        <v>545.57294999999999</v>
      </c>
    </row>
    <row r="23" spans="1:13" x14ac:dyDescent="0.25">
      <c r="E23" s="27"/>
      <c r="I23" s="4"/>
      <c r="J23" s="4"/>
      <c r="K23" s="4"/>
      <c r="L23" s="4"/>
    </row>
    <row r="24" spans="1:13" x14ac:dyDescent="0.25">
      <c r="A24" s="20" t="s">
        <v>37</v>
      </c>
      <c r="B24" s="41"/>
      <c r="C24" s="232">
        <f>C16</f>
        <v>2023</v>
      </c>
      <c r="D24" s="232">
        <f t="shared" ref="D24:J24" si="14">D16</f>
        <v>2024</v>
      </c>
      <c r="E24" s="232">
        <f t="shared" si="14"/>
        <v>2025</v>
      </c>
      <c r="F24" s="232">
        <f t="shared" si="14"/>
        <v>2026</v>
      </c>
      <c r="G24" s="232">
        <f t="shared" ref="G24:L24" si="15">G16</f>
        <v>2027</v>
      </c>
      <c r="H24" s="232">
        <f t="shared" si="15"/>
        <v>2028</v>
      </c>
      <c r="I24" s="232">
        <f t="shared" si="15"/>
        <v>2029</v>
      </c>
      <c r="J24" s="232">
        <f t="shared" si="15"/>
        <v>2030</v>
      </c>
      <c r="K24" s="232">
        <f t="shared" si="15"/>
        <v>2031</v>
      </c>
      <c r="L24" s="232">
        <f t="shared" si="15"/>
        <v>2032</v>
      </c>
    </row>
    <row r="25" spans="1:13" x14ac:dyDescent="0.25">
      <c r="A25" s="7"/>
      <c r="B25" s="4" t="s">
        <v>30</v>
      </c>
      <c r="E25" s="27"/>
      <c r="F25" s="4">
        <f>F12</f>
        <v>339.911125293552</v>
      </c>
      <c r="G25" s="4">
        <f t="shared" ref="G25:L25" si="16">G12</f>
        <v>447.87678893938869</v>
      </c>
      <c r="H25" s="4">
        <f t="shared" si="16"/>
        <v>423.907193888753</v>
      </c>
      <c r="I25" s="4">
        <f t="shared" si="16"/>
        <v>0</v>
      </c>
      <c r="J25" s="4">
        <f t="shared" si="16"/>
        <v>0</v>
      </c>
      <c r="K25" s="4">
        <f t="shared" si="16"/>
        <v>0</v>
      </c>
      <c r="L25" s="4">
        <f t="shared" si="16"/>
        <v>0</v>
      </c>
    </row>
    <row r="26" spans="1:13" x14ac:dyDescent="0.25">
      <c r="A26" s="7"/>
      <c r="B26" s="4" t="s">
        <v>38</v>
      </c>
      <c r="E26" s="27"/>
      <c r="F26" s="4">
        <f>F20</f>
        <v>14319.5</v>
      </c>
      <c r="G26" s="4">
        <f t="shared" ref="G26:L26" si="17">G20</f>
        <v>14319.5</v>
      </c>
      <c r="H26" s="4">
        <f t="shared" si="17"/>
        <v>14319.5</v>
      </c>
      <c r="I26" s="4">
        <f t="shared" si="17"/>
        <v>14319.5</v>
      </c>
      <c r="J26" s="4">
        <f t="shared" si="17"/>
        <v>14319.5</v>
      </c>
      <c r="K26" s="4">
        <f t="shared" si="17"/>
        <v>14319.5</v>
      </c>
      <c r="L26" s="4">
        <f t="shared" si="17"/>
        <v>14319.5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14659.411125293553</v>
      </c>
      <c r="G27" s="11">
        <f t="shared" ref="G27:L27" si="18">SUM(G25:G26)</f>
        <v>14767.376788939389</v>
      </c>
      <c r="H27" s="11">
        <f t="shared" si="18"/>
        <v>14743.407193888754</v>
      </c>
      <c r="I27" s="11">
        <f t="shared" si="18"/>
        <v>14319.5</v>
      </c>
      <c r="J27" s="11">
        <f t="shared" si="18"/>
        <v>14319.5</v>
      </c>
      <c r="K27" s="11">
        <f t="shared" si="18"/>
        <v>14319.5</v>
      </c>
      <c r="L27" s="11">
        <f t="shared" si="18"/>
        <v>14319.5</v>
      </c>
    </row>
    <row r="28" spans="1:13" x14ac:dyDescent="0.25">
      <c r="A28" s="7"/>
      <c r="B28" s="4" t="s">
        <v>40</v>
      </c>
      <c r="E28" s="27"/>
      <c r="F28" s="4">
        <f>F22</f>
        <v>545.57294999999999</v>
      </c>
      <c r="G28" s="4">
        <f t="shared" ref="G28:L28" si="19">G22</f>
        <v>545.57294999999999</v>
      </c>
      <c r="H28" s="4">
        <f t="shared" si="19"/>
        <v>545.57294999999999</v>
      </c>
      <c r="I28" s="4">
        <f t="shared" si="19"/>
        <v>545.57294999999999</v>
      </c>
      <c r="J28" s="4">
        <f t="shared" si="19"/>
        <v>545.57294999999999</v>
      </c>
      <c r="K28" s="4">
        <f t="shared" si="19"/>
        <v>545.57294999999999</v>
      </c>
      <c r="L28" s="4">
        <f t="shared" si="19"/>
        <v>545.57294999999999</v>
      </c>
    </row>
    <row r="29" spans="1:13" x14ac:dyDescent="0.25">
      <c r="A29" s="7"/>
      <c r="E29" s="27"/>
      <c r="I29" s="4"/>
      <c r="J29" s="4"/>
      <c r="K29" s="4"/>
      <c r="L29" s="4"/>
    </row>
    <row r="30" spans="1:13" x14ac:dyDescent="0.25">
      <c r="A30" s="20" t="s">
        <v>41</v>
      </c>
      <c r="B30" s="41"/>
      <c r="C30" s="232">
        <f>C11</f>
        <v>2023</v>
      </c>
      <c r="D30" s="232">
        <f t="shared" ref="D30:J30" si="20">D11</f>
        <v>2024</v>
      </c>
      <c r="E30" s="232">
        <f t="shared" si="20"/>
        <v>2025</v>
      </c>
      <c r="F30" s="232">
        <f t="shared" si="20"/>
        <v>2026</v>
      </c>
      <c r="G30" s="232">
        <f t="shared" ref="G30:L30" si="21">G11</f>
        <v>2027</v>
      </c>
      <c r="H30" s="232">
        <f t="shared" si="21"/>
        <v>2028</v>
      </c>
      <c r="I30" s="232">
        <f t="shared" si="21"/>
        <v>2029</v>
      </c>
      <c r="J30" s="232">
        <f t="shared" si="21"/>
        <v>2030</v>
      </c>
      <c r="K30" s="232">
        <f t="shared" si="21"/>
        <v>2031</v>
      </c>
      <c r="L30" s="232">
        <f t="shared" si="21"/>
        <v>2032</v>
      </c>
    </row>
    <row r="31" spans="1:13" x14ac:dyDescent="0.25">
      <c r="A31" s="7"/>
      <c r="B31" s="4" t="s">
        <v>171</v>
      </c>
      <c r="E31" s="27"/>
      <c r="F31" s="4">
        <f>BalSheet!F18</f>
        <v>0</v>
      </c>
      <c r="G31" s="4">
        <f>BalSheet!G18</f>
        <v>0</v>
      </c>
      <c r="H31" s="4">
        <f>BalSheet!H18</f>
        <v>0</v>
      </c>
      <c r="I31" s="4">
        <f>BalSheet!I18</f>
        <v>162.79449253184407</v>
      </c>
      <c r="J31" s="4">
        <f>BalSheet!J18</f>
        <v>1493.9471258154742</v>
      </c>
      <c r="K31" s="4">
        <f>BalSheet!K18</f>
        <v>3750.6196119015467</v>
      </c>
      <c r="L31" s="4">
        <f>BalSheet!L18</f>
        <v>6993.5076606828889</v>
      </c>
    </row>
    <row r="32" spans="1:13" x14ac:dyDescent="0.25">
      <c r="B32" s="4" t="s">
        <v>32</v>
      </c>
      <c r="D32" s="47"/>
      <c r="E32" s="23"/>
      <c r="F32" s="5">
        <f>F6</f>
        <v>3.7368389020753456E-2</v>
      </c>
      <c r="G32" s="5">
        <f t="shared" ref="G32:L32" si="22">G6</f>
        <v>3.7368389020753456E-2</v>
      </c>
      <c r="H32" s="5">
        <f t="shared" si="22"/>
        <v>3.7368389020753456E-2</v>
      </c>
      <c r="I32" s="5">
        <f t="shared" si="22"/>
        <v>3.7368389020753456E-2</v>
      </c>
      <c r="J32" s="5">
        <f t="shared" si="22"/>
        <v>3.7368389020753456E-2</v>
      </c>
      <c r="K32" s="5">
        <f t="shared" si="22"/>
        <v>3.7368389020753456E-2</v>
      </c>
      <c r="L32" s="5">
        <f t="shared" si="22"/>
        <v>3.7368389020753456E-2</v>
      </c>
    </row>
    <row r="33" spans="2:12" x14ac:dyDescent="0.25">
      <c r="B33" s="4" t="s">
        <v>41</v>
      </c>
      <c r="E33" s="27"/>
      <c r="F33" s="4">
        <f>F31*F32</f>
        <v>0</v>
      </c>
      <c r="G33" s="4">
        <f t="shared" ref="G33:L33" si="23">G31*G32</f>
        <v>0</v>
      </c>
      <c r="H33" s="4">
        <f t="shared" si="23"/>
        <v>0</v>
      </c>
      <c r="I33" s="4">
        <f t="shared" si="23"/>
        <v>6.0833679273660923</v>
      </c>
      <c r="J33" s="4">
        <f t="shared" si="23"/>
        <v>55.826397373909153</v>
      </c>
      <c r="K33" s="4">
        <f t="shared" si="23"/>
        <v>140.15461272640434</v>
      </c>
      <c r="L33" s="4">
        <f t="shared" si="23"/>
        <v>261.33611488401766</v>
      </c>
    </row>
    <row r="34" spans="2:12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A13" zoomScaleNormal="100" workbookViewId="0">
      <selection activeCell="F41" sqref="F16:L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2" width="11.7109375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x14ac:dyDescent="0.25">
      <c r="A2" s="16" t="s">
        <v>10</v>
      </c>
      <c r="B2" s="15"/>
      <c r="C2" s="242">
        <v>2023</v>
      </c>
      <c r="D2" s="242">
        <f>C2+1</f>
        <v>2024</v>
      </c>
      <c r="E2" s="242">
        <f t="shared" ref="E2:J2" si="0">D2+1</f>
        <v>2025</v>
      </c>
      <c r="F2" s="242">
        <f t="shared" si="0"/>
        <v>2026</v>
      </c>
      <c r="G2" s="242">
        <f t="shared" si="0"/>
        <v>2027</v>
      </c>
      <c r="H2" s="242">
        <f t="shared" si="0"/>
        <v>2028</v>
      </c>
      <c r="I2" s="242">
        <f t="shared" si="0"/>
        <v>2029</v>
      </c>
      <c r="J2" s="242">
        <f t="shared" si="0"/>
        <v>2030</v>
      </c>
      <c r="K2" s="242">
        <f t="shared" ref="K2" si="1">J2+1</f>
        <v>2031</v>
      </c>
      <c r="L2" s="242">
        <f t="shared" ref="L2" si="2">K2+1</f>
        <v>2032</v>
      </c>
    </row>
    <row r="3" spans="1:12" x14ac:dyDescent="0.25">
      <c r="A3" s="85"/>
      <c r="C3" s="98"/>
      <c r="D3" s="98"/>
      <c r="E3" s="98"/>
    </row>
    <row r="4" spans="1:12" x14ac:dyDescent="0.25">
      <c r="B4" s="29" t="s">
        <v>43</v>
      </c>
      <c r="C4" s="30"/>
      <c r="D4" s="30"/>
      <c r="E4" s="31"/>
      <c r="F4" s="173">
        <f>Assumptions!F10</f>
        <v>2.8917807854869082E-2</v>
      </c>
      <c r="G4" s="173">
        <f>Assumptions!G10</f>
        <v>5.9892803519524529E-2</v>
      </c>
      <c r="H4" s="173">
        <f>Assumptions!H10</f>
        <v>7.2740241845268283E-2</v>
      </c>
      <c r="I4" s="173">
        <f>Assumptions!I10</f>
        <v>8.3347951081823579E-2</v>
      </c>
      <c r="J4" s="173">
        <f>Assumptions!J10</f>
        <v>9.3915406248316735E-2</v>
      </c>
      <c r="K4" s="173">
        <f>Assumptions!K10</f>
        <v>0.10444533722936855</v>
      </c>
      <c r="L4" s="173">
        <f>Assumptions!L10</f>
        <v>0.11494022098049683</v>
      </c>
    </row>
    <row r="5" spans="1:12" x14ac:dyDescent="0.25">
      <c r="B5" s="29" t="s">
        <v>44</v>
      </c>
      <c r="C5" s="30"/>
      <c r="D5" s="30"/>
      <c r="E5" s="30"/>
      <c r="F5" s="173">
        <f>Assumptions!F11</f>
        <v>0.31356408866615837</v>
      </c>
      <c r="G5" s="173">
        <f>Assumptions!G11</f>
        <v>0.31356408866615837</v>
      </c>
      <c r="H5" s="173">
        <f>Assumptions!H11</f>
        <v>0.31356408866615837</v>
      </c>
      <c r="I5" s="173">
        <f>Assumptions!I11</f>
        <v>0.31356408866615837</v>
      </c>
      <c r="J5" s="173">
        <f>Assumptions!J11</f>
        <v>0.31356408866615837</v>
      </c>
      <c r="K5" s="173">
        <f>Assumptions!K11</f>
        <v>0.31356408866615837</v>
      </c>
      <c r="L5" s="173">
        <f>Assumptions!L11</f>
        <v>0.31356408866615837</v>
      </c>
    </row>
    <row r="6" spans="1:12" x14ac:dyDescent="0.25">
      <c r="B6" s="29" t="s">
        <v>45</v>
      </c>
      <c r="C6" s="30"/>
      <c r="D6" s="30"/>
      <c r="E6" s="30"/>
      <c r="F6" s="173">
        <f>Assumptions!F12</f>
        <v>0.59025853598600508</v>
      </c>
      <c r="G6" s="173">
        <f>Assumptions!G12</f>
        <v>0.58872839437831415</v>
      </c>
      <c r="H6" s="173">
        <f>Assumptions!H12</f>
        <v>0.58872839437831415</v>
      </c>
      <c r="I6" s="173">
        <f>Assumptions!I12</f>
        <v>0.57722839437831408</v>
      </c>
      <c r="J6" s="173">
        <f>Assumptions!J12</f>
        <v>0.56572839437831413</v>
      </c>
      <c r="K6" s="173">
        <f>Assumptions!K12</f>
        <v>0.55422839437831406</v>
      </c>
      <c r="L6" s="173">
        <f>Assumptions!L12</f>
        <v>0.54622839437831405</v>
      </c>
    </row>
    <row r="7" spans="1:12" x14ac:dyDescent="0.25">
      <c r="A7" s="85"/>
      <c r="B7" s="4" t="s">
        <v>46</v>
      </c>
      <c r="C7" s="29"/>
      <c r="D7" s="29"/>
      <c r="E7" s="29"/>
      <c r="F7" s="174">
        <f>Assumptions!F13</f>
        <v>0</v>
      </c>
      <c r="G7" s="174">
        <f>Assumptions!G13</f>
        <v>0</v>
      </c>
      <c r="H7" s="174">
        <f>Assumptions!H13</f>
        <v>0</v>
      </c>
      <c r="I7" s="174">
        <f>Assumptions!I13</f>
        <v>0</v>
      </c>
      <c r="J7" s="174">
        <f>Assumptions!J13</f>
        <v>0</v>
      </c>
      <c r="K7" s="174">
        <f>Assumptions!K13</f>
        <v>0</v>
      </c>
      <c r="L7" s="174">
        <f>Assumptions!L13</f>
        <v>0</v>
      </c>
    </row>
    <row r="8" spans="1:12" x14ac:dyDescent="0.25">
      <c r="A8" s="85"/>
      <c r="B8" s="4" t="s">
        <v>47</v>
      </c>
      <c r="C8" s="29"/>
      <c r="D8" s="29"/>
      <c r="E8" s="29"/>
      <c r="F8" s="175">
        <f>Assumptions!F14</f>
        <v>0</v>
      </c>
      <c r="G8" s="175">
        <f>Assumptions!G14</f>
        <v>0</v>
      </c>
      <c r="H8" s="175">
        <f>Assumptions!H14</f>
        <v>0</v>
      </c>
      <c r="I8" s="175">
        <f>Assumptions!I14</f>
        <v>0</v>
      </c>
      <c r="J8" s="175">
        <f>Assumptions!J14</f>
        <v>0</v>
      </c>
      <c r="K8" s="175">
        <f>Assumptions!K14</f>
        <v>0</v>
      </c>
      <c r="L8" s="175">
        <f>Assumptions!L14</f>
        <v>0</v>
      </c>
    </row>
    <row r="9" spans="1:12" x14ac:dyDescent="0.25">
      <c r="B9" s="4" t="s">
        <v>147</v>
      </c>
      <c r="F9" s="175">
        <f>Assumptions!F15</f>
        <v>0</v>
      </c>
      <c r="G9" s="175">
        <f>Assumptions!G15</f>
        <v>0</v>
      </c>
      <c r="H9" s="175">
        <f>Assumptions!H15</f>
        <v>0</v>
      </c>
      <c r="I9" s="175">
        <f>Assumptions!I15</f>
        <v>0</v>
      </c>
      <c r="J9" s="175">
        <f>Assumptions!J15</f>
        <v>0</v>
      </c>
      <c r="K9" s="175">
        <f>Assumptions!K15</f>
        <v>0</v>
      </c>
      <c r="L9" s="175">
        <f>Assumptions!L15</f>
        <v>0</v>
      </c>
    </row>
    <row r="10" spans="1:12" x14ac:dyDescent="0.25">
      <c r="B10" s="29" t="s">
        <v>48</v>
      </c>
      <c r="C10" s="42"/>
      <c r="D10" s="42"/>
      <c r="E10" s="42"/>
      <c r="F10" s="173">
        <f>Assumptions!F16</f>
        <v>0.19</v>
      </c>
      <c r="G10" s="173">
        <f>Assumptions!G16</f>
        <v>0.2</v>
      </c>
      <c r="H10" s="173">
        <f>Assumptions!H16</f>
        <v>0.21000000000000002</v>
      </c>
      <c r="I10" s="173">
        <f>Assumptions!I16</f>
        <v>0.22000000000000003</v>
      </c>
      <c r="J10" s="173">
        <f>Assumptions!J16</f>
        <v>0.22000000000000003</v>
      </c>
      <c r="K10" s="173">
        <f>Assumptions!K16</f>
        <v>0.22000000000000003</v>
      </c>
      <c r="L10" s="173">
        <f>Assumptions!L16</f>
        <v>0.22000000000000003</v>
      </c>
    </row>
    <row r="11" spans="1:12" s="244" customFormat="1" x14ac:dyDescent="0.25">
      <c r="A11" s="246"/>
      <c r="B11" s="244" t="s">
        <v>141</v>
      </c>
      <c r="E11" s="247"/>
      <c r="F11" s="248">
        <f>Assumptions!F17</f>
        <v>2.4400754555014168</v>
      </c>
      <c r="G11" s="248">
        <f>Assumptions!G17</f>
        <v>2.6002073583480443</v>
      </c>
      <c r="H11" s="248">
        <f>Assumptions!H17</f>
        <v>2.7603392611946718</v>
      </c>
      <c r="I11" s="248">
        <f>Assumptions!I17</f>
        <v>2.9204711640412993</v>
      </c>
      <c r="J11" s="248">
        <f>Assumptions!J17</f>
        <v>3.0806030668879267</v>
      </c>
      <c r="K11" s="248">
        <f>Assumptions!K17</f>
        <v>3.2407349697345542</v>
      </c>
      <c r="L11" s="248">
        <f>Assumptions!L17</f>
        <v>3.4008668725811817</v>
      </c>
    </row>
    <row r="12" spans="1:12" x14ac:dyDescent="0.25">
      <c r="B12" s="4" t="s">
        <v>49</v>
      </c>
      <c r="C12" s="29"/>
      <c r="D12" s="29"/>
      <c r="E12" s="38"/>
      <c r="F12" s="175">
        <f>Assumptions!F18</f>
        <v>1133.8</v>
      </c>
      <c r="G12" s="175">
        <f>Assumptions!G18</f>
        <v>1133.8</v>
      </c>
      <c r="H12" s="175">
        <f>Assumptions!H18</f>
        <v>1133.8</v>
      </c>
      <c r="I12" s="175">
        <f>Assumptions!I18</f>
        <v>1133.8</v>
      </c>
      <c r="J12" s="175">
        <f>Assumptions!J18</f>
        <v>1133.8</v>
      </c>
      <c r="K12" s="175">
        <f>Assumptions!K18</f>
        <v>1133.8</v>
      </c>
      <c r="L12" s="175">
        <f>Assumptions!L18</f>
        <v>1133.8</v>
      </c>
    </row>
    <row r="13" spans="1:12" x14ac:dyDescent="0.25">
      <c r="B13" s="4" t="s">
        <v>50</v>
      </c>
      <c r="C13" s="29"/>
      <c r="D13" s="29"/>
      <c r="E13" s="38"/>
      <c r="F13" s="175">
        <f>Assumptions!F19</f>
        <v>1137.3</v>
      </c>
      <c r="G13" s="175">
        <f>Assumptions!G19</f>
        <v>1137.3</v>
      </c>
      <c r="H13" s="175">
        <f>Assumptions!H19</f>
        <v>1137.3</v>
      </c>
      <c r="I13" s="175">
        <f>Assumptions!I19</f>
        <v>1137.3</v>
      </c>
      <c r="J13" s="175">
        <f>Assumptions!J19</f>
        <v>1137.3</v>
      </c>
      <c r="K13" s="175">
        <f>Assumptions!K19</f>
        <v>1137.3</v>
      </c>
      <c r="L13" s="175">
        <f>Assumptions!L19</f>
        <v>1137.3</v>
      </c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6" t="s">
        <v>42</v>
      </c>
      <c r="B15" s="177"/>
      <c r="C15" s="232">
        <f>C2</f>
        <v>2023</v>
      </c>
      <c r="D15" s="232">
        <f>D2</f>
        <v>2024</v>
      </c>
      <c r="E15" s="232">
        <f>E2</f>
        <v>2025</v>
      </c>
      <c r="F15" s="232">
        <f>F2</f>
        <v>2026</v>
      </c>
      <c r="G15" s="232">
        <f>G2</f>
        <v>2027</v>
      </c>
      <c r="H15" s="232">
        <f>H2</f>
        <v>2028</v>
      </c>
      <c r="I15" s="232">
        <f>I2</f>
        <v>2029</v>
      </c>
      <c r="J15" s="232">
        <f>J2</f>
        <v>2030</v>
      </c>
      <c r="K15" s="232">
        <f>K2</f>
        <v>2031</v>
      </c>
      <c r="L15" s="232">
        <f>L2</f>
        <v>2032</v>
      </c>
    </row>
    <row r="16" spans="1:12" x14ac:dyDescent="0.25">
      <c r="B16" s="4" t="s">
        <v>51</v>
      </c>
      <c r="C16" s="96">
        <f>'Quarterly Projections'!L9</f>
        <v>35975.943105236511</v>
      </c>
      <c r="D16" s="122">
        <f>'Quarterly Projections'!Q9</f>
        <v>36176.208617129458</v>
      </c>
      <c r="E16" s="22">
        <f>'Quarterly Projections'!V9</f>
        <v>37179.69852556783</v>
      </c>
      <c r="F16" s="4">
        <f>E16*(1+F4)</f>
        <v>38254.85390363216</v>
      </c>
      <c r="G16" s="4">
        <f t="shared" ref="G16:L16" si="3">F16*(1+G4)</f>
        <v>40546.044352150515</v>
      </c>
      <c r="H16" s="4">
        <f t="shared" si="3"/>
        <v>43495.373424194921</v>
      </c>
      <c r="I16" s="4">
        <f t="shared" si="3"/>
        <v>47120.623680640369</v>
      </c>
      <c r="J16" s="4">
        <f t="shared" si="3"/>
        <v>51545.976196281765</v>
      </c>
      <c r="K16" s="4">
        <f t="shared" si="3"/>
        <v>56929.713062919414</v>
      </c>
      <c r="L16" s="4">
        <f t="shared" si="3"/>
        <v>63473.22686272765</v>
      </c>
    </row>
    <row r="17" spans="1:12" x14ac:dyDescent="0.25">
      <c r="B17" s="4" t="s">
        <v>159</v>
      </c>
      <c r="C17" s="122">
        <f>'Quarterly Projections'!L12</f>
        <v>11409.199999999999</v>
      </c>
      <c r="D17" s="122">
        <f>'Quarterly Projections'!Q12</f>
        <v>11280.5</v>
      </c>
      <c r="E17" s="22">
        <f>'Quarterly Projections'!V12</f>
        <v>11658.199999999999</v>
      </c>
      <c r="F17" s="171">
        <f>F16*F5</f>
        <v>11995.348401349449</v>
      </c>
      <c r="G17" s="171">
        <f t="shared" ref="G17:L17" si="4">G16*G5</f>
        <v>12713.783446299714</v>
      </c>
      <c r="H17" s="171">
        <f t="shared" si="4"/>
        <v>13638.587128951924</v>
      </c>
      <c r="I17" s="171">
        <f t="shared" si="4"/>
        <v>14775.335421800999</v>
      </c>
      <c r="J17" s="171">
        <f t="shared" si="4"/>
        <v>16162.967050394584</v>
      </c>
      <c r="K17" s="171">
        <f t="shared" si="4"/>
        <v>17851.113594600218</v>
      </c>
      <c r="L17" s="171">
        <f t="shared" si="4"/>
        <v>19902.924535911519</v>
      </c>
    </row>
    <row r="18" spans="1:12" x14ac:dyDescent="0.25">
      <c r="B18" s="4" t="s">
        <v>52</v>
      </c>
      <c r="C18" s="122">
        <f>SUM('Quarterly Projections'!L14,'Quarterly Projections'!L16,'Quarterly Projections'!L18)</f>
        <v>19063.599999999999</v>
      </c>
      <c r="D18" s="122">
        <f>SUM('Quarterly Projections'!Q14,'Quarterly Projections'!Q16,'Quarterly Projections'!Q18)</f>
        <v>19888.2</v>
      </c>
      <c r="E18" s="275">
        <f>SUM('Quarterly Projections'!V14,'Quarterly Projections'!V16,'Quarterly Projections'!V18)</f>
        <v>21945.599999999999</v>
      </c>
      <c r="F18" s="171">
        <f>F16*F6</f>
        <v>22580.254059516432</v>
      </c>
      <c r="G18" s="171">
        <f t="shared" ref="G18:L18" si="5">G16*G6</f>
        <v>23870.607589833486</v>
      </c>
      <c r="H18" s="171">
        <f t="shared" si="5"/>
        <v>25606.961358911471</v>
      </c>
      <c r="I18" s="171">
        <f t="shared" si="5"/>
        <v>27199.361949280803</v>
      </c>
      <c r="J18" s="171">
        <f t="shared" si="5"/>
        <v>29161.022350185282</v>
      </c>
      <c r="K18" s="171">
        <f t="shared" si="5"/>
        <v>31552.063463279959</v>
      </c>
      <c r="L18" s="171">
        <f t="shared" si="5"/>
        <v>34670.878795238197</v>
      </c>
    </row>
    <row r="19" spans="1:12" s="11" customFormat="1" x14ac:dyDescent="0.25">
      <c r="A19" s="11" t="s">
        <v>126</v>
      </c>
      <c r="B19" s="17" t="s">
        <v>55</v>
      </c>
      <c r="C19" s="18">
        <f>C16-SUM(C17:C18)</f>
        <v>5503.1431052365151</v>
      </c>
      <c r="D19" s="18">
        <f>D16-SUM(D17:D18)</f>
        <v>5007.508617129457</v>
      </c>
      <c r="E19" s="18">
        <f>E16-SUM(E17:E18)</f>
        <v>3575.8985255678344</v>
      </c>
      <c r="F19" s="18">
        <f>F16-SUM(F17:F18)</f>
        <v>3679.2514427662827</v>
      </c>
      <c r="G19" s="18">
        <f t="shared" ref="G19:L19" si="6">G16-SUM(G17:G18)</f>
        <v>3961.653316017313</v>
      </c>
      <c r="H19" s="18">
        <f t="shared" si="6"/>
        <v>4249.8249363315263</v>
      </c>
      <c r="I19" s="18">
        <f t="shared" si="6"/>
        <v>5145.9263095585702</v>
      </c>
      <c r="J19" s="18">
        <f t="shared" si="6"/>
        <v>6221.9867957019014</v>
      </c>
      <c r="K19" s="18">
        <f t="shared" si="6"/>
        <v>7526.5360050392337</v>
      </c>
      <c r="L19" s="18">
        <f t="shared" si="6"/>
        <v>8899.423531577937</v>
      </c>
    </row>
    <row r="20" spans="1:12" s="11" customFormat="1" x14ac:dyDescent="0.25">
      <c r="E20" s="34"/>
    </row>
    <row r="21" spans="1:12" s="11" customFormat="1" x14ac:dyDescent="0.25">
      <c r="B21" s="4" t="s">
        <v>15</v>
      </c>
      <c r="C21" s="123">
        <v>1447.9</v>
      </c>
      <c r="D21" s="123">
        <v>1362.4</v>
      </c>
      <c r="E21" s="25">
        <v>1512.6</v>
      </c>
      <c r="F21" s="4">
        <f>Calcs!F8</f>
        <v>1718.6238612125546</v>
      </c>
      <c r="G21" s="4">
        <f>Calcs!G8</f>
        <v>1831.3482280411945</v>
      </c>
      <c r="H21" s="4">
        <f>Calcs!H8</f>
        <v>1953.7683221436437</v>
      </c>
      <c r="I21" s="4">
        <f>Calcs!I8</f>
        <v>2090.290598459625</v>
      </c>
      <c r="J21" s="4">
        <f>Calcs!J8</f>
        <v>2245.2226676636524</v>
      </c>
      <c r="K21" s="4">
        <f>Calcs!K8</f>
        <v>2423.6014547625305</v>
      </c>
      <c r="L21" s="4">
        <f>Calcs!L8</f>
        <v>2631.4344082268854</v>
      </c>
    </row>
    <row r="22" spans="1:12" s="11" customFormat="1" x14ac:dyDescent="0.25">
      <c r="B22" s="4" t="s">
        <v>54</v>
      </c>
      <c r="C22" s="96">
        <v>0</v>
      </c>
      <c r="D22" s="96">
        <v>0</v>
      </c>
      <c r="E22" s="124">
        <v>0</v>
      </c>
      <c r="F22" s="4">
        <f>F7</f>
        <v>0</v>
      </c>
      <c r="G22" s="4">
        <f t="shared" ref="G22:L22" si="7">G7</f>
        <v>0</v>
      </c>
      <c r="H22" s="4">
        <f t="shared" si="7"/>
        <v>0</v>
      </c>
      <c r="I22" s="4">
        <f t="shared" si="7"/>
        <v>0</v>
      </c>
      <c r="J22" s="4">
        <f t="shared" si="7"/>
        <v>0</v>
      </c>
      <c r="K22" s="4">
        <f t="shared" si="7"/>
        <v>0</v>
      </c>
      <c r="L22" s="4">
        <f t="shared" si="7"/>
        <v>0</v>
      </c>
    </row>
    <row r="23" spans="1:12" s="127" customFormat="1" x14ac:dyDescent="0.25">
      <c r="A23" s="127" t="s">
        <v>126</v>
      </c>
      <c r="B23" s="128" t="s">
        <v>53</v>
      </c>
      <c r="C23" s="129">
        <f>SUM(C19,C21:C22)</f>
        <v>6951.0431052365147</v>
      </c>
      <c r="D23" s="129">
        <f t="shared" ref="D23:F23" si="8">SUM(D19,D21:D22)</f>
        <v>6369.9086171294566</v>
      </c>
      <c r="E23" s="129">
        <f t="shared" si="8"/>
        <v>5088.4985255678348</v>
      </c>
      <c r="F23" s="129">
        <f t="shared" si="8"/>
        <v>5397.8753039788371</v>
      </c>
      <c r="G23" s="129">
        <f t="shared" ref="G23:L23" si="9">SUM(G19,G21:G22)</f>
        <v>5793.0015440585075</v>
      </c>
      <c r="H23" s="129">
        <f t="shared" si="9"/>
        <v>6203.5932584751699</v>
      </c>
      <c r="I23" s="129">
        <f t="shared" si="9"/>
        <v>7236.2169080181957</v>
      </c>
      <c r="J23" s="129">
        <f t="shared" si="9"/>
        <v>8467.2094633655543</v>
      </c>
      <c r="K23" s="129">
        <f t="shared" si="9"/>
        <v>9950.1374598017646</v>
      </c>
      <c r="L23" s="129">
        <f t="shared" si="9"/>
        <v>11530.857939804822</v>
      </c>
    </row>
    <row r="24" spans="1:12" s="11" customFormat="1" x14ac:dyDescent="0.25">
      <c r="C24" s="13"/>
      <c r="D24" s="4"/>
      <c r="E24" s="35"/>
      <c r="F24" s="4"/>
      <c r="G24" s="4"/>
      <c r="H24" s="4"/>
      <c r="I24" s="4"/>
      <c r="J24" s="4"/>
      <c r="K24" s="4"/>
      <c r="L24" s="4"/>
    </row>
    <row r="25" spans="1:12" s="11" customFormat="1" x14ac:dyDescent="0.25">
      <c r="B25" s="4" t="s">
        <v>56</v>
      </c>
      <c r="C25" s="94">
        <v>0</v>
      </c>
      <c r="D25" s="94">
        <v>0</v>
      </c>
      <c r="E25" s="95">
        <v>0</v>
      </c>
      <c r="F25" s="4">
        <f>F8</f>
        <v>0</v>
      </c>
      <c r="G25" s="4">
        <f t="shared" ref="G25:L25" si="10">G8</f>
        <v>0</v>
      </c>
      <c r="H25" s="4">
        <f t="shared" si="10"/>
        <v>0</v>
      </c>
      <c r="I25" s="4">
        <f t="shared" si="10"/>
        <v>0</v>
      </c>
      <c r="J25" s="4">
        <f t="shared" si="10"/>
        <v>0</v>
      </c>
      <c r="K25" s="4">
        <f t="shared" si="10"/>
        <v>0</v>
      </c>
      <c r="L25" s="4">
        <f t="shared" si="10"/>
        <v>0</v>
      </c>
    </row>
    <row r="26" spans="1:12" s="11" customFormat="1" x14ac:dyDescent="0.25">
      <c r="B26" s="4" t="s">
        <v>57</v>
      </c>
      <c r="C26" s="94">
        <v>0</v>
      </c>
      <c r="D26" s="94">
        <v>0</v>
      </c>
      <c r="E26" s="95">
        <v>0</v>
      </c>
      <c r="F26" s="4">
        <f>F9</f>
        <v>0</v>
      </c>
      <c r="G26" s="4">
        <f t="shared" ref="G26:L26" si="11">G9</f>
        <v>0</v>
      </c>
      <c r="H26" s="4">
        <f t="shared" si="11"/>
        <v>0</v>
      </c>
      <c r="I26" s="4">
        <f t="shared" si="11"/>
        <v>0</v>
      </c>
      <c r="J26" s="4">
        <f t="shared" si="11"/>
        <v>0</v>
      </c>
      <c r="K26" s="4">
        <f t="shared" si="11"/>
        <v>0</v>
      </c>
      <c r="L26" s="4">
        <f t="shared" si="11"/>
        <v>0</v>
      </c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97</v>
      </c>
      <c r="D28" s="9">
        <v>81.2</v>
      </c>
      <c r="E28" s="44">
        <v>122.8</v>
      </c>
      <c r="F28" s="279">
        <f>IF(circ=1,Debt!F33,0)</f>
        <v>0</v>
      </c>
      <c r="G28" s="279">
        <f>IF(circ=1,Debt!G33,0)</f>
        <v>0</v>
      </c>
      <c r="H28" s="279">
        <f>IF(circ=1,Debt!H33,0)</f>
        <v>0</v>
      </c>
      <c r="I28" s="279">
        <f>IF(circ=1,Debt!I33,0)</f>
        <v>0</v>
      </c>
      <c r="J28" s="279">
        <f>IF(circ=1,Debt!J33,0)</f>
        <v>0</v>
      </c>
      <c r="K28" s="279">
        <f>IF(circ=1,Debt!K33,0)</f>
        <v>0</v>
      </c>
      <c r="L28" s="279">
        <f>IF(circ=1,Debt!L33,0)</f>
        <v>0</v>
      </c>
    </row>
    <row r="29" spans="1:12" x14ac:dyDescent="0.25">
      <c r="B29" s="4" t="s">
        <v>33</v>
      </c>
      <c r="C29" s="9">
        <v>-482.9</v>
      </c>
      <c r="D29" s="9">
        <v>-550.1</v>
      </c>
      <c r="E29" s="44">
        <v>-562</v>
      </c>
      <c r="F29" s="279">
        <f>IF(circ=1,-Debt!F22,0)</f>
        <v>0</v>
      </c>
      <c r="G29" s="279">
        <f>IF(circ=1,-Debt!G22,0)</f>
        <v>0</v>
      </c>
      <c r="H29" s="279">
        <f>IF(circ=1,-Debt!H22,0)</f>
        <v>0</v>
      </c>
      <c r="I29" s="279">
        <f>IF(circ=1,-Debt!I22,0)</f>
        <v>0</v>
      </c>
      <c r="J29" s="279">
        <f>IF(circ=1,-Debt!J22,0)</f>
        <v>0</v>
      </c>
      <c r="K29" s="279">
        <f>IF(circ=1,-Debt!K22,0)</f>
        <v>0</v>
      </c>
      <c r="L29" s="279">
        <f>IF(circ=1,-Debt!L22,0)</f>
        <v>0</v>
      </c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2">C19+SUM(C26:C29)</f>
        <v>5117.2431052365155</v>
      </c>
      <c r="D31" s="18">
        <f t="shared" si="12"/>
        <v>4538.6086171294573</v>
      </c>
      <c r="E31" s="18">
        <f>E19+SUM(E25:E29)</f>
        <v>3136.6985255678346</v>
      </c>
      <c r="F31" s="18">
        <f>F19+SUM(F25:F29)</f>
        <v>3679.2514427662827</v>
      </c>
      <c r="G31" s="18">
        <f t="shared" ref="G31:L31" si="13">G19+SUM(G25:G29)</f>
        <v>3961.653316017313</v>
      </c>
      <c r="H31" s="18">
        <f t="shared" si="13"/>
        <v>4249.8249363315263</v>
      </c>
      <c r="I31" s="18">
        <f t="shared" si="13"/>
        <v>5145.9263095585702</v>
      </c>
      <c r="J31" s="18">
        <f t="shared" si="13"/>
        <v>6221.9867957019014</v>
      </c>
      <c r="K31" s="18">
        <f t="shared" si="13"/>
        <v>7526.5360050392337</v>
      </c>
      <c r="L31" s="18">
        <f t="shared" si="13"/>
        <v>8899.423531577937</v>
      </c>
    </row>
    <row r="32" spans="1:12" x14ac:dyDescent="0.25">
      <c r="E32" s="36"/>
      <c r="H32" s="4"/>
    </row>
    <row r="33" spans="1:12" x14ac:dyDescent="0.25">
      <c r="B33" s="4" t="s">
        <v>58</v>
      </c>
      <c r="C33" s="131">
        <v>1207.3</v>
      </c>
      <c r="D33" s="4">
        <v>1277.2</v>
      </c>
      <c r="E33" s="57">
        <v>948.5</v>
      </c>
      <c r="F33" s="4">
        <f>F31*F10</f>
        <v>699.05777412559371</v>
      </c>
      <c r="G33" s="4">
        <f t="shared" ref="G33:L33" si="14">G31*G10</f>
        <v>792.33066320346268</v>
      </c>
      <c r="H33" s="4">
        <f t="shared" si="14"/>
        <v>892.46323662962061</v>
      </c>
      <c r="I33" s="4">
        <f t="shared" si="14"/>
        <v>1132.1037881028856</v>
      </c>
      <c r="J33" s="4">
        <f t="shared" si="14"/>
        <v>1368.8370950544186</v>
      </c>
      <c r="K33" s="4">
        <f t="shared" si="14"/>
        <v>1655.8379211086317</v>
      </c>
      <c r="L33" s="4">
        <f t="shared" si="14"/>
        <v>1957.8731769471465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3909.9431052365153</v>
      </c>
      <c r="D34" s="33">
        <f t="shared" ref="D34:F34" si="15">D31-D33</f>
        <v>3261.4086171294575</v>
      </c>
      <c r="E34" s="18">
        <f t="shared" si="15"/>
        <v>2188.1985255678346</v>
      </c>
      <c r="F34" s="18">
        <f t="shared" si="15"/>
        <v>2980.1936686406889</v>
      </c>
      <c r="G34" s="18">
        <f t="shared" ref="G34:L34" si="16">G31-G33</f>
        <v>3169.3226528138503</v>
      </c>
      <c r="H34" s="18">
        <f t="shared" si="16"/>
        <v>3357.3616997019058</v>
      </c>
      <c r="I34" s="18">
        <f t="shared" si="16"/>
        <v>4013.8225214556846</v>
      </c>
      <c r="J34" s="18">
        <f t="shared" si="16"/>
        <v>4853.1497006474829</v>
      </c>
      <c r="K34" s="18">
        <f t="shared" si="16"/>
        <v>5870.6980839306016</v>
      </c>
      <c r="L34" s="18">
        <f t="shared" si="16"/>
        <v>6941.55035463079</v>
      </c>
    </row>
    <row r="35" spans="1:12" s="244" customFormat="1" x14ac:dyDescent="0.25">
      <c r="A35" s="246"/>
      <c r="B35" s="244" t="s">
        <v>179</v>
      </c>
      <c r="C35" s="249">
        <f t="shared" ref="C35:D35" si="17">C36/C38</f>
        <v>1.9621954391745426</v>
      </c>
      <c r="D35" s="252">
        <f t="shared" si="17"/>
        <v>2.1198116498081618</v>
      </c>
      <c r="E35" s="250">
        <f>E36/E38</f>
        <v>2.2799435526547893</v>
      </c>
      <c r="F35" s="244">
        <f>F11</f>
        <v>2.4400754555014168</v>
      </c>
      <c r="G35" s="244">
        <f t="shared" ref="G35:L35" si="18">G11</f>
        <v>2.6002073583480443</v>
      </c>
      <c r="H35" s="244">
        <f t="shared" si="18"/>
        <v>2.7603392611946718</v>
      </c>
      <c r="I35" s="244">
        <f t="shared" si="18"/>
        <v>2.9204711640412993</v>
      </c>
      <c r="J35" s="244">
        <f t="shared" si="18"/>
        <v>3.0806030668879267</v>
      </c>
      <c r="K35" s="244">
        <f t="shared" si="18"/>
        <v>3.2407349697345542</v>
      </c>
      <c r="L35" s="244">
        <f t="shared" si="18"/>
        <v>3.4008668725811817</v>
      </c>
    </row>
    <row r="36" spans="1:12" x14ac:dyDescent="0.25">
      <c r="B36" s="4" t="s">
        <v>60</v>
      </c>
      <c r="C36" s="10">
        <v>2263</v>
      </c>
      <c r="D36" s="10">
        <v>2431</v>
      </c>
      <c r="E36" s="22">
        <v>2585</v>
      </c>
      <c r="F36" s="4">
        <f>F35*F38</f>
        <v>2766.5575514475063</v>
      </c>
      <c r="G36" s="4">
        <f t="shared" ref="G36:L36" si="19">G35*G38</f>
        <v>2948.1151028950126</v>
      </c>
      <c r="H36" s="4">
        <f t="shared" si="19"/>
        <v>3129.6726543425189</v>
      </c>
      <c r="I36" s="4">
        <f t="shared" si="19"/>
        <v>3311.2302057900251</v>
      </c>
      <c r="J36" s="4">
        <f t="shared" si="19"/>
        <v>3492.787757237531</v>
      </c>
      <c r="K36" s="4">
        <f t="shared" si="19"/>
        <v>3674.3453086850373</v>
      </c>
      <c r="L36" s="4">
        <f t="shared" si="19"/>
        <v>3855.9028601325435</v>
      </c>
    </row>
    <row r="37" spans="1:12" x14ac:dyDescent="0.25">
      <c r="A37" s="20" t="s">
        <v>61</v>
      </c>
      <c r="B37" s="19"/>
      <c r="C37" s="215">
        <f>C15</f>
        <v>2023</v>
      </c>
      <c r="D37" s="215">
        <f t="shared" ref="D37:J37" si="20">D15</f>
        <v>2024</v>
      </c>
      <c r="E37" s="215">
        <f t="shared" si="20"/>
        <v>2025</v>
      </c>
      <c r="F37" s="215">
        <f t="shared" si="20"/>
        <v>2026</v>
      </c>
      <c r="G37" s="215">
        <f t="shared" ref="G37:L37" si="21">G15</f>
        <v>2027</v>
      </c>
      <c r="H37" s="215">
        <f t="shared" si="21"/>
        <v>2028</v>
      </c>
      <c r="I37" s="215">
        <f t="shared" si="21"/>
        <v>2029</v>
      </c>
      <c r="J37" s="215">
        <f t="shared" si="21"/>
        <v>2030</v>
      </c>
      <c r="K37" s="215">
        <f t="shared" si="21"/>
        <v>2031</v>
      </c>
      <c r="L37" s="215">
        <f t="shared" si="21"/>
        <v>2032</v>
      </c>
    </row>
    <row r="38" spans="1:12" x14ac:dyDescent="0.25">
      <c r="B38" s="4" t="s">
        <v>49</v>
      </c>
      <c r="C38" s="10">
        <v>1153.3</v>
      </c>
      <c r="D38" s="10">
        <v>1146.8</v>
      </c>
      <c r="E38" s="22">
        <v>1133.8</v>
      </c>
      <c r="F38" s="172">
        <f>F12</f>
        <v>1133.8</v>
      </c>
      <c r="G38" s="172">
        <f t="shared" ref="G38:L38" si="22">G12</f>
        <v>1133.8</v>
      </c>
      <c r="H38" s="172">
        <f t="shared" si="22"/>
        <v>1133.8</v>
      </c>
      <c r="I38" s="172">
        <f t="shared" si="22"/>
        <v>1133.8</v>
      </c>
      <c r="J38" s="172">
        <f t="shared" si="22"/>
        <v>1133.8</v>
      </c>
      <c r="K38" s="172">
        <f t="shared" si="22"/>
        <v>1133.8</v>
      </c>
      <c r="L38" s="172">
        <f t="shared" si="22"/>
        <v>1133.8</v>
      </c>
    </row>
    <row r="39" spans="1:12" x14ac:dyDescent="0.25">
      <c r="B39" s="4" t="s">
        <v>50</v>
      </c>
      <c r="C39" s="10">
        <v>1158.5</v>
      </c>
      <c r="D39" s="10">
        <v>1151.3</v>
      </c>
      <c r="E39" s="22">
        <v>1137.3</v>
      </c>
      <c r="F39" s="172">
        <f>F13</f>
        <v>1137.3</v>
      </c>
      <c r="G39" s="172">
        <f t="shared" ref="G39:L39" si="23">G13</f>
        <v>1137.3</v>
      </c>
      <c r="H39" s="172">
        <f t="shared" si="23"/>
        <v>1137.3</v>
      </c>
      <c r="I39" s="172">
        <f t="shared" si="23"/>
        <v>1137.3</v>
      </c>
      <c r="J39" s="172">
        <f t="shared" si="23"/>
        <v>1137.3</v>
      </c>
      <c r="K39" s="172">
        <f t="shared" si="23"/>
        <v>1137.3</v>
      </c>
      <c r="L39" s="172">
        <f t="shared" si="23"/>
        <v>1137.3</v>
      </c>
    </row>
    <row r="40" spans="1:12" x14ac:dyDescent="0.25">
      <c r="B40" s="4" t="s">
        <v>62</v>
      </c>
      <c r="C40" s="179">
        <f t="shared" ref="C40:D40" si="24">C34/C38</f>
        <v>3.3902220629814579</v>
      </c>
      <c r="D40" s="179">
        <f t="shared" si="24"/>
        <v>2.843921012495167</v>
      </c>
      <c r="E40" s="180">
        <f>E34/E38</f>
        <v>1.9299687119137721</v>
      </c>
      <c r="F40" s="171">
        <f>F34/F38</f>
        <v>2.628500325137316</v>
      </c>
      <c r="G40" s="171">
        <f t="shared" ref="G40:L40" si="25">G34/G38</f>
        <v>2.7953101541840275</v>
      </c>
      <c r="H40" s="171">
        <f t="shared" si="25"/>
        <v>2.9611586696965126</v>
      </c>
      <c r="I40" s="171">
        <f t="shared" si="25"/>
        <v>3.540150398179295</v>
      </c>
      <c r="J40" s="171">
        <f t="shared" si="25"/>
        <v>4.280428383001837</v>
      </c>
      <c r="K40" s="171">
        <f t="shared" si="25"/>
        <v>5.1778956464372925</v>
      </c>
      <c r="L40" s="171">
        <f t="shared" si="25"/>
        <v>6.1223763932181958</v>
      </c>
    </row>
    <row r="41" spans="1:12" s="11" customFormat="1" x14ac:dyDescent="0.25">
      <c r="A41" s="11" t="s">
        <v>126</v>
      </c>
      <c r="B41" s="17" t="s">
        <v>63</v>
      </c>
      <c r="C41" s="178">
        <f t="shared" ref="C41:D41" si="26">C34/C39</f>
        <v>3.3750048383569404</v>
      </c>
      <c r="D41" s="178">
        <f t="shared" si="26"/>
        <v>2.8328051916350714</v>
      </c>
      <c r="E41" s="178">
        <f>E34/E39</f>
        <v>1.9240293023545545</v>
      </c>
      <c r="F41" s="178">
        <f>F34/F39</f>
        <v>2.620411209567123</v>
      </c>
      <c r="G41" s="178">
        <f t="shared" ref="G41:L41" si="27">G34/G39</f>
        <v>2.7867076873418188</v>
      </c>
      <c r="H41" s="178">
        <f t="shared" si="27"/>
        <v>2.9520458099902451</v>
      </c>
      <c r="I41" s="178">
        <f t="shared" si="27"/>
        <v>3.5292557121741712</v>
      </c>
      <c r="J41" s="178">
        <f t="shared" si="27"/>
        <v>4.2672555180229343</v>
      </c>
      <c r="K41" s="178">
        <f t="shared" si="27"/>
        <v>5.1619608581118452</v>
      </c>
      <c r="L41" s="178">
        <f t="shared" si="27"/>
        <v>6.1035349992357251</v>
      </c>
    </row>
    <row r="42" spans="1:12" x14ac:dyDescent="0.25">
      <c r="C42" s="14"/>
      <c r="D42" s="14"/>
      <c r="E42" s="37"/>
      <c r="F42" s="14"/>
      <c r="G42" s="14"/>
      <c r="H42" s="14"/>
      <c r="I42" s="14"/>
      <c r="J42" s="14"/>
      <c r="K42" s="14"/>
      <c r="L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G44" sqref="G4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x14ac:dyDescent="0.25">
      <c r="A2" s="16" t="s">
        <v>10</v>
      </c>
      <c r="B2" s="62"/>
      <c r="C2" s="243">
        <v>2023</v>
      </c>
      <c r="D2" s="243">
        <f>C2+1</f>
        <v>2024</v>
      </c>
      <c r="E2" s="243">
        <f t="shared" ref="E2:J2" si="0">D2+1</f>
        <v>2025</v>
      </c>
      <c r="F2" s="243">
        <f t="shared" si="0"/>
        <v>2026</v>
      </c>
      <c r="G2" s="243">
        <f t="shared" si="0"/>
        <v>2027</v>
      </c>
      <c r="H2" s="243">
        <f t="shared" si="0"/>
        <v>2028</v>
      </c>
      <c r="I2" s="243">
        <f t="shared" si="0"/>
        <v>2029</v>
      </c>
      <c r="J2" s="243">
        <f t="shared" si="0"/>
        <v>2030</v>
      </c>
      <c r="K2" s="243">
        <f t="shared" ref="K2" si="1">J2+1</f>
        <v>2031</v>
      </c>
      <c r="L2" s="243">
        <f t="shared" ref="L2" si="2">K2+1</f>
        <v>2032</v>
      </c>
    </row>
    <row r="4" spans="1:12" x14ac:dyDescent="0.25">
      <c r="B4" s="4" t="s">
        <v>142</v>
      </c>
      <c r="C4" s="42"/>
      <c r="D4" s="42"/>
      <c r="E4" s="43"/>
      <c r="F4" s="101">
        <f>Assumptions!F44</f>
        <v>0.05</v>
      </c>
      <c r="G4" s="101">
        <f>F4</f>
        <v>0.05</v>
      </c>
      <c r="H4" s="101">
        <f t="shared" ref="H4:J4" si="3">G4</f>
        <v>0.05</v>
      </c>
      <c r="I4" s="101">
        <f t="shared" si="3"/>
        <v>0.05</v>
      </c>
      <c r="J4" s="101">
        <f t="shared" si="3"/>
        <v>0.05</v>
      </c>
      <c r="K4" s="101">
        <f t="shared" ref="K4" si="4">J4</f>
        <v>0.05</v>
      </c>
      <c r="L4" s="101">
        <f t="shared" ref="L4" si="5">K4</f>
        <v>0.05</v>
      </c>
    </row>
    <row r="5" spans="1:12" x14ac:dyDescent="0.25">
      <c r="B5" s="4" t="s">
        <v>155</v>
      </c>
      <c r="C5" s="42"/>
      <c r="D5" s="42"/>
      <c r="E5" s="43"/>
      <c r="F5" s="101">
        <f>Assumptions!F45</f>
        <v>3.2646848902373182E-2</v>
      </c>
      <c r="G5" s="101">
        <f>Assumptions!G45</f>
        <v>3.2646848902373182E-2</v>
      </c>
      <c r="H5" s="101">
        <f>Assumptions!H45</f>
        <v>3.2646848902373182E-2</v>
      </c>
      <c r="I5" s="101">
        <f>Assumptions!I45</f>
        <v>3.2646848902373182E-2</v>
      </c>
      <c r="J5" s="101">
        <f>Assumptions!J45</f>
        <v>3.2646848902373182E-2</v>
      </c>
      <c r="K5" s="101">
        <f>Assumptions!K45</f>
        <v>3.2646848902373182E-2</v>
      </c>
      <c r="L5" s="101">
        <f>Assumptions!L45</f>
        <v>3.2646848902373182E-2</v>
      </c>
    </row>
    <row r="6" spans="1:12" x14ac:dyDescent="0.25">
      <c r="B6" s="4" t="s">
        <v>65</v>
      </c>
      <c r="C6" s="42"/>
      <c r="D6" s="42"/>
      <c r="E6" s="43"/>
      <c r="F6" s="101">
        <f>Assumptions!F46</f>
        <v>0.15245063560412414</v>
      </c>
      <c r="G6" s="101">
        <f>Assumptions!G46</f>
        <v>0.15245063560412414</v>
      </c>
      <c r="H6" s="101">
        <f>Assumptions!H46</f>
        <v>0.15245063560412414</v>
      </c>
      <c r="I6" s="101">
        <f>Assumptions!I46</f>
        <v>0.15245063560412414</v>
      </c>
      <c r="J6" s="101">
        <f>Assumptions!J46</f>
        <v>0.15245063560412414</v>
      </c>
      <c r="K6" s="101">
        <f>Assumptions!K46</f>
        <v>0.15245063560412414</v>
      </c>
      <c r="L6" s="101">
        <f>Assumptions!L46</f>
        <v>0.15245063560412414</v>
      </c>
    </row>
    <row r="7" spans="1:12" x14ac:dyDescent="0.25">
      <c r="B7" s="4" t="s">
        <v>66</v>
      </c>
      <c r="C7" s="42"/>
      <c r="D7" s="42"/>
      <c r="E7" s="43"/>
      <c r="F7" s="101">
        <f>Assumptions!F47</f>
        <v>1.5333636974166216E-2</v>
      </c>
      <c r="G7" s="101">
        <f>Assumptions!G47</f>
        <v>1.5333636974166216E-2</v>
      </c>
      <c r="H7" s="101">
        <f>Assumptions!H47</f>
        <v>1.5333636974166216E-2</v>
      </c>
      <c r="I7" s="101">
        <f>Assumptions!I47</f>
        <v>1.5333636974166216E-2</v>
      </c>
      <c r="J7" s="101">
        <f>Assumptions!J47</f>
        <v>1.5333636974166216E-2</v>
      </c>
      <c r="K7" s="101">
        <f>Assumptions!K47</f>
        <v>1.5333636974166216E-2</v>
      </c>
      <c r="L7" s="101">
        <f>Assumptions!L47</f>
        <v>1.5333636974166216E-2</v>
      </c>
    </row>
    <row r="8" spans="1:12" x14ac:dyDescent="0.25">
      <c r="A8" s="7"/>
      <c r="C8" s="29"/>
      <c r="D8" s="29"/>
      <c r="E8" s="29"/>
      <c r="F8" s="102"/>
      <c r="G8" s="102"/>
      <c r="H8" s="102"/>
      <c r="I8" s="102"/>
      <c r="J8" s="102"/>
      <c r="K8" s="102"/>
      <c r="L8" s="102"/>
    </row>
    <row r="9" spans="1:12" x14ac:dyDescent="0.25">
      <c r="B9" s="4" t="s">
        <v>67</v>
      </c>
      <c r="C9" s="42"/>
      <c r="D9" s="42"/>
      <c r="E9" s="43"/>
      <c r="F9" s="101">
        <f>Assumptions!F50</f>
        <v>6.411294589601825E-2</v>
      </c>
      <c r="G9" s="101">
        <f>Assumptions!G50</f>
        <v>6.411294589601825E-2</v>
      </c>
      <c r="H9" s="101">
        <f>Assumptions!H50</f>
        <v>6.411294589601825E-2</v>
      </c>
      <c r="I9" s="101">
        <f>Assumptions!I50</f>
        <v>6.411294589601825E-2</v>
      </c>
      <c r="J9" s="101">
        <f>Assumptions!J50</f>
        <v>6.411294589601825E-2</v>
      </c>
      <c r="K9" s="101">
        <f>Assumptions!K50</f>
        <v>6.411294589601825E-2</v>
      </c>
      <c r="L9" s="101">
        <f>Assumptions!L50</f>
        <v>6.411294589601825E-2</v>
      </c>
    </row>
    <row r="10" spans="1:12" x14ac:dyDescent="0.25">
      <c r="B10" s="4" t="s">
        <v>164</v>
      </c>
      <c r="C10" s="42"/>
      <c r="D10" s="42"/>
      <c r="E10" s="149"/>
      <c r="F10" s="100">
        <f>Assumptions!F49</f>
        <v>739.9</v>
      </c>
      <c r="G10" s="100">
        <f>Assumptions!G49</f>
        <v>739.9</v>
      </c>
      <c r="H10" s="100">
        <f>Assumptions!H49</f>
        <v>739.9</v>
      </c>
      <c r="I10" s="100">
        <f>Assumptions!I49</f>
        <v>739.9</v>
      </c>
      <c r="J10" s="100">
        <f>Assumptions!J49</f>
        <v>739.9</v>
      </c>
      <c r="K10" s="100">
        <f>Assumptions!K49</f>
        <v>739.9</v>
      </c>
      <c r="L10" s="100">
        <f>Assumptions!L49</f>
        <v>739.9</v>
      </c>
    </row>
    <row r="11" spans="1:12" x14ac:dyDescent="0.25">
      <c r="C11" s="29"/>
      <c r="D11" s="29"/>
      <c r="E11" s="29"/>
      <c r="F11" s="102"/>
      <c r="G11" s="102"/>
      <c r="H11" s="102"/>
      <c r="I11" s="102"/>
      <c r="J11" s="102"/>
      <c r="K11" s="102"/>
      <c r="L11" s="102"/>
    </row>
    <row r="12" spans="1:12" x14ac:dyDescent="0.25">
      <c r="B12" s="4" t="s">
        <v>154</v>
      </c>
      <c r="C12" s="42"/>
      <c r="D12" s="42"/>
      <c r="E12" s="43"/>
      <c r="F12" s="101">
        <f>Assumptions!F54</f>
        <v>0.3925820452556999</v>
      </c>
      <c r="G12" s="101">
        <f>Assumptions!G54</f>
        <v>0.3925820452556999</v>
      </c>
      <c r="H12" s="101">
        <f>Assumptions!H54</f>
        <v>0.3925820452556999</v>
      </c>
      <c r="I12" s="101">
        <f>Assumptions!I54</f>
        <v>0.3925820452556999</v>
      </c>
      <c r="J12" s="101">
        <f>Assumptions!J54</f>
        <v>0.3925820452556999</v>
      </c>
      <c r="K12" s="101">
        <f>Assumptions!K54</f>
        <v>0.3925820452556999</v>
      </c>
      <c r="L12" s="101">
        <f>Assumptions!L54</f>
        <v>0.3925820452556999</v>
      </c>
    </row>
    <row r="13" spans="1:12" x14ac:dyDescent="0.25">
      <c r="B13" s="4" t="s">
        <v>68</v>
      </c>
      <c r="C13" s="42"/>
      <c r="D13" s="42"/>
      <c r="E13" s="26"/>
      <c r="F13" s="101">
        <f>Assumptions!F55</f>
        <v>8.7259986730902392E-2</v>
      </c>
      <c r="G13" s="101">
        <f>Assumptions!G55</f>
        <v>8.7259986730902392E-2</v>
      </c>
      <c r="H13" s="101">
        <f>Assumptions!H55</f>
        <v>8.7259986730902392E-2</v>
      </c>
      <c r="I13" s="101">
        <f>Assumptions!I55</f>
        <v>8.7259986730902392E-2</v>
      </c>
      <c r="J13" s="101">
        <f>Assumptions!J55</f>
        <v>8.7259986730902392E-2</v>
      </c>
      <c r="K13" s="101">
        <f>Assumptions!K55</f>
        <v>8.7259986730902392E-2</v>
      </c>
      <c r="L13" s="101">
        <f>Assumptions!L55</f>
        <v>8.7259986730902392E-2</v>
      </c>
    </row>
    <row r="14" spans="1:12" x14ac:dyDescent="0.25">
      <c r="B14" s="4" t="s">
        <v>69</v>
      </c>
      <c r="C14" s="42"/>
      <c r="D14" s="42"/>
      <c r="E14" s="43"/>
      <c r="F14" s="235">
        <f>Assumptions!F56</f>
        <v>0.41397323298400618</v>
      </c>
      <c r="G14" s="235">
        <f>Assumptions!G56</f>
        <v>0.41397323298400618</v>
      </c>
      <c r="H14" s="235">
        <f>Assumptions!H56</f>
        <v>0.41397323298400618</v>
      </c>
      <c r="I14" s="235">
        <f>Assumptions!I56</f>
        <v>0.41397323298400618</v>
      </c>
      <c r="J14" s="235">
        <f>Assumptions!J56</f>
        <v>0.41397323298400618</v>
      </c>
      <c r="K14" s="235">
        <f>Assumptions!K56</f>
        <v>0.41397323298400618</v>
      </c>
      <c r="L14" s="235">
        <f>Assumptions!L56</f>
        <v>0.41397323298400618</v>
      </c>
    </row>
    <row r="15" spans="1:12" x14ac:dyDescent="0.25">
      <c r="C15" s="42"/>
      <c r="D15" s="42"/>
      <c r="E15" s="42"/>
      <c r="F15" s="102"/>
      <c r="G15" s="102"/>
      <c r="H15" s="102"/>
      <c r="I15" s="102"/>
      <c r="J15" s="102"/>
      <c r="K15" s="102"/>
      <c r="L15" s="102"/>
    </row>
    <row r="16" spans="1:12" ht="15" customHeight="1" x14ac:dyDescent="0.25">
      <c r="A16" s="176" t="s">
        <v>64</v>
      </c>
      <c r="B16" s="177"/>
      <c r="C16" s="232">
        <f>C2</f>
        <v>2023</v>
      </c>
      <c r="D16" s="232">
        <f t="shared" ref="D16:J16" si="6">D2</f>
        <v>2024</v>
      </c>
      <c r="E16" s="232">
        <f t="shared" si="6"/>
        <v>2025</v>
      </c>
      <c r="F16" s="232">
        <f t="shared" si="6"/>
        <v>2026</v>
      </c>
      <c r="G16" s="232">
        <f t="shared" si="6"/>
        <v>2027</v>
      </c>
      <c r="H16" s="232">
        <f t="shared" si="6"/>
        <v>2028</v>
      </c>
      <c r="I16" s="232">
        <f t="shared" si="6"/>
        <v>2029</v>
      </c>
      <c r="J16" s="232">
        <f t="shared" si="6"/>
        <v>2030</v>
      </c>
      <c r="K16" s="232">
        <f t="shared" ref="K16:L16" si="7">K2</f>
        <v>2031</v>
      </c>
      <c r="L16" s="232">
        <f t="shared" si="7"/>
        <v>2032</v>
      </c>
    </row>
    <row r="17" spans="1:12" x14ac:dyDescent="0.25">
      <c r="B17" s="4" t="s">
        <v>160</v>
      </c>
      <c r="C17" s="276">
        <f>5%*IncState!C16</f>
        <v>1798.7971552618255</v>
      </c>
      <c r="D17" s="276">
        <f>5%*IncState!D16</f>
        <v>1808.810430856473</v>
      </c>
      <c r="E17" s="183">
        <f>5%*IncState!E16</f>
        <v>1858.9849262783916</v>
      </c>
      <c r="F17" s="4">
        <f>F4*IncState!F16</f>
        <v>1912.742695181608</v>
      </c>
      <c r="G17" s="4">
        <f>G4*IncState!G16</f>
        <v>2027.3022176075258</v>
      </c>
      <c r="H17" s="4">
        <f>H4*IncState!H16</f>
        <v>2174.7686712097461</v>
      </c>
      <c r="I17" s="4">
        <f>I4*IncState!I16</f>
        <v>2356.0311840320187</v>
      </c>
      <c r="J17" s="4">
        <f>J4*IncState!J16</f>
        <v>2577.2988098140886</v>
      </c>
      <c r="K17" s="4">
        <f>K4*IncState!K16</f>
        <v>2846.4856531459709</v>
      </c>
      <c r="L17" s="4">
        <f>L4*IncState!L16</f>
        <v>3173.6613431363826</v>
      </c>
    </row>
    <row r="18" spans="1:12" x14ac:dyDescent="0.25">
      <c r="B18" s="4" t="s">
        <v>161</v>
      </c>
      <c r="C18" s="182">
        <f>2818.4-C17</f>
        <v>1019.6028447381746</v>
      </c>
      <c r="D18" s="182">
        <f>3551.5-D17</f>
        <v>1742.689569143527</v>
      </c>
      <c r="E18" s="183">
        <f>3286.2-E17</f>
        <v>1427.2150737216082</v>
      </c>
      <c r="F18" s="4">
        <f>MAX(CashFlow!F23-BalSheet!E32,0)</f>
        <v>0</v>
      </c>
      <c r="G18" s="4">
        <f>MAX(CashFlow!G23-BalSheet!F32,0)</f>
        <v>0</v>
      </c>
      <c r="H18" s="4">
        <f>MAX(CashFlow!H23-BalSheet!G32,0)</f>
        <v>0</v>
      </c>
      <c r="I18" s="4">
        <f>MAX(CashFlow!I23-BalSheet!H32,0)</f>
        <v>162.79449253184407</v>
      </c>
      <c r="J18" s="4">
        <f>MAX(CashFlow!J23-BalSheet!I32,0)</f>
        <v>1493.9471258154742</v>
      </c>
      <c r="K18" s="4">
        <f>MAX(CashFlow!K23-BalSheet!J32,0)</f>
        <v>3750.6196119015467</v>
      </c>
      <c r="L18" s="4">
        <f>MAX(CashFlow!L23-BalSheet!K32,0)</f>
        <v>6993.5076606828889</v>
      </c>
    </row>
    <row r="19" spans="1:12" x14ac:dyDescent="0.25">
      <c r="B19" s="4" t="s">
        <v>70</v>
      </c>
      <c r="C19" s="184">
        <v>1175.5</v>
      </c>
      <c r="D19" s="184">
        <v>1184.0999999999999</v>
      </c>
      <c r="E19" s="185">
        <v>1213.8</v>
      </c>
      <c r="F19" s="4">
        <f>F5*IncState!F16</f>
        <v>1248.9004351742401</v>
      </c>
      <c r="G19" s="4">
        <f>G5*IncState!G16</f>
        <v>1323.7005835535795</v>
      </c>
      <c r="H19" s="4">
        <f>H5*IncState!H16</f>
        <v>1419.9868841319897</v>
      </c>
      <c r="I19" s="4">
        <f>I5*IncState!I16</f>
        <v>1538.3398814874538</v>
      </c>
      <c r="J19" s="4">
        <f>J5*IncState!J16</f>
        <v>1682.8136964053356</v>
      </c>
      <c r="K19" s="4">
        <f>K5*IncState!K16</f>
        <v>1858.5757404205908</v>
      </c>
      <c r="L19" s="4">
        <f>L5*IncState!L16</f>
        <v>2072.200846733524</v>
      </c>
    </row>
    <row r="20" spans="1:12" x14ac:dyDescent="0.25">
      <c r="B20" s="4" t="s">
        <v>71</v>
      </c>
      <c r="C20" s="184">
        <v>2176.6</v>
      </c>
      <c r="D20" s="184">
        <v>1806.4</v>
      </c>
      <c r="E20" s="185">
        <v>1777.3</v>
      </c>
      <c r="F20" s="4">
        <f>F6*IncState!F17</f>
        <v>1828.6984880786379</v>
      </c>
      <c r="G20" s="4">
        <f>G6*IncState!G17</f>
        <v>1938.2243673215833</v>
      </c>
      <c r="H20" s="4">
        <f>H6*IncState!H17</f>
        <v>2079.2112765509473</v>
      </c>
      <c r="I20" s="4">
        <f>I6*IncState!I17</f>
        <v>2252.5092763176922</v>
      </c>
      <c r="J20" s="4">
        <f>J6*IncState!J17</f>
        <v>2464.0546000811701</v>
      </c>
      <c r="K20" s="4">
        <f>K6*IncState!K17</f>
        <v>2721.4136137382243</v>
      </c>
      <c r="L20" s="4">
        <f>L6*IncState!L17</f>
        <v>3034.2134958806287</v>
      </c>
    </row>
    <row r="21" spans="1:12" x14ac:dyDescent="0.25">
      <c r="B21" s="4" t="s">
        <v>72</v>
      </c>
      <c r="C21" s="184">
        <f>483.7+364.5</f>
        <v>848.2</v>
      </c>
      <c r="D21" s="184">
        <f>359.9+401.5</f>
        <v>761.4</v>
      </c>
      <c r="E21" s="185">
        <f>313.1+257</f>
        <v>570.1</v>
      </c>
      <c r="F21" s="4">
        <f>F7*IncState!F16</f>
        <v>586.58604225806084</v>
      </c>
      <c r="G21" s="4">
        <f>G7*IncState!G16</f>
        <v>621.71832483431842</v>
      </c>
      <c r="H21" s="4">
        <f>H7*IncState!H16</f>
        <v>666.94226614240188</v>
      </c>
      <c r="I21" s="4">
        <f>I7*IncState!I16</f>
        <v>722.5305375152393</v>
      </c>
      <c r="J21" s="4">
        <f>J7*IncState!J16</f>
        <v>790.38728647279765</v>
      </c>
      <c r="K21" s="4">
        <f>K7*IncState!K16</f>
        <v>872.9395531502546</v>
      </c>
      <c r="L21" s="4">
        <f>L7*IncState!L16</f>
        <v>973.27541829196093</v>
      </c>
    </row>
    <row r="22" spans="1:12" s="11" customFormat="1" x14ac:dyDescent="0.25">
      <c r="B22" s="11" t="s">
        <v>73</v>
      </c>
      <c r="C22" s="11">
        <f>SUM(C17:C21)</f>
        <v>7018.7</v>
      </c>
      <c r="D22" s="11">
        <f>SUM(D17:D21)</f>
        <v>7303.4</v>
      </c>
      <c r="E22" s="24">
        <f t="shared" ref="E22" si="8">SUM(E17:E21)</f>
        <v>6847.4000000000005</v>
      </c>
      <c r="F22" s="11">
        <f>SUM(F17:F21)</f>
        <v>5576.9276606925469</v>
      </c>
      <c r="G22" s="11">
        <f t="shared" ref="G22:L22" si="9">SUM(G17:G21)</f>
        <v>5910.9454933170064</v>
      </c>
      <c r="H22" s="11">
        <f t="shared" si="9"/>
        <v>6340.9090980350848</v>
      </c>
      <c r="I22" s="11">
        <f t="shared" si="9"/>
        <v>7032.2053718842481</v>
      </c>
      <c r="J22" s="11">
        <f t="shared" si="9"/>
        <v>9008.5015185888678</v>
      </c>
      <c r="K22" s="11">
        <f t="shared" si="9"/>
        <v>12050.034172356587</v>
      </c>
      <c r="L22" s="11">
        <f t="shared" si="9"/>
        <v>16246.858764725386</v>
      </c>
    </row>
    <row r="23" spans="1:12" x14ac:dyDescent="0.25">
      <c r="A23" s="7"/>
      <c r="E23" s="27"/>
      <c r="I23" s="4"/>
      <c r="J23" s="4"/>
      <c r="K23" s="4"/>
      <c r="L23" s="4"/>
    </row>
    <row r="24" spans="1:12" x14ac:dyDescent="0.25">
      <c r="B24" s="4" t="s">
        <v>74</v>
      </c>
      <c r="C24" s="184">
        <f>6560.5+8015.6</f>
        <v>14576.1</v>
      </c>
      <c r="D24" s="184">
        <f>7387.1+8412.6</f>
        <v>15799.7</v>
      </c>
      <c r="E24" s="185">
        <f>8665.5+9286.2</f>
        <v>17951.7</v>
      </c>
      <c r="F24" s="4">
        <f>Calcs!F9</f>
        <v>19129.150204007976</v>
      </c>
      <c r="G24" s="4">
        <f>Calcs!G9</f>
        <v>20407.876080505706</v>
      </c>
      <c r="H24" s="4">
        <f>Calcs!H9</f>
        <v>21833.904778846052</v>
      </c>
      <c r="I24" s="4">
        <f>Calcs!I9</f>
        <v>23452.230981280849</v>
      </c>
      <c r="J24" s="4">
        <f>Calcs!J9</f>
        <v>25315.467344183231</v>
      </c>
      <c r="K24" s="4">
        <f>Calcs!K9</f>
        <v>27486.364021990168</v>
      </c>
      <c r="L24" s="4">
        <f>Calcs!L9</f>
        <v>30040.993603847492</v>
      </c>
    </row>
    <row r="25" spans="1:12" x14ac:dyDescent="0.25">
      <c r="B25" s="4" t="s">
        <v>162</v>
      </c>
      <c r="C25" s="184">
        <f>155.9+3283.5</f>
        <v>3439.4</v>
      </c>
      <c r="D25" s="184">
        <f>120.5+3218.3</f>
        <v>3338.8</v>
      </c>
      <c r="E25" s="185">
        <f>100.9+3315.7</f>
        <v>3416.6</v>
      </c>
      <c r="F25" s="130">
        <f>E25-IncState!F22</f>
        <v>3416.6</v>
      </c>
      <c r="G25" s="130">
        <f>F25-IncState!G22</f>
        <v>3416.6</v>
      </c>
      <c r="H25" s="130">
        <f>G25-IncState!H22</f>
        <v>3416.6</v>
      </c>
      <c r="I25" s="130">
        <f>H25-IncState!I22</f>
        <v>3416.6</v>
      </c>
      <c r="J25" s="130">
        <f>I25-IncState!J22</f>
        <v>3416.6</v>
      </c>
      <c r="K25" s="130">
        <f>J25-IncState!K22</f>
        <v>3416.6</v>
      </c>
      <c r="L25" s="130">
        <f>K25-IncState!L22</f>
        <v>3416.6</v>
      </c>
    </row>
    <row r="26" spans="1:12" x14ac:dyDescent="0.25">
      <c r="B26" s="4" t="s">
        <v>163</v>
      </c>
      <c r="C26" s="184">
        <f>279.1+311.2</f>
        <v>590.29999999999995</v>
      </c>
      <c r="D26" s="184">
        <f>247.4+439.9</f>
        <v>687.3</v>
      </c>
      <c r="E26" s="185">
        <f>276+463.9</f>
        <v>739.9</v>
      </c>
      <c r="F26" s="4">
        <f>F10</f>
        <v>739.9</v>
      </c>
      <c r="G26" s="4">
        <f t="shared" ref="G26:L26" si="10">G10</f>
        <v>739.9</v>
      </c>
      <c r="H26" s="4">
        <f t="shared" si="10"/>
        <v>739.9</v>
      </c>
      <c r="I26" s="4">
        <f t="shared" si="10"/>
        <v>739.9</v>
      </c>
      <c r="J26" s="4">
        <f t="shared" si="10"/>
        <v>739.9</v>
      </c>
      <c r="K26" s="4">
        <f t="shared" si="10"/>
        <v>739.9</v>
      </c>
      <c r="L26" s="4">
        <f t="shared" si="10"/>
        <v>739.9</v>
      </c>
    </row>
    <row r="27" spans="1:12" x14ac:dyDescent="0.25">
      <c r="B27" s="4" t="s">
        <v>165</v>
      </c>
      <c r="C27" s="184">
        <f>1799.7+554.2</f>
        <v>2353.9</v>
      </c>
      <c r="D27" s="184">
        <f>546.5+1769.8</f>
        <v>2316.3000000000002</v>
      </c>
      <c r="E27" s="185">
        <f>1766.7+617</f>
        <v>2383.6999999999998</v>
      </c>
      <c r="F27" s="4">
        <f>F9*IncState!F16</f>
        <v>2452.6313785836514</v>
      </c>
      <c r="G27" s="4">
        <f>G9*IncState!G16</f>
        <v>2599.5263478469824</v>
      </c>
      <c r="H27" s="4">
        <f>H9*IncState!H16</f>
        <v>2788.6165230725192</v>
      </c>
      <c r="I27" s="4">
        <f>I9*IncState!I16</f>
        <v>3021.0419966235322</v>
      </c>
      <c r="J27" s="4">
        <f>J9*IncState!J16</f>
        <v>3304.7643830296574</v>
      </c>
      <c r="K27" s="4">
        <f>K9*IncState!K16</f>
        <v>3649.931613478796</v>
      </c>
      <c r="L27" s="4">
        <f>L9*IncState!L16</f>
        <v>4069.4555596957503</v>
      </c>
    </row>
    <row r="28" spans="1:12" s="11" customFormat="1" x14ac:dyDescent="0.25">
      <c r="B28" s="11" t="s">
        <v>75</v>
      </c>
      <c r="C28" s="11">
        <f>SUM(C24:C27)</f>
        <v>20959.7</v>
      </c>
      <c r="D28" s="11">
        <f>SUM(D24:D27)</f>
        <v>22142.1</v>
      </c>
      <c r="E28" s="24">
        <f>SUM(E24:E27)</f>
        <v>24491.9</v>
      </c>
      <c r="F28" s="11">
        <f>SUM(F24:F27)</f>
        <v>25738.281582591626</v>
      </c>
      <c r="G28" s="11">
        <f t="shared" ref="G28:L28" si="11">SUM(G24:G27)</f>
        <v>27163.902428352689</v>
      </c>
      <c r="H28" s="11">
        <f t="shared" si="11"/>
        <v>28779.021301918572</v>
      </c>
      <c r="I28" s="11">
        <f t="shared" si="11"/>
        <v>30629.77297790438</v>
      </c>
      <c r="J28" s="11">
        <f t="shared" si="11"/>
        <v>32776.731727212886</v>
      </c>
      <c r="K28" s="11">
        <f t="shared" si="11"/>
        <v>35292.795635468967</v>
      </c>
      <c r="L28" s="11">
        <f t="shared" si="11"/>
        <v>38266.949163543242</v>
      </c>
    </row>
    <row r="29" spans="1:12" x14ac:dyDescent="0.25">
      <c r="E29" s="27"/>
      <c r="I29" s="4"/>
      <c r="J29" s="4"/>
      <c r="K29" s="4"/>
      <c r="L29" s="4"/>
    </row>
    <row r="30" spans="1:12" s="11" customFormat="1" x14ac:dyDescent="0.25">
      <c r="A30" s="11" t="s">
        <v>126</v>
      </c>
      <c r="B30" s="17" t="s">
        <v>76</v>
      </c>
      <c r="C30" s="18">
        <f>SUM(C28,C22)</f>
        <v>27978.400000000001</v>
      </c>
      <c r="D30" s="18">
        <f>SUM(D28,D22)</f>
        <v>29445.5</v>
      </c>
      <c r="E30" s="18">
        <f>SUM(E28,E22)</f>
        <v>31339.300000000003</v>
      </c>
      <c r="F30" s="18">
        <f>SUM(F28,F22)</f>
        <v>31315.209243284175</v>
      </c>
      <c r="G30" s="18">
        <f t="shared" ref="G30:L30" si="12">SUM(G28,G22)</f>
        <v>33074.847921669694</v>
      </c>
      <c r="H30" s="18">
        <f t="shared" si="12"/>
        <v>35119.930399953657</v>
      </c>
      <c r="I30" s="18">
        <f t="shared" si="12"/>
        <v>37661.978349788631</v>
      </c>
      <c r="J30" s="18">
        <f t="shared" si="12"/>
        <v>41785.233245801755</v>
      </c>
      <c r="K30" s="18">
        <f t="shared" si="12"/>
        <v>47342.829807825554</v>
      </c>
      <c r="L30" s="18">
        <f t="shared" si="12"/>
        <v>54513.80792826863</v>
      </c>
    </row>
    <row r="31" spans="1:12" x14ac:dyDescent="0.25">
      <c r="A31" s="11"/>
      <c r="E31" s="27"/>
      <c r="I31" s="4"/>
      <c r="J31" s="4"/>
      <c r="K31" s="4"/>
      <c r="L31" s="4"/>
    </row>
    <row r="32" spans="1:12" x14ac:dyDescent="0.25">
      <c r="B32" s="4" t="s">
        <v>77</v>
      </c>
      <c r="C32" s="9">
        <f>1749+175</f>
        <v>1924</v>
      </c>
      <c r="D32" s="9">
        <v>1818.6</v>
      </c>
      <c r="E32" s="44">
        <v>1248.9000000000001</v>
      </c>
      <c r="F32" s="4">
        <f>-MIN(CashFlow!F23-BalSheet!E32,0)</f>
        <v>339.911125293552</v>
      </c>
      <c r="G32" s="4">
        <f>-MIN(CashFlow!G23-BalSheet!F32,0)</f>
        <v>447.87678893938869</v>
      </c>
      <c r="H32" s="4">
        <f>-MIN(CashFlow!H23-BalSheet!G32,0)</f>
        <v>423.907193888753</v>
      </c>
      <c r="I32" s="4">
        <f>-MIN(CashFlow!I23-BalSheet!H32,0)</f>
        <v>0</v>
      </c>
      <c r="J32" s="4">
        <f>-MIN(CashFlow!J23-BalSheet!I32,0)</f>
        <v>0</v>
      </c>
      <c r="K32" s="4">
        <f>-MIN(CashFlow!K23-BalSheet!J32,0)</f>
        <v>0</v>
      </c>
      <c r="L32" s="4">
        <f>-MIN(CashFlow!L23-BalSheet!K32,0)</f>
        <v>0</v>
      </c>
    </row>
    <row r="33" spans="1:12" x14ac:dyDescent="0.25">
      <c r="B33" s="4" t="s">
        <v>153</v>
      </c>
      <c r="C33" s="184">
        <f>1441.4+2137.1+761.7</f>
        <v>4340.2</v>
      </c>
      <c r="D33" s="9">
        <f>1544.3+2145.1+828.3</f>
        <v>4517.7</v>
      </c>
      <c r="E33" s="44">
        <f>1595.5+2194.7+786.6</f>
        <v>4576.8</v>
      </c>
      <c r="F33" s="4">
        <f>F12*IncState!F17</f>
        <v>4709.1584089564567</v>
      </c>
      <c r="G33" s="4">
        <f>G12*IncState!G17</f>
        <v>4991.2031082864023</v>
      </c>
      <c r="H33" s="4">
        <f>H12*IncState!H17</f>
        <v>5354.2644294820102</v>
      </c>
      <c r="I33" s="4">
        <f>I12*IncState!I17</f>
        <v>5800.5313992296251</v>
      </c>
      <c r="J33" s="4">
        <f>J12*IncState!J17</f>
        <v>6345.2906620443928</v>
      </c>
      <c r="K33" s="4">
        <f>K12*IncState!K17</f>
        <v>7008.0266850599819</v>
      </c>
      <c r="L33" s="4">
        <f>L12*IncState!L17</f>
        <v>7813.5308208779961</v>
      </c>
    </row>
    <row r="34" spans="1:12" x14ac:dyDescent="0.25">
      <c r="B34" s="4" t="s">
        <v>78</v>
      </c>
      <c r="C34" s="184">
        <f>1245.7+1641.9</f>
        <v>2887.6000000000004</v>
      </c>
      <c r="D34" s="9">
        <f>1275.3+1700.2+33.5</f>
        <v>3009</v>
      </c>
      <c r="E34" s="44">
        <f>1463.1+1781.2</f>
        <v>3244.3</v>
      </c>
      <c r="F34" s="4">
        <f>F13*IncState!F16</f>
        <v>3338.1180440235516</v>
      </c>
      <c r="G34" s="4">
        <f>G13*IncState!G16</f>
        <v>3538.0472921592336</v>
      </c>
      <c r="H34" s="4">
        <f>H13*IncState!H16</f>
        <v>3795.4057078508931</v>
      </c>
      <c r="I34" s="4">
        <f>I13*IncState!I16</f>
        <v>4111.7449971245233</v>
      </c>
      <c r="J34" s="4">
        <f>J13*IncState!J16</f>
        <v>4497.9011989189576</v>
      </c>
      <c r="K34" s="4">
        <f>K13*IncState!K16</f>
        <v>4967.6860064644288</v>
      </c>
      <c r="L34" s="4">
        <f>L13*IncState!L16</f>
        <v>5538.6729338091718</v>
      </c>
    </row>
    <row r="35" spans="1:12" s="11" customFormat="1" x14ac:dyDescent="0.25">
      <c r="B35" s="11" t="s">
        <v>79</v>
      </c>
      <c r="C35" s="11">
        <f t="shared" ref="C35:E35" si="13">SUM(C32:C34)</f>
        <v>9151.7999999999993</v>
      </c>
      <c r="D35" s="11">
        <f t="shared" si="13"/>
        <v>9345.2999999999993</v>
      </c>
      <c r="E35" s="24">
        <f t="shared" si="13"/>
        <v>9070</v>
      </c>
      <c r="F35" s="11">
        <f>SUM(F32:F34)</f>
        <v>8387.1875782735606</v>
      </c>
      <c r="G35" s="11">
        <f t="shared" ref="G35:L35" si="14">SUM(G32:G34)</f>
        <v>8977.1271893850244</v>
      </c>
      <c r="H35" s="11">
        <f t="shared" si="14"/>
        <v>9573.5773312216552</v>
      </c>
      <c r="I35" s="11">
        <f t="shared" si="14"/>
        <v>9912.2763963541474</v>
      </c>
      <c r="J35" s="11">
        <f t="shared" si="14"/>
        <v>10843.19186096335</v>
      </c>
      <c r="K35" s="11">
        <f t="shared" si="14"/>
        <v>11975.712691524412</v>
      </c>
      <c r="L35" s="11">
        <f t="shared" si="14"/>
        <v>13352.203754687169</v>
      </c>
    </row>
    <row r="36" spans="1:12" x14ac:dyDescent="0.25">
      <c r="B36" s="11"/>
      <c r="E36" s="27"/>
      <c r="I36" s="4"/>
      <c r="J36" s="4"/>
      <c r="K36" s="4"/>
      <c r="L36" s="4"/>
    </row>
    <row r="37" spans="1:12" x14ac:dyDescent="0.25">
      <c r="B37" s="4" t="s">
        <v>80</v>
      </c>
      <c r="C37" s="184">
        <v>13119.9</v>
      </c>
      <c r="D37" s="9">
        <v>13547.6</v>
      </c>
      <c r="E37" s="44">
        <v>14319.5</v>
      </c>
      <c r="F37" s="4">
        <f>Debt!F20</f>
        <v>14319.5</v>
      </c>
      <c r="G37" s="4">
        <f>Debt!G20</f>
        <v>14319.5</v>
      </c>
      <c r="H37" s="4">
        <f>Debt!H20</f>
        <v>14319.5</v>
      </c>
      <c r="I37" s="4">
        <f>Debt!I20</f>
        <v>14319.5</v>
      </c>
      <c r="J37" s="4">
        <f>Debt!J20</f>
        <v>14319.5</v>
      </c>
      <c r="K37" s="4">
        <f>Debt!K20</f>
        <v>14319.5</v>
      </c>
      <c r="L37" s="4">
        <f>Debt!L20</f>
        <v>14319.5</v>
      </c>
    </row>
    <row r="38" spans="1:12" x14ac:dyDescent="0.25">
      <c r="B38" s="4" t="s">
        <v>81</v>
      </c>
      <c r="C38" s="184">
        <f>7515.2+6279.7+610.5</f>
        <v>14405.4</v>
      </c>
      <c r="D38" s="9">
        <f>7924.8+6101.8+513.8</f>
        <v>14540.4</v>
      </c>
      <c r="E38" s="44">
        <f>8771.6+5963.6+656.2</f>
        <v>15391.400000000001</v>
      </c>
      <c r="F38" s="4">
        <f>F14*IncState!F16</f>
        <v>15836.485547817434</v>
      </c>
      <c r="G38" s="4">
        <f>G14*IncState!G16</f>
        <v>16784.977065172654</v>
      </c>
      <c r="H38" s="4">
        <f>H14*IncState!H16</f>
        <v>18005.920356260594</v>
      </c>
      <c r="I38" s="4">
        <f>I14*IncState!I16</f>
        <v>19506.676925297415</v>
      </c>
      <c r="J38" s="4">
        <f>J14*IncState!J16</f>
        <v>21338.654413291388</v>
      </c>
      <c r="K38" s="4">
        <f>K14*IncState!K16</f>
        <v>23567.377369508558</v>
      </c>
      <c r="L38" s="4">
        <f>L14*IncState!L16</f>
        <v>26276.216932290634</v>
      </c>
    </row>
    <row r="39" spans="1:12" x14ac:dyDescent="0.25">
      <c r="B39" s="11" t="s">
        <v>82</v>
      </c>
      <c r="C39" s="11">
        <f t="shared" ref="C39:E39" si="15">SUM(C37:C38)</f>
        <v>27525.3</v>
      </c>
      <c r="D39" s="11">
        <f t="shared" si="15"/>
        <v>28088</v>
      </c>
      <c r="E39" s="24">
        <f t="shared" si="15"/>
        <v>29710.9</v>
      </c>
      <c r="F39" s="11">
        <f>SUM(F37:F38)</f>
        <v>30155.985547817436</v>
      </c>
      <c r="G39" s="11">
        <f t="shared" ref="G39:L39" si="16">SUM(G37:G38)</f>
        <v>31104.477065172654</v>
      </c>
      <c r="H39" s="11">
        <f t="shared" si="16"/>
        <v>32325.420356260594</v>
      </c>
      <c r="I39" s="11">
        <f t="shared" si="16"/>
        <v>33826.176925297419</v>
      </c>
      <c r="J39" s="11">
        <f t="shared" si="16"/>
        <v>35658.154413291384</v>
      </c>
      <c r="K39" s="11">
        <f t="shared" si="16"/>
        <v>37886.877369508555</v>
      </c>
      <c r="L39" s="11">
        <f t="shared" si="16"/>
        <v>40595.716932290634</v>
      </c>
    </row>
    <row r="40" spans="1:12" x14ac:dyDescent="0.25">
      <c r="E40" s="27"/>
      <c r="I40" s="4"/>
      <c r="J40" s="4"/>
      <c r="K40" s="4"/>
      <c r="L40" s="4"/>
    </row>
    <row r="41" spans="1:12" x14ac:dyDescent="0.25">
      <c r="B41" s="4" t="s">
        <v>17</v>
      </c>
      <c r="C41" s="186">
        <v>-8698.7000000000007</v>
      </c>
      <c r="D41" s="186">
        <v>-7987.8</v>
      </c>
      <c r="E41" s="197">
        <v>-7441.6</v>
      </c>
      <c r="F41" s="4">
        <f>Calcs!F17</f>
        <v>-7227.9638828068182</v>
      </c>
      <c r="G41" s="4">
        <f>Calcs!G17</f>
        <v>-7006.7563328879805</v>
      </c>
      <c r="H41" s="4">
        <f>Calcs!H17</f>
        <v>-6779.0672875285936</v>
      </c>
      <c r="I41" s="4">
        <f>Calcs!I17</f>
        <v>-6076.4749718629337</v>
      </c>
      <c r="J41" s="4">
        <f>Calcs!J17</f>
        <v>-4716.1130284529818</v>
      </c>
      <c r="K41" s="4">
        <f>Calcs!K17</f>
        <v>-2519.7602532074175</v>
      </c>
      <c r="L41" s="4">
        <f>Calcs!L17</f>
        <v>565.88724129082857</v>
      </c>
    </row>
    <row r="42" spans="1:12" s="11" customFormat="1" x14ac:dyDescent="0.25">
      <c r="A42" s="11" t="s">
        <v>126</v>
      </c>
      <c r="B42" s="17" t="s">
        <v>83</v>
      </c>
      <c r="C42" s="18">
        <f>SUM(C41,C39,C35)</f>
        <v>27978.399999999998</v>
      </c>
      <c r="D42" s="18">
        <f>SUM(D41,D39,D35)</f>
        <v>29445.5</v>
      </c>
      <c r="E42" s="18">
        <f t="shared" ref="E42:F42" si="17">SUM(E41,E39,E35)</f>
        <v>31339.300000000003</v>
      </c>
      <c r="F42" s="18">
        <f t="shared" si="17"/>
        <v>31315.209243284175</v>
      </c>
      <c r="G42" s="18">
        <f t="shared" ref="G42:L42" si="18">SUM(G41,G39,G35)</f>
        <v>33074.847921669701</v>
      </c>
      <c r="H42" s="18">
        <f t="shared" si="18"/>
        <v>35119.930399953657</v>
      </c>
      <c r="I42" s="18">
        <f t="shared" si="18"/>
        <v>37661.978349788638</v>
      </c>
      <c r="J42" s="18">
        <f t="shared" si="18"/>
        <v>41785.233245801748</v>
      </c>
      <c r="K42" s="18">
        <f t="shared" si="18"/>
        <v>47342.829807825547</v>
      </c>
      <c r="L42" s="18">
        <f t="shared" si="18"/>
        <v>54513.807928268638</v>
      </c>
    </row>
    <row r="43" spans="1:12" x14ac:dyDescent="0.25">
      <c r="E43" s="27"/>
      <c r="I43" s="4"/>
      <c r="J43" s="4"/>
      <c r="K43" s="4"/>
      <c r="L43" s="4"/>
    </row>
    <row r="44" spans="1:12" x14ac:dyDescent="0.25">
      <c r="A44" s="4" t="s">
        <v>126</v>
      </c>
      <c r="B44" s="11" t="s">
        <v>84</v>
      </c>
      <c r="C44" s="45">
        <f>C42-C30</f>
        <v>0</v>
      </c>
      <c r="D44" s="45">
        <f t="shared" ref="D44:J44" si="19">D42-D30</f>
        <v>0</v>
      </c>
      <c r="E44" s="150">
        <f t="shared" si="19"/>
        <v>0</v>
      </c>
      <c r="F44" s="45">
        <f t="shared" si="19"/>
        <v>0</v>
      </c>
      <c r="G44" s="45">
        <f t="shared" ref="G44:L44" si="20">G42-G30</f>
        <v>0</v>
      </c>
      <c r="H44" s="45">
        <f t="shared" si="20"/>
        <v>0</v>
      </c>
      <c r="I44" s="45">
        <f t="shared" si="20"/>
        <v>0</v>
      </c>
      <c r="J44" s="45">
        <f t="shared" si="20"/>
        <v>0</v>
      </c>
      <c r="K44" s="45">
        <f t="shared" si="20"/>
        <v>0</v>
      </c>
      <c r="L44" s="45">
        <f t="shared" si="20"/>
        <v>0</v>
      </c>
    </row>
    <row r="45" spans="1:12" x14ac:dyDescent="0.25">
      <c r="I45" s="4"/>
      <c r="J45" s="4"/>
      <c r="K45" s="4"/>
      <c r="L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G23" sqref="G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s="2" customFormat="1" x14ac:dyDescent="0.25">
      <c r="A2" s="176" t="s">
        <v>85</v>
      </c>
      <c r="B2" s="177"/>
      <c r="C2" s="181">
        <v>2023</v>
      </c>
      <c r="D2" s="181">
        <f>C2+1</f>
        <v>2024</v>
      </c>
      <c r="E2" s="181">
        <f t="shared" ref="E2:J2" si="0">D2+1</f>
        <v>2025</v>
      </c>
      <c r="F2" s="181">
        <f t="shared" si="0"/>
        <v>2026</v>
      </c>
      <c r="G2" s="181">
        <f t="shared" si="0"/>
        <v>2027</v>
      </c>
      <c r="H2" s="181">
        <f t="shared" si="0"/>
        <v>2028</v>
      </c>
      <c r="I2" s="181">
        <f t="shared" si="0"/>
        <v>2029</v>
      </c>
      <c r="J2" s="181">
        <f t="shared" si="0"/>
        <v>2030</v>
      </c>
      <c r="K2" s="181">
        <f t="shared" ref="K2" si="1">J2+1</f>
        <v>2031</v>
      </c>
      <c r="L2" s="181">
        <f t="shared" ref="L2" si="2">K2+1</f>
        <v>2032</v>
      </c>
    </row>
    <row r="3" spans="1:12" x14ac:dyDescent="0.25">
      <c r="B3" s="4" t="s">
        <v>158</v>
      </c>
      <c r="F3" s="4">
        <f>IncState!F34</f>
        <v>2980.1936686406889</v>
      </c>
      <c r="G3" s="4">
        <f>IncState!G34</f>
        <v>3169.3226528138503</v>
      </c>
      <c r="H3" s="4">
        <f>IncState!H34</f>
        <v>3357.3616997019058</v>
      </c>
      <c r="I3" s="4">
        <f>IncState!I34</f>
        <v>4013.8225214556846</v>
      </c>
      <c r="J3" s="4">
        <f>IncState!J34</f>
        <v>4853.1497006474829</v>
      </c>
      <c r="K3" s="4">
        <f>IncState!K34</f>
        <v>5870.6980839306016</v>
      </c>
      <c r="L3" s="4">
        <f>IncState!L34</f>
        <v>6941.55035463079</v>
      </c>
    </row>
    <row r="4" spans="1:12" x14ac:dyDescent="0.25">
      <c r="B4" s="4" t="s">
        <v>15</v>
      </c>
      <c r="F4" s="4">
        <f>IncState!F21</f>
        <v>1718.6238612125546</v>
      </c>
      <c r="G4" s="4">
        <f>IncState!G21</f>
        <v>1831.3482280411945</v>
      </c>
      <c r="H4" s="4">
        <f>IncState!H21</f>
        <v>1953.7683221436437</v>
      </c>
      <c r="I4" s="4">
        <f>IncState!I21</f>
        <v>2090.290598459625</v>
      </c>
      <c r="J4" s="4">
        <f>IncState!J21</f>
        <v>2245.2226676636524</v>
      </c>
      <c r="K4" s="4">
        <f>IncState!K21</f>
        <v>2423.6014547625305</v>
      </c>
      <c r="L4" s="4">
        <f>IncState!L21</f>
        <v>2631.4344082268854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  <c r="K5" s="4">
        <f>IncState!K22</f>
        <v>0</v>
      </c>
      <c r="L5" s="4">
        <f>IncState!L22</f>
        <v>0</v>
      </c>
    </row>
    <row r="6" spans="1:12" x14ac:dyDescent="0.25">
      <c r="B6" s="4" t="s">
        <v>91</v>
      </c>
      <c r="F6" s="4">
        <f>Calcs!F26</f>
        <v>69.433718565852359</v>
      </c>
      <c r="G6" s="4">
        <f>Calcs!G26</f>
        <v>147.95611484116762</v>
      </c>
      <c r="H6" s="4">
        <f>Calcs!H26</f>
        <v>190.45613216918991</v>
      </c>
      <c r="I6" s="4">
        <f>Calcs!I26</f>
        <v>234.10447770392511</v>
      </c>
      <c r="J6" s="4">
        <f>Calcs!J26</f>
        <v>285.7719511882151</v>
      </c>
      <c r="K6" s="4">
        <f>Calcs!K26</f>
        <v>347.66066287941339</v>
      </c>
      <c r="L6" s="4">
        <f>Calcs!L26</f>
        <v>422.55451957530022</v>
      </c>
    </row>
    <row r="7" spans="1:12" x14ac:dyDescent="0.25">
      <c r="B7" s="4" t="s">
        <v>226</v>
      </c>
      <c r="F7" s="4">
        <f>BalSheet!E27-BalSheet!F27</f>
        <v>-68.931378583651622</v>
      </c>
      <c r="G7" s="4">
        <f>BalSheet!F27-BalSheet!G27</f>
        <v>-146.89496926333095</v>
      </c>
      <c r="H7" s="4">
        <f>BalSheet!G27-BalSheet!H27</f>
        <v>-189.09017522553677</v>
      </c>
      <c r="I7" s="4">
        <f>BalSheet!H27-BalSheet!I27</f>
        <v>-232.42547355101306</v>
      </c>
      <c r="J7" s="4">
        <f>BalSheet!I27-BalSheet!J27</f>
        <v>-283.72238640612522</v>
      </c>
      <c r="K7" s="4">
        <f>BalSheet!J27-BalSheet!K27</f>
        <v>-345.16723044913851</v>
      </c>
      <c r="L7" s="4">
        <f>BalSheet!K27-BalSheet!L27</f>
        <v>-419.5239462169543</v>
      </c>
    </row>
    <row r="8" spans="1:12" x14ac:dyDescent="0.25">
      <c r="B8" s="4" t="s">
        <v>227</v>
      </c>
      <c r="F8" s="4">
        <f>BalSheet!F38-BalSheet!E38</f>
        <v>445.0855478174326</v>
      </c>
      <c r="G8" s="4">
        <f>BalSheet!G38-BalSheet!F38</f>
        <v>948.49151735521991</v>
      </c>
      <c r="H8" s="4">
        <f>BalSheet!H38-BalSheet!G38</f>
        <v>1220.9432910879405</v>
      </c>
      <c r="I8" s="4">
        <f>BalSheet!I38-BalSheet!H38</f>
        <v>1500.756569036821</v>
      </c>
      <c r="J8" s="4">
        <f>BalSheet!J38-BalSheet!I38</f>
        <v>1831.9774879939723</v>
      </c>
      <c r="K8" s="4">
        <f>BalSheet!K38-BalSheet!J38</f>
        <v>2228.7229562171706</v>
      </c>
      <c r="L8" s="4">
        <f>BalSheet!L38-BalSheet!K38</f>
        <v>2708.8395627820755</v>
      </c>
    </row>
    <row r="9" spans="1:12" s="11" customFormat="1" x14ac:dyDescent="0.25">
      <c r="B9" s="11" t="s">
        <v>228</v>
      </c>
      <c r="F9" s="11">
        <f>SUM(F3:F8)</f>
        <v>5144.4054176528771</v>
      </c>
      <c r="G9" s="11">
        <f t="shared" ref="G9:L9" si="3">SUM(G3:G8)</f>
        <v>5950.2235437881009</v>
      </c>
      <c r="H9" s="11">
        <f t="shared" si="3"/>
        <v>6533.4392698771426</v>
      </c>
      <c r="I9" s="11">
        <f t="shared" si="3"/>
        <v>7606.5486931050427</v>
      </c>
      <c r="J9" s="11">
        <f t="shared" si="3"/>
        <v>8932.399421087197</v>
      </c>
      <c r="K9" s="11">
        <f t="shared" si="3"/>
        <v>10525.515927340579</v>
      </c>
      <c r="L9" s="11">
        <f t="shared" si="3"/>
        <v>12284.854898998097</v>
      </c>
    </row>
    <row r="10" spans="1:12" x14ac:dyDescent="0.25">
      <c r="I10" s="4"/>
      <c r="J10" s="4"/>
      <c r="K10" s="4"/>
      <c r="L10" s="4"/>
    </row>
    <row r="11" spans="1:12" x14ac:dyDescent="0.25">
      <c r="B11" s="4" t="s">
        <v>14</v>
      </c>
      <c r="F11" s="4">
        <f>-Calcs!F7</f>
        <v>-2896.0740652205309</v>
      </c>
      <c r="G11" s="4">
        <f>-Calcs!G7</f>
        <v>-3110.0741045389254</v>
      </c>
      <c r="H11" s="4">
        <f>-Calcs!H7</f>
        <v>-3379.797020483988</v>
      </c>
      <c r="I11" s="4">
        <f>-Calcs!I7</f>
        <v>-3708.616800894421</v>
      </c>
      <c r="J11" s="4">
        <f>-Calcs!J7</f>
        <v>-4108.4590305660358</v>
      </c>
      <c r="K11" s="4">
        <f>-Calcs!K7</f>
        <v>-4594.4981325694689</v>
      </c>
      <c r="L11" s="4">
        <f>-Calcs!L7</f>
        <v>-5186.0639900842116</v>
      </c>
    </row>
    <row r="12" spans="1:12" s="11" customFormat="1" x14ac:dyDescent="0.25">
      <c r="B12" s="11" t="s">
        <v>229</v>
      </c>
      <c r="F12" s="11">
        <f>F11</f>
        <v>-2896.0740652205309</v>
      </c>
      <c r="G12" s="11">
        <f t="shared" ref="G12:L12" si="4">G11</f>
        <v>-3110.0741045389254</v>
      </c>
      <c r="H12" s="11">
        <f t="shared" si="4"/>
        <v>-3379.797020483988</v>
      </c>
      <c r="I12" s="11">
        <f t="shared" si="4"/>
        <v>-3708.616800894421</v>
      </c>
      <c r="J12" s="11">
        <f t="shared" si="4"/>
        <v>-4108.4590305660358</v>
      </c>
      <c r="K12" s="11">
        <f t="shared" si="4"/>
        <v>-4594.4981325694689</v>
      </c>
      <c r="L12" s="11">
        <f t="shared" si="4"/>
        <v>-5186.0639900842116</v>
      </c>
    </row>
    <row r="13" spans="1:12" x14ac:dyDescent="0.25">
      <c r="I13" s="4"/>
      <c r="J13" s="4"/>
      <c r="K13" s="4"/>
      <c r="L13" s="4"/>
    </row>
    <row r="14" spans="1:12" x14ac:dyDescent="0.25">
      <c r="B14" s="4" t="s">
        <v>230</v>
      </c>
      <c r="F14" s="4">
        <f>-IncState!F36</f>
        <v>-2766.5575514475063</v>
      </c>
      <c r="G14" s="4">
        <f>-IncState!G36</f>
        <v>-2948.1151028950126</v>
      </c>
      <c r="H14" s="4">
        <f>-IncState!H36</f>
        <v>-3129.6726543425189</v>
      </c>
      <c r="I14" s="4">
        <f>-IncState!I36</f>
        <v>-3311.2302057900251</v>
      </c>
      <c r="J14" s="4">
        <f>-IncState!J36</f>
        <v>-3492.787757237531</v>
      </c>
      <c r="K14" s="4">
        <f>-IncState!K36</f>
        <v>-3674.3453086850373</v>
      </c>
      <c r="L14" s="4">
        <f>-IncState!L36</f>
        <v>-3855.9028601325435</v>
      </c>
    </row>
    <row r="15" spans="1:12" x14ac:dyDescent="0.25">
      <c r="B15" s="4" t="s">
        <v>231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  <c r="K15" s="4">
        <f>SUM(Debt!K8:K9)</f>
        <v>0</v>
      </c>
      <c r="L15" s="4">
        <f>SUM(Debt!L8:L9)</f>
        <v>0</v>
      </c>
    </row>
    <row r="16" spans="1:12" x14ac:dyDescent="0.25">
      <c r="B16" s="4" t="s">
        <v>145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  <c r="K16" s="4">
        <f>Calcs!K11</f>
        <v>0</v>
      </c>
      <c r="L16" s="4">
        <f>Calcs!L11</f>
        <v>0</v>
      </c>
    </row>
    <row r="17" spans="2:12" s="11" customFormat="1" x14ac:dyDescent="0.25">
      <c r="B17" s="11" t="s">
        <v>232</v>
      </c>
      <c r="F17" s="11">
        <f>SUM(F14:F16)</f>
        <v>-2766.5575514475063</v>
      </c>
      <c r="G17" s="11">
        <f t="shared" ref="G17:L17" si="5">SUM(G14:G16)</f>
        <v>-2948.1151028950126</v>
      </c>
      <c r="H17" s="11">
        <f t="shared" si="5"/>
        <v>-3129.6726543425189</v>
      </c>
      <c r="I17" s="11">
        <f t="shared" si="5"/>
        <v>-3311.2302057900251</v>
      </c>
      <c r="J17" s="11">
        <f t="shared" si="5"/>
        <v>-3492.787757237531</v>
      </c>
      <c r="K17" s="11">
        <f t="shared" si="5"/>
        <v>-3674.3453086850373</v>
      </c>
      <c r="L17" s="11">
        <f t="shared" si="5"/>
        <v>-3855.9028601325435</v>
      </c>
    </row>
    <row r="18" spans="2:12" x14ac:dyDescent="0.25">
      <c r="I18" s="4"/>
      <c r="J18" s="4"/>
      <c r="K18" s="4"/>
      <c r="L18" s="4"/>
    </row>
    <row r="19" spans="2:12" x14ac:dyDescent="0.25">
      <c r="B19" s="4" t="s">
        <v>233</v>
      </c>
      <c r="F19" s="4">
        <f>SUM(F17,F12,F9)</f>
        <v>-518.22619901516009</v>
      </c>
      <c r="G19" s="4">
        <f t="shared" ref="G19:L19" si="6">SUM(G17,G12,G9)</f>
        <v>-107.96566364583668</v>
      </c>
      <c r="H19" s="4">
        <f t="shared" si="6"/>
        <v>23.969595050635689</v>
      </c>
      <c r="I19" s="4">
        <f t="shared" si="6"/>
        <v>586.70168642059707</v>
      </c>
      <c r="J19" s="4">
        <f t="shared" si="6"/>
        <v>1331.1526332836302</v>
      </c>
      <c r="K19" s="4">
        <f t="shared" si="6"/>
        <v>2256.6724860860722</v>
      </c>
      <c r="L19" s="4">
        <f t="shared" si="6"/>
        <v>3242.8880487813421</v>
      </c>
    </row>
    <row r="20" spans="2:12" x14ac:dyDescent="0.25">
      <c r="I20" s="4"/>
      <c r="J20" s="4"/>
      <c r="K20" s="4"/>
      <c r="L20" s="4"/>
    </row>
    <row r="21" spans="2:12" x14ac:dyDescent="0.25">
      <c r="B21" s="4" t="s">
        <v>234</v>
      </c>
      <c r="F21" s="4">
        <f>BalSheet!E18</f>
        <v>1427.2150737216082</v>
      </c>
      <c r="G21" s="4">
        <f>BalSheet!F18</f>
        <v>0</v>
      </c>
      <c r="H21" s="4">
        <f>BalSheet!G18</f>
        <v>0</v>
      </c>
      <c r="I21" s="4">
        <f>BalSheet!H18</f>
        <v>0</v>
      </c>
      <c r="J21" s="4">
        <f>BalSheet!I18</f>
        <v>162.79449253184407</v>
      </c>
      <c r="K21" s="4">
        <f>BalSheet!J18</f>
        <v>1493.9471258154742</v>
      </c>
      <c r="L21" s="4">
        <f>BalSheet!K18</f>
        <v>3750.6196119015467</v>
      </c>
    </row>
    <row r="22" spans="2:12" x14ac:dyDescent="0.25">
      <c r="B22" s="4" t="str">
        <f>B19</f>
        <v>Net changes in Cash</v>
      </c>
      <c r="F22" s="4">
        <f>F19</f>
        <v>-518.22619901516009</v>
      </c>
      <c r="G22" s="4">
        <f t="shared" ref="G22:L22" si="7">G19</f>
        <v>-107.96566364583668</v>
      </c>
      <c r="H22" s="4">
        <f t="shared" si="7"/>
        <v>23.969595050635689</v>
      </c>
      <c r="I22" s="4">
        <f t="shared" si="7"/>
        <v>586.70168642059707</v>
      </c>
      <c r="J22" s="4">
        <f t="shared" si="7"/>
        <v>1331.1526332836302</v>
      </c>
      <c r="K22" s="4">
        <f t="shared" si="7"/>
        <v>2256.6724860860722</v>
      </c>
      <c r="L22" s="4">
        <f t="shared" si="7"/>
        <v>3242.8880487813421</v>
      </c>
    </row>
    <row r="23" spans="2:12" x14ac:dyDescent="0.25">
      <c r="B23" s="4" t="s">
        <v>235</v>
      </c>
      <c r="F23" s="4">
        <f>SUM(F21:F22)</f>
        <v>908.98887470644809</v>
      </c>
      <c r="G23" s="4">
        <f t="shared" ref="G23:L23" si="8">SUM(G21:G22)</f>
        <v>-107.96566364583668</v>
      </c>
      <c r="H23" s="4">
        <f t="shared" si="8"/>
        <v>23.969595050635689</v>
      </c>
      <c r="I23" s="4">
        <f t="shared" si="8"/>
        <v>586.70168642059707</v>
      </c>
      <c r="J23" s="4">
        <f t="shared" si="8"/>
        <v>1493.9471258154742</v>
      </c>
      <c r="K23" s="4">
        <f t="shared" si="8"/>
        <v>3750.6196119015467</v>
      </c>
      <c r="L23" s="4">
        <f t="shared" si="8"/>
        <v>6993.5076606828889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G1" sqref="G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3" t="str">
        <f>CoName</f>
        <v>Starbucks Corp.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</row>
    <row r="2" spans="1:12" s="2" customFormat="1" ht="16.350000000000001" customHeight="1" x14ac:dyDescent="0.25">
      <c r="A2" s="176" t="s">
        <v>88</v>
      </c>
      <c r="B2" s="177"/>
      <c r="C2" s="181">
        <v>2023</v>
      </c>
      <c r="D2" s="181">
        <f>C2+1</f>
        <v>2024</v>
      </c>
      <c r="E2" s="181">
        <f t="shared" ref="E2:J2" si="0">D2+1</f>
        <v>2025</v>
      </c>
      <c r="F2" s="181">
        <f t="shared" si="0"/>
        <v>2026</v>
      </c>
      <c r="G2" s="181">
        <f t="shared" si="0"/>
        <v>2027</v>
      </c>
      <c r="H2" s="181">
        <f t="shared" si="0"/>
        <v>2028</v>
      </c>
      <c r="I2" s="181">
        <f t="shared" si="0"/>
        <v>2029</v>
      </c>
      <c r="J2" s="181">
        <f t="shared" si="0"/>
        <v>2030</v>
      </c>
      <c r="K2" s="181">
        <f t="shared" ref="K2" si="1">J2+1</f>
        <v>2031</v>
      </c>
      <c r="L2" s="181">
        <f t="shared" ref="L2" si="2">K2+1</f>
        <v>2032</v>
      </c>
    </row>
    <row r="3" spans="1:12" x14ac:dyDescent="0.25">
      <c r="A3" s="11" t="s">
        <v>126</v>
      </c>
      <c r="B3" s="4" t="s">
        <v>89</v>
      </c>
      <c r="D3" s="216"/>
      <c r="E3" s="23"/>
      <c r="F3" s="217">
        <f>IncState!F16</f>
        <v>38254.85390363216</v>
      </c>
      <c r="G3" s="217">
        <f>IncState!G16</f>
        <v>40546.044352150515</v>
      </c>
      <c r="H3" s="217">
        <f>IncState!H16</f>
        <v>43495.373424194921</v>
      </c>
      <c r="I3" s="217">
        <f>IncState!I16</f>
        <v>47120.623680640369</v>
      </c>
      <c r="J3" s="217">
        <f>IncState!J16</f>
        <v>51545.976196281765</v>
      </c>
      <c r="K3" s="217">
        <f>IncState!K16</f>
        <v>56929.713062919414</v>
      </c>
      <c r="L3" s="217">
        <f>IncState!L16</f>
        <v>63473.22686272765</v>
      </c>
    </row>
    <row r="4" spans="1:12" x14ac:dyDescent="0.25">
      <c r="B4" s="4" t="s">
        <v>55</v>
      </c>
      <c r="E4" s="27"/>
      <c r="F4" s="4">
        <f>IncState!F19</f>
        <v>3679.2514427662827</v>
      </c>
      <c r="G4" s="4">
        <f>IncState!G19</f>
        <v>3961.653316017313</v>
      </c>
      <c r="H4" s="4">
        <f>IncState!H19</f>
        <v>4249.8249363315263</v>
      </c>
      <c r="I4" s="4">
        <f>IncState!I19</f>
        <v>5145.9263095585702</v>
      </c>
      <c r="J4" s="4">
        <f>IncState!J19</f>
        <v>6221.9867957019014</v>
      </c>
      <c r="K4" s="4">
        <f>IncState!K19</f>
        <v>7526.5360050392337</v>
      </c>
      <c r="L4" s="4">
        <f>IncState!L19</f>
        <v>8899.423531577937</v>
      </c>
    </row>
    <row r="5" spans="1:12" x14ac:dyDescent="0.25">
      <c r="B5" s="29" t="s">
        <v>94</v>
      </c>
      <c r="C5" s="29"/>
      <c r="D5" s="29"/>
      <c r="E5" s="38"/>
      <c r="F5" s="42">
        <f>Assumptions!F16</f>
        <v>0.19</v>
      </c>
      <c r="G5" s="42">
        <f>Assumptions!G16</f>
        <v>0.2</v>
      </c>
      <c r="H5" s="42">
        <f>Assumptions!H16</f>
        <v>0.21000000000000002</v>
      </c>
      <c r="I5" s="42">
        <f>Assumptions!I16</f>
        <v>0.22000000000000003</v>
      </c>
      <c r="J5" s="42">
        <f>Assumptions!J16</f>
        <v>0.22000000000000003</v>
      </c>
      <c r="K5" s="42">
        <f>Assumptions!K16</f>
        <v>0.22000000000000003</v>
      </c>
      <c r="L5" s="42">
        <f>Assumptions!L16</f>
        <v>0.22000000000000003</v>
      </c>
    </row>
    <row r="6" spans="1:12" x14ac:dyDescent="0.25">
      <c r="C6" s="5"/>
      <c r="D6" s="5"/>
      <c r="E6" s="23"/>
      <c r="F6" s="5"/>
      <c r="G6" s="5"/>
      <c r="H6" s="5"/>
      <c r="I6" s="5"/>
      <c r="J6" s="5"/>
      <c r="K6" s="5"/>
      <c r="L6" s="5"/>
    </row>
    <row r="7" spans="1:12" x14ac:dyDescent="0.25">
      <c r="A7" s="24" t="s">
        <v>126</v>
      </c>
      <c r="B7" s="21" t="s">
        <v>90</v>
      </c>
      <c r="C7" s="117"/>
      <c r="D7" s="117"/>
      <c r="E7" s="117"/>
      <c r="F7" s="132">
        <f t="shared" ref="F7:J7" si="3">F4*(1-F5)</f>
        <v>2980.1936686406893</v>
      </c>
      <c r="G7" s="132">
        <f t="shared" ref="G7:L7" si="4">G4*(1-G5)</f>
        <v>3169.3226528138507</v>
      </c>
      <c r="H7" s="132">
        <f t="shared" si="4"/>
        <v>3357.3616997019058</v>
      </c>
      <c r="I7" s="132">
        <f t="shared" si="4"/>
        <v>4013.8225214556851</v>
      </c>
      <c r="J7" s="132">
        <f t="shared" si="4"/>
        <v>4853.1497006474829</v>
      </c>
      <c r="K7" s="132">
        <f t="shared" si="4"/>
        <v>5870.6980839306025</v>
      </c>
      <c r="L7" s="132">
        <f t="shared" si="4"/>
        <v>6941.5503546307909</v>
      </c>
    </row>
    <row r="8" spans="1:12" x14ac:dyDescent="0.25">
      <c r="B8" s="4" t="s">
        <v>15</v>
      </c>
      <c r="C8" s="117"/>
      <c r="D8" s="117"/>
      <c r="E8" s="118"/>
      <c r="F8" s="133">
        <f>CashFlow!F4</f>
        <v>1718.6238612125546</v>
      </c>
      <c r="G8" s="133">
        <f>CashFlow!G4</f>
        <v>1831.3482280411945</v>
      </c>
      <c r="H8" s="133">
        <f>CashFlow!H4</f>
        <v>1953.7683221436437</v>
      </c>
      <c r="I8" s="133">
        <f>CashFlow!I4</f>
        <v>2090.290598459625</v>
      </c>
      <c r="J8" s="133">
        <f>CashFlow!J4</f>
        <v>2245.2226676636524</v>
      </c>
      <c r="K8" s="133">
        <f>CashFlow!K4</f>
        <v>2423.6014547625305</v>
      </c>
      <c r="L8" s="133">
        <f>CashFlow!L4</f>
        <v>2631.4344082268854</v>
      </c>
    </row>
    <row r="9" spans="1:12" x14ac:dyDescent="0.25">
      <c r="B9" s="4" t="s">
        <v>54</v>
      </c>
      <c r="C9" s="5"/>
      <c r="D9" s="5"/>
      <c r="E9" s="23"/>
      <c r="F9" s="134">
        <f>CashFlow!F5</f>
        <v>0</v>
      </c>
      <c r="G9" s="134">
        <f>CashFlow!G5</f>
        <v>0</v>
      </c>
      <c r="H9" s="134">
        <f>CashFlow!H5</f>
        <v>0</v>
      </c>
      <c r="I9" s="134">
        <f>CashFlow!I5</f>
        <v>0</v>
      </c>
      <c r="J9" s="134">
        <f>CashFlow!J5</f>
        <v>0</v>
      </c>
      <c r="K9" s="134">
        <f>CashFlow!K5</f>
        <v>0</v>
      </c>
      <c r="L9" s="134">
        <f>CashFlow!L5</f>
        <v>0</v>
      </c>
    </row>
    <row r="10" spans="1:12" x14ac:dyDescent="0.25">
      <c r="B10" s="4" t="s">
        <v>91</v>
      </c>
      <c r="C10" s="5"/>
      <c r="D10" s="5"/>
      <c r="E10" s="23"/>
      <c r="F10" s="134">
        <f>CashFlow!F6</f>
        <v>69.433718565852359</v>
      </c>
      <c r="G10" s="134">
        <f>CashFlow!G6</f>
        <v>147.95611484116762</v>
      </c>
      <c r="H10" s="134">
        <f>CashFlow!H6</f>
        <v>190.45613216918991</v>
      </c>
      <c r="I10" s="134">
        <f>CashFlow!I6</f>
        <v>234.10447770392511</v>
      </c>
      <c r="J10" s="134">
        <f>CashFlow!J6</f>
        <v>285.7719511882151</v>
      </c>
      <c r="K10" s="134">
        <f>CashFlow!K6</f>
        <v>347.66066287941339</v>
      </c>
      <c r="L10" s="134">
        <f>CashFlow!L6</f>
        <v>422.55451957530022</v>
      </c>
    </row>
    <row r="11" spans="1:12" x14ac:dyDescent="0.25">
      <c r="B11" s="4" t="s">
        <v>167</v>
      </c>
      <c r="C11" s="5"/>
      <c r="D11" s="5"/>
      <c r="E11" s="23"/>
      <c r="F11" s="134">
        <f>CashFlow!F7</f>
        <v>-68.931378583651622</v>
      </c>
      <c r="G11" s="134">
        <f>CashFlow!G7</f>
        <v>-146.89496926333095</v>
      </c>
      <c r="H11" s="134">
        <f>CashFlow!H7</f>
        <v>-189.09017522553677</v>
      </c>
      <c r="I11" s="134">
        <f>CashFlow!I7</f>
        <v>-232.42547355101306</v>
      </c>
      <c r="J11" s="134">
        <f>CashFlow!J7</f>
        <v>-283.72238640612522</v>
      </c>
      <c r="K11" s="134">
        <f>CashFlow!K7</f>
        <v>-345.16723044913851</v>
      </c>
      <c r="L11" s="134">
        <f>CashFlow!L7</f>
        <v>-419.5239462169543</v>
      </c>
    </row>
    <row r="12" spans="1:12" x14ac:dyDescent="0.25">
      <c r="B12" s="4" t="s">
        <v>168</v>
      </c>
      <c r="E12" s="27"/>
      <c r="F12" s="134">
        <f>CashFlow!F8</f>
        <v>445.0855478174326</v>
      </c>
      <c r="G12" s="134">
        <f>CashFlow!G8</f>
        <v>948.49151735521991</v>
      </c>
      <c r="H12" s="134">
        <f>CashFlow!H8</f>
        <v>1220.9432910879405</v>
      </c>
      <c r="I12" s="134">
        <f>CashFlow!I8</f>
        <v>1500.756569036821</v>
      </c>
      <c r="J12" s="134">
        <f>CashFlow!J8</f>
        <v>1831.9774879939723</v>
      </c>
      <c r="K12" s="134">
        <f>CashFlow!K8</f>
        <v>2228.7229562171706</v>
      </c>
      <c r="L12" s="134">
        <f>CashFlow!L8</f>
        <v>2708.8395627820755</v>
      </c>
    </row>
    <row r="13" spans="1:12" x14ac:dyDescent="0.25">
      <c r="B13" s="4" t="s">
        <v>92</v>
      </c>
      <c r="E13" s="27"/>
      <c r="F13" s="130">
        <f>CashFlow!F12</f>
        <v>-2896.0740652205309</v>
      </c>
      <c r="G13" s="130">
        <f>CashFlow!G12</f>
        <v>-3110.0741045389254</v>
      </c>
      <c r="H13" s="130">
        <f>CashFlow!H12</f>
        <v>-3379.797020483988</v>
      </c>
      <c r="I13" s="130">
        <f>CashFlow!I12</f>
        <v>-3708.616800894421</v>
      </c>
      <c r="J13" s="130">
        <f>CashFlow!J12</f>
        <v>-4108.4590305660358</v>
      </c>
      <c r="K13" s="130">
        <f>CashFlow!K12</f>
        <v>-4594.4981325694689</v>
      </c>
      <c r="L13" s="130">
        <f>CashFlow!L12</f>
        <v>-5186.0639900842116</v>
      </c>
    </row>
    <row r="14" spans="1:12" x14ac:dyDescent="0.25">
      <c r="E14" s="61"/>
      <c r="F14" s="135"/>
      <c r="G14" s="135"/>
      <c r="H14" s="135"/>
      <c r="I14" s="135"/>
      <c r="J14" s="135"/>
      <c r="K14" s="135"/>
      <c r="L14" s="135"/>
    </row>
    <row r="15" spans="1:12" s="11" customFormat="1" x14ac:dyDescent="0.25">
      <c r="A15" s="24" t="s">
        <v>126</v>
      </c>
      <c r="B15" s="33" t="s">
        <v>93</v>
      </c>
      <c r="C15" s="33"/>
      <c r="D15" s="33"/>
      <c r="E15" s="33"/>
      <c r="F15" s="33">
        <f>SUM(F7:F13)</f>
        <v>2248.3313524323462</v>
      </c>
      <c r="G15" s="33">
        <f t="shared" ref="G15:L15" si="5">SUM(G7:G13)</f>
        <v>2840.1494392491754</v>
      </c>
      <c r="H15" s="33">
        <f t="shared" si="5"/>
        <v>3153.6422493931545</v>
      </c>
      <c r="I15" s="33">
        <f t="shared" si="5"/>
        <v>3897.9318922106218</v>
      </c>
      <c r="J15" s="33">
        <f t="shared" si="5"/>
        <v>4823.9403905211611</v>
      </c>
      <c r="K15" s="33">
        <f t="shared" si="5"/>
        <v>5931.0177947711099</v>
      </c>
      <c r="L15" s="33">
        <f t="shared" si="5"/>
        <v>7098.7909089138857</v>
      </c>
    </row>
    <row r="16" spans="1:12" x14ac:dyDescent="0.25">
      <c r="B16" s="64"/>
      <c r="C16" s="64"/>
      <c r="D16" s="64"/>
      <c r="E16" s="64"/>
      <c r="F16" s="64"/>
      <c r="G16" s="64"/>
      <c r="H16" s="64"/>
      <c r="I16" s="82"/>
      <c r="J16" s="82"/>
      <c r="K16" s="82"/>
      <c r="L16" s="82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3" sqref="E13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33" t="str">
        <f>CoName</f>
        <v>Starbucks Corp.</v>
      </c>
    </row>
    <row r="2" spans="1:13" x14ac:dyDescent="0.25">
      <c r="G2" s="145"/>
    </row>
    <row r="3" spans="1:13" x14ac:dyDescent="0.25">
      <c r="A3" s="27" t="s">
        <v>126</v>
      </c>
      <c r="B3" s="160" t="s">
        <v>102</v>
      </c>
      <c r="C3" s="161"/>
      <c r="D3" s="161"/>
      <c r="E3" s="162"/>
      <c r="F3" s="11"/>
      <c r="G3" s="75" t="s">
        <v>110</v>
      </c>
      <c r="H3" s="75" t="s">
        <v>105</v>
      </c>
      <c r="I3" s="75" t="s">
        <v>106</v>
      </c>
      <c r="J3" s="75" t="s">
        <v>107</v>
      </c>
      <c r="K3" s="75" t="s">
        <v>108</v>
      </c>
      <c r="L3" s="75" t="s">
        <v>113</v>
      </c>
      <c r="M3" s="75" t="s">
        <v>109</v>
      </c>
    </row>
    <row r="4" spans="1:13" x14ac:dyDescent="0.25">
      <c r="A4" s="27"/>
      <c r="B4" s="236" t="s">
        <v>169</v>
      </c>
      <c r="C4" s="65"/>
      <c r="D4" s="70"/>
      <c r="E4" s="237">
        <f>Assumptions!F16</f>
        <v>0.19</v>
      </c>
      <c r="G4" s="137"/>
      <c r="H4" s="138"/>
      <c r="I4" s="78"/>
      <c r="J4" s="79"/>
      <c r="K4" s="140"/>
      <c r="L4" s="151">
        <f>E4</f>
        <v>0.19</v>
      </c>
      <c r="M4" s="141">
        <f>H4/((1+K4*(1-L4)))</f>
        <v>0</v>
      </c>
    </row>
    <row r="5" spans="1:13" x14ac:dyDescent="0.25">
      <c r="A5" s="27"/>
      <c r="B5" s="65" t="s">
        <v>95</v>
      </c>
      <c r="C5" s="65"/>
      <c r="D5" s="70"/>
      <c r="E5" s="136">
        <v>4.1000000000000002E-2</v>
      </c>
      <c r="G5" s="137"/>
      <c r="H5" s="138"/>
      <c r="I5" s="78"/>
      <c r="J5" s="79"/>
      <c r="K5" s="140"/>
      <c r="L5" s="151">
        <f>L4</f>
        <v>0.19</v>
      </c>
      <c r="M5" s="141">
        <f t="shared" ref="M5:M7" si="0">H5/((1+K5*(1-L5)))</f>
        <v>0</v>
      </c>
    </row>
    <row r="6" spans="1:13" x14ac:dyDescent="0.25">
      <c r="A6" s="27"/>
      <c r="B6" s="65" t="s">
        <v>96</v>
      </c>
      <c r="C6" s="65"/>
      <c r="D6" s="70"/>
      <c r="E6" s="136">
        <v>0.05</v>
      </c>
      <c r="G6" s="137"/>
      <c r="H6" s="139"/>
      <c r="I6" s="80"/>
      <c r="J6" s="79"/>
      <c r="K6" s="140"/>
      <c r="L6" s="151">
        <f t="shared" ref="L6:L7" si="1">L5</f>
        <v>0.19</v>
      </c>
      <c r="M6" s="141">
        <f t="shared" si="0"/>
        <v>0</v>
      </c>
    </row>
    <row r="7" spans="1:13" x14ac:dyDescent="0.25">
      <c r="A7" s="27"/>
      <c r="B7" s="65" t="s">
        <v>97</v>
      </c>
      <c r="C7" s="65"/>
      <c r="D7" s="70"/>
      <c r="E7" s="199">
        <f>0.98*0.66</f>
        <v>0.64680000000000004</v>
      </c>
      <c r="G7" s="137"/>
      <c r="H7" s="139"/>
      <c r="I7" s="80"/>
      <c r="J7" s="81"/>
      <c r="K7" s="140"/>
      <c r="L7" s="151">
        <f t="shared" si="1"/>
        <v>0.19</v>
      </c>
      <c r="M7" s="141">
        <f t="shared" si="0"/>
        <v>0</v>
      </c>
    </row>
    <row r="8" spans="1:13" x14ac:dyDescent="0.25">
      <c r="A8" s="27"/>
      <c r="B8" s="65" t="s">
        <v>98</v>
      </c>
      <c r="C8" s="65"/>
      <c r="D8" s="70"/>
      <c r="E8" s="136">
        <f>E5+E6*E7</f>
        <v>7.3340000000000002E-2</v>
      </c>
      <c r="L8" s="64"/>
    </row>
    <row r="9" spans="1:13" x14ac:dyDescent="0.25">
      <c r="A9" s="27"/>
      <c r="B9" s="66" t="s">
        <v>99</v>
      </c>
      <c r="C9" s="66"/>
      <c r="D9" s="71"/>
      <c r="E9" s="142">
        <f>1-E10</f>
        <v>0.75603092452376031</v>
      </c>
      <c r="G9" s="4" t="s">
        <v>111</v>
      </c>
      <c r="L9" s="27"/>
      <c r="M9" s="198">
        <f>AVERAGE(M4:M7)</f>
        <v>0</v>
      </c>
    </row>
    <row r="10" spans="1:13" x14ac:dyDescent="0.25">
      <c r="A10" s="27"/>
      <c r="B10" s="67" t="s">
        <v>100</v>
      </c>
      <c r="C10" s="67"/>
      <c r="D10" s="72"/>
      <c r="E10" s="143">
        <f>MAIN!F8/MAIN!F6</f>
        <v>0.24396907547623967</v>
      </c>
      <c r="M10" s="64"/>
    </row>
    <row r="11" spans="1:13" x14ac:dyDescent="0.25">
      <c r="A11" s="27"/>
      <c r="B11" s="159" t="s">
        <v>180</v>
      </c>
      <c r="C11" s="68"/>
      <c r="D11" s="73"/>
      <c r="E11" s="144">
        <f>Assumptions!F24</f>
        <v>3.8100000000000002E-2</v>
      </c>
      <c r="G11" s="4" t="s">
        <v>112</v>
      </c>
      <c r="L11" s="27"/>
      <c r="M11" s="198">
        <f>M9*(1+E10*(1-E4))</f>
        <v>0</v>
      </c>
    </row>
    <row r="12" spans="1:13" x14ac:dyDescent="0.25">
      <c r="A12" s="27"/>
      <c r="B12" s="69" t="s">
        <v>101</v>
      </c>
      <c r="C12" s="69"/>
      <c r="D12" s="74"/>
      <c r="E12" s="144">
        <f>E11*(1-E4)</f>
        <v>3.0861000000000003E-2</v>
      </c>
      <c r="M12" s="64"/>
    </row>
    <row r="13" spans="1:13" s="11" customFormat="1" x14ac:dyDescent="0.25">
      <c r="A13" s="24" t="s">
        <v>126</v>
      </c>
      <c r="B13" s="160" t="s">
        <v>102</v>
      </c>
      <c r="C13" s="161"/>
      <c r="D13" s="162"/>
      <c r="E13" s="156">
        <f>WACC!E8*WACC!E9+WACC!E12*WACC!E10</f>
        <v>6.2976437642844815E-2</v>
      </c>
      <c r="F13" s="4"/>
    </row>
    <row r="14" spans="1:13" s="11" customFormat="1" x14ac:dyDescent="0.25">
      <c r="A14" s="24"/>
      <c r="B14" s="75" t="s">
        <v>103</v>
      </c>
      <c r="C14" s="75"/>
      <c r="D14" s="112"/>
      <c r="E14" s="146">
        <v>2.5000000000000001E-2</v>
      </c>
      <c r="F14" s="4"/>
    </row>
    <row r="15" spans="1:13" x14ac:dyDescent="0.25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D3" sqref="D3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33" t="str">
        <f>CoName</f>
        <v>Starbucks Corp.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  <c r="M1" s="40"/>
    </row>
    <row r="2" spans="1:14" x14ac:dyDescent="0.25">
      <c r="A2" s="75" t="s">
        <v>114</v>
      </c>
      <c r="B2" s="19"/>
      <c r="C2" s="41"/>
      <c r="D2" s="75">
        <v>1</v>
      </c>
      <c r="E2" s="75">
        <f>D2+1</f>
        <v>2</v>
      </c>
      <c r="F2" s="75">
        <f t="shared" ref="F2:H2" si="0">E2+1</f>
        <v>3</v>
      </c>
      <c r="G2" s="75">
        <f t="shared" si="0"/>
        <v>4</v>
      </c>
      <c r="H2" s="75">
        <f t="shared" si="0"/>
        <v>5</v>
      </c>
      <c r="I2" s="75">
        <f t="shared" ref="I2" si="1">H2+1</f>
        <v>6</v>
      </c>
      <c r="J2" s="75">
        <f t="shared" ref="J2" si="2">I2+1</f>
        <v>7</v>
      </c>
      <c r="K2" s="157"/>
      <c r="L2" s="157"/>
      <c r="M2" s="157"/>
      <c r="N2" s="157"/>
    </row>
    <row r="3" spans="1:14" x14ac:dyDescent="0.25">
      <c r="B3" s="4" t="s">
        <v>184</v>
      </c>
      <c r="D3" s="8">
        <f>1/(1+$K$6)^D2</f>
        <v>0.94075462502019769</v>
      </c>
      <c r="E3" s="8">
        <f t="shared" ref="E3:J3" si="3">1/(1+$K$6)^E2</f>
        <v>0.88501926449689283</v>
      </c>
      <c r="F3" s="8">
        <f t="shared" si="3"/>
        <v>0.83258596630742554</v>
      </c>
      <c r="G3" s="8">
        <f t="shared" si="3"/>
        <v>0.78325909853062115</v>
      </c>
      <c r="H3" s="8">
        <f t="shared" si="3"/>
        <v>0.73685461953183251</v>
      </c>
      <c r="I3" s="8">
        <f t="shared" si="3"/>
        <v>0.69319939129206953</v>
      </c>
      <c r="J3" s="8">
        <f t="shared" si="3"/>
        <v>0.65213053341920013</v>
      </c>
      <c r="K3" s="8"/>
    </row>
    <row r="4" spans="1:14" x14ac:dyDescent="0.25">
      <c r="B4" s="4" t="s">
        <v>185</v>
      </c>
      <c r="D4" s="4">
        <f>D3*'Free Cash Flow'!F15</f>
        <v>2115.1281183786459</v>
      </c>
      <c r="E4" s="4">
        <f>E3*'Free Cash Flow'!G15</f>
        <v>2513.586967785568</v>
      </c>
      <c r="F4" s="4">
        <f>F3*'Free Cash Flow'!H15</f>
        <v>2625.6782795989225</v>
      </c>
      <c r="G4" s="4">
        <f>G3*'Free Cash Flow'!I15</f>
        <v>3053.09062002665</v>
      </c>
      <c r="H4" s="4">
        <f>H3*'Free Cash Flow'!J15</f>
        <v>3554.5427611017099</v>
      </c>
      <c r="I4" s="4">
        <f>I3*'Free Cash Flow'!K15</f>
        <v>4111.3779250777661</v>
      </c>
      <c r="J4" s="4">
        <f>J3*'Free Cash Flow'!L15</f>
        <v>4629.338302061381</v>
      </c>
    </row>
    <row r="5" spans="1:14" x14ac:dyDescent="0.25">
      <c r="G5" s="145"/>
      <c r="J5" s="4">
        <f>(J4*(1+K7))/(K6-K7)</f>
        <v>124947.78484066001</v>
      </c>
    </row>
    <row r="6" spans="1:14" x14ac:dyDescent="0.25">
      <c r="A6" s="75" t="s">
        <v>115</v>
      </c>
      <c r="B6" s="19"/>
      <c r="C6" s="41"/>
      <c r="D6" s="84"/>
      <c r="E6" s="75" t="s">
        <v>173</v>
      </c>
      <c r="F6" s="19"/>
      <c r="G6" s="41"/>
      <c r="I6" s="160" t="s">
        <v>102</v>
      </c>
      <c r="J6" s="161"/>
      <c r="K6" s="156">
        <f>WACC!E13</f>
        <v>6.2976437642844815E-2</v>
      </c>
    </row>
    <row r="7" spans="1:14" x14ac:dyDescent="0.25">
      <c r="B7" s="4" t="s">
        <v>116</v>
      </c>
      <c r="C7" s="4">
        <f>SUM(D4:J4)</f>
        <v>22602.742974030643</v>
      </c>
      <c r="E7" s="4" t="s">
        <v>116</v>
      </c>
      <c r="G7" s="4">
        <f>C7</f>
        <v>22602.742974030643</v>
      </c>
      <c r="I7" s="75" t="s">
        <v>103</v>
      </c>
      <c r="J7" s="75"/>
      <c r="K7" s="146">
        <v>2.5000000000000001E-2</v>
      </c>
    </row>
    <row r="8" spans="1:14" x14ac:dyDescent="0.25">
      <c r="B8" s="4" t="s">
        <v>117</v>
      </c>
      <c r="C8" s="4">
        <f>J5*J3</f>
        <v>81482.265577687067</v>
      </c>
      <c r="E8" s="4" t="s">
        <v>174</v>
      </c>
      <c r="G8" s="4">
        <f>G10*J3*IncState!L23</f>
        <v>112794.36808598907</v>
      </c>
    </row>
    <row r="9" spans="1:14" x14ac:dyDescent="0.25">
      <c r="B9" s="4" t="s">
        <v>118</v>
      </c>
      <c r="C9" s="4">
        <f>SUM(C7:C8)</f>
        <v>104085.00855171771</v>
      </c>
      <c r="E9" s="4" t="s">
        <v>118</v>
      </c>
      <c r="G9" s="4">
        <f>SUM(G7:G8)</f>
        <v>135397.11106001973</v>
      </c>
    </row>
    <row r="10" spans="1:14" x14ac:dyDescent="0.25">
      <c r="C10" s="83"/>
      <c r="E10" s="4" t="s">
        <v>119</v>
      </c>
      <c r="G10" s="83">
        <v>15</v>
      </c>
    </row>
    <row r="11" spans="1:14" x14ac:dyDescent="0.25">
      <c r="I11" s="157"/>
    </row>
    <row r="12" spans="1:14" x14ac:dyDescent="0.25">
      <c r="B12" s="27" t="s">
        <v>120</v>
      </c>
      <c r="C12" s="36">
        <f>MAIN!F7</f>
        <v>4505.9000000000005</v>
      </c>
      <c r="E12" s="27" t="s">
        <v>120</v>
      </c>
      <c r="F12" s="154"/>
      <c r="G12" s="36">
        <f>C12</f>
        <v>4505.9000000000005</v>
      </c>
      <c r="I12" s="157"/>
    </row>
    <row r="13" spans="1:14" x14ac:dyDescent="0.25">
      <c r="B13" s="27" t="s">
        <v>121</v>
      </c>
      <c r="C13" s="36">
        <f>MAIN!F8</f>
        <v>23641.5</v>
      </c>
      <c r="E13" s="27" t="s">
        <v>121</v>
      </c>
      <c r="F13" s="154"/>
      <c r="G13" s="36">
        <f t="shared" ref="G13:G14" si="4">C13</f>
        <v>23641.5</v>
      </c>
    </row>
    <row r="14" spans="1:14" x14ac:dyDescent="0.25">
      <c r="B14" s="27" t="s">
        <v>122</v>
      </c>
      <c r="C14" s="77">
        <v>0</v>
      </c>
      <c r="E14" s="4" t="s">
        <v>122</v>
      </c>
      <c r="F14" s="27"/>
      <c r="G14" s="36">
        <f t="shared" si="4"/>
        <v>0</v>
      </c>
    </row>
    <row r="15" spans="1:14" x14ac:dyDescent="0.25">
      <c r="B15" s="4" t="s">
        <v>123</v>
      </c>
      <c r="C15" s="64">
        <f>C9+C12-C13-C14</f>
        <v>84949.408551717701</v>
      </c>
      <c r="E15" s="4" t="s">
        <v>123</v>
      </c>
      <c r="G15" s="64">
        <f>G9+G12-G13-G14</f>
        <v>116261.51106001972</v>
      </c>
    </row>
    <row r="17" spans="1:17" x14ac:dyDescent="0.25">
      <c r="B17" s="4" t="s">
        <v>124</v>
      </c>
      <c r="C17" s="4">
        <f>MAIN!F5</f>
        <v>1136.7</v>
      </c>
      <c r="E17" s="4" t="s">
        <v>124</v>
      </c>
      <c r="G17" s="4">
        <f>C17</f>
        <v>1136.7</v>
      </c>
    </row>
    <row r="18" spans="1:17" x14ac:dyDescent="0.25">
      <c r="A18" s="4" t="s">
        <v>126</v>
      </c>
      <c r="B18" s="147" t="s">
        <v>125</v>
      </c>
      <c r="C18" s="155">
        <f>C15/C17</f>
        <v>74.733358451409956</v>
      </c>
      <c r="E18" s="147" t="s">
        <v>125</v>
      </c>
      <c r="F18" s="154"/>
      <c r="G18" s="155">
        <f>G15/G17</f>
        <v>102.27985489576821</v>
      </c>
    </row>
    <row r="19" spans="1:17" x14ac:dyDescent="0.25">
      <c r="C19" s="21"/>
    </row>
    <row r="20" spans="1:17" x14ac:dyDescent="0.25">
      <c r="A20" s="113" t="s">
        <v>148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282"/>
      <c r="M20" s="282"/>
      <c r="N20" s="195"/>
    </row>
    <row r="21" spans="1:17" x14ac:dyDescent="0.25">
      <c r="B21" s="114"/>
      <c r="C21" s="114"/>
      <c r="D21" s="114"/>
      <c r="E21" s="114"/>
      <c r="F21" s="114"/>
      <c r="G21" s="114"/>
      <c r="H21" s="114"/>
      <c r="I21" s="114"/>
    </row>
    <row r="22" spans="1:17" x14ac:dyDescent="0.25">
      <c r="B22" s="114"/>
      <c r="C22" s="114" t="s">
        <v>149</v>
      </c>
      <c r="D22" s="114"/>
      <c r="E22" s="115">
        <v>5.0000000000000001E-3</v>
      </c>
      <c r="F22" s="114"/>
      <c r="G22" s="114"/>
      <c r="I22" s="114" t="s">
        <v>149</v>
      </c>
      <c r="J22" s="114"/>
      <c r="K22" s="115">
        <v>5.0000000000000001E-3</v>
      </c>
    </row>
    <row r="23" spans="1:17" x14ac:dyDescent="0.25">
      <c r="B23" s="114"/>
      <c r="C23" s="114" t="s">
        <v>150</v>
      </c>
      <c r="D23" s="114"/>
      <c r="E23" s="148">
        <v>2.5000000000000001E-3</v>
      </c>
      <c r="F23" s="114"/>
      <c r="G23" s="114"/>
      <c r="I23" s="114" t="s">
        <v>172</v>
      </c>
      <c r="J23" s="114"/>
      <c r="K23" s="153">
        <v>2</v>
      </c>
    </row>
    <row r="24" spans="1:17" x14ac:dyDescent="0.25">
      <c r="B24" s="114"/>
      <c r="C24" s="114"/>
      <c r="D24" s="114"/>
      <c r="E24" s="165"/>
      <c r="F24" s="114"/>
      <c r="G24" s="114"/>
      <c r="J24" s="114"/>
      <c r="K24" s="164"/>
    </row>
    <row r="25" spans="1:17" x14ac:dyDescent="0.25">
      <c r="B25" s="114"/>
      <c r="C25" s="114"/>
      <c r="D25" s="114"/>
      <c r="E25" s="114"/>
      <c r="F25" s="114"/>
      <c r="H25" s="114"/>
      <c r="P25" s="167"/>
    </row>
    <row r="26" spans="1:17" x14ac:dyDescent="0.25">
      <c r="B26" s="157"/>
      <c r="C26" s="224"/>
      <c r="D26" s="219"/>
      <c r="E26" s="219" t="s">
        <v>236</v>
      </c>
      <c r="F26" s="219"/>
      <c r="G26" s="218"/>
      <c r="I26" s="167"/>
      <c r="J26" s="167"/>
      <c r="K26" s="167" t="s">
        <v>237</v>
      </c>
      <c r="L26" s="167"/>
    </row>
    <row r="27" spans="1:17" x14ac:dyDescent="0.25">
      <c r="B27" s="157"/>
      <c r="C27" s="286">
        <f>C18</f>
        <v>74.733358451409956</v>
      </c>
      <c r="D27" s="205">
        <f>E27-E23</f>
        <v>2.2500000000000003E-2</v>
      </c>
      <c r="E27" s="220">
        <v>2.5000000000000001E-2</v>
      </c>
      <c r="F27" s="220">
        <f>E27+E23</f>
        <v>2.75E-2</v>
      </c>
      <c r="G27" s="220"/>
      <c r="H27" s="220"/>
      <c r="I27" s="283">
        <f>G18</f>
        <v>102.27985489576821</v>
      </c>
      <c r="J27" s="284">
        <f>K27-K23</f>
        <v>13</v>
      </c>
      <c r="K27" s="204">
        <v>15</v>
      </c>
      <c r="L27" s="204">
        <f>K27+K23</f>
        <v>17</v>
      </c>
      <c r="N27" s="221"/>
      <c r="P27" s="167"/>
    </row>
    <row r="28" spans="1:17" x14ac:dyDescent="0.25">
      <c r="B28" s="157"/>
      <c r="C28" s="207">
        <f>C29+$E$22</f>
        <v>7.2976437642844824E-2</v>
      </c>
      <c r="D28" s="280">
        <f t="dataTable" ref="D28:F32" dt2D="1" dtr="1" r1="K7" r2="K6"/>
        <v>49.420144654945481</v>
      </c>
      <c r="E28" s="285">
        <v>52.000558912799569</v>
      </c>
      <c r="F28" s="280">
        <v>54.864682096814448</v>
      </c>
      <c r="G28" s="167"/>
      <c r="H28" s="205"/>
      <c r="I28" s="207">
        <f t="shared" ref="I28:I29" si="5">C28</f>
        <v>7.2976437642844824E-2</v>
      </c>
      <c r="J28" s="280">
        <f t="dataTable" ref="J28:L32" dt2D="1" dtr="1" r1="G10" r2="K6" ca="1"/>
        <v>82.773085187834681</v>
      </c>
      <c r="K28" s="281">
        <v>95.164316437152692</v>
      </c>
      <c r="L28" s="280">
        <v>107.55554768647067</v>
      </c>
      <c r="N28" s="222"/>
      <c r="O28" s="46"/>
      <c r="P28" s="46"/>
      <c r="Q28" s="46"/>
    </row>
    <row r="29" spans="1:17" x14ac:dyDescent="0.25">
      <c r="C29" s="207">
        <f>C30+$E$22</f>
        <v>6.797643764284482E-2</v>
      </c>
      <c r="D29" s="280">
        <v>58.552076882421694</v>
      </c>
      <c r="E29" s="287">
        <v>61.949580733431681</v>
      </c>
      <c r="F29" s="280">
        <v>65.766773673806313</v>
      </c>
      <c r="G29" s="223"/>
      <c r="H29" s="224"/>
      <c r="I29" s="207">
        <f t="shared" si="5"/>
        <v>6.797643764284482E-2</v>
      </c>
      <c r="J29" s="280">
        <v>85.853971568823823</v>
      </c>
      <c r="K29" s="281">
        <v>98.657039784808191</v>
      </c>
      <c r="L29" s="280">
        <v>111.46010800079257</v>
      </c>
      <c r="N29" s="225"/>
      <c r="O29" s="163"/>
      <c r="P29" s="163"/>
      <c r="Q29" s="163"/>
    </row>
    <row r="30" spans="1:17" x14ac:dyDescent="0.25">
      <c r="C30" s="207">
        <v>6.2976437642844815E-2</v>
      </c>
      <c r="D30" s="281">
        <v>70.141856914208049</v>
      </c>
      <c r="E30" s="281">
        <v>74.733358451409956</v>
      </c>
      <c r="F30" s="281">
        <v>79.971979857780568</v>
      </c>
      <c r="G30" s="224"/>
      <c r="H30" s="206"/>
      <c r="I30" s="207">
        <f>C30</f>
        <v>6.2976437642844815E-2</v>
      </c>
      <c r="J30" s="281">
        <v>89.049231971397759</v>
      </c>
      <c r="K30" s="285">
        <v>102.27985489576821</v>
      </c>
      <c r="L30" s="281">
        <v>115.51047782013863</v>
      </c>
      <c r="M30" s="46"/>
      <c r="N30" s="163"/>
      <c r="O30" s="83"/>
      <c r="P30" s="83"/>
      <c r="Q30" s="83"/>
    </row>
    <row r="31" spans="1:17" x14ac:dyDescent="0.25">
      <c r="C31" s="207">
        <f>C30-$E$22</f>
        <v>5.7976437642844818E-2</v>
      </c>
      <c r="D31" s="280">
        <v>85.249734587030318</v>
      </c>
      <c r="E31" s="281">
        <v>91.66399885350603</v>
      </c>
      <c r="F31" s="280">
        <v>99.130594816626413</v>
      </c>
      <c r="G31" s="224"/>
      <c r="H31" s="206"/>
      <c r="I31" s="207">
        <f>C31</f>
        <v>5.7976437642844818E-2</v>
      </c>
      <c r="J31" s="280">
        <v>92.363727407492902</v>
      </c>
      <c r="K31" s="285">
        <v>106.03830085944037</v>
      </c>
      <c r="L31" s="280">
        <v>119.71287431138781</v>
      </c>
      <c r="M31" s="46"/>
      <c r="N31" s="163"/>
      <c r="O31" s="83"/>
      <c r="P31" s="83"/>
      <c r="Q31" s="83"/>
    </row>
    <row r="32" spans="1:17" x14ac:dyDescent="0.25">
      <c r="C32" s="207">
        <f>C31-$E$22</f>
        <v>5.297643764284482E-2</v>
      </c>
      <c r="D32" s="280">
        <v>105.63395983987772</v>
      </c>
      <c r="E32" s="281">
        <v>114.9940369793181</v>
      </c>
      <c r="F32" s="280">
        <v>126.19112078167188</v>
      </c>
      <c r="G32" s="224"/>
      <c r="H32" s="206"/>
      <c r="I32" s="207">
        <f>C32</f>
        <v>5.297643764284482E-2</v>
      </c>
      <c r="J32" s="280">
        <v>95.802550820917176</v>
      </c>
      <c r="K32" s="285">
        <v>109.93818135646652</v>
      </c>
      <c r="L32" s="280">
        <v>124.07381189201584</v>
      </c>
      <c r="M32" s="46"/>
      <c r="N32" s="163"/>
      <c r="O32" s="83"/>
      <c r="P32" s="83"/>
      <c r="Q32" s="83"/>
    </row>
    <row r="33" spans="2:17" x14ac:dyDescent="0.25">
      <c r="D33" s="46"/>
      <c r="E33" s="201"/>
      <c r="F33" s="205"/>
      <c r="G33" s="224"/>
      <c r="H33" s="206"/>
      <c r="I33" s="206"/>
      <c r="J33" s="206"/>
      <c r="K33" s="221"/>
      <c r="M33" s="46"/>
      <c r="N33" s="163"/>
      <c r="O33" s="83"/>
      <c r="P33" s="83"/>
      <c r="Q33" s="83"/>
    </row>
    <row r="34" spans="2:17" x14ac:dyDescent="0.25">
      <c r="D34" s="46"/>
      <c r="E34" s="201"/>
      <c r="F34" s="205"/>
      <c r="G34" s="224"/>
      <c r="H34" s="206"/>
      <c r="I34" s="206"/>
      <c r="J34" s="206"/>
      <c r="K34" s="221"/>
      <c r="M34" s="46"/>
      <c r="N34" s="163"/>
      <c r="O34" s="83"/>
      <c r="P34" s="83"/>
      <c r="Q34" s="83"/>
    </row>
    <row r="35" spans="2:17" x14ac:dyDescent="0.25">
      <c r="B35" s="226"/>
      <c r="C35" s="226"/>
      <c r="D35" s="226"/>
      <c r="E35" s="227"/>
      <c r="F35" s="228"/>
      <c r="G35" s="227"/>
    </row>
    <row r="36" spans="2:17" x14ac:dyDescent="0.25">
      <c r="B36" s="114"/>
      <c r="C36" s="114"/>
      <c r="D36" s="114"/>
      <c r="E36" s="114"/>
      <c r="F36" s="219"/>
      <c r="G36" s="219"/>
      <c r="H36" s="219"/>
      <c r="I36" s="167"/>
      <c r="J36" s="167"/>
      <c r="P36" s="167"/>
    </row>
    <row r="37" spans="2:17" x14ac:dyDescent="0.25">
      <c r="F37" s="207"/>
      <c r="G37" s="207"/>
      <c r="H37" s="205"/>
      <c r="I37" s="205"/>
      <c r="J37" s="205"/>
      <c r="M37" s="167"/>
      <c r="O37" s="83"/>
      <c r="P37" s="83"/>
      <c r="Q37" s="83"/>
    </row>
    <row r="38" spans="2:17" x14ac:dyDescent="0.25">
      <c r="E38" s="46"/>
      <c r="F38" s="204"/>
      <c r="G38" s="229"/>
      <c r="H38" s="224"/>
      <c r="I38" s="224"/>
      <c r="J38" s="224"/>
      <c r="L38" s="83"/>
      <c r="M38" s="83"/>
      <c r="N38" s="230"/>
      <c r="O38" s="166"/>
      <c r="P38" s="166"/>
      <c r="Q38" s="166"/>
    </row>
    <row r="39" spans="2:17" x14ac:dyDescent="0.25">
      <c r="E39" s="46"/>
      <c r="F39" s="205"/>
      <c r="G39" s="224"/>
      <c r="H39" s="204"/>
      <c r="I39" s="204"/>
      <c r="J39" s="204"/>
      <c r="K39" s="46"/>
      <c r="M39" s="46"/>
      <c r="N39" s="163"/>
      <c r="O39" s="231"/>
      <c r="P39" s="231"/>
      <c r="Q39" s="231"/>
    </row>
    <row r="40" spans="2:17" x14ac:dyDescent="0.25">
      <c r="D40" s="8"/>
      <c r="E40" s="46"/>
      <c r="F40" s="205"/>
      <c r="G40" s="224"/>
      <c r="H40" s="204"/>
      <c r="I40" s="204"/>
      <c r="J40" s="204"/>
      <c r="K40" s="8"/>
      <c r="L40" s="46"/>
      <c r="M40" s="46"/>
      <c r="N40" s="163"/>
      <c r="O40" s="231"/>
      <c r="P40" s="231"/>
      <c r="Q40" s="231"/>
    </row>
    <row r="41" spans="2:17" x14ac:dyDescent="0.25">
      <c r="D41" s="8"/>
      <c r="E41" s="145"/>
      <c r="F41" s="205"/>
      <c r="G41" s="224"/>
      <c r="H41" s="204"/>
      <c r="I41" s="204"/>
      <c r="J41" s="204"/>
      <c r="K41" s="8"/>
      <c r="L41" s="145"/>
      <c r="M41" s="46"/>
      <c r="N41" s="163"/>
      <c r="O41" s="231"/>
      <c r="P41" s="231"/>
      <c r="Q41" s="231"/>
    </row>
    <row r="42" spans="2:17" x14ac:dyDescent="0.25">
      <c r="D42" s="8"/>
      <c r="E42" s="46"/>
      <c r="F42" s="205"/>
      <c r="G42" s="224"/>
      <c r="H42" s="204"/>
      <c r="I42" s="204"/>
      <c r="J42" s="204"/>
      <c r="K42" s="8"/>
      <c r="L42" s="46"/>
      <c r="M42" s="46"/>
      <c r="N42" s="163"/>
      <c r="O42" s="231"/>
      <c r="P42" s="231"/>
      <c r="Q42" s="231"/>
    </row>
    <row r="43" spans="2:17" x14ac:dyDescent="0.25">
      <c r="D43" s="8"/>
      <c r="E43" s="8"/>
      <c r="F43" s="205"/>
      <c r="G43" s="224"/>
      <c r="H43" s="204"/>
      <c r="I43" s="204"/>
      <c r="J43" s="204"/>
      <c r="K43" s="8"/>
      <c r="L43" s="46"/>
      <c r="M43" s="46"/>
      <c r="N43" s="163"/>
      <c r="O43" s="231"/>
      <c r="P43" s="231"/>
      <c r="Q43" s="231"/>
    </row>
    <row r="44" spans="2:17" x14ac:dyDescent="0.25">
      <c r="D44" s="8"/>
      <c r="E44" s="8"/>
      <c r="F44" s="83"/>
      <c r="G44" s="83"/>
      <c r="H44" s="83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88a26cf8-717e-46a4-ac0d-03f11284dc6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2025-12-07T04:56:18Z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