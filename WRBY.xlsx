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284" documentId="8_{51FE268E-2FAD-4CB3-BF31-902661048648}" xr6:coauthVersionLast="47" xr6:coauthVersionMax="47" xr10:uidLastSave="{D36A3956-3392-4989-842E-B73CBDB21BA3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6" i="3" s="1"/>
  <c r="J6" i="3"/>
  <c r="I6" i="3"/>
  <c r="J5" i="3"/>
  <c r="I5" i="3"/>
  <c r="E7" i="11"/>
  <c r="G12" i="13"/>
  <c r="H12" i="13" s="1"/>
  <c r="I12" i="13" s="1"/>
  <c r="J12" i="13" s="1"/>
  <c r="F12" i="13"/>
  <c r="H6" i="13"/>
  <c r="I6" i="13" s="1"/>
  <c r="J6" i="13" s="1"/>
  <c r="G6" i="13"/>
  <c r="G17" i="12"/>
  <c r="G13" i="12"/>
  <c r="G14" i="12"/>
  <c r="G12" i="12"/>
  <c r="C17" i="12"/>
  <c r="C13" i="12"/>
  <c r="C12" i="12"/>
  <c r="G20" i="7"/>
  <c r="G4" i="9" s="1"/>
  <c r="G8" i="10" s="1"/>
  <c r="G21" i="7"/>
  <c r="G5" i="9" s="1"/>
  <c r="G9" i="10" s="1"/>
  <c r="H21" i="7"/>
  <c r="H5" i="9" s="1"/>
  <c r="H9" i="10" s="1"/>
  <c r="I21" i="7"/>
  <c r="I5" i="9" s="1"/>
  <c r="I9" i="10" s="1"/>
  <c r="J21" i="7"/>
  <c r="J5" i="9" s="1"/>
  <c r="J9" i="10" s="1"/>
  <c r="G35" i="7"/>
  <c r="H35" i="7"/>
  <c r="I35" i="7"/>
  <c r="J35" i="7"/>
  <c r="G36" i="7"/>
  <c r="H36" i="7"/>
  <c r="I36" i="7"/>
  <c r="J36" i="7"/>
  <c r="E9" i="11"/>
  <c r="G5" i="10"/>
  <c r="H5" i="10"/>
  <c r="I5" i="10"/>
  <c r="J5" i="10"/>
  <c r="G14" i="9"/>
  <c r="H14" i="9"/>
  <c r="I14" i="9"/>
  <c r="J14" i="9"/>
  <c r="G15" i="9"/>
  <c r="H15" i="9"/>
  <c r="I15" i="9"/>
  <c r="J15" i="9"/>
  <c r="G16" i="9"/>
  <c r="H16" i="9"/>
  <c r="I16" i="9"/>
  <c r="J16" i="9"/>
  <c r="G6" i="5"/>
  <c r="G8" i="5"/>
  <c r="G10" i="5"/>
  <c r="H10" i="5"/>
  <c r="I10" i="5"/>
  <c r="J10" i="5"/>
  <c r="G11" i="5"/>
  <c r="H11" i="5"/>
  <c r="I11" i="5"/>
  <c r="J11" i="5"/>
  <c r="G15" i="5"/>
  <c r="H15" i="5"/>
  <c r="I15" i="5"/>
  <c r="J15" i="5"/>
  <c r="G17" i="5"/>
  <c r="H17" i="5"/>
  <c r="I17" i="5"/>
  <c r="J17" i="5"/>
  <c r="F13" i="10"/>
  <c r="F10" i="10"/>
  <c r="F11" i="10"/>
  <c r="F12" i="10"/>
  <c r="F9" i="10"/>
  <c r="F8" i="10"/>
  <c r="F20" i="9"/>
  <c r="F16" i="9"/>
  <c r="B21" i="9"/>
  <c r="F15" i="9"/>
  <c r="F14" i="9"/>
  <c r="F11" i="9"/>
  <c r="F12" i="9" s="1"/>
  <c r="F8" i="9"/>
  <c r="F7" i="9"/>
  <c r="F6" i="9"/>
  <c r="F5" i="9"/>
  <c r="F4" i="9"/>
  <c r="F25" i="5"/>
  <c r="F30" i="8"/>
  <c r="F23" i="5" s="1"/>
  <c r="F24" i="5" s="1"/>
  <c r="E24" i="5"/>
  <c r="F18" i="5"/>
  <c r="F19" i="5"/>
  <c r="F20" i="5"/>
  <c r="F21" i="5"/>
  <c r="F22" i="5"/>
  <c r="E23" i="5"/>
  <c r="E22" i="5"/>
  <c r="E20" i="5"/>
  <c r="E21" i="5"/>
  <c r="E19" i="5"/>
  <c r="E18" i="5"/>
  <c r="F20" i="7"/>
  <c r="F15" i="5"/>
  <c r="E16" i="5"/>
  <c r="F13" i="5" s="1"/>
  <c r="F34" i="8"/>
  <c r="F29" i="8"/>
  <c r="F23" i="8"/>
  <c r="E9" i="5"/>
  <c r="F6" i="5" s="1"/>
  <c r="F19" i="8"/>
  <c r="F18" i="8"/>
  <c r="F17" i="8"/>
  <c r="F15" i="8"/>
  <c r="F31" i="13"/>
  <c r="D31" i="13"/>
  <c r="E31" i="13"/>
  <c r="F36" i="7"/>
  <c r="F35" i="7"/>
  <c r="F21" i="7"/>
  <c r="F16" i="7"/>
  <c r="F15" i="7"/>
  <c r="G11" i="13"/>
  <c r="H11" i="13"/>
  <c r="I11" i="13"/>
  <c r="J11" i="13"/>
  <c r="F11" i="13"/>
  <c r="D24" i="13"/>
  <c r="C24" i="13"/>
  <c r="E24" i="13"/>
  <c r="C34" i="8"/>
  <c r="C30" i="8"/>
  <c r="C29" i="8"/>
  <c r="C22" i="8"/>
  <c r="C16" i="8"/>
  <c r="D30" i="8"/>
  <c r="D29" i="8"/>
  <c r="E30" i="8"/>
  <c r="D34" i="8"/>
  <c r="E34" i="8"/>
  <c r="E29" i="8"/>
  <c r="D22" i="8"/>
  <c r="D16" i="8"/>
  <c r="E16" i="8"/>
  <c r="E22" i="8"/>
  <c r="D15" i="8"/>
  <c r="C15" i="8"/>
  <c r="E15" i="8"/>
  <c r="E14" i="13" l="1"/>
  <c r="D39" i="13"/>
  <c r="D14" i="13"/>
  <c r="E45" i="13"/>
  <c r="F45" i="13" s="1"/>
  <c r="F10" i="8" s="1"/>
  <c r="E12" i="13"/>
  <c r="D10" i="13"/>
  <c r="E10" i="13"/>
  <c r="D32" i="13"/>
  <c r="E32" i="13"/>
  <c r="F32" i="13" s="1"/>
  <c r="G32" i="13" s="1"/>
  <c r="H32" i="13" s="1"/>
  <c r="I32" i="13" s="1"/>
  <c r="J32" i="13" s="1"/>
  <c r="E47" i="13"/>
  <c r="D47" i="13"/>
  <c r="C47" i="13"/>
  <c r="E46" i="13"/>
  <c r="D46" i="13"/>
  <c r="C46" i="13"/>
  <c r="C45" i="13"/>
  <c r="E41" i="13"/>
  <c r="D41" i="13"/>
  <c r="C41" i="13"/>
  <c r="E40" i="13"/>
  <c r="F40" i="13" s="1"/>
  <c r="D40" i="13"/>
  <c r="C40" i="13"/>
  <c r="C39" i="13"/>
  <c r="E38" i="13"/>
  <c r="D38" i="13"/>
  <c r="C38" i="13"/>
  <c r="E37" i="13"/>
  <c r="D37" i="13"/>
  <c r="C3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8" i="13"/>
  <c r="D18" i="13"/>
  <c r="C18" i="13"/>
  <c r="E17" i="13"/>
  <c r="D17" i="13"/>
  <c r="C17" i="13"/>
  <c r="F3" i="10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4" i="8" s="1"/>
  <c r="D2" i="7"/>
  <c r="E2" i="7" s="1"/>
  <c r="F2" i="7" s="1"/>
  <c r="G2" i="7" s="1"/>
  <c r="H2" i="7" s="1"/>
  <c r="I2" i="7" s="1"/>
  <c r="J2" i="7" s="1"/>
  <c r="E2" i="6"/>
  <c r="F2" i="6" s="1"/>
  <c r="D2" i="6"/>
  <c r="D11" i="6" s="1"/>
  <c r="D16" i="6" s="1"/>
  <c r="D24" i="6" s="1"/>
  <c r="C20" i="13"/>
  <c r="C29" i="13" s="1"/>
  <c r="C35" i="13" s="1"/>
  <c r="C43" i="13" s="1"/>
  <c r="D2" i="13"/>
  <c r="E2" i="13" s="1"/>
  <c r="G8" i="7"/>
  <c r="H8" i="7"/>
  <c r="I8" i="7"/>
  <c r="J8" i="7"/>
  <c r="G9" i="7"/>
  <c r="H9" i="7"/>
  <c r="I9" i="7"/>
  <c r="J9" i="7"/>
  <c r="A1" i="10"/>
  <c r="C20" i="8"/>
  <c r="D20" i="8"/>
  <c r="E20" i="8"/>
  <c r="D24" i="8"/>
  <c r="C24" i="8"/>
  <c r="E24" i="8"/>
  <c r="E31" i="8"/>
  <c r="C31" i="8"/>
  <c r="D31" i="8"/>
  <c r="C35" i="8"/>
  <c r="D35" i="8"/>
  <c r="D38" i="8" s="1"/>
  <c r="E35" i="8"/>
  <c r="C10" i="5"/>
  <c r="C17" i="5" s="1"/>
  <c r="D2" i="5"/>
  <c r="E2" i="5" s="1"/>
  <c r="G10" i="13"/>
  <c r="G4" i="7" s="1"/>
  <c r="G15" i="7" s="1"/>
  <c r="H10" i="13"/>
  <c r="H4" i="7" s="1"/>
  <c r="I10" i="13"/>
  <c r="I4" i="7" s="1"/>
  <c r="J10" i="13"/>
  <c r="J4" i="7" s="1"/>
  <c r="F3" i="5"/>
  <c r="F7" i="5" s="1"/>
  <c r="C11" i="6"/>
  <c r="C30" i="6" s="1"/>
  <c r="F23" i="13"/>
  <c r="F22" i="13"/>
  <c r="F4" i="6" s="1"/>
  <c r="F24" i="13"/>
  <c r="F6" i="6" s="1"/>
  <c r="D2" i="10"/>
  <c r="E2" i="10" s="1"/>
  <c r="F2" i="10" s="1"/>
  <c r="G2" i="10" s="1"/>
  <c r="H2" i="10" s="1"/>
  <c r="I2" i="10" s="1"/>
  <c r="J2" i="10" s="1"/>
  <c r="D2" i="9"/>
  <c r="E2" i="9" s="1"/>
  <c r="F2" i="9" s="1"/>
  <c r="G2" i="9" s="1"/>
  <c r="H2" i="9" s="1"/>
  <c r="I2" i="9" s="1"/>
  <c r="J2" i="9" s="1"/>
  <c r="D14" i="8"/>
  <c r="C14" i="8"/>
  <c r="F9" i="7"/>
  <c r="J14" i="7"/>
  <c r="I14" i="7"/>
  <c r="H14" i="7"/>
  <c r="G14" i="7"/>
  <c r="F14" i="7"/>
  <c r="E14" i="7"/>
  <c r="D14" i="7"/>
  <c r="C14" i="7"/>
  <c r="A1" i="3"/>
  <c r="A1" i="13"/>
  <c r="A1" i="5"/>
  <c r="A1" i="6"/>
  <c r="A1" i="7"/>
  <c r="A1" i="8"/>
  <c r="A1" i="9"/>
  <c r="A1" i="11"/>
  <c r="A1" i="12"/>
  <c r="C18" i="7"/>
  <c r="C30" i="7" s="1"/>
  <c r="C16" i="13" s="1"/>
  <c r="F8" i="6"/>
  <c r="F11" i="5"/>
  <c r="B20" i="5"/>
  <c r="B19" i="5"/>
  <c r="F9" i="6"/>
  <c r="G9" i="6"/>
  <c r="H9" i="6"/>
  <c r="I9" i="6"/>
  <c r="J9" i="6"/>
  <c r="J8" i="6"/>
  <c r="I8" i="6"/>
  <c r="H8" i="6"/>
  <c r="G8" i="6"/>
  <c r="E2" i="12"/>
  <c r="F2" i="12" s="1"/>
  <c r="G2" i="12" s="1"/>
  <c r="H2" i="12" s="1"/>
  <c r="F8" i="7"/>
  <c r="G19" i="8" l="1"/>
  <c r="G21" i="5" s="1"/>
  <c r="G7" i="5"/>
  <c r="G34" i="8"/>
  <c r="G30" i="8"/>
  <c r="G23" i="5" s="1"/>
  <c r="G23" i="8"/>
  <c r="G15" i="8"/>
  <c r="G18" i="5" s="1"/>
  <c r="G3" i="10"/>
  <c r="H15" i="7"/>
  <c r="G17" i="8"/>
  <c r="G19" i="5" s="1"/>
  <c r="G16" i="7"/>
  <c r="G7" i="9"/>
  <c r="G11" i="10" s="1"/>
  <c r="G8" i="9"/>
  <c r="G12" i="10" s="1"/>
  <c r="G35" i="8"/>
  <c r="G9" i="5"/>
  <c r="G11" i="9"/>
  <c r="G12" i="9" s="1"/>
  <c r="H34" i="8"/>
  <c r="H30" i="8"/>
  <c r="H23" i="5" s="1"/>
  <c r="C38" i="8"/>
  <c r="G23" i="13"/>
  <c r="E11" i="11"/>
  <c r="C22" i="7"/>
  <c r="C33" i="7"/>
  <c r="D11" i="13"/>
  <c r="D45" i="13"/>
  <c r="D18" i="7"/>
  <c r="D22" i="7" s="1"/>
  <c r="E39" i="13"/>
  <c r="F39" i="13" s="1"/>
  <c r="F6" i="8" s="1"/>
  <c r="E11" i="13"/>
  <c r="E10" i="11"/>
  <c r="F9" i="3"/>
  <c r="D20" i="13"/>
  <c r="D29" i="13" s="1"/>
  <c r="D35" i="13" s="1"/>
  <c r="D43" i="13" s="1"/>
  <c r="F2" i="13"/>
  <c r="E20" i="13"/>
  <c r="E29" i="13" s="1"/>
  <c r="E35" i="13" s="1"/>
  <c r="E43" i="13" s="1"/>
  <c r="F2" i="8"/>
  <c r="F11" i="6"/>
  <c r="F30" i="6" s="1"/>
  <c r="G2" i="6"/>
  <c r="E11" i="6"/>
  <c r="E16" i="6" s="1"/>
  <c r="E24" i="6" s="1"/>
  <c r="E30" i="6"/>
  <c r="F5" i="6"/>
  <c r="G24" i="13"/>
  <c r="G6" i="6" s="1"/>
  <c r="G45" i="13"/>
  <c r="G13" i="13"/>
  <c r="G22" i="13"/>
  <c r="G4" i="6" s="1"/>
  <c r="D10" i="5"/>
  <c r="D17" i="5" s="1"/>
  <c r="E10" i="5"/>
  <c r="E17" i="5" s="1"/>
  <c r="F2" i="5"/>
  <c r="D30" i="6"/>
  <c r="D26" i="8"/>
  <c r="D40" i="8" s="1"/>
  <c r="C16" i="6"/>
  <c r="C24" i="6" s="1"/>
  <c r="E38" i="8"/>
  <c r="E26" i="8"/>
  <c r="C26" i="8"/>
  <c r="G31" i="13"/>
  <c r="F4" i="5"/>
  <c r="F7" i="8"/>
  <c r="G40" i="13"/>
  <c r="F37" i="13"/>
  <c r="F46" i="13"/>
  <c r="F38" i="13"/>
  <c r="E18" i="7"/>
  <c r="E22" i="7" s="1"/>
  <c r="F41" i="13"/>
  <c r="F47" i="13"/>
  <c r="G29" i="8" l="1"/>
  <c r="G22" i="5" s="1"/>
  <c r="G18" i="8"/>
  <c r="G20" i="5" s="1"/>
  <c r="G24" i="5" s="1"/>
  <c r="G25" i="5" s="1"/>
  <c r="G6" i="9" s="1"/>
  <c r="G10" i="10" s="1"/>
  <c r="H19" i="8"/>
  <c r="H21" i="5" s="1"/>
  <c r="H17" i="8"/>
  <c r="H19" i="5" s="1"/>
  <c r="H16" i="7"/>
  <c r="I15" i="7"/>
  <c r="J15" i="7" s="1"/>
  <c r="H7" i="5"/>
  <c r="H11" i="9" s="1"/>
  <c r="H12" i="9" s="1"/>
  <c r="H13" i="10" s="1"/>
  <c r="H23" i="8"/>
  <c r="H7" i="9" s="1"/>
  <c r="H11" i="10" s="1"/>
  <c r="H15" i="8"/>
  <c r="H18" i="5" s="1"/>
  <c r="H3" i="10"/>
  <c r="G22" i="8"/>
  <c r="G24" i="8" s="1"/>
  <c r="H6" i="5"/>
  <c r="H8" i="5" s="1"/>
  <c r="G13" i="10"/>
  <c r="H8" i="9"/>
  <c r="H12" i="10" s="1"/>
  <c r="H35" i="8"/>
  <c r="H29" i="8"/>
  <c r="H22" i="5" s="1"/>
  <c r="H18" i="8"/>
  <c r="H20" i="5" s="1"/>
  <c r="I7" i="5"/>
  <c r="I11" i="9" s="1"/>
  <c r="I12" i="9" s="1"/>
  <c r="I15" i="8"/>
  <c r="I3" i="10"/>
  <c r="I34" i="8"/>
  <c r="I30" i="8"/>
  <c r="I23" i="5" s="1"/>
  <c r="I23" i="8"/>
  <c r="I19" i="8"/>
  <c r="I21" i="5" s="1"/>
  <c r="I17" i="8"/>
  <c r="I19" i="5" s="1"/>
  <c r="I16" i="7"/>
  <c r="G4" i="5"/>
  <c r="H4" i="5" s="1"/>
  <c r="I4" i="5" s="1"/>
  <c r="J4" i="5" s="1"/>
  <c r="F8" i="5"/>
  <c r="F9" i="5" s="1"/>
  <c r="F22" i="8" s="1"/>
  <c r="C40" i="8"/>
  <c r="H23" i="13"/>
  <c r="G5" i="6"/>
  <c r="C37" i="7"/>
  <c r="C38" i="7"/>
  <c r="D30" i="7"/>
  <c r="G39" i="13"/>
  <c r="H39" i="13" s="1"/>
  <c r="H6" i="8" s="1"/>
  <c r="G2" i="13"/>
  <c r="F20" i="13"/>
  <c r="F29" i="13" s="1"/>
  <c r="F35" i="13" s="1"/>
  <c r="F43" i="13" s="1"/>
  <c r="F14" i="8"/>
  <c r="G2" i="8"/>
  <c r="H2" i="6"/>
  <c r="G11" i="6"/>
  <c r="F16" i="6"/>
  <c r="F24" i="6" s="1"/>
  <c r="E40" i="8"/>
  <c r="H24" i="13"/>
  <c r="I24" i="13" s="1"/>
  <c r="H22" i="13"/>
  <c r="H13" i="13"/>
  <c r="G7" i="7"/>
  <c r="G10" i="8"/>
  <c r="H45" i="13"/>
  <c r="G2" i="5"/>
  <c r="F10" i="5"/>
  <c r="F17" i="5" s="1"/>
  <c r="H31" i="13"/>
  <c r="G3" i="5"/>
  <c r="F5" i="8"/>
  <c r="G38" i="13"/>
  <c r="G37" i="13"/>
  <c r="H37" i="13" s="1"/>
  <c r="I37" i="13" s="1"/>
  <c r="J37" i="13" s="1"/>
  <c r="F4" i="8"/>
  <c r="F12" i="8"/>
  <c r="G47" i="13"/>
  <c r="G41" i="13"/>
  <c r="F8" i="8"/>
  <c r="E30" i="7"/>
  <c r="F11" i="8"/>
  <c r="G46" i="13"/>
  <c r="G7" i="8"/>
  <c r="H40" i="13"/>
  <c r="H20" i="7" l="1"/>
  <c r="H9" i="5"/>
  <c r="I13" i="10"/>
  <c r="I8" i="9"/>
  <c r="I12" i="10" s="1"/>
  <c r="I35" i="8"/>
  <c r="I7" i="9"/>
  <c r="I11" i="10" s="1"/>
  <c r="I29" i="8"/>
  <c r="I22" i="5" s="1"/>
  <c r="I18" i="8"/>
  <c r="I20" i="5" s="1"/>
  <c r="J23" i="8"/>
  <c r="J7" i="9" s="1"/>
  <c r="J11" i="10" s="1"/>
  <c r="J15" i="8"/>
  <c r="J18" i="5" s="1"/>
  <c r="J3" i="10"/>
  <c r="J7" i="5"/>
  <c r="J11" i="9" s="1"/>
  <c r="J12" i="9" s="1"/>
  <c r="J34" i="8"/>
  <c r="J30" i="8"/>
  <c r="J23" i="5" s="1"/>
  <c r="J19" i="8"/>
  <c r="J21" i="5" s="1"/>
  <c r="J17" i="8"/>
  <c r="J19" i="5" s="1"/>
  <c r="J16" i="7"/>
  <c r="H24" i="5"/>
  <c r="I18" i="5"/>
  <c r="H5" i="6"/>
  <c r="I23" i="13"/>
  <c r="H4" i="6"/>
  <c r="I22" i="13"/>
  <c r="I39" i="13"/>
  <c r="G6" i="8"/>
  <c r="D33" i="7"/>
  <c r="D16" i="13"/>
  <c r="E33" i="7"/>
  <c r="E16" i="13"/>
  <c r="H2" i="13"/>
  <c r="G20" i="13"/>
  <c r="G29" i="13" s="1"/>
  <c r="G35" i="13" s="1"/>
  <c r="G43" i="13" s="1"/>
  <c r="G14" i="8"/>
  <c r="H2" i="8"/>
  <c r="G16" i="6"/>
  <c r="G24" i="6" s="1"/>
  <c r="G30" i="6"/>
  <c r="I2" i="6"/>
  <c r="H11" i="6"/>
  <c r="H6" i="6"/>
  <c r="H10" i="8"/>
  <c r="I45" i="13"/>
  <c r="G5" i="7"/>
  <c r="I13" i="13"/>
  <c r="H7" i="7"/>
  <c r="G6" i="7"/>
  <c r="G17" i="7" s="1"/>
  <c r="G18" i="7" s="1"/>
  <c r="H2" i="5"/>
  <c r="I31" i="13"/>
  <c r="H3" i="5"/>
  <c r="J24" i="13"/>
  <c r="I6" i="6"/>
  <c r="F24" i="8"/>
  <c r="H46" i="13"/>
  <c r="G11" i="8"/>
  <c r="F5" i="7"/>
  <c r="H41" i="13"/>
  <c r="G8" i="8"/>
  <c r="H47" i="13"/>
  <c r="G12" i="8"/>
  <c r="F35" i="8"/>
  <c r="I40" i="13"/>
  <c r="H7" i="8"/>
  <c r="F6" i="7"/>
  <c r="F17" i="7" s="1"/>
  <c r="F18" i="7" s="1"/>
  <c r="G4" i="8"/>
  <c r="H38" i="13"/>
  <c r="G5" i="8"/>
  <c r="G4" i="10" l="1"/>
  <c r="G7" i="10" s="1"/>
  <c r="G15" i="10" s="1"/>
  <c r="G30" i="7"/>
  <c r="G22" i="7"/>
  <c r="I24" i="5"/>
  <c r="H4" i="9"/>
  <c r="H8" i="10" s="1"/>
  <c r="H22" i="8"/>
  <c r="H24" i="8" s="1"/>
  <c r="I6" i="5"/>
  <c r="I8" i="5" s="1"/>
  <c r="J13" i="10"/>
  <c r="J8" i="9"/>
  <c r="J12" i="10" s="1"/>
  <c r="J35" i="8"/>
  <c r="J29" i="8"/>
  <c r="J22" i="5" s="1"/>
  <c r="J18" i="8"/>
  <c r="J20" i="5" s="1"/>
  <c r="J24" i="5" s="1"/>
  <c r="J25" i="5" s="1"/>
  <c r="J6" i="9" s="1"/>
  <c r="J10" i="10" s="1"/>
  <c r="I25" i="5"/>
  <c r="I6" i="9" s="1"/>
  <c r="I10" i="10" s="1"/>
  <c r="H25" i="5"/>
  <c r="H6" i="9" s="1"/>
  <c r="H10" i="10" s="1"/>
  <c r="F4" i="10"/>
  <c r="F22" i="7"/>
  <c r="F30" i="7"/>
  <c r="F32" i="7" s="1"/>
  <c r="F33" i="7" s="1"/>
  <c r="F14" i="5" s="1"/>
  <c r="F16" i="5" s="1"/>
  <c r="J23" i="13"/>
  <c r="J5" i="6" s="1"/>
  <c r="I5" i="6"/>
  <c r="I4" i="6"/>
  <c r="J22" i="13"/>
  <c r="J4" i="6" s="1"/>
  <c r="J39" i="13"/>
  <c r="J6" i="8" s="1"/>
  <c r="I6" i="8"/>
  <c r="D37" i="7"/>
  <c r="D38" i="7"/>
  <c r="E37" i="7"/>
  <c r="E38" i="7"/>
  <c r="G16" i="13"/>
  <c r="F5" i="10"/>
  <c r="E4" i="11"/>
  <c r="L4" i="11" s="1"/>
  <c r="L5" i="11" s="1"/>
  <c r="L6" i="11" s="1"/>
  <c r="L7" i="11" s="1"/>
  <c r="I2" i="13"/>
  <c r="H20" i="13"/>
  <c r="H29" i="13" s="1"/>
  <c r="H35" i="13" s="1"/>
  <c r="H43" i="13" s="1"/>
  <c r="I2" i="8"/>
  <c r="H14" i="8"/>
  <c r="H16" i="6"/>
  <c r="H24" i="6" s="1"/>
  <c r="H30" i="6"/>
  <c r="J2" i="6"/>
  <c r="J11" i="6" s="1"/>
  <c r="I11" i="6"/>
  <c r="H6" i="7"/>
  <c r="H17" i="7" s="1"/>
  <c r="H18" i="7" s="1"/>
  <c r="J13" i="13"/>
  <c r="I7" i="7"/>
  <c r="H5" i="7"/>
  <c r="J45" i="13"/>
  <c r="I10" i="8"/>
  <c r="I2" i="5"/>
  <c r="I3" i="5"/>
  <c r="J31" i="13"/>
  <c r="J6" i="6"/>
  <c r="F17" i="13"/>
  <c r="J40" i="13"/>
  <c r="I7" i="8"/>
  <c r="H12" i="8"/>
  <c r="I47" i="13"/>
  <c r="I41" i="13"/>
  <c r="H8" i="8"/>
  <c r="I38" i="13"/>
  <c r="H5" i="8"/>
  <c r="H4" i="8"/>
  <c r="I46" i="13"/>
  <c r="H11" i="8"/>
  <c r="G32" i="7" l="1"/>
  <c r="G33" i="7" s="1"/>
  <c r="G13" i="5"/>
  <c r="F37" i="8"/>
  <c r="H22" i="7"/>
  <c r="H30" i="7"/>
  <c r="H32" i="7" s="1"/>
  <c r="H33" i="7" s="1"/>
  <c r="H4" i="10"/>
  <c r="H7" i="10" s="1"/>
  <c r="H15" i="10" s="1"/>
  <c r="I20" i="7"/>
  <c r="I9" i="5"/>
  <c r="F38" i="7"/>
  <c r="F37" i="7"/>
  <c r="G10" i="7"/>
  <c r="H16" i="13"/>
  <c r="J2" i="13"/>
  <c r="J20" i="13" s="1"/>
  <c r="J29" i="13" s="1"/>
  <c r="J35" i="13" s="1"/>
  <c r="J43" i="13" s="1"/>
  <c r="I20" i="13"/>
  <c r="I29" i="13" s="1"/>
  <c r="I35" i="13" s="1"/>
  <c r="I43" i="13" s="1"/>
  <c r="G17" i="13"/>
  <c r="I14" i="8"/>
  <c r="J2" i="8"/>
  <c r="J14" i="8" s="1"/>
  <c r="I30" i="6"/>
  <c r="I16" i="6"/>
  <c r="I24" i="6" s="1"/>
  <c r="J30" i="6"/>
  <c r="J16" i="6"/>
  <c r="J24" i="6" s="1"/>
  <c r="J10" i="8"/>
  <c r="I5" i="7"/>
  <c r="J7" i="7"/>
  <c r="I6" i="7"/>
  <c r="I17" i="7" s="1"/>
  <c r="I18" i="7" s="1"/>
  <c r="J2" i="5"/>
  <c r="J3" i="5"/>
  <c r="I4" i="8"/>
  <c r="F18" i="13"/>
  <c r="I5" i="8"/>
  <c r="J38" i="13"/>
  <c r="J41" i="13"/>
  <c r="I8" i="8"/>
  <c r="I12" i="8"/>
  <c r="J47" i="13"/>
  <c r="J7" i="8"/>
  <c r="J46" i="13"/>
  <c r="I11" i="8"/>
  <c r="F10" i="7"/>
  <c r="E12" i="11"/>
  <c r="F11" i="7"/>
  <c r="G14" i="5" l="1"/>
  <c r="G16" i="5" s="1"/>
  <c r="G38" i="7"/>
  <c r="G37" i="7"/>
  <c r="H37" i="7"/>
  <c r="H38" i="7"/>
  <c r="H14" i="5"/>
  <c r="I4" i="10"/>
  <c r="I7" i="10" s="1"/>
  <c r="I30" i="7"/>
  <c r="I32" i="7" s="1"/>
  <c r="I33" i="7" s="1"/>
  <c r="I22" i="7"/>
  <c r="I4" i="9"/>
  <c r="I8" i="10" s="1"/>
  <c r="I22" i="8"/>
  <c r="I24" i="8" s="1"/>
  <c r="J6" i="5"/>
  <c r="J8" i="5" s="1"/>
  <c r="H10" i="7"/>
  <c r="I16" i="13"/>
  <c r="G11" i="7"/>
  <c r="G18" i="13"/>
  <c r="H17" i="13"/>
  <c r="J6" i="7"/>
  <c r="J17" i="7" s="1"/>
  <c r="J18" i="7" s="1"/>
  <c r="J5" i="7"/>
  <c r="J8" i="8"/>
  <c r="M4" i="11"/>
  <c r="J12" i="8"/>
  <c r="J11" i="8"/>
  <c r="F7" i="10"/>
  <c r="F15" i="10" s="1"/>
  <c r="J5" i="8"/>
  <c r="F12" i="7"/>
  <c r="J4" i="8"/>
  <c r="I15" i="10" l="1"/>
  <c r="G37" i="8"/>
  <c r="H13" i="5"/>
  <c r="H16" i="5" s="1"/>
  <c r="I37" i="7"/>
  <c r="I38" i="7"/>
  <c r="I14" i="5"/>
  <c r="J4" i="10"/>
  <c r="J7" i="10" s="1"/>
  <c r="J30" i="7"/>
  <c r="J32" i="7" s="1"/>
  <c r="J33" i="7" s="1"/>
  <c r="J20" i="7"/>
  <c r="J9" i="5"/>
  <c r="J22" i="8" s="1"/>
  <c r="J24" i="8" s="1"/>
  <c r="G12" i="7"/>
  <c r="I17" i="13"/>
  <c r="H18" i="13"/>
  <c r="H11" i="7"/>
  <c r="J16" i="13"/>
  <c r="J10" i="7" s="1"/>
  <c r="I10" i="7"/>
  <c r="F3" i="9"/>
  <c r="F9" i="9" s="1"/>
  <c r="F18" i="9" s="1"/>
  <c r="F21" i="9" s="1"/>
  <c r="F22" i="9" s="1"/>
  <c r="M5" i="11"/>
  <c r="H37" i="8" l="1"/>
  <c r="I13" i="5"/>
  <c r="I16" i="5" s="1"/>
  <c r="J37" i="7"/>
  <c r="J38" i="7"/>
  <c r="J14" i="5"/>
  <c r="F16" i="8"/>
  <c r="G20" i="9" s="1"/>
  <c r="F28" i="8"/>
  <c r="J22" i="7"/>
  <c r="J4" i="9"/>
  <c r="J8" i="10" s="1"/>
  <c r="J15" i="10" s="1"/>
  <c r="J17" i="13"/>
  <c r="I11" i="7"/>
  <c r="H12" i="7"/>
  <c r="I18" i="13"/>
  <c r="I12" i="7" s="1"/>
  <c r="G3" i="9"/>
  <c r="G9" i="9" s="1"/>
  <c r="G18" i="9" s="1"/>
  <c r="G21" i="9" s="1"/>
  <c r="M6" i="11"/>
  <c r="M7" i="11"/>
  <c r="I37" i="8" l="1"/>
  <c r="J13" i="5"/>
  <c r="J16" i="5" s="1"/>
  <c r="J37" i="8" s="1"/>
  <c r="G22" i="9"/>
  <c r="G28" i="8"/>
  <c r="G31" i="8" s="1"/>
  <c r="G38" i="8" s="1"/>
  <c r="G16" i="8"/>
  <c r="J18" i="13"/>
  <c r="J12" i="7" s="1"/>
  <c r="J11" i="7"/>
  <c r="M9" i="11"/>
  <c r="M11" i="11" s="1"/>
  <c r="E8" i="11" s="1"/>
  <c r="E13" i="11" s="1"/>
  <c r="K3" i="12" s="1"/>
  <c r="H3" i="9"/>
  <c r="H9" i="9" s="1"/>
  <c r="H18" i="9" s="1"/>
  <c r="H21" i="9" s="1"/>
  <c r="F20" i="8"/>
  <c r="F26" i="8" s="1"/>
  <c r="F31" i="8"/>
  <c r="D3" i="12" l="1"/>
  <c r="D4" i="12" s="1"/>
  <c r="H3" i="12"/>
  <c r="G3" i="12"/>
  <c r="G4" i="12" s="1"/>
  <c r="F3" i="12"/>
  <c r="F4" i="12" s="1"/>
  <c r="E3" i="12"/>
  <c r="E4" i="12" s="1"/>
  <c r="G20" i="8"/>
  <c r="G26" i="8" s="1"/>
  <c r="G40" i="8" s="1"/>
  <c r="H20" i="9"/>
  <c r="H22" i="9" s="1"/>
  <c r="F38" i="8"/>
  <c r="F40" i="8" s="1"/>
  <c r="J3" i="9"/>
  <c r="J9" i="9" s="1"/>
  <c r="J18" i="9" s="1"/>
  <c r="J21" i="9" s="1"/>
  <c r="I3" i="9"/>
  <c r="I9" i="9" s="1"/>
  <c r="I18" i="9" s="1"/>
  <c r="I21" i="9" s="1"/>
  <c r="H4" i="12" l="1"/>
  <c r="H5" i="12" s="1"/>
  <c r="C8" i="12" s="1"/>
  <c r="G8" i="12"/>
  <c r="C7" i="12"/>
  <c r="H16" i="8"/>
  <c r="H28" i="8"/>
  <c r="H31" i="8" s="1"/>
  <c r="H38" i="8" s="1"/>
  <c r="C9" i="12" l="1"/>
  <c r="C15" i="12" s="1"/>
  <c r="C18" i="12" s="1"/>
  <c r="G7" i="12"/>
  <c r="G9" i="12" s="1"/>
  <c r="G15" i="12" s="1"/>
  <c r="G18" i="12" s="1"/>
  <c r="H20" i="8"/>
  <c r="H26" i="8" s="1"/>
  <c r="H40" i="8" s="1"/>
  <c r="I20" i="9"/>
  <c r="I22" i="9" s="1"/>
  <c r="I16" i="8" l="1"/>
  <c r="I28" i="8"/>
  <c r="I31" i="8" s="1"/>
  <c r="I38" i="8" s="1"/>
  <c r="I20" i="8" l="1"/>
  <c r="I26" i="8" s="1"/>
  <c r="I40" i="8" s="1"/>
  <c r="J20" i="9"/>
  <c r="J22" i="9" s="1"/>
  <c r="J28" i="8" l="1"/>
  <c r="J31" i="8" s="1"/>
  <c r="J38" i="8" s="1"/>
  <c r="J16" i="8"/>
  <c r="J20" i="8" s="1"/>
  <c r="J26" i="8" s="1"/>
  <c r="J40" i="8" l="1"/>
  <c r="F10" i="13"/>
  <c r="F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<sst xmlns="http://schemas.openxmlformats.org/spreadsheetml/2006/main" count="326" uniqueCount="194">
  <si>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</si>
  <si>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</si>
  <si>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</si>
  <si>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</si>
  <si>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</si>
  <si>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</si>
  <si>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</si>
  <si>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</si>
  <si>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</si>
  <si>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</si>
  <si>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</si>
  <si>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</si>
  <si>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</si>
  <si>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</si>
  <si>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</si>
  <si>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</si>
  <si>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</si>
  <si>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</si>
  <si>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</si>
  <si>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</si>
  <si>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</si>
  <si>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</si>
  <si>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</si>
  <si>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</si>
  <si>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</si>
  <si>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</si>
  <si>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</si>
  <si>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</si>
  <si>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</si>
  <si>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</si>
  <si>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</si>
  <si>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</si>
  <si>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</si>
  <si>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</si>
  <si>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</si>
  <si>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</si>
  <si>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</si>
  <si>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</si>
  <si>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</si>
  <si>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</si>
  <si>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</si>
  <si>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</si>
  <si>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</si>
  <si>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</si>
  <si>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</si>
  <si>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</si>
  <si>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</si>
  <si>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</si>
  <si>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</si>
  <si>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</si>
  <si>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</si>
  <si>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</si>
  <si>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</si>
  <si>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</si>
  <si>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</si>
  <si>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</si>
  <si>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</si>
  <si>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</si>
  <si>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</si>
  <si>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</si>
  <si>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</si>
  <si>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</si>
  <si>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</si>
  <si>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</si>
  <si>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</si>
  <si>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</si>
  <si>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</si>
  <si>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</si>
  <si>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</si>
  <si>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</si>
  <si>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</si>
  <si>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</si>
  <si>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</si>
  <si>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</si>
  <si>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</si>
  <si>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</si>
  <si>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</si>
  <si>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</si>
  <si>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</si>
  <si>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</si>
  <si>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</si>
  <si>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</si>
  <si>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</si>
  <si>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</si>
  <si>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</si>
  <si>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</si>
  <si>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</si>
  <si>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</si>
  <si>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</si>
  <si>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</si>
  <si>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</si>
  <si>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</si>
  <si>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</si>
  <si>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</si>
  <si>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</si>
  <si>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</si>
  <si>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</si>
  <si>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</si>
  <si>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</si>
  <si>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</si>
  <si>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</si>
  <si>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</si>
  <si>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</si>
  <si>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</si>
  <si>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</si>
  <si>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</si>
  <si>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</si>
  <si>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</si>
  <si>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</si>
  <si>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</si>
  <si>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</si>
  <si>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</si>
  <si>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</si>
  <si>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</si>
  <si>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</si>
  <si>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</si>
  <si>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</si>
  <si>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</si>
  <si>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</si>
  <si>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</si>
  <si>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</si>
  <si>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</si>
  <si>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</si>
  <si>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</si>
  <si>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</si>
  <si>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</si>
  <si>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</si>
  <si>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</si>
  <si>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</si>
  <si>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</si>
  <si>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</si>
  <si>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</si>
  <si>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</si>
  <si>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</si>
  <si>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</si>
  <si>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</si>
  <si>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</si>
  <si>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</si>
  <si>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</si>
  <si>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</si>
  <si>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</si>
  <si>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</si>
  <si>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</si>
  <si>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</si>
  <si>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</si>
  <si>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</si>
  <si>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</si>
  <si>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</si>
  <si>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</si>
  <si>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</si>
  <si>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</si>
  <si>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</si>
  <si>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</si>
  <si>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</si>
  <si>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</si>
  <si>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</si>
  <si>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</si>
  <si>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</si>
  <si>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</si>
  <si>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</si>
  <si>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</si>
  <si>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</si>
  <si>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</si>
  <si>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</si>
  <si>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</si>
  <si>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</si>
  <si>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</si>
  <si>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</si>
  <si>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</si>
  <si>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</si>
  <si>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</si>
  <si>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</si>
  <si>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</si>
  <si>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</si>
  <si>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</si>
  <si>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</si>
  <si>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</si>
  <si>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</si>
  <si>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</si>
  <si>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Warby Parker</t>
  </si>
  <si>
    <t>t</t>
  </si>
  <si>
    <t>(inc)  / dec in OWC</t>
  </si>
  <si>
    <t>(inc) / dec in LT assets</t>
  </si>
  <si>
    <t>inc / (Dec) in LT liabilities</t>
  </si>
  <si>
    <t>CFFO</t>
  </si>
  <si>
    <t>CFFI</t>
  </si>
  <si>
    <t>Share issuance</t>
  </si>
  <si>
    <t>Debt issuance</t>
  </si>
  <si>
    <t>CFFF</t>
  </si>
  <si>
    <t>Net changes in cash</t>
  </si>
  <si>
    <t>Beginning cash</t>
  </si>
  <si>
    <t>Ending cash</t>
  </si>
  <si>
    <t>Exit EBITDA mult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</si>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</sst>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72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8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9" fontId="30" fillId="0" borderId="0" xfId="0" applyNumberFormat="1" applyFont="1"/>
    <xf numFmtId="166" fontId="38" fillId="42" borderId="0" xfId="57" applyFont="1" applyFill="1"/>
    <xf numFmtId="179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79" fontId="39" fillId="0" borderId="0" xfId="4" applyNumberFormat="1" applyFont="1" applyBorder="1"/>
    <xf numFmtId="10" fontId="69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C1" zoomScaleNormal="100" workbookViewId="0">
      <selection activeCell="I7" sqref="I7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4" t="str">
        <f>CoName</f>
        <v>Warby Parker</v>
      </c>
      <c r="B1" s="2"/>
      <c r="C1" s="2"/>
      <c r="D1" s="152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175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179</v>
      </c>
      <c r="E4" s="4" t="s">
        <v>163</v>
      </c>
      <c r="F4" s="221">
        <v>19.22</v>
      </c>
      <c r="H4" s="168" t="s">
        <v>176</v>
      </c>
      <c r="I4" s="167" t="s">
        <v>174</v>
      </c>
      <c r="J4" s="167" t="s">
        <v>173</v>
      </c>
      <c r="K4" s="167" t="s">
        <v>193</v>
      </c>
    </row>
    <row r="5" spans="1:15" x14ac:dyDescent="0.25">
      <c r="B5" s="4" t="s">
        <v>4</v>
      </c>
      <c r="C5" s="52">
        <v>247.43</v>
      </c>
      <c r="E5" s="4" t="s">
        <v>168</v>
      </c>
      <c r="F5" s="158">
        <v>105727.103</v>
      </c>
      <c r="H5" s="167" t="s">
        <v>170</v>
      </c>
      <c r="I5" s="227">
        <f>'DCF Model'!G18</f>
        <v>26.143219934281859</v>
      </c>
      <c r="J5" s="226">
        <f>'DCF Model'!C18</f>
        <v>20.223085866343038</v>
      </c>
      <c r="K5" s="226">
        <f>AVERAGE(I5:J5)</f>
        <v>23.18315290031245</v>
      </c>
    </row>
    <row r="6" spans="1:15" x14ac:dyDescent="0.25">
      <c r="B6" s="4" t="s">
        <v>5</v>
      </c>
      <c r="C6" s="51" t="s">
        <v>8</v>
      </c>
      <c r="E6" s="4" t="s">
        <v>101</v>
      </c>
      <c r="F6" s="158">
        <f>F5*F4</f>
        <v>2032074.9196599999</v>
      </c>
      <c r="H6" s="167" t="s">
        <v>171</v>
      </c>
      <c r="I6" s="271">
        <f>I5/$F$4-1</f>
        <v>0.36020915370873374</v>
      </c>
      <c r="J6" s="271">
        <f>J5/$F$4-1</f>
        <v>5.2189691276953054E-2</v>
      </c>
      <c r="K6" s="271">
        <f>K5/$F$4-1</f>
        <v>0.2061994224928434</v>
      </c>
    </row>
    <row r="7" spans="1:15" x14ac:dyDescent="0.25">
      <c r="B7" s="4" t="s">
        <v>6</v>
      </c>
      <c r="C7" s="51" t="s">
        <v>180</v>
      </c>
      <c r="E7" s="4" t="s">
        <v>169</v>
      </c>
      <c r="F7" s="51">
        <v>280360</v>
      </c>
    </row>
    <row r="8" spans="1:15" x14ac:dyDescent="0.25">
      <c r="B8" s="4" t="s">
        <v>2</v>
      </c>
      <c r="C8" s="51" t="s">
        <v>84</v>
      </c>
      <c r="E8" s="4" t="s">
        <v>141</v>
      </c>
      <c r="F8" s="51">
        <v>203885</v>
      </c>
    </row>
    <row r="9" spans="1:15" x14ac:dyDescent="0.25">
      <c r="B9" s="4" t="s">
        <v>7</v>
      </c>
      <c r="C9" s="51">
        <v>0</v>
      </c>
      <c r="E9" s="4" t="s">
        <v>115</v>
      </c>
      <c r="F9" s="51">
        <f>F6-F7+F8</f>
        <v>1955599.9196599999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B2" sqref="B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4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0"/>
  <sheetViews>
    <sheetView showGridLines="0" zoomScaleNormal="100" workbookViewId="0">
      <selection activeCell="E37" sqref="E3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122</v>
      </c>
      <c r="B2" s="262" t="s">
        <v>123</v>
      </c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  <c r="K2" s="194"/>
      <c r="L2" s="194"/>
    </row>
    <row r="3" spans="1:20" x14ac:dyDescent="0.25">
      <c r="A3" s="86"/>
      <c r="B3" s="157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20" x14ac:dyDescent="0.25">
      <c r="B4" s="94" t="s">
        <v>129</v>
      </c>
      <c r="C4"/>
      <c r="D4" s="259">
        <v>1</v>
      </c>
      <c r="E4"/>
      <c r="F4"/>
      <c r="G4" s="89"/>
      <c r="H4" s="89"/>
      <c r="I4" s="89"/>
      <c r="J4" s="89"/>
      <c r="K4" s="89"/>
      <c r="M4" s="228"/>
      <c r="N4" s="229"/>
      <c r="O4" s="229"/>
    </row>
    <row r="5" spans="1:20" x14ac:dyDescent="0.25">
      <c r="B5" s="88"/>
      <c r="C5" s="90"/>
      <c r="D5" s="113" t="s">
        <v>124</v>
      </c>
      <c r="E5" s="91"/>
      <c r="K5" s="89"/>
      <c r="M5" s="230"/>
      <c r="N5" s="231"/>
      <c r="O5" s="231"/>
    </row>
    <row r="6" spans="1:20" x14ac:dyDescent="0.25">
      <c r="B6" s="92" t="s">
        <v>130</v>
      </c>
      <c r="D6" s="101">
        <v>0</v>
      </c>
      <c r="E6" s="93"/>
      <c r="F6" s="101">
        <v>0.13</v>
      </c>
      <c r="G6" s="101">
        <f>F6+0.005</f>
        <v>0.13500000000000001</v>
      </c>
      <c r="H6" s="101">
        <f t="shared" ref="H6:J6" si="1">G6+0.005</f>
        <v>0.14000000000000001</v>
      </c>
      <c r="I6" s="101">
        <f t="shared" si="1"/>
        <v>0.14500000000000002</v>
      </c>
      <c r="J6" s="101">
        <f t="shared" si="1"/>
        <v>0.15000000000000002</v>
      </c>
      <c r="K6" s="169"/>
      <c r="M6" s="169"/>
      <c r="N6" s="232"/>
      <c r="O6" s="232"/>
      <c r="P6" s="232"/>
      <c r="Q6" s="232"/>
      <c r="R6" s="232"/>
      <c r="S6" s="232"/>
      <c r="T6" s="232"/>
    </row>
    <row r="7" spans="1:20" x14ac:dyDescent="0.25">
      <c r="B7" s="4" t="s">
        <v>126</v>
      </c>
      <c r="D7" s="101">
        <v>2.5000000000000001E-2</v>
      </c>
      <c r="E7" s="93"/>
      <c r="F7" s="101">
        <f>F6+$D$7</f>
        <v>0.155</v>
      </c>
      <c r="G7" s="101">
        <f t="shared" ref="G7:J7" si="2">G6+$D$7</f>
        <v>0.16</v>
      </c>
      <c r="H7" s="101">
        <f t="shared" si="2"/>
        <v>0.16500000000000001</v>
      </c>
      <c r="I7" s="101">
        <f t="shared" si="2"/>
        <v>0.17</v>
      </c>
      <c r="J7" s="101">
        <f t="shared" si="2"/>
        <v>0.17500000000000002</v>
      </c>
      <c r="K7" s="169"/>
      <c r="M7" s="169"/>
      <c r="N7" s="169"/>
      <c r="O7" s="169"/>
      <c r="P7" s="169"/>
      <c r="Q7" s="169"/>
      <c r="R7" s="169"/>
      <c r="S7" s="169"/>
      <c r="T7" s="169"/>
    </row>
    <row r="8" spans="1:20" x14ac:dyDescent="0.25">
      <c r="B8" s="4" t="s">
        <v>125</v>
      </c>
      <c r="D8" s="101">
        <v>-2.5000000000000001E-2</v>
      </c>
      <c r="E8" s="93"/>
      <c r="F8" s="101">
        <f>F6+$D$8</f>
        <v>0.10500000000000001</v>
      </c>
      <c r="G8" s="101">
        <f t="shared" ref="G8:J8" si="3">G6+$D$8</f>
        <v>0.11000000000000001</v>
      </c>
      <c r="H8" s="101">
        <f t="shared" si="3"/>
        <v>0.11500000000000002</v>
      </c>
      <c r="I8" s="101">
        <f t="shared" si="3"/>
        <v>0.12000000000000002</v>
      </c>
      <c r="J8" s="101">
        <f t="shared" si="3"/>
        <v>0.12500000000000003</v>
      </c>
      <c r="K8" s="169"/>
    </row>
    <row r="9" spans="1:20" x14ac:dyDescent="0.25">
      <c r="K9" s="30"/>
      <c r="L9" s="30"/>
      <c r="M9" s="169"/>
      <c r="N9" s="169"/>
    </row>
    <row r="10" spans="1:20" x14ac:dyDescent="0.25">
      <c r="B10" s="118" t="s">
        <v>146</v>
      </c>
      <c r="C10" s="189"/>
      <c r="D10" s="265">
        <f>IncState!D15/IncState!C15-1</f>
        <v>0.11979863303194049</v>
      </c>
      <c r="E10" s="190">
        <f>IncState!E15/IncState!D15-1</f>
        <v>0.15162034444917238</v>
      </c>
      <c r="F10" s="105">
        <f t="shared" ref="F10" si="4">CHOOSE(ScenarioREV,F6,F7,F8)</f>
        <v>0.13</v>
      </c>
      <c r="G10" s="105">
        <f t="shared" ref="G10:J10" si="5">CHOOSE(ScenarioREV,G6,G7,G8)</f>
        <v>0.13500000000000001</v>
      </c>
      <c r="H10" s="105">
        <f t="shared" si="5"/>
        <v>0.14000000000000001</v>
      </c>
      <c r="I10" s="105">
        <f t="shared" si="5"/>
        <v>0.14500000000000002</v>
      </c>
      <c r="J10" s="105">
        <f t="shared" si="5"/>
        <v>0.15000000000000002</v>
      </c>
      <c r="K10" s="29"/>
      <c r="L10" s="29"/>
      <c r="M10" s="169"/>
      <c r="N10" s="169"/>
    </row>
    <row r="11" spans="1:20" x14ac:dyDescent="0.25">
      <c r="B11" s="4" t="s">
        <v>131</v>
      </c>
      <c r="C11" s="8">
        <f>IncState!C16/IncState!C15</f>
        <v>0.42976900647370392</v>
      </c>
      <c r="D11" s="8">
        <f>IncState!D16/IncState!D15</f>
        <v>0.45469828969862564</v>
      </c>
      <c r="E11" s="8">
        <f>IncState!E16/IncState!E15</f>
        <v>0.44661519612609635</v>
      </c>
      <c r="F11" s="101">
        <f>E11-0.005</f>
        <v>0.44161519612609634</v>
      </c>
      <c r="G11" s="101">
        <f t="shared" ref="G11:J11" si="6">F11-0.005</f>
        <v>0.43661519612609634</v>
      </c>
      <c r="H11" s="101">
        <f t="shared" si="6"/>
        <v>0.43161519612609633</v>
      </c>
      <c r="I11" s="101">
        <f t="shared" si="6"/>
        <v>0.42661519612609633</v>
      </c>
      <c r="J11" s="101">
        <f t="shared" si="6"/>
        <v>0.42161519612609633</v>
      </c>
      <c r="K11" s="169"/>
      <c r="L11" s="169"/>
      <c r="M11" s="169"/>
      <c r="N11" s="169"/>
    </row>
    <row r="12" spans="1:20" x14ac:dyDescent="0.25">
      <c r="B12" s="4" t="s">
        <v>43</v>
      </c>
      <c r="C12" s="8">
        <f>IncState!C17/IncState!C15</f>
        <v>0.75615436573752071</v>
      </c>
      <c r="D12" s="8">
        <f>IncState!D17/IncState!D15</f>
        <v>0.65279612998589054</v>
      </c>
      <c r="E12" s="8">
        <f>IncState!E17/IncState!E15</f>
        <v>0.59242462547726937</v>
      </c>
      <c r="F12" s="101">
        <f>E12-0.05</f>
        <v>0.54242462547726933</v>
      </c>
      <c r="G12" s="101">
        <f t="shared" ref="G12:J12" si="7">F12-0.05</f>
        <v>0.49242462547726934</v>
      </c>
      <c r="H12" s="101">
        <f t="shared" si="7"/>
        <v>0.44242462547726935</v>
      </c>
      <c r="I12" s="101">
        <f t="shared" si="7"/>
        <v>0.39242462547726936</v>
      </c>
      <c r="J12" s="101">
        <f t="shared" si="7"/>
        <v>0.34242462547726937</v>
      </c>
      <c r="K12" s="169"/>
      <c r="L12" s="169"/>
    </row>
    <row r="13" spans="1:20" x14ac:dyDescent="0.25">
      <c r="B13" s="4" t="s">
        <v>133</v>
      </c>
      <c r="C13" s="4">
        <f>IncState!C21</f>
        <v>0</v>
      </c>
      <c r="D13" s="4">
        <f>IncState!D21</f>
        <v>0</v>
      </c>
      <c r="E13" s="4">
        <f>IncState!E21</f>
        <v>0</v>
      </c>
      <c r="F13" s="102">
        <f>E13</f>
        <v>0</v>
      </c>
      <c r="G13" s="102">
        <f t="shared" ref="G13:J13" si="8">F13</f>
        <v>0</v>
      </c>
      <c r="H13" s="102">
        <f t="shared" si="8"/>
        <v>0</v>
      </c>
      <c r="I13" s="102">
        <f t="shared" si="8"/>
        <v>0</v>
      </c>
      <c r="J13" s="102">
        <f t="shared" si="8"/>
        <v>0</v>
      </c>
      <c r="K13" s="195"/>
      <c r="L13" s="195"/>
    </row>
    <row r="14" spans="1:20" x14ac:dyDescent="0.25">
      <c r="B14" s="4" t="s">
        <v>134</v>
      </c>
      <c r="C14" s="4">
        <f>IncState!C24</f>
        <v>0</v>
      </c>
      <c r="D14" s="4">
        <f>IncState!D24</f>
        <v>0</v>
      </c>
      <c r="E14" s="4">
        <f>IncState!E24</f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5"/>
      <c r="L14" s="195"/>
    </row>
    <row r="15" spans="1:20" x14ac:dyDescent="0.25">
      <c r="B15" s="4" t="s">
        <v>136</v>
      </c>
      <c r="C15" s="4">
        <f>IncState!C25</f>
        <v>0</v>
      </c>
      <c r="D15" s="4">
        <f>IncState!D25</f>
        <v>0</v>
      </c>
      <c r="E15" s="4">
        <f>IncState!E25</f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5"/>
      <c r="L15" s="195"/>
    </row>
    <row r="16" spans="1:20" x14ac:dyDescent="0.25">
      <c r="B16" s="4" t="s">
        <v>46</v>
      </c>
      <c r="C16" s="8">
        <f>IncState!C32/IncState!C30</f>
        <v>-4.5224575962728398E-3</v>
      </c>
      <c r="D16" s="8">
        <f>IncState!D32/IncState!D30</f>
        <v>-6.8988592186603782E-3</v>
      </c>
      <c r="E16" s="8">
        <f>IncState!E32/IncState!E30</f>
        <v>-4.4837304637458365E-2</v>
      </c>
      <c r="F16" s="101">
        <v>0.21</v>
      </c>
      <c r="G16" s="101">
        <f t="shared" ref="G16:J16" si="9">F16</f>
        <v>0.21</v>
      </c>
      <c r="H16" s="101">
        <f t="shared" si="9"/>
        <v>0.21</v>
      </c>
      <c r="I16" s="101">
        <f t="shared" si="9"/>
        <v>0.21</v>
      </c>
      <c r="J16" s="101">
        <f t="shared" si="9"/>
        <v>0.21</v>
      </c>
      <c r="K16" s="169"/>
      <c r="L16" s="169"/>
    </row>
    <row r="17" spans="1:12" x14ac:dyDescent="0.25">
      <c r="B17" s="4" t="s">
        <v>47</v>
      </c>
      <c r="C17" s="4">
        <f>IncState!C35</f>
        <v>114942</v>
      </c>
      <c r="D17" s="4">
        <f>IncState!D35</f>
        <v>117389</v>
      </c>
      <c r="E17" s="4">
        <f>IncState!E35</f>
        <v>120385</v>
      </c>
      <c r="F17" s="102">
        <f>E17</f>
        <v>120385</v>
      </c>
      <c r="G17" s="102">
        <f t="shared" ref="G17:J17" si="10">F17</f>
        <v>120385</v>
      </c>
      <c r="H17" s="102">
        <f t="shared" si="10"/>
        <v>120385</v>
      </c>
      <c r="I17" s="102">
        <f t="shared" si="10"/>
        <v>120385</v>
      </c>
      <c r="J17" s="102">
        <f t="shared" si="10"/>
        <v>120385</v>
      </c>
      <c r="K17" s="195"/>
      <c r="L17" s="195"/>
    </row>
    <row r="18" spans="1:12" x14ac:dyDescent="0.25">
      <c r="B18" s="4" t="s">
        <v>48</v>
      </c>
      <c r="C18" s="4">
        <f>IncState!C36</f>
        <v>114942</v>
      </c>
      <c r="D18" s="4">
        <f>IncState!D36</f>
        <v>117389</v>
      </c>
      <c r="E18" s="4">
        <f>IncState!E36</f>
        <v>120385</v>
      </c>
      <c r="F18" s="102">
        <f>E18</f>
        <v>120385</v>
      </c>
      <c r="G18" s="102">
        <f t="shared" ref="G18:J18" si="11">F18</f>
        <v>120385</v>
      </c>
      <c r="H18" s="102">
        <f t="shared" si="11"/>
        <v>120385</v>
      </c>
      <c r="I18" s="102">
        <f t="shared" si="11"/>
        <v>120385</v>
      </c>
      <c r="J18" s="102">
        <f t="shared" si="11"/>
        <v>120385</v>
      </c>
      <c r="K18" s="195"/>
      <c r="L18" s="195"/>
    </row>
    <row r="19" spans="1:12" x14ac:dyDescent="0.25">
      <c r="F19" s="104"/>
      <c r="G19" s="104"/>
      <c r="H19" s="104"/>
      <c r="I19" s="104"/>
      <c r="J19" s="104"/>
      <c r="K19" s="169"/>
      <c r="L19" s="169"/>
    </row>
    <row r="20" spans="1:12" x14ac:dyDescent="0.25">
      <c r="A20" s="64" t="s">
        <v>122</v>
      </c>
      <c r="B20" s="107" t="s">
        <v>141</v>
      </c>
      <c r="C20" s="262">
        <f t="shared" ref="C20:J20" si="12">C2</f>
        <v>2022</v>
      </c>
      <c r="D20" s="262">
        <f t="shared" si="12"/>
        <v>2023</v>
      </c>
      <c r="E20" s="262">
        <f t="shared" si="12"/>
        <v>2024</v>
      </c>
      <c r="F20" s="262">
        <f t="shared" si="12"/>
        <v>2025</v>
      </c>
      <c r="G20" s="262">
        <f t="shared" si="12"/>
        <v>2026</v>
      </c>
      <c r="H20" s="262">
        <f t="shared" si="12"/>
        <v>2027</v>
      </c>
      <c r="I20" s="262">
        <f t="shared" si="12"/>
        <v>2028</v>
      </c>
      <c r="J20" s="262">
        <f t="shared" si="12"/>
        <v>2029</v>
      </c>
      <c r="K20" s="196"/>
      <c r="L20" s="196"/>
    </row>
    <row r="21" spans="1:12" x14ac:dyDescent="0.25">
      <c r="A21" s="86"/>
      <c r="B21" s="157"/>
      <c r="C21" s="194"/>
      <c r="D21" s="194"/>
      <c r="E21" s="194"/>
      <c r="F21" s="196"/>
      <c r="G21" s="196"/>
      <c r="H21" s="196"/>
      <c r="I21" s="196"/>
      <c r="J21" s="196"/>
      <c r="K21" s="196"/>
      <c r="L21" s="196"/>
    </row>
    <row r="22" spans="1:12" x14ac:dyDescent="0.25">
      <c r="B22" s="4" t="s">
        <v>135</v>
      </c>
      <c r="E22" s="8">
        <v>0.05</v>
      </c>
      <c r="F22" s="101">
        <f>E22</f>
        <v>0.05</v>
      </c>
      <c r="G22" s="101">
        <f t="shared" ref="G22:J22" si="13">F22</f>
        <v>0.05</v>
      </c>
      <c r="H22" s="101">
        <f t="shared" si="13"/>
        <v>0.05</v>
      </c>
      <c r="I22" s="101">
        <f t="shared" si="13"/>
        <v>0.05</v>
      </c>
      <c r="J22" s="101">
        <f t="shared" si="13"/>
        <v>0.05</v>
      </c>
      <c r="K22" s="169"/>
      <c r="L22" s="169"/>
    </row>
    <row r="23" spans="1:12" x14ac:dyDescent="0.25">
      <c r="B23" s="4" t="s">
        <v>24</v>
      </c>
      <c r="E23" s="8">
        <v>0.05</v>
      </c>
      <c r="F23" s="101">
        <f>E23</f>
        <v>0.05</v>
      </c>
      <c r="G23" s="101">
        <f t="shared" ref="G23:J23" si="14">F23</f>
        <v>0.05</v>
      </c>
      <c r="H23" s="101">
        <f t="shared" si="14"/>
        <v>0.05</v>
      </c>
      <c r="I23" s="101">
        <f t="shared" si="14"/>
        <v>0.05</v>
      </c>
      <c r="J23" s="101">
        <f t="shared" si="14"/>
        <v>0.05</v>
      </c>
      <c r="K23" s="169"/>
      <c r="L23" s="169"/>
    </row>
    <row r="24" spans="1:12" x14ac:dyDescent="0.25">
      <c r="B24" s="4" t="s">
        <v>25</v>
      </c>
      <c r="C24" s="8">
        <f>IncState!C27/SUM(BalSheet!C15:C16)</f>
        <v>6.2660306349929286E-3</v>
      </c>
      <c r="D24" s="8">
        <f>IncState!D27/SUM(BalSheet!D15:D16)</f>
        <v>4.2564570711960681E-2</v>
      </c>
      <c r="E24" s="8">
        <f>IncState!E27/SUM(BalSheet!E15:E16)</f>
        <v>4.1694044326234157E-2</v>
      </c>
      <c r="F24" s="127">
        <f>E24</f>
        <v>4.1694044326234157E-2</v>
      </c>
      <c r="G24" s="127">
        <f t="shared" ref="G24:J24" si="15">F24</f>
        <v>4.1694044326234157E-2</v>
      </c>
      <c r="H24" s="127">
        <f t="shared" si="15"/>
        <v>4.1694044326234157E-2</v>
      </c>
      <c r="I24" s="127">
        <f t="shared" si="15"/>
        <v>4.1694044326234157E-2</v>
      </c>
      <c r="J24" s="127">
        <f t="shared" si="15"/>
        <v>4.1694044326234157E-2</v>
      </c>
      <c r="K24" s="169"/>
      <c r="L24" s="169"/>
    </row>
    <row r="25" spans="1:12" x14ac:dyDescent="0.25">
      <c r="F25" s="104"/>
      <c r="G25" s="104"/>
      <c r="H25" s="104"/>
      <c r="I25" s="104"/>
      <c r="J25" s="104"/>
      <c r="K25" s="169"/>
      <c r="L25" s="169"/>
    </row>
    <row r="26" spans="1:12" x14ac:dyDescent="0.25">
      <c r="B26" s="4" t="s">
        <v>26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95"/>
      <c r="L26" s="195"/>
    </row>
    <row r="27" spans="1:12" x14ac:dyDescent="0.25">
      <c r="B27" s="4" t="s">
        <v>27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95"/>
      <c r="L27" s="195"/>
    </row>
    <row r="28" spans="1:12" x14ac:dyDescent="0.25">
      <c r="F28" s="104"/>
      <c r="G28" s="104"/>
      <c r="H28" s="104"/>
      <c r="I28" s="104"/>
      <c r="J28" s="104"/>
      <c r="K28" s="169"/>
      <c r="L28" s="169"/>
    </row>
    <row r="29" spans="1:12" x14ac:dyDescent="0.25">
      <c r="A29" s="64" t="s">
        <v>122</v>
      </c>
      <c r="B29" s="107" t="s">
        <v>138</v>
      </c>
      <c r="C29" s="262">
        <f>C20</f>
        <v>2022</v>
      </c>
      <c r="D29" s="262">
        <f t="shared" ref="D29:J29" si="16">D20</f>
        <v>2023</v>
      </c>
      <c r="E29" s="262">
        <f t="shared" si="16"/>
        <v>2024</v>
      </c>
      <c r="F29" s="262">
        <f t="shared" si="16"/>
        <v>2025</v>
      </c>
      <c r="G29" s="262">
        <f t="shared" si="16"/>
        <v>2026</v>
      </c>
      <c r="H29" s="262">
        <f t="shared" si="16"/>
        <v>2027</v>
      </c>
      <c r="I29" s="262">
        <f t="shared" si="16"/>
        <v>2028</v>
      </c>
      <c r="J29" s="262">
        <f t="shared" si="16"/>
        <v>2029</v>
      </c>
      <c r="K29" s="197"/>
      <c r="L29" s="197"/>
    </row>
    <row r="30" spans="1:12" x14ac:dyDescent="0.25">
      <c r="A30" s="86"/>
      <c r="B30" s="157"/>
      <c r="C30" s="194"/>
      <c r="D30" s="194"/>
      <c r="E30" s="194"/>
      <c r="F30" s="196"/>
      <c r="G30" s="196"/>
      <c r="H30" s="196"/>
      <c r="I30" s="196"/>
      <c r="J30" s="196"/>
      <c r="K30" s="197"/>
      <c r="L30" s="197"/>
    </row>
    <row r="31" spans="1:12" x14ac:dyDescent="0.25">
      <c r="B31" s="4" t="s">
        <v>139</v>
      </c>
      <c r="D31" s="8">
        <f>53671/IncState!D15</f>
        <v>8.0134076877710833E-2</v>
      </c>
      <c r="E31" s="8">
        <f>64032/IncState!E15</f>
        <v>8.301666634254487E-2</v>
      </c>
      <c r="F31" s="219">
        <f>AVERAGE(D31:E31)</f>
        <v>8.1575371610127845E-2</v>
      </c>
      <c r="G31" s="219">
        <f t="shared" ref="G31:J31" si="17">F31</f>
        <v>8.1575371610127845E-2</v>
      </c>
      <c r="H31" s="219">
        <f t="shared" si="17"/>
        <v>8.1575371610127845E-2</v>
      </c>
      <c r="I31" s="219">
        <f t="shared" si="17"/>
        <v>8.1575371610127845E-2</v>
      </c>
      <c r="J31" s="219">
        <f t="shared" si="17"/>
        <v>8.1575371610127845E-2</v>
      </c>
      <c r="K31" s="169"/>
      <c r="L31" s="169"/>
    </row>
    <row r="32" spans="1:12" x14ac:dyDescent="0.25">
      <c r="B32" s="4" t="s">
        <v>152</v>
      </c>
      <c r="D32" s="8">
        <f>IncState!D20/BalSheet!C22</f>
        <v>0.14513518193659136</v>
      </c>
      <c r="E32" s="8">
        <f>IncState!E20/BalSheet!D22</f>
        <v>0.16700226116655803</v>
      </c>
      <c r="F32" s="101">
        <f>E32</f>
        <v>0.16700226116655803</v>
      </c>
      <c r="G32" s="101">
        <f t="shared" ref="G32:J32" si="18">F32</f>
        <v>0.16700226116655803</v>
      </c>
      <c r="H32" s="101">
        <f t="shared" si="18"/>
        <v>0.16700226116655803</v>
      </c>
      <c r="I32" s="101">
        <f t="shared" si="18"/>
        <v>0.16700226116655803</v>
      </c>
      <c r="J32" s="101">
        <f t="shared" si="18"/>
        <v>0.16700226116655803</v>
      </c>
      <c r="K32" s="169"/>
      <c r="L32" s="169"/>
    </row>
    <row r="33" spans="1:12" x14ac:dyDescent="0.25">
      <c r="B33" s="4" t="s">
        <v>140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198"/>
      <c r="L33" s="198"/>
    </row>
    <row r="34" spans="1:12" x14ac:dyDescent="0.25">
      <c r="F34" s="30"/>
      <c r="G34" s="30"/>
      <c r="H34" s="30"/>
      <c r="I34" s="30"/>
      <c r="J34" s="30"/>
      <c r="K34" s="30"/>
      <c r="L34" s="30"/>
    </row>
    <row r="35" spans="1:12" x14ac:dyDescent="0.25">
      <c r="A35" s="64" t="s">
        <v>122</v>
      </c>
      <c r="B35" s="107" t="s">
        <v>127</v>
      </c>
      <c r="C35" s="262" t="e">
        <f>#REF!</f>
        <v>#REF!</v>
      </c>
      <c r="D35" s="262" t="e">
        <f>#REF!</f>
        <v>#REF!</v>
      </c>
      <c r="E35" s="262" t="e">
        <f>#REF!</f>
        <v>#REF!</v>
      </c>
      <c r="F35" s="262" t="e">
        <f>#REF!</f>
        <v>#REF!</v>
      </c>
      <c r="G35" s="262" t="e">
        <f>#REF!</f>
        <v>#REF!</v>
      </c>
      <c r="H35" s="262" t="e">
        <f>#REF!</f>
        <v>#REF!</v>
      </c>
      <c r="I35" s="262" t="e">
        <f>#REF!</f>
        <v>#REF!</v>
      </c>
      <c r="J35" s="262" t="e">
        <f>#REF!</f>
        <v>#REF!</v>
      </c>
      <c r="K35" s="197"/>
      <c r="L35" s="197"/>
    </row>
    <row r="36" spans="1:12" x14ac:dyDescent="0.25">
      <c r="A36" s="86"/>
      <c r="B36" s="157"/>
      <c r="C36" s="194"/>
      <c r="D36" s="194"/>
      <c r="E36" s="194"/>
      <c r="F36" s="260"/>
      <c r="G36" s="260"/>
      <c r="H36" s="260"/>
      <c r="I36" s="260"/>
      <c r="J36" s="260"/>
      <c r="K36" s="197"/>
      <c r="L36" s="197"/>
    </row>
    <row r="37" spans="1:12" x14ac:dyDescent="0.25">
      <c r="B37" s="4" t="s">
        <v>137</v>
      </c>
      <c r="C37" s="8">
        <f>BalSheet!C15/IncState!C15</f>
        <v>0.05</v>
      </c>
      <c r="D37" s="8">
        <f>BalSheet!D15/IncState!D15</f>
        <v>0.05</v>
      </c>
      <c r="E37" s="8">
        <f>BalSheet!E15/IncState!E15</f>
        <v>0.05</v>
      </c>
      <c r="F37" s="101">
        <f>E37</f>
        <v>0.05</v>
      </c>
      <c r="G37" s="101">
        <f t="shared" ref="G37:J37" si="19">F37</f>
        <v>0.05</v>
      </c>
      <c r="H37" s="101">
        <f t="shared" si="19"/>
        <v>0.05</v>
      </c>
      <c r="I37" s="101">
        <f t="shared" si="19"/>
        <v>0.05</v>
      </c>
      <c r="J37" s="101">
        <f t="shared" si="19"/>
        <v>0.05</v>
      </c>
      <c r="K37" s="169"/>
      <c r="L37" s="169"/>
    </row>
    <row r="38" spans="1:12" x14ac:dyDescent="0.25">
      <c r="B38" s="4" t="s">
        <v>150</v>
      </c>
      <c r="C38" s="8">
        <f>BalSheet!C17/IncState!C15</f>
        <v>2.3992162003103096E-3</v>
      </c>
      <c r="D38" s="8">
        <f>BalSheet!D17/IncState!D15</f>
        <v>2.6561555172336564E-3</v>
      </c>
      <c r="E38" s="8">
        <f>BalSheet!E17/IncState!E15</f>
        <v>2.5255570032995597E-3</v>
      </c>
      <c r="F38" s="101">
        <f>E38</f>
        <v>2.5255570032995597E-3</v>
      </c>
      <c r="G38" s="101">
        <f t="shared" ref="G38:J38" si="20">F38</f>
        <v>2.5255570032995597E-3</v>
      </c>
      <c r="H38" s="101">
        <f t="shared" si="20"/>
        <v>2.5255570032995597E-3</v>
      </c>
      <c r="I38" s="101">
        <f t="shared" si="20"/>
        <v>2.5255570032995597E-3</v>
      </c>
      <c r="J38" s="101">
        <f t="shared" si="20"/>
        <v>2.5255570032995597E-3</v>
      </c>
      <c r="K38" s="169"/>
      <c r="L38" s="169"/>
    </row>
    <row r="39" spans="1:12" x14ac:dyDescent="0.25">
      <c r="B39" s="4" t="s">
        <v>62</v>
      </c>
      <c r="C39" s="8">
        <f>BalSheet!C18/IncState!C16</f>
        <v>0.26783894184010892</v>
      </c>
      <c r="D39" s="8">
        <f>BalSheet!D18/IncState!D16</f>
        <v>0.20435343681146381</v>
      </c>
      <c r="E39" s="8">
        <f>BalSheet!E18/IncState!E16</f>
        <v>0.15195322818965343</v>
      </c>
      <c r="F39" s="101">
        <f t="shared" ref="F39:J39" si="21">E39</f>
        <v>0.15195322818965343</v>
      </c>
      <c r="G39" s="101">
        <f t="shared" si="21"/>
        <v>0.15195322818965343</v>
      </c>
      <c r="H39" s="101">
        <f t="shared" si="21"/>
        <v>0.15195322818965343</v>
      </c>
      <c r="I39" s="101">
        <f t="shared" si="21"/>
        <v>0.15195322818965343</v>
      </c>
      <c r="J39" s="101">
        <f t="shared" si="21"/>
        <v>0.15195322818965343</v>
      </c>
      <c r="K39" s="169"/>
      <c r="L39" s="169"/>
    </row>
    <row r="40" spans="1:12" x14ac:dyDescent="0.25">
      <c r="B40" s="4" t="s">
        <v>63</v>
      </c>
      <c r="C40" s="8">
        <f>BalSheet!C19/IncState!C15</f>
        <v>2.6249264351827083E-2</v>
      </c>
      <c r="D40" s="8">
        <f>BalSheet!D19/IncState!D15</f>
        <v>2.6445096414414011E-2</v>
      </c>
      <c r="E40" s="8">
        <f>BalSheet!E19/IncState!E15</f>
        <v>2.2807802259777132E-2</v>
      </c>
      <c r="F40" s="101">
        <f t="shared" ref="F40:J40" si="22">E40</f>
        <v>2.2807802259777132E-2</v>
      </c>
      <c r="G40" s="101">
        <f t="shared" si="22"/>
        <v>2.2807802259777132E-2</v>
      </c>
      <c r="H40" s="101">
        <f t="shared" si="22"/>
        <v>2.2807802259777132E-2</v>
      </c>
      <c r="I40" s="101">
        <f t="shared" si="22"/>
        <v>2.2807802259777132E-2</v>
      </c>
      <c r="J40" s="101">
        <f t="shared" si="22"/>
        <v>2.2807802259777132E-2</v>
      </c>
      <c r="K40" s="169"/>
      <c r="L40" s="169"/>
    </row>
    <row r="41" spans="1:12" x14ac:dyDescent="0.25">
      <c r="B41" s="4" t="s">
        <v>64</v>
      </c>
      <c r="C41" s="8">
        <f>BalSheet!C23/IncState!C15</f>
        <v>1.4206369375635332E-2</v>
      </c>
      <c r="D41" s="8">
        <f>BalSheet!D23/IncState!D15</f>
        <v>1.05350384089942E-2</v>
      </c>
      <c r="E41" s="8">
        <f>BalSheet!E23/IncState!E15</f>
        <v>1.1274252413086742E-2</v>
      </c>
      <c r="F41" s="101">
        <f>E41</f>
        <v>1.1274252413086742E-2</v>
      </c>
      <c r="G41" s="101">
        <f t="shared" ref="G41:J41" si="23">F41</f>
        <v>1.1274252413086742E-2</v>
      </c>
      <c r="H41" s="101">
        <f t="shared" si="23"/>
        <v>1.1274252413086742E-2</v>
      </c>
      <c r="I41" s="101">
        <f t="shared" si="23"/>
        <v>1.1274252413086742E-2</v>
      </c>
      <c r="J41" s="101">
        <f t="shared" si="23"/>
        <v>1.1274252413086742E-2</v>
      </c>
      <c r="K41" s="169"/>
      <c r="L41" s="169"/>
    </row>
    <row r="42" spans="1:12" x14ac:dyDescent="0.25">
      <c r="F42" s="30"/>
      <c r="G42" s="30"/>
      <c r="H42" s="30"/>
      <c r="I42" s="30"/>
      <c r="J42" s="30"/>
      <c r="K42" s="30"/>
      <c r="L42" s="30"/>
    </row>
    <row r="43" spans="1:12" x14ac:dyDescent="0.25">
      <c r="A43" s="64" t="s">
        <v>122</v>
      </c>
      <c r="B43" s="107" t="s">
        <v>128</v>
      </c>
      <c r="C43" s="262" t="e">
        <f t="shared" ref="C43:J43" si="24">C35</f>
        <v>#REF!</v>
      </c>
      <c r="D43" s="262" t="e">
        <f t="shared" si="24"/>
        <v>#REF!</v>
      </c>
      <c r="E43" s="262" t="e">
        <f t="shared" si="24"/>
        <v>#REF!</v>
      </c>
      <c r="F43" s="262" t="e">
        <f t="shared" si="24"/>
        <v>#REF!</v>
      </c>
      <c r="G43" s="262" t="e">
        <f t="shared" si="24"/>
        <v>#REF!</v>
      </c>
      <c r="H43" s="262" t="e">
        <f t="shared" si="24"/>
        <v>#REF!</v>
      </c>
      <c r="I43" s="262" t="e">
        <f t="shared" si="24"/>
        <v>#REF!</v>
      </c>
      <c r="J43" s="262" t="e">
        <f t="shared" si="24"/>
        <v>#REF!</v>
      </c>
      <c r="K43" s="197"/>
      <c r="L43" s="197"/>
    </row>
    <row r="44" spans="1:12" x14ac:dyDescent="0.25">
      <c r="A44" s="86"/>
      <c r="B44" s="157"/>
      <c r="C44" s="194"/>
      <c r="D44" s="194"/>
      <c r="E44" s="194"/>
      <c r="F44" s="260"/>
      <c r="G44" s="260"/>
      <c r="H44" s="260"/>
      <c r="I44" s="260"/>
      <c r="J44" s="260"/>
      <c r="K44" s="197"/>
      <c r="L44" s="197"/>
    </row>
    <row r="45" spans="1:12" x14ac:dyDescent="0.25">
      <c r="B45" s="4" t="s">
        <v>151</v>
      </c>
      <c r="C45" s="8">
        <f>BalSheet!C29/IncState!C16</f>
        <v>0.3073837774751994</v>
      </c>
      <c r="D45" s="8">
        <f>BalSheet!D29/IncState!D16</f>
        <v>0.22583494504844998</v>
      </c>
      <c r="E45" s="8">
        <f>BalSheet!E29/IncState!E16</f>
        <v>0.21809040266371729</v>
      </c>
      <c r="F45" s="101">
        <f t="shared" ref="F45:J45" si="25">E45</f>
        <v>0.21809040266371729</v>
      </c>
      <c r="G45" s="101">
        <f t="shared" si="25"/>
        <v>0.21809040266371729</v>
      </c>
      <c r="H45" s="101">
        <f t="shared" si="25"/>
        <v>0.21809040266371729</v>
      </c>
      <c r="I45" s="101">
        <f t="shared" si="25"/>
        <v>0.21809040266371729</v>
      </c>
      <c r="J45" s="101">
        <f t="shared" si="25"/>
        <v>0.21809040266371729</v>
      </c>
      <c r="K45" s="169"/>
      <c r="L45" s="169"/>
    </row>
    <row r="46" spans="1:12" x14ac:dyDescent="0.25">
      <c r="B46" s="4" t="s">
        <v>65</v>
      </c>
      <c r="C46" s="8">
        <f>BalSheet!C30/IncState!C15</f>
        <v>8.4505911936225989E-2</v>
      </c>
      <c r="D46" s="8">
        <f>BalSheet!D30/IncState!D15</f>
        <v>8.7066359096100873E-2</v>
      </c>
      <c r="E46" s="8">
        <f>BalSheet!E30/IncState!E15</f>
        <v>7.1599800340976127E-2</v>
      </c>
      <c r="F46" s="101">
        <f t="shared" ref="F46:J46" si="26">E46</f>
        <v>7.1599800340976127E-2</v>
      </c>
      <c r="G46" s="101">
        <f t="shared" si="26"/>
        <v>7.1599800340976127E-2</v>
      </c>
      <c r="H46" s="101">
        <f t="shared" si="26"/>
        <v>7.1599800340976127E-2</v>
      </c>
      <c r="I46" s="101">
        <f t="shared" si="26"/>
        <v>7.1599800340976127E-2</v>
      </c>
      <c r="J46" s="101">
        <f t="shared" si="26"/>
        <v>7.1599800340976127E-2</v>
      </c>
      <c r="K46" s="169"/>
      <c r="L46" s="169"/>
    </row>
    <row r="47" spans="1:12" x14ac:dyDescent="0.25">
      <c r="B47" s="4" t="s">
        <v>66</v>
      </c>
      <c r="C47" s="8">
        <f>BalSheet!C34/IncState!C15</f>
        <v>0.25497565673318712</v>
      </c>
      <c r="D47" s="8">
        <f>BalSheet!D34/IncState!D15</f>
        <v>0.22610169238464237</v>
      </c>
      <c r="E47" s="8">
        <f>BalSheet!E34/IncState!E15</f>
        <v>0.26715803530334559</v>
      </c>
      <c r="F47" s="101">
        <f t="shared" ref="F47:J47" si="27">E47</f>
        <v>0.26715803530334559</v>
      </c>
      <c r="G47" s="101">
        <f t="shared" si="27"/>
        <v>0.26715803530334559</v>
      </c>
      <c r="H47" s="101">
        <f t="shared" si="27"/>
        <v>0.26715803530334559</v>
      </c>
      <c r="I47" s="101">
        <f t="shared" si="27"/>
        <v>0.26715803530334559</v>
      </c>
      <c r="J47" s="101">
        <f t="shared" si="27"/>
        <v>0.26715803530334559</v>
      </c>
      <c r="K47" s="169"/>
      <c r="L47" s="169"/>
    </row>
    <row r="48" spans="1:12" x14ac:dyDescent="0.25">
      <c r="F48" s="122"/>
      <c r="G48" s="30"/>
      <c r="H48" s="30"/>
      <c r="I48" s="30"/>
      <c r="J48" s="30"/>
    </row>
    <row r="49" spans="6:10" x14ac:dyDescent="0.25">
      <c r="F49" s="123"/>
      <c r="G49" s="95"/>
      <c r="H49" s="95"/>
      <c r="I49" s="95"/>
      <c r="J49" s="95"/>
    </row>
    <row r="50" spans="6:10" x14ac:dyDescent="0.25">
      <c r="F50" s="95"/>
      <c r="G50" s="95"/>
      <c r="H50" s="95"/>
      <c r="I50" s="95"/>
      <c r="J50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0:L20 F21:L28 K29:L29 F30:L33 K35:L41 F37:J41 K43:L47 F45:J47 F49:J50 F6:K8 F11:L19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J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10</v>
      </c>
      <c r="B2" s="19"/>
      <c r="C2" s="191">
        <v>2022</v>
      </c>
      <c r="D2" s="253">
        <f>C2+1</f>
        <v>2023</v>
      </c>
      <c r="E2" s="253">
        <f t="shared" ref="E2:J2" si="0">D2+1</f>
        <v>2024</v>
      </c>
      <c r="F2" s="253">
        <f t="shared" si="0"/>
        <v>2025</v>
      </c>
      <c r="G2" s="253">
        <f t="shared" si="0"/>
        <v>2026</v>
      </c>
      <c r="H2" s="253">
        <f t="shared" si="0"/>
        <v>2027</v>
      </c>
      <c r="I2" s="253">
        <f t="shared" si="0"/>
        <v>2028</v>
      </c>
      <c r="J2" s="253">
        <f t="shared" si="0"/>
        <v>2029</v>
      </c>
      <c r="K2" s="192"/>
      <c r="L2" s="192"/>
      <c r="M2" s="192"/>
    </row>
    <row r="3" spans="1:13" x14ac:dyDescent="0.25">
      <c r="B3" s="4" t="s">
        <v>11</v>
      </c>
      <c r="C3" s="29"/>
      <c r="D3" s="29"/>
      <c r="E3" s="40"/>
      <c r="F3" s="201">
        <f>Assumptions!F31</f>
        <v>8.1575371610127845E-2</v>
      </c>
      <c r="G3" s="201">
        <f>Assumptions!G31</f>
        <v>8.1575371610127845E-2</v>
      </c>
      <c r="H3" s="201">
        <f>Assumptions!H31</f>
        <v>8.1575371610127845E-2</v>
      </c>
      <c r="I3" s="201">
        <f>Assumptions!I31</f>
        <v>8.1575371610127845E-2</v>
      </c>
      <c r="J3" s="201">
        <f>Assumptions!J31</f>
        <v>8.1575371610127845E-2</v>
      </c>
      <c r="K3" s="199"/>
      <c r="L3" s="199"/>
    </row>
    <row r="4" spans="1:13" x14ac:dyDescent="0.25">
      <c r="B4" s="4" t="s">
        <v>132</v>
      </c>
      <c r="C4" s="29"/>
      <c r="D4" s="29"/>
      <c r="E4" s="40"/>
      <c r="F4" s="201">
        <f>Assumptions!F32</f>
        <v>0.16700226116655803</v>
      </c>
      <c r="G4" s="201">
        <f>F4</f>
        <v>0.16700226116655803</v>
      </c>
      <c r="H4" s="201">
        <f t="shared" ref="H4:J4" si="1">G4</f>
        <v>0.16700226116655803</v>
      </c>
      <c r="I4" s="201">
        <f t="shared" si="1"/>
        <v>0.16700226116655803</v>
      </c>
      <c r="J4" s="201">
        <f t="shared" si="1"/>
        <v>0.16700226116655803</v>
      </c>
      <c r="K4" s="199"/>
      <c r="L4" s="199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12</v>
      </c>
      <c r="E6" s="27"/>
      <c r="F6" s="4">
        <f>E9</f>
        <v>341748</v>
      </c>
      <c r="G6" s="4">
        <f t="shared" ref="G6:J6" si="2">F9</f>
        <v>355775.25901226746</v>
      </c>
      <c r="H6" s="4">
        <f t="shared" si="2"/>
        <v>377058.42699930846</v>
      </c>
      <c r="I6" s="4">
        <f t="shared" si="2"/>
        <v>406085.03950701497</v>
      </c>
      <c r="J6" s="4">
        <f t="shared" si="2"/>
        <v>443603.59434116102</v>
      </c>
    </row>
    <row r="7" spans="1:13" x14ac:dyDescent="0.25">
      <c r="B7" s="4" t="s">
        <v>13</v>
      </c>
      <c r="C7" s="12"/>
      <c r="D7" s="12"/>
      <c r="E7" s="128"/>
      <c r="F7" s="4">
        <f>F3*IncState!F15</f>
        <v>71099.947761416304</v>
      </c>
      <c r="G7" s="4">
        <f>G3*IncState!G15</f>
        <v>80698.440709207513</v>
      </c>
      <c r="H7" s="4">
        <f>H3*IncState!H15</f>
        <v>91996.222408496571</v>
      </c>
      <c r="I7" s="4">
        <f>I3*IncState!I15</f>
        <v>105335.67465772857</v>
      </c>
      <c r="J7" s="4">
        <f>J3*IncState!J15</f>
        <v>121136.02585638785</v>
      </c>
    </row>
    <row r="8" spans="1:13" x14ac:dyDescent="0.25">
      <c r="B8" s="4" t="s">
        <v>14</v>
      </c>
      <c r="E8" s="27"/>
      <c r="F8" s="4">
        <f>F6*F4</f>
        <v>57072.688749148874</v>
      </c>
      <c r="G8" s="4">
        <f t="shared" ref="G8:J8" si="3">G6*G4</f>
        <v>59415.272722166519</v>
      </c>
      <c r="H8" s="4">
        <f t="shared" si="3"/>
        <v>62969.60990079007</v>
      </c>
      <c r="I8" s="4">
        <f t="shared" si="3"/>
        <v>67817.119823582543</v>
      </c>
      <c r="J8" s="4">
        <f t="shared" si="3"/>
        <v>74082.803316586433</v>
      </c>
    </row>
    <row r="9" spans="1:13" x14ac:dyDescent="0.25">
      <c r="B9" s="4" t="s">
        <v>15</v>
      </c>
      <c r="E9" s="27">
        <f>BalSheet!E22</f>
        <v>341748</v>
      </c>
      <c r="F9" s="4">
        <f>F6+F7-F8</f>
        <v>355775.25901226746</v>
      </c>
      <c r="G9" s="4">
        <f t="shared" ref="G9:J9" si="4">G6+G7-G8</f>
        <v>377058.42699930846</v>
      </c>
      <c r="H9" s="4">
        <f t="shared" si="4"/>
        <v>406085.03950701497</v>
      </c>
      <c r="I9" s="4">
        <f t="shared" si="4"/>
        <v>443603.59434116102</v>
      </c>
      <c r="J9" s="4">
        <f t="shared" si="4"/>
        <v>490656.81688096246</v>
      </c>
    </row>
    <row r="10" spans="1:13" x14ac:dyDescent="0.25">
      <c r="A10" s="20" t="s">
        <v>16</v>
      </c>
      <c r="B10" s="42"/>
      <c r="C10" s="233">
        <f t="shared" ref="C10:J10" si="5">C2</f>
        <v>2022</v>
      </c>
      <c r="D10" s="233">
        <f t="shared" si="5"/>
        <v>2023</v>
      </c>
      <c r="E10" s="233">
        <f t="shared" si="5"/>
        <v>2024</v>
      </c>
      <c r="F10" s="233">
        <f t="shared" si="5"/>
        <v>2025</v>
      </c>
      <c r="G10" s="233">
        <f t="shared" ref="G10:J10" si="6">G2</f>
        <v>2026</v>
      </c>
      <c r="H10" s="233">
        <f t="shared" si="6"/>
        <v>2027</v>
      </c>
      <c r="I10" s="233">
        <f t="shared" si="6"/>
        <v>2028</v>
      </c>
      <c r="J10" s="233">
        <f t="shared" si="6"/>
        <v>2029</v>
      </c>
      <c r="K10" s="194"/>
      <c r="L10" s="194"/>
    </row>
    <row r="11" spans="1:13" x14ac:dyDescent="0.25">
      <c r="B11" s="4" t="s">
        <v>17</v>
      </c>
      <c r="E11" s="27"/>
      <c r="F11" s="255">
        <f>Assumptions!F33</f>
        <v>0</v>
      </c>
      <c r="G11" s="255">
        <f>Assumptions!G33</f>
        <v>0</v>
      </c>
      <c r="H11" s="255">
        <f>Assumptions!H33</f>
        <v>0</v>
      </c>
      <c r="I11" s="255">
        <f>Assumptions!I33</f>
        <v>0</v>
      </c>
      <c r="J11" s="255">
        <f>Assumptions!J33</f>
        <v>0</v>
      </c>
      <c r="K11" s="200"/>
      <c r="L11" s="200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18</v>
      </c>
      <c r="E13" s="27"/>
      <c r="F13" s="4">
        <f>E16</f>
        <v>340073</v>
      </c>
      <c r="G13" s="4">
        <f t="shared" ref="G13:J13" si="7">F16</f>
        <v>351062.42712750006</v>
      </c>
      <c r="H13" s="4">
        <f t="shared" si="7"/>
        <v>406518.34173092502</v>
      </c>
      <c r="I13" s="4">
        <f t="shared" si="7"/>
        <v>518738.60726646171</v>
      </c>
      <c r="J13" s="4">
        <f t="shared" si="7"/>
        <v>703336.41001099022</v>
      </c>
    </row>
    <row r="14" spans="1:13" x14ac:dyDescent="0.25">
      <c r="B14" s="4" t="s">
        <v>19</v>
      </c>
      <c r="E14" s="27"/>
      <c r="F14" s="4">
        <f>IncState!F33</f>
        <v>10989.427127500045</v>
      </c>
      <c r="G14" s="4">
        <f>IncState!G33</f>
        <v>55455.914603424972</v>
      </c>
      <c r="H14" s="4">
        <f>IncState!H33</f>
        <v>112220.26553553672</v>
      </c>
      <c r="I14" s="4">
        <f>IncState!I33</f>
        <v>184597.80274452851</v>
      </c>
      <c r="J14" s="4">
        <f>IncState!J33</f>
        <v>276808.91166849743</v>
      </c>
    </row>
    <row r="15" spans="1:13" x14ac:dyDescent="0.25">
      <c r="B15" s="4" t="s">
        <v>20</v>
      </c>
      <c r="E15" s="27"/>
      <c r="F15" s="4">
        <f>F11</f>
        <v>0</v>
      </c>
      <c r="G15" s="4">
        <f t="shared" ref="G15:J15" si="8">G11</f>
        <v>0</v>
      </c>
      <c r="H15" s="4">
        <f t="shared" si="8"/>
        <v>0</v>
      </c>
      <c r="I15" s="4">
        <f t="shared" si="8"/>
        <v>0</v>
      </c>
      <c r="J15" s="4">
        <f t="shared" si="8"/>
        <v>0</v>
      </c>
    </row>
    <row r="16" spans="1:13" x14ac:dyDescent="0.25">
      <c r="B16" s="4" t="s">
        <v>21</v>
      </c>
      <c r="E16" s="27">
        <f>BalSheet!E37</f>
        <v>340073</v>
      </c>
      <c r="F16" s="4">
        <f>SUM(F13:F15)</f>
        <v>351062.42712750006</v>
      </c>
      <c r="G16" s="4">
        <f t="shared" ref="G16:J16" si="9">SUM(G13:G15)</f>
        <v>406518.34173092502</v>
      </c>
      <c r="H16" s="4">
        <f t="shared" si="9"/>
        <v>518738.60726646171</v>
      </c>
      <c r="I16" s="4">
        <f t="shared" si="9"/>
        <v>703336.41001099022</v>
      </c>
      <c r="J16" s="4">
        <f t="shared" si="9"/>
        <v>980145.32167948759</v>
      </c>
    </row>
    <row r="17" spans="1:12" x14ac:dyDescent="0.25">
      <c r="A17" s="20" t="s">
        <v>22</v>
      </c>
      <c r="B17" s="42"/>
      <c r="C17" s="233">
        <f>C10</f>
        <v>2022</v>
      </c>
      <c r="D17" s="233">
        <f t="shared" ref="D17:J17" si="10">D10</f>
        <v>2023</v>
      </c>
      <c r="E17" s="233">
        <f t="shared" si="10"/>
        <v>2024</v>
      </c>
      <c r="F17" s="233">
        <f t="shared" si="10"/>
        <v>2025</v>
      </c>
      <c r="G17" s="233">
        <f t="shared" ref="G17:J17" si="11">G10</f>
        <v>2026</v>
      </c>
      <c r="H17" s="233">
        <f t="shared" si="11"/>
        <v>2027</v>
      </c>
      <c r="I17" s="233">
        <f t="shared" si="11"/>
        <v>2028</v>
      </c>
      <c r="J17" s="233">
        <f t="shared" si="11"/>
        <v>2029</v>
      </c>
      <c r="K17" s="194"/>
      <c r="L17" s="194"/>
    </row>
    <row r="18" spans="1:12" x14ac:dyDescent="0.25">
      <c r="A18" s="87"/>
      <c r="B18" s="171" t="s">
        <v>155</v>
      </c>
      <c r="C18" s="194"/>
      <c r="D18" s="194"/>
      <c r="E18" s="215">
        <f>BalSheet!E15</f>
        <v>38565.75</v>
      </c>
      <c r="F18" s="267">
        <f>BalSheet!F15</f>
        <v>43579.297500000001</v>
      </c>
      <c r="G18" s="267">
        <f>BalSheet!G15</f>
        <v>49462.502662500003</v>
      </c>
      <c r="H18" s="267">
        <f>BalSheet!H15</f>
        <v>56387.253035250003</v>
      </c>
      <c r="I18" s="267">
        <f>BalSheet!I15</f>
        <v>64563.404725361259</v>
      </c>
      <c r="J18" s="267">
        <f>BalSheet!J15</f>
        <v>74247.915434165436</v>
      </c>
      <c r="K18" s="194"/>
      <c r="L18" s="194"/>
    </row>
    <row r="19" spans="1:12" x14ac:dyDescent="0.25">
      <c r="B19" s="4" t="str">
        <f>BalSheet!B18</f>
        <v>Inventories</v>
      </c>
      <c r="D19" s="98"/>
      <c r="E19" s="99">
        <f>BalSheet!E17</f>
        <v>1948</v>
      </c>
      <c r="F19" s="268">
        <f>BalSheet!F17</f>
        <v>2201.2399999999998</v>
      </c>
      <c r="G19" s="268">
        <f>BalSheet!G17</f>
        <v>2498.4074000000001</v>
      </c>
      <c r="H19" s="268">
        <f>BalSheet!H17</f>
        <v>2848.184436</v>
      </c>
      <c r="I19" s="268">
        <f>BalSheet!I17</f>
        <v>3261.1711792199999</v>
      </c>
      <c r="J19" s="268">
        <f>BalSheet!J17</f>
        <v>3750.3468561029999</v>
      </c>
      <c r="K19" s="98"/>
      <c r="L19" s="98"/>
    </row>
    <row r="20" spans="1:12" x14ac:dyDescent="0.25">
      <c r="B20" s="4" t="str">
        <f>BalSheet!B17</f>
        <v>Accounts receivable</v>
      </c>
      <c r="C20" s="98"/>
      <c r="D20" s="98"/>
      <c r="E20" s="99">
        <f>BalSheet!E18</f>
        <v>52345</v>
      </c>
      <c r="F20" s="268">
        <f>BalSheet!F18</f>
        <v>58487.648506263766</v>
      </c>
      <c r="G20" s="268">
        <f>BalSheet!G18</f>
        <v>65631.882359218755</v>
      </c>
      <c r="H20" s="268">
        <f>BalSheet!H18</f>
        <v>73963.523376764089</v>
      </c>
      <c r="I20" s="268">
        <f>BalSheet!I18</f>
        <v>83707.172489301491</v>
      </c>
      <c r="J20" s="268">
        <f>BalSheet!J18</f>
        <v>95135.027319039349</v>
      </c>
      <c r="K20" s="98"/>
      <c r="L20" s="98"/>
    </row>
    <row r="21" spans="1:12" x14ac:dyDescent="0.25">
      <c r="B21" s="4" t="s">
        <v>69</v>
      </c>
      <c r="C21" s="98"/>
      <c r="D21" s="98"/>
      <c r="E21" s="99">
        <f>BalSheet!E19</f>
        <v>17592</v>
      </c>
      <c r="F21" s="268">
        <f>BalSheet!F19</f>
        <v>19878.96</v>
      </c>
      <c r="G21" s="268">
        <f>BalSheet!G19</f>
        <v>22562.619599999998</v>
      </c>
      <c r="H21" s="268">
        <f>BalSheet!H19</f>
        <v>25721.386343999999</v>
      </c>
      <c r="I21" s="268">
        <f>BalSheet!I19</f>
        <v>29450.987363880002</v>
      </c>
      <c r="J21" s="268">
        <f>BalSheet!J19</f>
        <v>33868.635468462002</v>
      </c>
      <c r="K21" s="98"/>
      <c r="L21" s="98"/>
    </row>
    <row r="22" spans="1:12" x14ac:dyDescent="0.25">
      <c r="B22" s="4" t="s">
        <v>158</v>
      </c>
      <c r="C22" s="98"/>
      <c r="D22" s="98"/>
      <c r="E22" s="99">
        <f>BalSheet!E29</f>
        <v>75128</v>
      </c>
      <c r="F22" s="268">
        <f>BalSheet!F29</f>
        <v>83944.217346042293</v>
      </c>
      <c r="G22" s="268">
        <f>BalSheet!G29</f>
        <v>94197.956975516034</v>
      </c>
      <c r="H22" s="268">
        <f>BalSheet!H29</f>
        <v>106155.91908013243</v>
      </c>
      <c r="I22" s="268">
        <f>BalSheet!I29</f>
        <v>120140.46145336216</v>
      </c>
      <c r="J22" s="268">
        <f>BalSheet!J29</f>
        <v>136542.25489396861</v>
      </c>
      <c r="K22" s="98"/>
      <c r="L22" s="98"/>
    </row>
    <row r="23" spans="1:12" x14ac:dyDescent="0.25">
      <c r="B23" s="4" t="s">
        <v>75</v>
      </c>
      <c r="C23" s="98"/>
      <c r="D23" s="98"/>
      <c r="E23" s="99">
        <f>BalSheet!E30</f>
        <v>55226</v>
      </c>
      <c r="F23" s="268">
        <f>BalSheet!F30</f>
        <v>62405.38</v>
      </c>
      <c r="G23" s="268">
        <f>BalSheet!G30</f>
        <v>70830.106299999999</v>
      </c>
      <c r="H23" s="268">
        <f>BalSheet!H30</f>
        <v>80746.321182000014</v>
      </c>
      <c r="I23" s="268">
        <f>BalSheet!I30</f>
        <v>92454.537753390003</v>
      </c>
      <c r="J23" s="268">
        <f>BalSheet!J30</f>
        <v>106322.71841639851</v>
      </c>
      <c r="K23" s="98"/>
      <c r="L23" s="98"/>
    </row>
    <row r="24" spans="1:12" x14ac:dyDescent="0.25">
      <c r="A24" s="11" t="s">
        <v>122</v>
      </c>
      <c r="B24" s="17" t="s">
        <v>22</v>
      </c>
      <c r="C24" s="18"/>
      <c r="D24" s="18"/>
      <c r="E24" s="18">
        <f>SUM(E18:E21)-SUM(E22:E23)</f>
        <v>-19903.25</v>
      </c>
      <c r="F24" s="18">
        <f>SUM(F18:F21)-SUM(F22:F23)</f>
        <v>-22202.451339778519</v>
      </c>
      <c r="G24" s="18">
        <f t="shared" ref="G24:J24" si="12">SUM(G18:G21)-SUM(G22:G23)</f>
        <v>-24872.651253797289</v>
      </c>
      <c r="H24" s="18">
        <f t="shared" si="12"/>
        <v>-27981.893070118327</v>
      </c>
      <c r="I24" s="18">
        <f t="shared" si="12"/>
        <v>-31612.263448989397</v>
      </c>
      <c r="J24" s="18">
        <f t="shared" si="12"/>
        <v>-35863.048232597328</v>
      </c>
      <c r="K24" s="11"/>
      <c r="L24" s="11"/>
    </row>
    <row r="25" spans="1:12" s="11" customFormat="1" x14ac:dyDescent="0.25">
      <c r="A25" s="24"/>
      <c r="B25" s="11" t="s">
        <v>147</v>
      </c>
      <c r="F25" s="11">
        <f>E24-F24</f>
        <v>2299.2013397785195</v>
      </c>
      <c r="G25" s="11">
        <f t="shared" ref="G25:J25" si="13">F24-G24</f>
        <v>2670.1999140187691</v>
      </c>
      <c r="H25" s="11">
        <f t="shared" si="13"/>
        <v>3109.2418163210386</v>
      </c>
      <c r="I25" s="11">
        <f t="shared" si="13"/>
        <v>3630.37037887107</v>
      </c>
      <c r="J25" s="11">
        <f t="shared" si="13"/>
        <v>4250.7847836079309</v>
      </c>
    </row>
    <row r="26" spans="1:12" x14ac:dyDescent="0.25">
      <c r="B26" s="66"/>
      <c r="C26" s="66"/>
      <c r="D26" s="66"/>
      <c r="E26" s="66"/>
      <c r="F26" s="66"/>
      <c r="G26" s="66"/>
      <c r="H26" s="84"/>
      <c r="I26" s="66"/>
      <c r="J26" s="66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10" sqref="F10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9</v>
      </c>
      <c r="B2" s="193"/>
      <c r="C2" s="262">
        <v>2022</v>
      </c>
      <c r="D2" s="262">
        <f>C2</f>
        <v>2022</v>
      </c>
      <c r="E2" s="262">
        <f t="shared" ref="E2:J2" si="0">D2</f>
        <v>2022</v>
      </c>
      <c r="F2" s="262">
        <f t="shared" si="0"/>
        <v>2022</v>
      </c>
      <c r="G2" s="262">
        <f t="shared" si="0"/>
        <v>2022</v>
      </c>
      <c r="H2" s="262">
        <f t="shared" si="0"/>
        <v>2022</v>
      </c>
      <c r="I2" s="262">
        <f t="shared" si="0"/>
        <v>2022</v>
      </c>
      <c r="J2" s="262">
        <f t="shared" si="0"/>
        <v>2022</v>
      </c>
      <c r="K2" s="202"/>
      <c r="L2" s="202"/>
    </row>
    <row r="3" spans="1:13" s="2" customFormat="1" x14ac:dyDescent="0.25">
      <c r="A3" s="87"/>
      <c r="B3" s="11"/>
      <c r="C3" s="194"/>
      <c r="D3" s="194"/>
      <c r="E3" s="194"/>
      <c r="F3" s="194"/>
      <c r="G3" s="194"/>
      <c r="H3" s="194"/>
      <c r="I3" s="194"/>
      <c r="J3" s="194"/>
      <c r="K3" s="202"/>
      <c r="L3" s="202"/>
    </row>
    <row r="4" spans="1:13" s="2" customFormat="1" x14ac:dyDescent="0.25">
      <c r="A4" s="11"/>
      <c r="B4" s="4" t="s">
        <v>23</v>
      </c>
      <c r="C4" s="30"/>
      <c r="D4" s="56"/>
      <c r="E4" s="60"/>
      <c r="F4" s="111">
        <f>Assumptions!F22</f>
        <v>0.05</v>
      </c>
      <c r="G4" s="111">
        <f>Assumptions!G22</f>
        <v>0.05</v>
      </c>
      <c r="H4" s="111">
        <f>Assumptions!H22</f>
        <v>0.05</v>
      </c>
      <c r="I4" s="111">
        <f>Assumptions!I22</f>
        <v>0.05</v>
      </c>
      <c r="J4" s="111">
        <f>Assumptions!J22</f>
        <v>0.05</v>
      </c>
      <c r="K4" s="29"/>
      <c r="L4" s="29"/>
    </row>
    <row r="5" spans="1:13" s="2" customFormat="1" x14ac:dyDescent="0.25">
      <c r="A5" s="11"/>
      <c r="B5" s="4" t="s">
        <v>24</v>
      </c>
      <c r="C5" s="30"/>
      <c r="D5" s="57"/>
      <c r="E5" s="61"/>
      <c r="F5" s="111">
        <f>Assumptions!F23</f>
        <v>0.05</v>
      </c>
      <c r="G5" s="111">
        <f>Assumptions!G23</f>
        <v>0.05</v>
      </c>
      <c r="H5" s="111">
        <f>Assumptions!H23</f>
        <v>0.05</v>
      </c>
      <c r="I5" s="111">
        <f>Assumptions!I23</f>
        <v>0.05</v>
      </c>
      <c r="J5" s="111">
        <f>Assumptions!J23</f>
        <v>0.05</v>
      </c>
      <c r="K5" s="29"/>
      <c r="L5" s="29"/>
    </row>
    <row r="6" spans="1:13" s="2" customFormat="1" x14ac:dyDescent="0.25">
      <c r="A6" s="11"/>
      <c r="B6" s="4" t="s">
        <v>25</v>
      </c>
      <c r="C6" s="30"/>
      <c r="D6" s="56"/>
      <c r="E6" s="60"/>
      <c r="F6" s="111">
        <f>Assumptions!F24</f>
        <v>4.1694044326234157E-2</v>
      </c>
      <c r="G6" s="111">
        <f>Assumptions!G24</f>
        <v>4.1694044326234157E-2</v>
      </c>
      <c r="H6" s="111">
        <f>Assumptions!H24</f>
        <v>4.1694044326234157E-2</v>
      </c>
      <c r="I6" s="111">
        <f>Assumptions!I24</f>
        <v>4.1694044326234157E-2</v>
      </c>
      <c r="J6" s="111">
        <f>Assumptions!J24</f>
        <v>4.1694044326234157E-2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3"/>
      <c r="L7" s="203"/>
    </row>
    <row r="8" spans="1:13" s="2" customFormat="1" x14ac:dyDescent="0.25">
      <c r="A8" s="11"/>
      <c r="B8" s="4" t="s">
        <v>26</v>
      </c>
      <c r="C8" s="30"/>
      <c r="D8" s="58"/>
      <c r="E8" s="62"/>
      <c r="F8" s="112">
        <f>Assumptions!F26</f>
        <v>0</v>
      </c>
      <c r="G8" s="112">
        <f>Assumptions!G26</f>
        <v>0</v>
      </c>
      <c r="H8" s="112">
        <f>Assumptions!H26</f>
        <v>0</v>
      </c>
      <c r="I8" s="112">
        <f>Assumptions!I26</f>
        <v>0</v>
      </c>
      <c r="J8" s="112">
        <f>Assumptions!J26</f>
        <v>0</v>
      </c>
      <c r="K8" s="204"/>
      <c r="L8" s="204"/>
    </row>
    <row r="9" spans="1:13" s="2" customFormat="1" x14ac:dyDescent="0.25">
      <c r="A9" s="11"/>
      <c r="B9" s="4" t="s">
        <v>27</v>
      </c>
      <c r="C9" s="30"/>
      <c r="D9" s="58"/>
      <c r="E9" s="62"/>
      <c r="F9" s="112">
        <f>Assumptions!F27</f>
        <v>0</v>
      </c>
      <c r="G9" s="112">
        <f>Assumptions!G27</f>
        <v>0</v>
      </c>
      <c r="H9" s="112">
        <f>Assumptions!H27</f>
        <v>0</v>
      </c>
      <c r="I9" s="112">
        <f>Assumptions!I27</f>
        <v>0</v>
      </c>
      <c r="J9" s="112">
        <f>Assumptions!J27</f>
        <v>0</v>
      </c>
      <c r="K9" s="204"/>
      <c r="L9" s="204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28</v>
      </c>
      <c r="B11" s="54"/>
      <c r="C11" s="253">
        <f>C2</f>
        <v>2022</v>
      </c>
      <c r="D11" s="253">
        <f t="shared" ref="D11:J11" si="1">D2</f>
        <v>2022</v>
      </c>
      <c r="E11" s="253">
        <f t="shared" si="1"/>
        <v>2022</v>
      </c>
      <c r="F11" s="253">
        <f t="shared" si="1"/>
        <v>2022</v>
      </c>
      <c r="G11" s="253">
        <f t="shared" si="1"/>
        <v>2022</v>
      </c>
      <c r="H11" s="253">
        <f t="shared" si="1"/>
        <v>2022</v>
      </c>
      <c r="I11" s="253">
        <f t="shared" si="1"/>
        <v>2022</v>
      </c>
      <c r="J11" s="253">
        <f t="shared" si="1"/>
        <v>2022</v>
      </c>
      <c r="K11" s="205"/>
      <c r="L11" s="205"/>
      <c r="M11" s="47"/>
    </row>
    <row r="12" spans="1:13" x14ac:dyDescent="0.25">
      <c r="B12" s="4" t="s">
        <v>29</v>
      </c>
      <c r="E12" s="27"/>
      <c r="I12" s="4"/>
      <c r="J12" s="4"/>
      <c r="M12" s="47"/>
    </row>
    <row r="13" spans="1:13" x14ac:dyDescent="0.25">
      <c r="B13" s="4" t="s">
        <v>30</v>
      </c>
      <c r="E13" s="28"/>
      <c r="I13" s="4"/>
      <c r="J13" s="4"/>
      <c r="M13" s="47"/>
    </row>
    <row r="14" spans="1:13" x14ac:dyDescent="0.25">
      <c r="B14" s="4" t="s">
        <v>31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61" t="s">
        <v>32</v>
      </c>
      <c r="B16" s="19"/>
      <c r="C16" s="253">
        <f t="shared" ref="C16:J16" si="2">C11</f>
        <v>2022</v>
      </c>
      <c r="D16" s="253">
        <f t="shared" si="2"/>
        <v>2022</v>
      </c>
      <c r="E16" s="253">
        <f t="shared" si="2"/>
        <v>2022</v>
      </c>
      <c r="F16" s="253">
        <f t="shared" si="2"/>
        <v>2022</v>
      </c>
      <c r="G16" s="253">
        <f t="shared" si="2"/>
        <v>2022</v>
      </c>
      <c r="H16" s="253">
        <f t="shared" si="2"/>
        <v>2022</v>
      </c>
      <c r="I16" s="253">
        <f t="shared" si="2"/>
        <v>2022</v>
      </c>
      <c r="J16" s="253">
        <f t="shared" si="2"/>
        <v>2022</v>
      </c>
      <c r="K16" s="202"/>
      <c r="L16" s="202"/>
      <c r="M16" s="47"/>
    </row>
    <row r="17" spans="1:13" x14ac:dyDescent="0.25">
      <c r="B17" s="4" t="s">
        <v>18</v>
      </c>
      <c r="E17" s="27"/>
      <c r="I17" s="4"/>
      <c r="J17" s="4"/>
      <c r="M17" s="47"/>
    </row>
    <row r="18" spans="1:13" x14ac:dyDescent="0.25">
      <c r="B18" s="4" t="s">
        <v>33</v>
      </c>
      <c r="E18" s="27"/>
      <c r="I18" s="4"/>
      <c r="J18" s="4"/>
      <c r="M18" s="47"/>
    </row>
    <row r="19" spans="1:13" x14ac:dyDescent="0.25">
      <c r="B19" s="4" t="s">
        <v>34</v>
      </c>
      <c r="E19" s="27"/>
      <c r="I19" s="4"/>
      <c r="J19" s="4"/>
    </row>
    <row r="20" spans="1:13" x14ac:dyDescent="0.25">
      <c r="B20" s="4" t="s">
        <v>21</v>
      </c>
      <c r="C20" s="10"/>
      <c r="E20" s="27"/>
      <c r="I20" s="4"/>
      <c r="J20" s="4"/>
    </row>
    <row r="21" spans="1:13" x14ac:dyDescent="0.25">
      <c r="B21" s="4" t="s">
        <v>30</v>
      </c>
      <c r="D21" s="48"/>
      <c r="E21" s="27"/>
      <c r="F21" s="8"/>
      <c r="G21" s="8"/>
      <c r="H21" s="8"/>
      <c r="I21" s="8"/>
      <c r="J21" s="8"/>
    </row>
    <row r="22" spans="1:13" x14ac:dyDescent="0.25">
      <c r="B22" s="4" t="s">
        <v>31</v>
      </c>
      <c r="E22" s="27"/>
      <c r="I22" s="4"/>
      <c r="J22" s="4"/>
    </row>
    <row r="23" spans="1:13" x14ac:dyDescent="0.25">
      <c r="E23" s="27"/>
      <c r="I23" s="4"/>
      <c r="J23" s="4"/>
    </row>
    <row r="24" spans="1:13" x14ac:dyDescent="0.25">
      <c r="A24" s="20" t="s">
        <v>35</v>
      </c>
      <c r="B24" s="42"/>
      <c r="C24" s="253">
        <f>C16</f>
        <v>2022</v>
      </c>
      <c r="D24" s="253">
        <f t="shared" ref="D24:J24" si="3">D16</f>
        <v>2022</v>
      </c>
      <c r="E24" s="253">
        <f t="shared" si="3"/>
        <v>2022</v>
      </c>
      <c r="F24" s="253">
        <f t="shared" si="3"/>
        <v>2022</v>
      </c>
      <c r="G24" s="253">
        <f t="shared" si="3"/>
        <v>2022</v>
      </c>
      <c r="H24" s="253">
        <f t="shared" si="3"/>
        <v>2022</v>
      </c>
      <c r="I24" s="253">
        <f t="shared" si="3"/>
        <v>2022</v>
      </c>
      <c r="J24" s="253">
        <f t="shared" si="3"/>
        <v>2022</v>
      </c>
      <c r="K24" s="202"/>
      <c r="L24" s="202"/>
    </row>
    <row r="25" spans="1:13" x14ac:dyDescent="0.25">
      <c r="A25" s="7"/>
      <c r="B25" s="4" t="s">
        <v>28</v>
      </c>
      <c r="E25" s="27"/>
      <c r="I25" s="4"/>
      <c r="J25" s="4"/>
    </row>
    <row r="26" spans="1:13" x14ac:dyDescent="0.25">
      <c r="A26" s="7"/>
      <c r="B26" s="4" t="s">
        <v>36</v>
      </c>
      <c r="E26" s="27"/>
      <c r="I26" s="4"/>
      <c r="J26" s="4"/>
    </row>
    <row r="27" spans="1:13" x14ac:dyDescent="0.25">
      <c r="A27" s="7"/>
      <c r="B27" s="11" t="s">
        <v>37</v>
      </c>
      <c r="D27" s="11"/>
      <c r="E27" s="24"/>
      <c r="F27" s="11"/>
      <c r="G27" s="11"/>
      <c r="H27" s="11"/>
      <c r="I27" s="11"/>
      <c r="J27" s="11"/>
      <c r="K27" s="11"/>
      <c r="L27" s="11"/>
    </row>
    <row r="28" spans="1:13" x14ac:dyDescent="0.25">
      <c r="A28" s="7"/>
      <c r="B28" s="4" t="s">
        <v>38</v>
      </c>
      <c r="E28" s="27"/>
      <c r="I28" s="4"/>
      <c r="J28" s="4"/>
    </row>
    <row r="29" spans="1:13" x14ac:dyDescent="0.25">
      <c r="A29" s="7"/>
      <c r="E29" s="27"/>
      <c r="I29" s="4"/>
      <c r="J29" s="4"/>
    </row>
    <row r="30" spans="1:13" x14ac:dyDescent="0.25">
      <c r="A30" s="20" t="s">
        <v>39</v>
      </c>
      <c r="B30" s="42"/>
      <c r="C30" s="253">
        <f>C11</f>
        <v>2022</v>
      </c>
      <c r="D30" s="253">
        <f t="shared" ref="D30:J30" si="4">D11</f>
        <v>2022</v>
      </c>
      <c r="E30" s="253">
        <f t="shared" si="4"/>
        <v>2022</v>
      </c>
      <c r="F30" s="253">
        <f t="shared" si="4"/>
        <v>2022</v>
      </c>
      <c r="G30" s="253">
        <f t="shared" si="4"/>
        <v>2022</v>
      </c>
      <c r="H30" s="253">
        <f t="shared" si="4"/>
        <v>2022</v>
      </c>
      <c r="I30" s="253">
        <f t="shared" si="4"/>
        <v>2022</v>
      </c>
      <c r="J30" s="253">
        <f t="shared" si="4"/>
        <v>2022</v>
      </c>
      <c r="K30" s="202"/>
      <c r="L30" s="202"/>
    </row>
    <row r="31" spans="1:13" x14ac:dyDescent="0.25">
      <c r="A31" s="7"/>
      <c r="B31" s="4" t="s">
        <v>164</v>
      </c>
      <c r="E31" s="27"/>
      <c r="I31" s="4"/>
      <c r="J31" s="4"/>
    </row>
    <row r="32" spans="1:13" x14ac:dyDescent="0.25">
      <c r="B32" s="4" t="s">
        <v>30</v>
      </c>
      <c r="D32" s="48"/>
      <c r="E32" s="23"/>
      <c r="F32" s="5"/>
      <c r="G32" s="5"/>
      <c r="H32" s="5"/>
      <c r="I32" s="5"/>
      <c r="J32" s="5"/>
      <c r="K32" s="170"/>
      <c r="L32" s="170"/>
    </row>
    <row r="33" spans="2:10" x14ac:dyDescent="0.25">
      <c r="B33" s="4" t="s">
        <v>39</v>
      </c>
      <c r="E33" s="27"/>
      <c r="I33" s="4"/>
      <c r="J33" s="4"/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0"/>
  <sheetViews>
    <sheetView showGridLines="0" topLeftCell="A14" zoomScaleNormal="100" workbookViewId="0">
      <selection activeCell="F15" sqref="F15:J3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9</v>
      </c>
      <c r="B2" s="15"/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41</v>
      </c>
      <c r="C4" s="31"/>
      <c r="D4" s="31"/>
      <c r="E4" s="32"/>
      <c r="F4" s="174">
        <f>Assumptions!F10</f>
        <v>0.13</v>
      </c>
      <c r="G4" s="174">
        <f>Assumptions!G10</f>
        <v>0.13500000000000001</v>
      </c>
      <c r="H4" s="174">
        <f>Assumptions!H10</f>
        <v>0.14000000000000001</v>
      </c>
      <c r="I4" s="174">
        <f>Assumptions!I10</f>
        <v>0.14500000000000002</v>
      </c>
      <c r="J4" s="174">
        <f>Assumptions!J10</f>
        <v>0.15000000000000002</v>
      </c>
      <c r="K4" s="207"/>
      <c r="L4" s="207"/>
    </row>
    <row r="5" spans="1:12" x14ac:dyDescent="0.25">
      <c r="B5" s="30" t="s">
        <v>42</v>
      </c>
      <c r="C5" s="31"/>
      <c r="D5" s="31"/>
      <c r="E5" s="31"/>
      <c r="F5" s="174">
        <f>Assumptions!F11</f>
        <v>0.44161519612609634</v>
      </c>
      <c r="G5" s="174">
        <f>Assumptions!G11</f>
        <v>0.43661519612609634</v>
      </c>
      <c r="H5" s="174">
        <f>Assumptions!H11</f>
        <v>0.43161519612609633</v>
      </c>
      <c r="I5" s="174">
        <f>Assumptions!I11</f>
        <v>0.42661519612609633</v>
      </c>
      <c r="J5" s="174">
        <f>Assumptions!J11</f>
        <v>0.42161519612609633</v>
      </c>
      <c r="K5" s="207"/>
      <c r="L5" s="207"/>
    </row>
    <row r="6" spans="1:12" x14ac:dyDescent="0.25">
      <c r="B6" s="30" t="s">
        <v>43</v>
      </c>
      <c r="C6" s="31"/>
      <c r="D6" s="31"/>
      <c r="E6" s="31"/>
      <c r="F6" s="174">
        <f>Assumptions!F12</f>
        <v>0.54242462547726933</v>
      </c>
      <c r="G6" s="174">
        <f>Assumptions!G12</f>
        <v>0.49242462547726934</v>
      </c>
      <c r="H6" s="174">
        <f>Assumptions!H12</f>
        <v>0.44242462547726935</v>
      </c>
      <c r="I6" s="174">
        <f>Assumptions!I12</f>
        <v>0.39242462547726936</v>
      </c>
      <c r="J6" s="174">
        <f>Assumptions!J12</f>
        <v>0.34242462547726937</v>
      </c>
      <c r="K6" s="207"/>
      <c r="L6" s="207"/>
    </row>
    <row r="7" spans="1:12" x14ac:dyDescent="0.25">
      <c r="A7" s="87"/>
      <c r="B7" s="4" t="s">
        <v>44</v>
      </c>
      <c r="C7" s="30"/>
      <c r="D7" s="30"/>
      <c r="E7" s="30"/>
      <c r="F7" s="175">
        <f>Assumptions!F13</f>
        <v>0</v>
      </c>
      <c r="G7" s="175">
        <f>Assumptions!G13</f>
        <v>0</v>
      </c>
      <c r="H7" s="175">
        <f>Assumptions!H13</f>
        <v>0</v>
      </c>
      <c r="I7" s="175">
        <f>Assumptions!I13</f>
        <v>0</v>
      </c>
      <c r="J7" s="175">
        <f>Assumptions!J13</f>
        <v>0</v>
      </c>
      <c r="K7" s="208"/>
      <c r="L7" s="208"/>
    </row>
    <row r="8" spans="1:12" x14ac:dyDescent="0.25">
      <c r="A8" s="87"/>
      <c r="B8" s="4" t="s">
        <v>45</v>
      </c>
      <c r="C8" s="30"/>
      <c r="D8" s="30"/>
      <c r="E8" s="30"/>
      <c r="F8" s="176">
        <f>Assumptions!F14</f>
        <v>0</v>
      </c>
      <c r="G8" s="176">
        <f>Assumptions!G14</f>
        <v>0</v>
      </c>
      <c r="H8" s="176">
        <f>Assumptions!H14</f>
        <v>0</v>
      </c>
      <c r="I8" s="176">
        <f>Assumptions!I14</f>
        <v>0</v>
      </c>
      <c r="J8" s="176">
        <f>Assumptions!J14</f>
        <v>0</v>
      </c>
      <c r="K8" s="209"/>
      <c r="L8" s="209"/>
    </row>
    <row r="9" spans="1:12" x14ac:dyDescent="0.25">
      <c r="B9" s="4" t="s">
        <v>142</v>
      </c>
      <c r="F9" s="176">
        <f>Assumptions!F15</f>
        <v>0</v>
      </c>
      <c r="G9" s="176">
        <f>Assumptions!G15</f>
        <v>0</v>
      </c>
      <c r="H9" s="176">
        <f>Assumptions!H15</f>
        <v>0</v>
      </c>
      <c r="I9" s="176">
        <f>Assumptions!I15</f>
        <v>0</v>
      </c>
      <c r="J9" s="176">
        <f>Assumptions!J15</f>
        <v>0</v>
      </c>
      <c r="K9" s="209"/>
      <c r="L9" s="209"/>
    </row>
    <row r="10" spans="1:12" x14ac:dyDescent="0.25">
      <c r="B10" s="30" t="s">
        <v>46</v>
      </c>
      <c r="C10" s="43"/>
      <c r="D10" s="43"/>
      <c r="E10" s="43"/>
      <c r="F10" s="174">
        <f>Assumptions!F16</f>
        <v>0.21</v>
      </c>
      <c r="G10" s="174">
        <f>Assumptions!G16</f>
        <v>0.21</v>
      </c>
      <c r="H10" s="174">
        <f>Assumptions!H16</f>
        <v>0.21</v>
      </c>
      <c r="I10" s="174">
        <f>Assumptions!I16</f>
        <v>0.21</v>
      </c>
      <c r="J10" s="174">
        <f>Assumptions!J16</f>
        <v>0.21</v>
      </c>
      <c r="K10" s="207"/>
      <c r="L10" s="207"/>
    </row>
    <row r="11" spans="1:12" x14ac:dyDescent="0.25">
      <c r="B11" s="4" t="s">
        <v>47</v>
      </c>
      <c r="C11" s="30"/>
      <c r="D11" s="30"/>
      <c r="E11" s="39"/>
      <c r="F11" s="176">
        <f>Assumptions!F17</f>
        <v>120385</v>
      </c>
      <c r="G11" s="176">
        <f>Assumptions!G17</f>
        <v>120385</v>
      </c>
      <c r="H11" s="176">
        <f>Assumptions!H17</f>
        <v>120385</v>
      </c>
      <c r="I11" s="176">
        <f>Assumptions!I17</f>
        <v>120385</v>
      </c>
      <c r="J11" s="176">
        <f>Assumptions!J17</f>
        <v>120385</v>
      </c>
      <c r="K11" s="209"/>
      <c r="L11" s="209"/>
    </row>
    <row r="12" spans="1:12" x14ac:dyDescent="0.25">
      <c r="B12" s="4" t="s">
        <v>48</v>
      </c>
      <c r="C12" s="30"/>
      <c r="D12" s="30"/>
      <c r="E12" s="39"/>
      <c r="F12" s="176">
        <f>Assumptions!F18</f>
        <v>120385</v>
      </c>
      <c r="G12" s="176">
        <f>Assumptions!G18</f>
        <v>120385</v>
      </c>
      <c r="H12" s="176">
        <f>Assumptions!H18</f>
        <v>120385</v>
      </c>
      <c r="I12" s="176">
        <f>Assumptions!I18</f>
        <v>120385</v>
      </c>
      <c r="J12" s="176">
        <f>Assumptions!J18</f>
        <v>120385</v>
      </c>
      <c r="K12" s="209"/>
      <c r="L12" s="209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77" t="s">
        <v>40</v>
      </c>
      <c r="B14" s="178"/>
      <c r="C14" s="149">
        <f>C34</f>
        <v>44926</v>
      </c>
      <c r="D14" s="149">
        <f t="shared" ref="D14:J14" si="1">D34</f>
        <v>45291</v>
      </c>
      <c r="E14" s="149">
        <f t="shared" si="1"/>
        <v>45657</v>
      </c>
      <c r="F14" s="149">
        <f t="shared" si="1"/>
        <v>46022</v>
      </c>
      <c r="G14" s="149">
        <f t="shared" si="1"/>
        <v>46022</v>
      </c>
      <c r="H14" s="149">
        <f t="shared" si="1"/>
        <v>46022</v>
      </c>
      <c r="I14" s="149">
        <f t="shared" si="1"/>
        <v>46022</v>
      </c>
      <c r="J14" s="149">
        <f t="shared" si="1"/>
        <v>46022</v>
      </c>
      <c r="K14" s="205"/>
      <c r="L14" s="205"/>
    </row>
    <row r="15" spans="1:12" x14ac:dyDescent="0.25">
      <c r="B15" s="4" t="s">
        <v>49</v>
      </c>
      <c r="C15" s="98">
        <v>598112</v>
      </c>
      <c r="D15" s="124">
        <v>669765</v>
      </c>
      <c r="E15" s="22">
        <v>771315</v>
      </c>
      <c r="F15" s="4">
        <f>E15*(1+F4)</f>
        <v>871585.95</v>
      </c>
      <c r="G15" s="4">
        <f t="shared" ref="G15:J15" si="2">F15*(1+G4)</f>
        <v>989250.05325</v>
      </c>
      <c r="H15" s="4">
        <f t="shared" si="2"/>
        <v>1127745.0607050001</v>
      </c>
      <c r="I15" s="4">
        <f t="shared" si="2"/>
        <v>1291268.0945072251</v>
      </c>
      <c r="J15" s="4">
        <f t="shared" si="2"/>
        <v>1484958.3086833088</v>
      </c>
    </row>
    <row r="16" spans="1:12" x14ac:dyDescent="0.25">
      <c r="B16" s="4" t="s">
        <v>154</v>
      </c>
      <c r="C16" s="124">
        <v>257050</v>
      </c>
      <c r="D16" s="124">
        <v>304541</v>
      </c>
      <c r="E16" s="22">
        <v>344481</v>
      </c>
      <c r="F16" s="172">
        <f>F15*F5</f>
        <v>384905.60024999996</v>
      </c>
      <c r="G16" s="172">
        <f t="shared" ref="G16:J16" si="3">G15*G5</f>
        <v>431921.60601749999</v>
      </c>
      <c r="H16" s="172">
        <f t="shared" si="3"/>
        <v>486751.90555642504</v>
      </c>
      <c r="I16" s="172">
        <f t="shared" si="3"/>
        <v>550874.5913895705</v>
      </c>
      <c r="J16" s="172">
        <f t="shared" si="3"/>
        <v>626080.98855458957</v>
      </c>
      <c r="K16" s="206"/>
      <c r="L16" s="206"/>
    </row>
    <row r="17" spans="1:12" x14ac:dyDescent="0.25">
      <c r="B17" s="4" t="s">
        <v>50</v>
      </c>
      <c r="C17" s="124">
        <v>452265</v>
      </c>
      <c r="D17" s="124">
        <v>437220</v>
      </c>
      <c r="E17" s="22">
        <v>456946</v>
      </c>
      <c r="F17" s="172">
        <f>F15*F6</f>
        <v>472769.68249999994</v>
      </c>
      <c r="G17" s="172">
        <f t="shared" ref="G17:J17" si="4">G15*G6</f>
        <v>487131.08697499998</v>
      </c>
      <c r="H17" s="172">
        <f t="shared" si="4"/>
        <v>498942.18611625006</v>
      </c>
      <c r="I17" s="172">
        <f t="shared" si="4"/>
        <v>506725.39837774506</v>
      </c>
      <c r="J17" s="172">
        <f t="shared" si="4"/>
        <v>508486.29270024138</v>
      </c>
      <c r="K17" s="206"/>
      <c r="L17" s="206"/>
    </row>
    <row r="18" spans="1:12" s="11" customFormat="1" x14ac:dyDescent="0.25">
      <c r="A18" s="11" t="s">
        <v>122</v>
      </c>
      <c r="B18" s="17" t="s">
        <v>53</v>
      </c>
      <c r="C18" s="18">
        <f>C15-SUM(C16:C17)</f>
        <v>-111203</v>
      </c>
      <c r="D18" s="18">
        <f>D15-SUM(D16:D17)</f>
        <v>-71996</v>
      </c>
      <c r="E18" s="18">
        <f>E15-SUM(E16:E17)</f>
        <v>-30112</v>
      </c>
      <c r="F18" s="18">
        <f>F15-SUM(F16:F17)</f>
        <v>13910.667250000057</v>
      </c>
      <c r="G18" s="18">
        <f t="shared" ref="G18:J18" si="5">G15-SUM(G16:G17)</f>
        <v>70197.360257499968</v>
      </c>
      <c r="H18" s="18">
        <f t="shared" si="5"/>
        <v>142050.96903232497</v>
      </c>
      <c r="I18" s="18">
        <f t="shared" si="5"/>
        <v>233668.10473990953</v>
      </c>
      <c r="J18" s="18">
        <f t="shared" si="5"/>
        <v>350391.02742847777</v>
      </c>
    </row>
    <row r="19" spans="1:12" s="11" customFormat="1" x14ac:dyDescent="0.25">
      <c r="E19" s="35"/>
    </row>
    <row r="20" spans="1:12" s="11" customFormat="1" x14ac:dyDescent="0.25">
      <c r="B20" s="4" t="s">
        <v>14</v>
      </c>
      <c r="C20" s="125">
        <v>31864</v>
      </c>
      <c r="D20" s="125">
        <v>38554</v>
      </c>
      <c r="E20" s="25">
        <v>45865</v>
      </c>
      <c r="F20" s="4">
        <f>Calcs!F8</f>
        <v>57072.688749148874</v>
      </c>
      <c r="G20" s="4">
        <f>Calcs!G8</f>
        <v>59415.272722166519</v>
      </c>
      <c r="H20" s="4">
        <f>Calcs!H8</f>
        <v>62969.60990079007</v>
      </c>
      <c r="I20" s="4">
        <f>Calcs!I8</f>
        <v>67817.119823582543</v>
      </c>
      <c r="J20" s="4">
        <f>Calcs!J8</f>
        <v>74082.803316586433</v>
      </c>
      <c r="K20" s="4"/>
      <c r="L20" s="4"/>
    </row>
    <row r="21" spans="1:12" s="11" customFormat="1" x14ac:dyDescent="0.25">
      <c r="B21" s="4" t="s">
        <v>52</v>
      </c>
      <c r="C21" s="98">
        <v>0</v>
      </c>
      <c r="D21" s="98">
        <v>0</v>
      </c>
      <c r="E21" s="126">
        <v>0</v>
      </c>
      <c r="F21" s="4">
        <f>F7</f>
        <v>0</v>
      </c>
      <c r="G21" s="4">
        <f t="shared" ref="G21:J21" si="6">G7</f>
        <v>0</v>
      </c>
      <c r="H21" s="4">
        <f t="shared" si="6"/>
        <v>0</v>
      </c>
      <c r="I21" s="4">
        <f t="shared" si="6"/>
        <v>0</v>
      </c>
      <c r="J21" s="4">
        <f t="shared" si="6"/>
        <v>0</v>
      </c>
      <c r="K21" s="4"/>
      <c r="L21" s="4"/>
    </row>
    <row r="22" spans="1:12" s="129" customFormat="1" x14ac:dyDescent="0.25">
      <c r="A22" s="129" t="s">
        <v>122</v>
      </c>
      <c r="B22" s="130" t="s">
        <v>51</v>
      </c>
      <c r="C22" s="18">
        <f>SUM(C18,C20:C21)</f>
        <v>-79339</v>
      </c>
      <c r="D22" s="18">
        <f t="shared" ref="D22:F22" si="7">SUM(D18,D20:D21)</f>
        <v>-33442</v>
      </c>
      <c r="E22" s="18">
        <f t="shared" si="7"/>
        <v>15753</v>
      </c>
      <c r="F22" s="18">
        <f t="shared" si="7"/>
        <v>70983.355999148931</v>
      </c>
      <c r="G22" s="18">
        <f t="shared" ref="G22:J22" si="8">SUM(G18,G20:G21)</f>
        <v>129612.63297966649</v>
      </c>
      <c r="H22" s="18">
        <f t="shared" si="8"/>
        <v>205020.57893311503</v>
      </c>
      <c r="I22" s="18">
        <f t="shared" si="8"/>
        <v>301485.22456349205</v>
      </c>
      <c r="J22" s="18">
        <f t="shared" si="8"/>
        <v>424473.83074506419</v>
      </c>
    </row>
    <row r="23" spans="1:12" s="11" customFormat="1" x14ac:dyDescent="0.25">
      <c r="C23" s="13"/>
      <c r="D23" s="4"/>
      <c r="E23" s="36"/>
      <c r="F23" s="4"/>
      <c r="G23" s="4"/>
      <c r="H23" s="4"/>
      <c r="I23" s="4"/>
      <c r="J23" s="4"/>
      <c r="K23" s="13"/>
      <c r="L23" s="13"/>
    </row>
    <row r="24" spans="1:12" s="11" customFormat="1" x14ac:dyDescent="0.25">
      <c r="B24" s="4" t="s">
        <v>54</v>
      </c>
      <c r="C24" s="96"/>
      <c r="D24" s="96"/>
      <c r="E24" s="97"/>
      <c r="F24" s="4"/>
      <c r="G24" s="4"/>
      <c r="H24" s="4"/>
      <c r="I24" s="4"/>
      <c r="J24" s="4"/>
      <c r="K24" s="4"/>
      <c r="L24" s="4"/>
    </row>
    <row r="25" spans="1:12" s="11" customFormat="1" x14ac:dyDescent="0.25">
      <c r="B25" s="4" t="s">
        <v>55</v>
      </c>
      <c r="C25" s="96"/>
      <c r="D25" s="96"/>
      <c r="E25" s="97"/>
      <c r="F25" s="4"/>
      <c r="G25" s="4"/>
      <c r="H25" s="4"/>
      <c r="I25" s="4"/>
      <c r="J25" s="4"/>
      <c r="K25" s="4"/>
      <c r="L25" s="4"/>
    </row>
    <row r="26" spans="1:12" s="11" customFormat="1" x14ac:dyDescent="0.25">
      <c r="B26" s="4"/>
      <c r="C26" s="10"/>
      <c r="D26" s="10"/>
      <c r="E26" s="22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39</v>
      </c>
      <c r="C27" s="9">
        <v>1307</v>
      </c>
      <c r="D27" s="9">
        <v>9232</v>
      </c>
      <c r="E27" s="45">
        <v>10597</v>
      </c>
      <c r="F27" s="266"/>
      <c r="G27" s="266"/>
      <c r="H27" s="266"/>
      <c r="I27" s="266"/>
      <c r="J27" s="266"/>
      <c r="K27" s="182"/>
      <c r="L27" s="182"/>
    </row>
    <row r="28" spans="1:12" x14ac:dyDescent="0.25">
      <c r="B28" s="4" t="s">
        <v>31</v>
      </c>
      <c r="C28" s="9"/>
      <c r="D28" s="9"/>
      <c r="E28" s="45"/>
      <c r="F28" s="266"/>
      <c r="G28" s="266"/>
      <c r="H28" s="266"/>
      <c r="I28" s="266"/>
      <c r="J28" s="266"/>
      <c r="K28" s="182"/>
      <c r="L28" s="182"/>
    </row>
    <row r="29" spans="1:12" x14ac:dyDescent="0.25">
      <c r="C29" s="10"/>
      <c r="D29" s="10"/>
      <c r="E29" s="22"/>
      <c r="H29" s="4"/>
    </row>
    <row r="30" spans="1:12" s="11" customFormat="1" x14ac:dyDescent="0.25">
      <c r="A30" s="11" t="s">
        <v>122</v>
      </c>
      <c r="B30" s="17" t="s">
        <v>83</v>
      </c>
      <c r="C30" s="18">
        <f t="shared" ref="C30" si="9">C18+SUM(C25:C28)</f>
        <v>-109896</v>
      </c>
      <c r="D30" s="18">
        <f>D18+SUM(D25:D28)</f>
        <v>-62764</v>
      </c>
      <c r="E30" s="18">
        <f>E18+SUM(E24:E28)</f>
        <v>-19515</v>
      </c>
      <c r="F30" s="18">
        <f>F18+SUM(F24:F28)</f>
        <v>13910.667250000057</v>
      </c>
      <c r="G30" s="18">
        <f t="shared" ref="G30:J30" si="10">G18+SUM(G24:G28)</f>
        <v>70197.360257499968</v>
      </c>
      <c r="H30" s="18">
        <f t="shared" si="10"/>
        <v>142050.96903232497</v>
      </c>
      <c r="I30" s="18">
        <f t="shared" si="10"/>
        <v>233668.10473990953</v>
      </c>
      <c r="J30" s="18">
        <f t="shared" si="10"/>
        <v>350391.02742847777</v>
      </c>
    </row>
    <row r="31" spans="1:12" x14ac:dyDescent="0.25">
      <c r="E31" s="37"/>
      <c r="H31" s="4"/>
    </row>
    <row r="32" spans="1:12" x14ac:dyDescent="0.25">
      <c r="B32" s="4" t="s">
        <v>56</v>
      </c>
      <c r="C32" s="132">
        <v>497</v>
      </c>
      <c r="D32" s="4">
        <v>433</v>
      </c>
      <c r="E32" s="59">
        <v>875</v>
      </c>
      <c r="F32" s="4">
        <f>F30*F10</f>
        <v>2921.2401225000117</v>
      </c>
      <c r="G32" s="4">
        <f t="shared" ref="G32:J32" si="11">G30*G10</f>
        <v>14741.445654074992</v>
      </c>
      <c r="H32" s="4">
        <f t="shared" si="11"/>
        <v>29830.703496788243</v>
      </c>
      <c r="I32" s="4">
        <f t="shared" si="11"/>
        <v>49070.301995381</v>
      </c>
      <c r="J32" s="4">
        <f t="shared" si="11"/>
        <v>73582.115759980326</v>
      </c>
    </row>
    <row r="33" spans="1:12" s="11" customFormat="1" x14ac:dyDescent="0.25">
      <c r="A33" s="11" t="s">
        <v>122</v>
      </c>
      <c r="B33" s="17" t="s">
        <v>57</v>
      </c>
      <c r="C33" s="18">
        <f>C30-C32</f>
        <v>-110393</v>
      </c>
      <c r="D33" s="34">
        <f t="shared" ref="D33:F33" si="12">D30-D32</f>
        <v>-63197</v>
      </c>
      <c r="E33" s="18">
        <f t="shared" si="12"/>
        <v>-20390</v>
      </c>
      <c r="F33" s="18">
        <f t="shared" si="12"/>
        <v>10989.427127500045</v>
      </c>
      <c r="G33" s="18">
        <f t="shared" ref="G33:J33" si="13">G30-G32</f>
        <v>55455.914603424972</v>
      </c>
      <c r="H33" s="18">
        <f t="shared" si="13"/>
        <v>112220.26553553672</v>
      </c>
      <c r="I33" s="18">
        <f t="shared" si="13"/>
        <v>184597.80274452851</v>
      </c>
      <c r="J33" s="18">
        <f t="shared" si="13"/>
        <v>276808.91166849743</v>
      </c>
    </row>
    <row r="34" spans="1:12" x14ac:dyDescent="0.25">
      <c r="A34" s="20" t="s">
        <v>58</v>
      </c>
      <c r="B34" s="19"/>
      <c r="C34" s="55">
        <v>44926</v>
      </c>
      <c r="D34" s="55">
        <v>45291</v>
      </c>
      <c r="E34" s="55">
        <v>45657</v>
      </c>
      <c r="F34" s="55">
        <v>46022</v>
      </c>
      <c r="G34" s="55">
        <v>46022</v>
      </c>
      <c r="H34" s="55">
        <v>46022</v>
      </c>
      <c r="I34" s="55">
        <v>46022</v>
      </c>
      <c r="J34" s="55">
        <v>46022</v>
      </c>
      <c r="K34" s="202"/>
      <c r="L34" s="202"/>
    </row>
    <row r="35" spans="1:12" x14ac:dyDescent="0.25">
      <c r="B35" s="4" t="s">
        <v>47</v>
      </c>
      <c r="C35" s="10">
        <v>114942</v>
      </c>
      <c r="D35" s="10">
        <v>117389</v>
      </c>
      <c r="E35" s="22">
        <v>120385</v>
      </c>
      <c r="F35" s="173">
        <f>F11</f>
        <v>120385</v>
      </c>
      <c r="G35" s="173">
        <f t="shared" ref="G35:J35" si="14">G11</f>
        <v>120385</v>
      </c>
      <c r="H35" s="173">
        <f t="shared" si="14"/>
        <v>120385</v>
      </c>
      <c r="I35" s="173">
        <f t="shared" si="14"/>
        <v>120385</v>
      </c>
      <c r="J35" s="173">
        <f t="shared" si="14"/>
        <v>120385</v>
      </c>
      <c r="K35" s="206"/>
      <c r="L35" s="206"/>
    </row>
    <row r="36" spans="1:12" x14ac:dyDescent="0.25">
      <c r="B36" s="4" t="s">
        <v>48</v>
      </c>
      <c r="C36" s="10">
        <v>114942</v>
      </c>
      <c r="D36" s="10">
        <v>117389</v>
      </c>
      <c r="E36" s="22">
        <v>120385</v>
      </c>
      <c r="F36" s="173">
        <f>F12</f>
        <v>120385</v>
      </c>
      <c r="G36" s="173">
        <f t="shared" ref="G36:J36" si="15">G12</f>
        <v>120385</v>
      </c>
      <c r="H36" s="173">
        <f t="shared" si="15"/>
        <v>120385</v>
      </c>
      <c r="I36" s="173">
        <f t="shared" si="15"/>
        <v>120385</v>
      </c>
      <c r="J36" s="173">
        <f t="shared" si="15"/>
        <v>120385</v>
      </c>
      <c r="K36" s="206"/>
      <c r="L36" s="206"/>
    </row>
    <row r="37" spans="1:12" x14ac:dyDescent="0.25">
      <c r="B37" s="4" t="s">
        <v>59</v>
      </c>
      <c r="C37" s="180">
        <f>C33/C35</f>
        <v>-0.96042351794818259</v>
      </c>
      <c r="D37" s="180">
        <f>D33/D35</f>
        <v>-0.53835538253158299</v>
      </c>
      <c r="E37" s="181">
        <f>E33/E35</f>
        <v>-0.1693732607883042</v>
      </c>
      <c r="F37" s="180">
        <f>F33/F35</f>
        <v>9.1285684491423727E-2</v>
      </c>
      <c r="G37" s="180">
        <f t="shared" ref="G37:J37" si="16">G33/G35</f>
        <v>0.4606546879048467</v>
      </c>
      <c r="H37" s="180">
        <f t="shared" si="16"/>
        <v>0.93217814125959808</v>
      </c>
      <c r="I37" s="180">
        <f t="shared" si="16"/>
        <v>1.5333953793622837</v>
      </c>
      <c r="J37" s="180">
        <f t="shared" si="16"/>
        <v>2.299363805029675</v>
      </c>
      <c r="K37" s="206"/>
      <c r="L37" s="206"/>
    </row>
    <row r="38" spans="1:12" s="11" customFormat="1" x14ac:dyDescent="0.25">
      <c r="A38" s="11" t="s">
        <v>122</v>
      </c>
      <c r="B38" s="17" t="s">
        <v>60</v>
      </c>
      <c r="C38" s="179">
        <f>C33/C36</f>
        <v>-0.96042351794818259</v>
      </c>
      <c r="D38" s="179">
        <f>D33/D36</f>
        <v>-0.53835538253158299</v>
      </c>
      <c r="E38" s="179">
        <f>E33/E36</f>
        <v>-0.1693732607883042</v>
      </c>
      <c r="F38" s="179">
        <f>F33/F36</f>
        <v>9.1285684491423727E-2</v>
      </c>
      <c r="G38" s="179">
        <f t="shared" ref="G38:J38" si="17">G33/G36</f>
        <v>0.4606546879048467</v>
      </c>
      <c r="H38" s="179">
        <f t="shared" si="17"/>
        <v>0.93217814125959808</v>
      </c>
      <c r="I38" s="179">
        <f t="shared" si="17"/>
        <v>1.5333953793622837</v>
      </c>
      <c r="J38" s="179">
        <f t="shared" si="17"/>
        <v>2.299363805029675</v>
      </c>
      <c r="K38" s="210"/>
      <c r="L38" s="210"/>
    </row>
    <row r="39" spans="1:12" x14ac:dyDescent="0.25">
      <c r="C39" s="14"/>
      <c r="D39" s="14"/>
      <c r="E39" s="38"/>
      <c r="F39" s="14"/>
      <c r="G39" s="14"/>
      <c r="H39" s="14"/>
      <c r="I39" s="14"/>
      <c r="J39" s="14"/>
    </row>
    <row r="40" spans="1:12" x14ac:dyDescent="0.25">
      <c r="D40" s="14"/>
      <c r="E40" s="14"/>
      <c r="F40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3"/>
  <sheetViews>
    <sheetView showGridLines="0" zoomScaleNormal="100" workbookViewId="0">
      <selection activeCell="F40" sqref="F15:J40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9</v>
      </c>
      <c r="B2" s="64"/>
      <c r="C2" s="264">
        <v>2022</v>
      </c>
      <c r="D2" s="264">
        <f>C2+1</f>
        <v>2023</v>
      </c>
      <c r="E2" s="264">
        <f t="shared" ref="E2:J2" si="0">D2+1</f>
        <v>2024</v>
      </c>
      <c r="F2" s="264">
        <f t="shared" si="0"/>
        <v>2025</v>
      </c>
      <c r="G2" s="264">
        <f t="shared" si="0"/>
        <v>2026</v>
      </c>
      <c r="H2" s="264">
        <f t="shared" si="0"/>
        <v>2027</v>
      </c>
      <c r="I2" s="264">
        <f t="shared" si="0"/>
        <v>2028</v>
      </c>
      <c r="J2" s="264">
        <f t="shared" si="0"/>
        <v>2029</v>
      </c>
      <c r="K2" s="211"/>
      <c r="L2" s="211"/>
    </row>
    <row r="3" spans="1:12" x14ac:dyDescent="0.25">
      <c r="K3" s="6"/>
      <c r="L3" s="6"/>
    </row>
    <row r="4" spans="1:12" x14ac:dyDescent="0.25">
      <c r="B4" s="4" t="s">
        <v>137</v>
      </c>
      <c r="C4" s="43"/>
      <c r="D4" s="43"/>
      <c r="E4" s="44"/>
      <c r="F4" s="103">
        <f>Assumptions!F37</f>
        <v>0.05</v>
      </c>
      <c r="G4" s="103">
        <f>F4</f>
        <v>0.05</v>
      </c>
      <c r="H4" s="103">
        <f t="shared" ref="H4:J4" si="1">G4</f>
        <v>0.05</v>
      </c>
      <c r="I4" s="103">
        <f t="shared" si="1"/>
        <v>0.05</v>
      </c>
      <c r="J4" s="103">
        <f t="shared" si="1"/>
        <v>0.05</v>
      </c>
      <c r="K4" s="169"/>
      <c r="L4" s="169"/>
    </row>
    <row r="5" spans="1:12" x14ac:dyDescent="0.25">
      <c r="B5" s="4" t="s">
        <v>150</v>
      </c>
      <c r="C5" s="43"/>
      <c r="D5" s="43"/>
      <c r="E5" s="44"/>
      <c r="F5" s="103">
        <f>Assumptions!F38</f>
        <v>2.5255570032995597E-3</v>
      </c>
      <c r="G5" s="103">
        <f>Assumptions!G38</f>
        <v>2.5255570032995597E-3</v>
      </c>
      <c r="H5" s="103">
        <f>Assumptions!H38</f>
        <v>2.5255570032995597E-3</v>
      </c>
      <c r="I5" s="103">
        <f>Assumptions!I38</f>
        <v>2.5255570032995597E-3</v>
      </c>
      <c r="J5" s="103">
        <f>Assumptions!J38</f>
        <v>2.5255570032995597E-3</v>
      </c>
      <c r="K5" s="169"/>
      <c r="L5" s="169"/>
    </row>
    <row r="6" spans="1:12" x14ac:dyDescent="0.25">
      <c r="B6" s="4" t="s">
        <v>62</v>
      </c>
      <c r="C6" s="43"/>
      <c r="D6" s="43"/>
      <c r="E6" s="44"/>
      <c r="F6" s="103">
        <f>Assumptions!F39</f>
        <v>0.15195322818965343</v>
      </c>
      <c r="G6" s="103">
        <f>Assumptions!G39</f>
        <v>0.15195322818965343</v>
      </c>
      <c r="H6" s="103">
        <f>Assumptions!H39</f>
        <v>0.15195322818965343</v>
      </c>
      <c r="I6" s="103">
        <f>Assumptions!I39</f>
        <v>0.15195322818965343</v>
      </c>
      <c r="J6" s="103">
        <f>Assumptions!J39</f>
        <v>0.15195322818965343</v>
      </c>
      <c r="K6" s="169"/>
      <c r="L6" s="169"/>
    </row>
    <row r="7" spans="1:12" x14ac:dyDescent="0.25">
      <c r="B7" s="4" t="s">
        <v>63</v>
      </c>
      <c r="C7" s="43"/>
      <c r="D7" s="43"/>
      <c r="E7" s="44"/>
      <c r="F7" s="103">
        <f>Assumptions!F40</f>
        <v>2.2807802259777132E-2</v>
      </c>
      <c r="G7" s="103">
        <f>Assumptions!G40</f>
        <v>2.2807802259777132E-2</v>
      </c>
      <c r="H7" s="103">
        <f>Assumptions!H40</f>
        <v>2.2807802259777132E-2</v>
      </c>
      <c r="I7" s="103">
        <f>Assumptions!I40</f>
        <v>2.2807802259777132E-2</v>
      </c>
      <c r="J7" s="103">
        <f>Assumptions!J40</f>
        <v>2.2807802259777132E-2</v>
      </c>
      <c r="K7" s="169"/>
      <c r="L7" s="169"/>
    </row>
    <row r="8" spans="1:12" x14ac:dyDescent="0.25">
      <c r="B8" s="4" t="s">
        <v>64</v>
      </c>
      <c r="C8" s="43"/>
      <c r="D8" s="43"/>
      <c r="E8" s="44"/>
      <c r="F8" s="103">
        <f>Assumptions!F41</f>
        <v>1.1274252413086742E-2</v>
      </c>
      <c r="G8" s="103">
        <f>Assumptions!G41</f>
        <v>1.1274252413086742E-2</v>
      </c>
      <c r="H8" s="103">
        <f>Assumptions!H41</f>
        <v>1.1274252413086742E-2</v>
      </c>
      <c r="I8" s="103">
        <f>Assumptions!I41</f>
        <v>1.1274252413086742E-2</v>
      </c>
      <c r="J8" s="103">
        <f>Assumptions!J41</f>
        <v>1.1274252413086742E-2</v>
      </c>
      <c r="K8" s="169"/>
      <c r="L8" s="169"/>
    </row>
    <row r="9" spans="1:12" x14ac:dyDescent="0.25">
      <c r="C9" s="30"/>
      <c r="D9" s="30"/>
      <c r="E9" s="30"/>
      <c r="F9" s="104"/>
      <c r="G9" s="104"/>
      <c r="H9" s="104"/>
      <c r="I9" s="104"/>
      <c r="J9" s="104"/>
      <c r="K9" s="169"/>
      <c r="L9" s="169"/>
    </row>
    <row r="10" spans="1:12" x14ac:dyDescent="0.25">
      <c r="B10" s="4" t="s">
        <v>149</v>
      </c>
      <c r="C10" s="43"/>
      <c r="D10" s="43"/>
      <c r="E10" s="44"/>
      <c r="F10" s="103">
        <f>Assumptions!F45</f>
        <v>0.21809040266371729</v>
      </c>
      <c r="G10" s="103">
        <f>Assumptions!G45</f>
        <v>0.21809040266371729</v>
      </c>
      <c r="H10" s="103">
        <f>Assumptions!H45</f>
        <v>0.21809040266371729</v>
      </c>
      <c r="I10" s="103">
        <f>Assumptions!I45</f>
        <v>0.21809040266371729</v>
      </c>
      <c r="J10" s="103">
        <f>Assumptions!J45</f>
        <v>0.21809040266371729</v>
      </c>
      <c r="K10" s="169"/>
      <c r="L10" s="169"/>
    </row>
    <row r="11" spans="1:12" x14ac:dyDescent="0.25">
      <c r="B11" s="4" t="s">
        <v>65</v>
      </c>
      <c r="C11" s="43"/>
      <c r="D11" s="43"/>
      <c r="E11" s="26"/>
      <c r="F11" s="103">
        <f>Assumptions!F46</f>
        <v>7.1599800340976127E-2</v>
      </c>
      <c r="G11" s="103">
        <f>Assumptions!G46</f>
        <v>7.1599800340976127E-2</v>
      </c>
      <c r="H11" s="103">
        <f>Assumptions!H46</f>
        <v>7.1599800340976127E-2</v>
      </c>
      <c r="I11" s="103">
        <f>Assumptions!I46</f>
        <v>7.1599800340976127E-2</v>
      </c>
      <c r="J11" s="103">
        <f>Assumptions!J46</f>
        <v>7.1599800340976127E-2</v>
      </c>
      <c r="K11" s="169"/>
      <c r="L11" s="169"/>
    </row>
    <row r="12" spans="1:12" x14ac:dyDescent="0.25">
      <c r="B12" s="4" t="s">
        <v>66</v>
      </c>
      <c r="C12" s="43"/>
      <c r="D12" s="43"/>
      <c r="E12" s="44"/>
      <c r="F12" s="256">
        <f>Assumptions!F47</f>
        <v>0.26715803530334559</v>
      </c>
      <c r="G12" s="256">
        <f>Assumptions!G47</f>
        <v>0.26715803530334559</v>
      </c>
      <c r="H12" s="256">
        <f>Assumptions!H47</f>
        <v>0.26715803530334559</v>
      </c>
      <c r="I12" s="256">
        <f>Assumptions!I47</f>
        <v>0.26715803530334559</v>
      </c>
      <c r="J12" s="256">
        <f>Assumptions!J47</f>
        <v>0.26715803530334559</v>
      </c>
      <c r="K12" s="169"/>
      <c r="L12" s="169"/>
    </row>
    <row r="13" spans="1:12" x14ac:dyDescent="0.25">
      <c r="C13" s="43"/>
      <c r="D13" s="43"/>
      <c r="E13" s="43"/>
      <c r="F13" s="104"/>
      <c r="G13" s="104"/>
      <c r="H13" s="104"/>
      <c r="I13" s="104"/>
      <c r="J13" s="104"/>
      <c r="K13" s="169"/>
      <c r="L13" s="169"/>
    </row>
    <row r="14" spans="1:12" ht="15" customHeight="1" x14ac:dyDescent="0.25">
      <c r="A14" s="177" t="s">
        <v>61</v>
      </c>
      <c r="B14" s="178"/>
      <c r="C14" s="253">
        <f t="shared" ref="C14:J14" si="2">C2</f>
        <v>2022</v>
      </c>
      <c r="D14" s="253">
        <f t="shared" si="2"/>
        <v>2023</v>
      </c>
      <c r="E14" s="253">
        <f t="shared" si="2"/>
        <v>2024</v>
      </c>
      <c r="F14" s="253">
        <f t="shared" si="2"/>
        <v>2025</v>
      </c>
      <c r="G14" s="253">
        <f t="shared" si="2"/>
        <v>2026</v>
      </c>
      <c r="H14" s="253">
        <f t="shared" si="2"/>
        <v>2027</v>
      </c>
      <c r="I14" s="253">
        <f t="shared" si="2"/>
        <v>2028</v>
      </c>
      <c r="J14" s="253">
        <f t="shared" si="2"/>
        <v>2029</v>
      </c>
      <c r="K14" s="205"/>
      <c r="L14" s="205"/>
    </row>
    <row r="15" spans="1:12" x14ac:dyDescent="0.25">
      <c r="B15" s="4" t="s">
        <v>155</v>
      </c>
      <c r="C15" s="184">
        <f>5%*IncState!C15</f>
        <v>29905.600000000002</v>
      </c>
      <c r="D15" s="184">
        <f>5%*IncState!D15</f>
        <v>33488.25</v>
      </c>
      <c r="E15" s="185">
        <f>5%*IncState!E15</f>
        <v>38565.75</v>
      </c>
      <c r="F15" s="4">
        <f>F4*IncState!F15</f>
        <v>43579.297500000001</v>
      </c>
      <c r="G15" s="4">
        <f>G4*IncState!G15</f>
        <v>49462.502662500003</v>
      </c>
      <c r="H15" s="4">
        <f>H4*IncState!H15</f>
        <v>56387.253035250003</v>
      </c>
      <c r="I15" s="4">
        <f>I4*IncState!I15</f>
        <v>64563.404725361259</v>
      </c>
      <c r="J15" s="4">
        <f>J4*IncState!J15</f>
        <v>74247.915434165436</v>
      </c>
    </row>
    <row r="16" spans="1:12" x14ac:dyDescent="0.25">
      <c r="B16" s="4" t="s">
        <v>156</v>
      </c>
      <c r="C16" s="184">
        <f>208585-C15</f>
        <v>178679.4</v>
      </c>
      <c r="D16" s="184">
        <f>216894-D15</f>
        <v>183405.75</v>
      </c>
      <c r="E16" s="185">
        <f>254161-E15</f>
        <v>215595.25</v>
      </c>
      <c r="F16" s="269">
        <f>MAX(CashFlow!F22,0)</f>
        <v>240514.32945501115</v>
      </c>
      <c r="G16" s="269">
        <f>MAX(CashFlow!G22,0)</f>
        <v>307465.61183541385</v>
      </c>
      <c r="H16" s="269">
        <f>MAX(CashFlow!H22,0)</f>
        <v>429207.13309856516</v>
      </c>
      <c r="I16" s="269">
        <f>MAX(CashFlow!I22,0)</f>
        <v>621759.64386682375</v>
      </c>
      <c r="J16" s="269">
        <f>MAX(CashFlow!J22,0)</f>
        <v>905328.30249132845</v>
      </c>
    </row>
    <row r="17" spans="1:12" x14ac:dyDescent="0.25">
      <c r="B17" s="4" t="s">
        <v>67</v>
      </c>
      <c r="C17" s="186">
        <v>1435</v>
      </c>
      <c r="D17" s="186">
        <v>1779</v>
      </c>
      <c r="E17" s="187">
        <v>1948</v>
      </c>
      <c r="F17" s="4">
        <f>F5*IncState!F15</f>
        <v>2201.2399999999998</v>
      </c>
      <c r="G17" s="4">
        <f>G5*IncState!G15</f>
        <v>2498.4074000000001</v>
      </c>
      <c r="H17" s="4">
        <f>H5*IncState!H15</f>
        <v>2848.184436</v>
      </c>
      <c r="I17" s="4">
        <f>I5*IncState!I15</f>
        <v>3261.1711792199999</v>
      </c>
      <c r="J17" s="4">
        <f>J5*IncState!J15</f>
        <v>3750.3468561029999</v>
      </c>
    </row>
    <row r="18" spans="1:12" x14ac:dyDescent="0.25">
      <c r="B18" s="4" t="s">
        <v>68</v>
      </c>
      <c r="C18" s="186">
        <v>68848</v>
      </c>
      <c r="D18" s="186">
        <v>62234</v>
      </c>
      <c r="E18" s="187">
        <v>52345</v>
      </c>
      <c r="F18" s="4">
        <f>F6*IncState!F16</f>
        <v>58487.648506263766</v>
      </c>
      <c r="G18" s="4">
        <f>G6*IncState!G16</f>
        <v>65631.882359218755</v>
      </c>
      <c r="H18" s="4">
        <f>H6*IncState!H16</f>
        <v>73963.523376764089</v>
      </c>
      <c r="I18" s="4">
        <f>I6*IncState!I16</f>
        <v>83707.172489301491</v>
      </c>
      <c r="J18" s="4">
        <f>J6*IncState!J16</f>
        <v>95135.027319039349</v>
      </c>
    </row>
    <row r="19" spans="1:12" x14ac:dyDescent="0.25">
      <c r="B19" s="4" t="s">
        <v>69</v>
      </c>
      <c r="C19" s="186">
        <v>15700</v>
      </c>
      <c r="D19" s="186">
        <v>17712</v>
      </c>
      <c r="E19" s="187">
        <v>17592</v>
      </c>
      <c r="F19" s="4">
        <f>F7*IncState!F15</f>
        <v>19878.96</v>
      </c>
      <c r="G19" s="4">
        <f>G7*IncState!G15</f>
        <v>22562.619599999998</v>
      </c>
      <c r="H19" s="4">
        <f>H7*IncState!H15</f>
        <v>25721.386343999999</v>
      </c>
      <c r="I19" s="4">
        <f>I7*IncState!I15</f>
        <v>29450.987363880002</v>
      </c>
      <c r="J19" s="4">
        <f>J7*IncState!J15</f>
        <v>33868.635468462002</v>
      </c>
    </row>
    <row r="20" spans="1:12" s="11" customFormat="1" x14ac:dyDescent="0.25">
      <c r="B20" s="11" t="s">
        <v>70</v>
      </c>
      <c r="C20" s="11">
        <f>SUM(C15:C19)</f>
        <v>294568</v>
      </c>
      <c r="D20" s="11">
        <f>SUM(D15:D19)</f>
        <v>298619</v>
      </c>
      <c r="E20" s="24">
        <f t="shared" ref="E20" si="3">SUM(E15:E19)</f>
        <v>326046</v>
      </c>
      <c r="F20" s="11">
        <f>SUM(F15:F19)</f>
        <v>364661.47546127491</v>
      </c>
      <c r="G20" s="11">
        <f t="shared" ref="G20:J20" si="4">SUM(G15:G19)</f>
        <v>447621.02385713265</v>
      </c>
      <c r="H20" s="11">
        <f t="shared" si="4"/>
        <v>588127.48029057926</v>
      </c>
      <c r="I20" s="11">
        <f t="shared" si="4"/>
        <v>802742.37962458655</v>
      </c>
      <c r="J20" s="11">
        <f t="shared" si="4"/>
        <v>1112330.2275690984</v>
      </c>
    </row>
    <row r="21" spans="1:12" x14ac:dyDescent="0.25">
      <c r="A21" s="7"/>
      <c r="E21" s="27"/>
      <c r="I21" s="4"/>
      <c r="J21" s="4"/>
    </row>
    <row r="22" spans="1:12" x14ac:dyDescent="0.25">
      <c r="B22" s="4" t="s">
        <v>71</v>
      </c>
      <c r="C22" s="186">
        <f>138628+127014</f>
        <v>265642</v>
      </c>
      <c r="D22" s="186">
        <f>152332+122305</f>
        <v>274637</v>
      </c>
      <c r="E22" s="187">
        <f>170464+171284</f>
        <v>341748</v>
      </c>
      <c r="F22" s="4">
        <f>Calcs!F9</f>
        <v>355775.25901226746</v>
      </c>
      <c r="G22" s="4">
        <f>Calcs!G9</f>
        <v>377058.42699930846</v>
      </c>
      <c r="H22" s="4">
        <f>Calcs!H9</f>
        <v>406085.03950701497</v>
      </c>
      <c r="I22" s="4">
        <f>Calcs!I9</f>
        <v>443603.59434116102</v>
      </c>
      <c r="J22" s="4">
        <f>Calcs!J9</f>
        <v>490656.81688096246</v>
      </c>
    </row>
    <row r="23" spans="1:12" x14ac:dyDescent="0.25">
      <c r="B23" s="4" t="s">
        <v>157</v>
      </c>
      <c r="C23" s="186">
        <v>8497</v>
      </c>
      <c r="D23" s="186">
        <v>7056</v>
      </c>
      <c r="E23" s="187">
        <v>8696</v>
      </c>
      <c r="F23" s="4">
        <f>F8*IncState!F15</f>
        <v>9826.48</v>
      </c>
      <c r="G23" s="4">
        <f>G8*IncState!G15</f>
        <v>11153.0548</v>
      </c>
      <c r="H23" s="4">
        <f>H8*IncState!H15</f>
        <v>12714.482472000002</v>
      </c>
      <c r="I23" s="4">
        <f>I8*IncState!I15</f>
        <v>14558.082430440001</v>
      </c>
      <c r="J23" s="4">
        <f>J8*IncState!J15</f>
        <v>16741.794795006001</v>
      </c>
    </row>
    <row r="24" spans="1:12" s="11" customFormat="1" x14ac:dyDescent="0.25">
      <c r="B24" s="11" t="s">
        <v>72</v>
      </c>
      <c r="C24" s="11">
        <f t="shared" ref="C24:J24" si="5">SUM(C22:C23)</f>
        <v>274139</v>
      </c>
      <c r="D24" s="11">
        <f t="shared" si="5"/>
        <v>281693</v>
      </c>
      <c r="E24" s="24">
        <f t="shared" si="5"/>
        <v>350444</v>
      </c>
      <c r="F24" s="11">
        <f t="shared" si="5"/>
        <v>365601.73901226744</v>
      </c>
      <c r="G24" s="11">
        <f t="shared" ref="G24" si="6">SUM(G22:G23)</f>
        <v>388211.48179930844</v>
      </c>
      <c r="H24" s="11">
        <f t="shared" ref="H24" si="7">SUM(H22:H23)</f>
        <v>418799.52197901497</v>
      </c>
      <c r="I24" s="11">
        <f t="shared" ref="I24" si="8">SUM(I22:I23)</f>
        <v>458161.67677160102</v>
      </c>
      <c r="J24" s="11">
        <f t="shared" ref="J24" si="9">SUM(J22:J23)</f>
        <v>507398.61167596845</v>
      </c>
    </row>
    <row r="25" spans="1:12" x14ac:dyDescent="0.25">
      <c r="E25" s="27"/>
      <c r="I25" s="4"/>
      <c r="J25" s="4"/>
    </row>
    <row r="26" spans="1:12" s="11" customFormat="1" x14ac:dyDescent="0.25">
      <c r="A26" s="11" t="s">
        <v>122</v>
      </c>
      <c r="B26" s="17" t="s">
        <v>73</v>
      </c>
      <c r="C26" s="18">
        <f t="shared" ref="C26:J26" si="10">SUM(C24,C20)</f>
        <v>568707</v>
      </c>
      <c r="D26" s="18">
        <f t="shared" si="10"/>
        <v>580312</v>
      </c>
      <c r="E26" s="18">
        <f t="shared" si="10"/>
        <v>676490</v>
      </c>
      <c r="F26" s="18">
        <f t="shared" si="10"/>
        <v>730263.21447354229</v>
      </c>
      <c r="G26" s="18">
        <f t="shared" ref="G26:J26" si="11">SUM(G24,G20)</f>
        <v>835832.50565644109</v>
      </c>
      <c r="H26" s="18">
        <f t="shared" si="11"/>
        <v>1006927.0022695942</v>
      </c>
      <c r="I26" s="18">
        <f t="shared" si="11"/>
        <v>1260904.0563961875</v>
      </c>
      <c r="J26" s="18">
        <f t="shared" si="11"/>
        <v>1619728.8392450667</v>
      </c>
    </row>
    <row r="27" spans="1:12" x14ac:dyDescent="0.25">
      <c r="A27" s="11"/>
      <c r="E27" s="27"/>
      <c r="I27" s="4"/>
      <c r="J27" s="4"/>
      <c r="K27" s="6"/>
      <c r="L27" s="6"/>
    </row>
    <row r="28" spans="1:12" x14ac:dyDescent="0.25">
      <c r="B28" s="4" t="s">
        <v>74</v>
      </c>
      <c r="C28" s="9">
        <v>0</v>
      </c>
      <c r="D28" s="9">
        <v>0</v>
      </c>
      <c r="E28" s="45">
        <v>0</v>
      </c>
      <c r="F28" s="269">
        <f>MIN(CashFlow!F22,0)</f>
        <v>0</v>
      </c>
      <c r="G28" s="269">
        <f>MIN(CashFlow!G22,0)</f>
        <v>0</v>
      </c>
      <c r="H28" s="269">
        <f>MIN(CashFlow!H22,0)</f>
        <v>0</v>
      </c>
      <c r="I28" s="269">
        <f>MIN(CashFlow!I22,0)</f>
        <v>0</v>
      </c>
      <c r="J28" s="269">
        <f>MIN(CashFlow!J22,0)</f>
        <v>0</v>
      </c>
    </row>
    <row r="29" spans="1:12" x14ac:dyDescent="0.25">
      <c r="B29" s="4" t="s">
        <v>148</v>
      </c>
      <c r="C29" s="186">
        <f>20791+58222</f>
        <v>79013</v>
      </c>
      <c r="D29" s="9">
        <f>22456+46320</f>
        <v>68776</v>
      </c>
      <c r="E29" s="45">
        <f>23519+51609</f>
        <v>75128</v>
      </c>
      <c r="F29" s="4">
        <f>F10*IncState!F16</f>
        <v>83944.217346042293</v>
      </c>
      <c r="G29" s="4">
        <f>G10*IncState!G16</f>
        <v>94197.956975516034</v>
      </c>
      <c r="H29" s="4">
        <f>H10*IncState!H16</f>
        <v>106155.91908013243</v>
      </c>
      <c r="I29" s="4">
        <f>I10*IncState!I16</f>
        <v>120140.46145336216</v>
      </c>
      <c r="J29" s="4">
        <f>J10*IncState!J16</f>
        <v>136542.25489396861</v>
      </c>
    </row>
    <row r="30" spans="1:12" x14ac:dyDescent="0.25">
      <c r="B30" s="4" t="s">
        <v>75</v>
      </c>
      <c r="C30" s="186">
        <f>25628+22546+2370</f>
        <v>50544</v>
      </c>
      <c r="D30" s="9">
        <f>31617+24286+2411</f>
        <v>58314</v>
      </c>
      <c r="E30" s="45">
        <f>32358+20235+2633</f>
        <v>55226</v>
      </c>
      <c r="F30" s="4">
        <f>F11*IncState!F15</f>
        <v>62405.38</v>
      </c>
      <c r="G30" s="4">
        <f>G11*IncState!G15</f>
        <v>70830.106299999999</v>
      </c>
      <c r="H30" s="4">
        <f>H11*IncState!H15</f>
        <v>80746.321182000014</v>
      </c>
      <c r="I30" s="4">
        <f>I11*IncState!I15</f>
        <v>92454.537753390003</v>
      </c>
      <c r="J30" s="4">
        <f>J11*IncState!J15</f>
        <v>106322.71841639851</v>
      </c>
    </row>
    <row r="31" spans="1:12" s="11" customFormat="1" x14ac:dyDescent="0.25">
      <c r="B31" s="11" t="s">
        <v>76</v>
      </c>
      <c r="C31" s="11">
        <f t="shared" ref="C31:E31" si="12">SUM(C28:C30)</f>
        <v>129557</v>
      </c>
      <c r="D31" s="11">
        <f t="shared" si="12"/>
        <v>127090</v>
      </c>
      <c r="E31" s="24">
        <f t="shared" si="12"/>
        <v>130354</v>
      </c>
      <c r="F31" s="11">
        <f>SUM(F28:F30)</f>
        <v>146349.59734604228</v>
      </c>
      <c r="G31" s="11">
        <f t="shared" ref="G31:J31" si="13">SUM(G28:G30)</f>
        <v>165028.06327551603</v>
      </c>
      <c r="H31" s="11">
        <f t="shared" si="13"/>
        <v>186902.24026213243</v>
      </c>
      <c r="I31" s="11">
        <f t="shared" si="13"/>
        <v>212594.99920675217</v>
      </c>
      <c r="J31" s="11">
        <f t="shared" si="13"/>
        <v>242864.97331036712</v>
      </c>
    </row>
    <row r="32" spans="1:12" x14ac:dyDescent="0.25">
      <c r="B32" s="11"/>
      <c r="E32" s="27"/>
      <c r="I32" s="4"/>
      <c r="J32" s="4"/>
    </row>
    <row r="33" spans="1:12" x14ac:dyDescent="0.25">
      <c r="B33" s="4" t="s">
        <v>77</v>
      </c>
      <c r="C33" s="186">
        <v>0</v>
      </c>
      <c r="D33" s="186">
        <v>0</v>
      </c>
      <c r="E33" s="187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</row>
    <row r="34" spans="1:12" x14ac:dyDescent="0.25">
      <c r="B34" s="4" t="s">
        <v>78</v>
      </c>
      <c r="C34" s="186">
        <f>150832+1672</f>
        <v>152504</v>
      </c>
      <c r="D34" s="9">
        <f>150171+1264</f>
        <v>151435</v>
      </c>
      <c r="E34" s="45">
        <f>205120+943</f>
        <v>206063</v>
      </c>
      <c r="F34" s="4">
        <f>F12*IncState!F15</f>
        <v>232851.19</v>
      </c>
      <c r="G34" s="4">
        <f>G12*IncState!G15</f>
        <v>264286.10064999998</v>
      </c>
      <c r="H34" s="4">
        <f>H12*IncState!H15</f>
        <v>301286.15474100003</v>
      </c>
      <c r="I34" s="4">
        <f>I12*IncState!I15</f>
        <v>344972.64717844501</v>
      </c>
      <c r="J34" s="4">
        <f>J12*IncState!J15</f>
        <v>396718.54425521177</v>
      </c>
    </row>
    <row r="35" spans="1:12" x14ac:dyDescent="0.25">
      <c r="B35" s="11" t="s">
        <v>79</v>
      </c>
      <c r="C35" s="11">
        <f t="shared" ref="C35:E35" si="14">SUM(C33:C34)</f>
        <v>152504</v>
      </c>
      <c r="D35" s="11">
        <f t="shared" si="14"/>
        <v>151435</v>
      </c>
      <c r="E35" s="24">
        <f t="shared" si="14"/>
        <v>206063</v>
      </c>
      <c r="F35" s="11">
        <f>SUM(F33:F34)</f>
        <v>232851.19</v>
      </c>
      <c r="G35" s="11">
        <f t="shared" ref="G35:J35" si="15">SUM(G33:G34)</f>
        <v>264286.10064999998</v>
      </c>
      <c r="H35" s="11">
        <f t="shared" si="15"/>
        <v>301286.15474100003</v>
      </c>
      <c r="I35" s="11">
        <f t="shared" si="15"/>
        <v>344972.64717844501</v>
      </c>
      <c r="J35" s="11">
        <f t="shared" si="15"/>
        <v>396718.54425521177</v>
      </c>
      <c r="K35" s="11"/>
      <c r="L35" s="11"/>
    </row>
    <row r="36" spans="1:12" x14ac:dyDescent="0.25">
      <c r="E36" s="27"/>
      <c r="I36" s="4"/>
      <c r="J36" s="4"/>
    </row>
    <row r="37" spans="1:12" x14ac:dyDescent="0.25">
      <c r="B37" s="4" t="s">
        <v>16</v>
      </c>
      <c r="C37" s="188">
        <v>286646</v>
      </c>
      <c r="D37" s="188">
        <v>301787</v>
      </c>
      <c r="E37" s="216">
        <v>340073</v>
      </c>
      <c r="F37" s="4">
        <f>Calcs!F16</f>
        <v>351062.42712750006</v>
      </c>
      <c r="G37" s="4">
        <f>Calcs!G16</f>
        <v>406518.34173092502</v>
      </c>
      <c r="H37" s="4">
        <f>Calcs!H16</f>
        <v>518738.60726646171</v>
      </c>
      <c r="I37" s="4">
        <f>Calcs!I16</f>
        <v>703336.41001099022</v>
      </c>
      <c r="J37" s="4">
        <f>Calcs!J16</f>
        <v>980145.32167948759</v>
      </c>
    </row>
    <row r="38" spans="1:12" s="11" customFormat="1" x14ac:dyDescent="0.25">
      <c r="A38" s="11" t="s">
        <v>122</v>
      </c>
      <c r="B38" s="17" t="s">
        <v>80</v>
      </c>
      <c r="C38" s="18">
        <f>SUM(C37,C35,C31)</f>
        <v>568707</v>
      </c>
      <c r="D38" s="18">
        <f>SUM(D37,D35,D31)</f>
        <v>580312</v>
      </c>
      <c r="E38" s="18">
        <f t="shared" ref="E38:F38" si="16">SUM(E37,E35,E31)</f>
        <v>676490</v>
      </c>
      <c r="F38" s="18">
        <f t="shared" si="16"/>
        <v>730263.21447354229</v>
      </c>
      <c r="G38" s="18">
        <f t="shared" ref="G38:J38" si="17">SUM(G37,G35,G31)</f>
        <v>835832.50565644098</v>
      </c>
      <c r="H38" s="18">
        <f t="shared" si="17"/>
        <v>1006927.0022695942</v>
      </c>
      <c r="I38" s="18">
        <f t="shared" si="17"/>
        <v>1260904.0563961873</v>
      </c>
      <c r="J38" s="18">
        <f t="shared" si="17"/>
        <v>1619728.8392450665</v>
      </c>
    </row>
    <row r="39" spans="1:12" x14ac:dyDescent="0.25">
      <c r="E39" s="27"/>
      <c r="I39" s="4"/>
      <c r="J39" s="4"/>
      <c r="K39" s="6"/>
      <c r="L39" s="6"/>
    </row>
    <row r="40" spans="1:12" x14ac:dyDescent="0.25">
      <c r="A40" s="4" t="s">
        <v>122</v>
      </c>
      <c r="B40" s="11" t="s">
        <v>81</v>
      </c>
      <c r="C40" s="46">
        <f>C38-C26</f>
        <v>0</v>
      </c>
      <c r="D40" s="46">
        <f t="shared" ref="D40:J40" si="18">D38-D26</f>
        <v>0</v>
      </c>
      <c r="E40" s="150">
        <f t="shared" si="18"/>
        <v>0</v>
      </c>
      <c r="F40" s="46">
        <f t="shared" si="18"/>
        <v>0</v>
      </c>
      <c r="G40" s="46">
        <f t="shared" ref="G40:J40" si="19">G38-G26</f>
        <v>0</v>
      </c>
      <c r="H40" s="46">
        <f t="shared" si="19"/>
        <v>0</v>
      </c>
      <c r="I40" s="46">
        <f t="shared" si="19"/>
        <v>0</v>
      </c>
      <c r="J40" s="46">
        <f t="shared" si="19"/>
        <v>0</v>
      </c>
      <c r="K40" s="46"/>
      <c r="L40" s="46"/>
    </row>
    <row r="41" spans="1:12" x14ac:dyDescent="0.25">
      <c r="I41" s="4"/>
      <c r="J41" s="4"/>
    </row>
    <row r="42" spans="1:12" x14ac:dyDescent="0.25">
      <c r="H42" s="6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</sheetData>
  <conditionalFormatting sqref="F4:L13">
    <cfRule type="expression" dxfId="0" priority="37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zoomScaleNormal="100" workbookViewId="0">
      <selection activeCell="F22" sqref="F4:J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7" t="s">
        <v>82</v>
      </c>
      <c r="B2" s="178"/>
      <c r="C2" s="183">
        <v>2022</v>
      </c>
      <c r="D2" s="183">
        <f>C2+1</f>
        <v>2023</v>
      </c>
      <c r="E2" s="183">
        <f t="shared" ref="E2:J2" si="0">D2+1</f>
        <v>2024</v>
      </c>
      <c r="F2" s="183">
        <f t="shared" si="0"/>
        <v>2025</v>
      </c>
      <c r="G2" s="183">
        <f t="shared" si="0"/>
        <v>2026</v>
      </c>
      <c r="H2" s="183">
        <f t="shared" si="0"/>
        <v>2027</v>
      </c>
      <c r="I2" s="183">
        <f t="shared" si="0"/>
        <v>2028</v>
      </c>
      <c r="J2" s="183">
        <f t="shared" si="0"/>
        <v>2029</v>
      </c>
      <c r="K2" s="205"/>
      <c r="L2" s="205"/>
    </row>
    <row r="3" spans="1:12" x14ac:dyDescent="0.25">
      <c r="B3" s="4" t="s">
        <v>153</v>
      </c>
      <c r="F3" s="4">
        <f>IncState!F33</f>
        <v>10989.427127500045</v>
      </c>
      <c r="G3" s="4">
        <f>IncState!G33</f>
        <v>55455.914603424972</v>
      </c>
      <c r="H3" s="4">
        <f>IncState!H33</f>
        <v>112220.26553553672</v>
      </c>
      <c r="I3" s="4">
        <f>IncState!I33</f>
        <v>184597.80274452851</v>
      </c>
      <c r="J3" s="4">
        <f>IncState!J33</f>
        <v>276808.91166849743</v>
      </c>
    </row>
    <row r="4" spans="1:12" x14ac:dyDescent="0.25">
      <c r="B4" s="4" t="s">
        <v>14</v>
      </c>
      <c r="F4" s="4">
        <f>IncState!F20</f>
        <v>57072.688749148874</v>
      </c>
      <c r="G4" s="4">
        <f>IncState!G20</f>
        <v>59415.272722166519</v>
      </c>
      <c r="H4" s="4">
        <f>IncState!H20</f>
        <v>62969.60990079007</v>
      </c>
      <c r="I4" s="4">
        <f>IncState!I20</f>
        <v>67817.119823582543</v>
      </c>
      <c r="J4" s="4">
        <f>IncState!J20</f>
        <v>74082.803316586433</v>
      </c>
    </row>
    <row r="5" spans="1:12" x14ac:dyDescent="0.25">
      <c r="B5" s="4" t="s">
        <v>52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</row>
    <row r="6" spans="1:12" x14ac:dyDescent="0.25">
      <c r="B6" s="4" t="s">
        <v>181</v>
      </c>
      <c r="F6" s="4">
        <f>Calcs!F25</f>
        <v>2299.2013397785195</v>
      </c>
      <c r="G6" s="4">
        <f>Calcs!G25</f>
        <v>2670.1999140187691</v>
      </c>
      <c r="H6" s="4">
        <f>Calcs!H25</f>
        <v>3109.2418163210386</v>
      </c>
      <c r="I6" s="4">
        <f>Calcs!I25</f>
        <v>3630.37037887107</v>
      </c>
      <c r="J6" s="4">
        <f>Calcs!J25</f>
        <v>4250.7847836079309</v>
      </c>
    </row>
    <row r="7" spans="1:12" x14ac:dyDescent="0.25">
      <c r="B7" s="4" t="s">
        <v>182</v>
      </c>
      <c r="F7" s="4">
        <f>BalSheet!E23-BalSheet!F23</f>
        <v>-1130.4799999999996</v>
      </c>
      <c r="G7" s="4">
        <f>BalSheet!F23-BalSheet!G23</f>
        <v>-1326.5748000000003</v>
      </c>
      <c r="H7" s="4">
        <f>BalSheet!G23-BalSheet!H23</f>
        <v>-1561.4276720000016</v>
      </c>
      <c r="I7" s="4">
        <f>BalSheet!H23-BalSheet!I23</f>
        <v>-1843.5999584399997</v>
      </c>
      <c r="J7" s="4">
        <f>BalSheet!I23-BalSheet!J23</f>
        <v>-2183.7123645659995</v>
      </c>
    </row>
    <row r="8" spans="1:12" x14ac:dyDescent="0.25">
      <c r="B8" s="4" t="s">
        <v>183</v>
      </c>
      <c r="F8" s="4">
        <f>BalSheet!F34-BalSheet!E34</f>
        <v>26788.190000000002</v>
      </c>
      <c r="G8" s="4">
        <f>BalSheet!G34-BalSheet!F34</f>
        <v>31434.910649999976</v>
      </c>
      <c r="H8" s="4">
        <f>BalSheet!H34-BalSheet!G34</f>
        <v>37000.054091000056</v>
      </c>
      <c r="I8" s="4">
        <f>BalSheet!I34-BalSheet!H34</f>
        <v>43686.492437444977</v>
      </c>
      <c r="J8" s="4">
        <f>BalSheet!J34-BalSheet!I34</f>
        <v>51745.897076766763</v>
      </c>
    </row>
    <row r="9" spans="1:12" s="11" customFormat="1" x14ac:dyDescent="0.25">
      <c r="B9" s="11" t="s">
        <v>184</v>
      </c>
      <c r="F9" s="11">
        <f>SUM(F3:F8)</f>
        <v>96019.02721642745</v>
      </c>
      <c r="G9" s="11">
        <f t="shared" ref="G9:J9" si="1">SUM(G3:G8)</f>
        <v>147649.72308961023</v>
      </c>
      <c r="H9" s="11">
        <f t="shared" si="1"/>
        <v>213737.74367164788</v>
      </c>
      <c r="I9" s="11">
        <f t="shared" si="1"/>
        <v>297888.18542598712</v>
      </c>
      <c r="J9" s="11">
        <f t="shared" si="1"/>
        <v>404704.68448089255</v>
      </c>
    </row>
    <row r="10" spans="1:12" x14ac:dyDescent="0.25">
      <c r="I10" s="4"/>
      <c r="J10" s="4"/>
    </row>
    <row r="11" spans="1:12" x14ac:dyDescent="0.25">
      <c r="B11" s="4" t="s">
        <v>13</v>
      </c>
      <c r="F11" s="4">
        <f>Calcs!F7</f>
        <v>71099.947761416304</v>
      </c>
      <c r="G11" s="4">
        <f>Calcs!G7</f>
        <v>80698.440709207513</v>
      </c>
      <c r="H11" s="4">
        <f>Calcs!H7</f>
        <v>91996.222408496571</v>
      </c>
      <c r="I11" s="4">
        <f>Calcs!I7</f>
        <v>105335.67465772857</v>
      </c>
      <c r="J11" s="4">
        <f>Calcs!J7</f>
        <v>121136.02585638785</v>
      </c>
    </row>
    <row r="12" spans="1:12" s="11" customFormat="1" x14ac:dyDescent="0.25">
      <c r="B12" s="11" t="s">
        <v>185</v>
      </c>
      <c r="F12" s="11">
        <f>-F11</f>
        <v>-71099.947761416304</v>
      </c>
      <c r="G12" s="11">
        <f t="shared" ref="G12:J12" si="2">-G11</f>
        <v>-80698.440709207513</v>
      </c>
      <c r="H12" s="11">
        <f t="shared" si="2"/>
        <v>-91996.222408496571</v>
      </c>
      <c r="I12" s="11">
        <f t="shared" si="2"/>
        <v>-105335.67465772857</v>
      </c>
      <c r="J12" s="11">
        <f t="shared" si="2"/>
        <v>-121136.02585638785</v>
      </c>
    </row>
    <row r="13" spans="1:12" x14ac:dyDescent="0.25">
      <c r="I13" s="4"/>
      <c r="J13" s="4"/>
    </row>
    <row r="14" spans="1:12" x14ac:dyDescent="0.25">
      <c r="B14" s="4" t="s">
        <v>186</v>
      </c>
      <c r="F14" s="4">
        <f>Calcs!F11</f>
        <v>0</v>
      </c>
      <c r="G14" s="4">
        <f>Calcs!G11</f>
        <v>0</v>
      </c>
      <c r="H14" s="4">
        <f>Calcs!H11</f>
        <v>0</v>
      </c>
      <c r="I14" s="4">
        <f>Calcs!I11</f>
        <v>0</v>
      </c>
      <c r="J14" s="4">
        <f>Calcs!J11</f>
        <v>0</v>
      </c>
    </row>
    <row r="15" spans="1:12" x14ac:dyDescent="0.25">
      <c r="B15" s="4" t="s">
        <v>187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s="11" customFormat="1" x14ac:dyDescent="0.25">
      <c r="B16" s="11" t="s">
        <v>188</v>
      </c>
      <c r="F16" s="11">
        <f>SUM(F14:F15)</f>
        <v>0</v>
      </c>
      <c r="G16" s="11">
        <f t="shared" ref="G16:J16" si="3">SUM(G14:G15)</f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</row>
    <row r="17" spans="2:10" x14ac:dyDescent="0.25">
      <c r="I17" s="4"/>
      <c r="J17" s="4"/>
    </row>
    <row r="18" spans="2:10" x14ac:dyDescent="0.25">
      <c r="B18" s="4" t="s">
        <v>189</v>
      </c>
      <c r="F18" s="4">
        <f>SUM(F16,F12,F9)</f>
        <v>24919.079455011146</v>
      </c>
      <c r="G18" s="4">
        <f t="shared" ref="G18:J18" si="4">SUM(G16,G12,G9)</f>
        <v>66951.282380402714</v>
      </c>
      <c r="H18" s="4">
        <f t="shared" si="4"/>
        <v>121741.52126315131</v>
      </c>
      <c r="I18" s="4">
        <f t="shared" si="4"/>
        <v>192552.51076825854</v>
      </c>
      <c r="J18" s="4">
        <f t="shared" si="4"/>
        <v>283568.65862450469</v>
      </c>
    </row>
    <row r="19" spans="2:10" x14ac:dyDescent="0.25">
      <c r="I19" s="4"/>
      <c r="J19" s="4"/>
    </row>
    <row r="20" spans="2:10" x14ac:dyDescent="0.25">
      <c r="B20" s="4" t="s">
        <v>190</v>
      </c>
      <c r="F20" s="4">
        <f>BalSheet!E16</f>
        <v>215595.25</v>
      </c>
      <c r="G20" s="4">
        <f>BalSheet!F16</f>
        <v>240514.32945501115</v>
      </c>
      <c r="H20" s="4">
        <f>BalSheet!G16</f>
        <v>307465.61183541385</v>
      </c>
      <c r="I20" s="4">
        <f>BalSheet!H16</f>
        <v>429207.13309856516</v>
      </c>
      <c r="J20" s="4">
        <f>BalSheet!I16</f>
        <v>621759.64386682375</v>
      </c>
    </row>
    <row r="21" spans="2:10" x14ac:dyDescent="0.25">
      <c r="B21" s="4" t="str">
        <f>B18</f>
        <v>Net changes in cash</v>
      </c>
      <c r="F21" s="4">
        <f>F18</f>
        <v>24919.079455011146</v>
      </c>
      <c r="G21" s="4">
        <f t="shared" ref="G21:J21" si="5">G18</f>
        <v>66951.282380402714</v>
      </c>
      <c r="H21" s="4">
        <f t="shared" si="5"/>
        <v>121741.52126315131</v>
      </c>
      <c r="I21" s="4">
        <f t="shared" si="5"/>
        <v>192552.51076825854</v>
      </c>
      <c r="J21" s="4">
        <f t="shared" si="5"/>
        <v>283568.65862450469</v>
      </c>
    </row>
    <row r="22" spans="2:10" x14ac:dyDescent="0.25">
      <c r="B22" s="4" t="s">
        <v>191</v>
      </c>
      <c r="F22" s="4">
        <f>SUM(F20:F21)</f>
        <v>240514.32945501115</v>
      </c>
      <c r="G22" s="4">
        <f t="shared" ref="G22:J22" si="6">SUM(G20:G21)</f>
        <v>307465.61183541385</v>
      </c>
      <c r="H22" s="4">
        <f t="shared" si="6"/>
        <v>429207.13309856516</v>
      </c>
      <c r="I22" s="4">
        <f t="shared" si="6"/>
        <v>621759.64386682375</v>
      </c>
      <c r="J22" s="4">
        <f t="shared" si="6"/>
        <v>905328.30249132845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4" t="str">
        <f>CoName</f>
        <v>Warby Parker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7" t="s">
        <v>85</v>
      </c>
      <c r="B2" s="178"/>
      <c r="C2" s="183">
        <v>2022</v>
      </c>
      <c r="D2" s="183">
        <f>C2+1</f>
        <v>2023</v>
      </c>
      <c r="E2" s="183">
        <f t="shared" ref="E2:J2" si="0">D2+1</f>
        <v>2024</v>
      </c>
      <c r="F2" s="183">
        <f t="shared" si="0"/>
        <v>2025</v>
      </c>
      <c r="G2" s="183">
        <f t="shared" si="0"/>
        <v>2026</v>
      </c>
      <c r="H2" s="183">
        <f t="shared" si="0"/>
        <v>2027</v>
      </c>
      <c r="I2" s="183">
        <f t="shared" si="0"/>
        <v>2028</v>
      </c>
      <c r="J2" s="183">
        <f t="shared" si="0"/>
        <v>2029</v>
      </c>
      <c r="K2" s="205"/>
      <c r="L2" s="205"/>
    </row>
    <row r="3" spans="1:12" x14ac:dyDescent="0.25">
      <c r="A3" s="11" t="s">
        <v>122</v>
      </c>
      <c r="B3" s="4" t="s">
        <v>86</v>
      </c>
      <c r="D3" s="234"/>
      <c r="E3" s="23"/>
      <c r="F3" s="235">
        <f>IncState!F15</f>
        <v>871585.95</v>
      </c>
      <c r="G3" s="235">
        <f>IncState!G15</f>
        <v>989250.05325</v>
      </c>
      <c r="H3" s="235">
        <f>IncState!H15</f>
        <v>1127745.0607050001</v>
      </c>
      <c r="I3" s="235">
        <f>IncState!I15</f>
        <v>1291268.0945072251</v>
      </c>
      <c r="J3" s="235">
        <f>IncState!J15</f>
        <v>1484958.3086833088</v>
      </c>
      <c r="K3" s="213"/>
      <c r="L3" s="213"/>
    </row>
    <row r="4" spans="1:12" x14ac:dyDescent="0.25">
      <c r="B4" s="4" t="s">
        <v>53</v>
      </c>
      <c r="E4" s="27"/>
      <c r="F4" s="4">
        <f>IncState!F18</f>
        <v>13910.667250000057</v>
      </c>
      <c r="G4" s="4">
        <f>IncState!G18</f>
        <v>70197.360257499968</v>
      </c>
      <c r="H4" s="4">
        <f>IncState!H18</f>
        <v>142050.96903232497</v>
      </c>
      <c r="I4" s="4">
        <f>IncState!I18</f>
        <v>233668.10473990953</v>
      </c>
      <c r="J4" s="4">
        <f>IncState!J18</f>
        <v>350391.02742847777</v>
      </c>
    </row>
    <row r="5" spans="1:12" x14ac:dyDescent="0.25">
      <c r="B5" s="30" t="s">
        <v>91</v>
      </c>
      <c r="C5" s="30"/>
      <c r="D5" s="30"/>
      <c r="E5" s="39"/>
      <c r="F5" s="43">
        <f>Assumptions!F16</f>
        <v>0.21</v>
      </c>
      <c r="G5" s="43">
        <f>Assumptions!G16</f>
        <v>0.21</v>
      </c>
      <c r="H5" s="43">
        <f>Assumptions!H16</f>
        <v>0.21</v>
      </c>
      <c r="I5" s="43">
        <f>Assumptions!I16</f>
        <v>0.21</v>
      </c>
      <c r="J5" s="43">
        <f>Assumptions!J16</f>
        <v>0.21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0"/>
      <c r="L6" s="170"/>
    </row>
    <row r="7" spans="1:12" x14ac:dyDescent="0.25">
      <c r="A7" s="24" t="s">
        <v>122</v>
      </c>
      <c r="B7" s="21" t="s">
        <v>87</v>
      </c>
      <c r="C7" s="119"/>
      <c r="D7" s="119"/>
      <c r="E7" s="119"/>
      <c r="F7" s="133">
        <f t="shared" ref="F7:J7" si="1">F4*(1-F5)</f>
        <v>10989.427127500045</v>
      </c>
      <c r="G7" s="133">
        <f t="shared" ref="G7:J7" si="2">G4*(1-G5)</f>
        <v>55455.914603424979</v>
      </c>
      <c r="H7" s="133">
        <f t="shared" si="2"/>
        <v>112220.26553553673</v>
      </c>
      <c r="I7" s="133">
        <f t="shared" si="2"/>
        <v>184597.80274452854</v>
      </c>
      <c r="J7" s="133">
        <f t="shared" si="2"/>
        <v>276808.91166849743</v>
      </c>
      <c r="K7" s="213"/>
      <c r="L7" s="213"/>
    </row>
    <row r="8" spans="1:12" x14ac:dyDescent="0.25">
      <c r="B8" s="4" t="s">
        <v>14</v>
      </c>
      <c r="C8" s="119"/>
      <c r="D8" s="119"/>
      <c r="E8" s="120"/>
      <c r="F8" s="134">
        <f>CashFlow!F4</f>
        <v>57072.688749148874</v>
      </c>
      <c r="G8" s="134">
        <f>CashFlow!G4</f>
        <v>59415.272722166519</v>
      </c>
      <c r="H8" s="134">
        <f>CashFlow!H4</f>
        <v>62969.60990079007</v>
      </c>
      <c r="I8" s="134">
        <f>CashFlow!I4</f>
        <v>67817.119823582543</v>
      </c>
      <c r="J8" s="134">
        <f>CashFlow!J4</f>
        <v>74082.803316586433</v>
      </c>
      <c r="K8" s="212"/>
      <c r="L8" s="212"/>
    </row>
    <row r="9" spans="1:12" x14ac:dyDescent="0.25">
      <c r="B9" s="4" t="s">
        <v>52</v>
      </c>
      <c r="C9" s="5"/>
      <c r="D9" s="5"/>
      <c r="E9" s="23"/>
      <c r="F9" s="270">
        <f>CashFlow!F5</f>
        <v>0</v>
      </c>
      <c r="G9" s="270">
        <f>CashFlow!G5</f>
        <v>0</v>
      </c>
      <c r="H9" s="270">
        <f>CashFlow!H5</f>
        <v>0</v>
      </c>
      <c r="I9" s="270">
        <f>CashFlow!I5</f>
        <v>0</v>
      </c>
      <c r="J9" s="270">
        <f>CashFlow!J5</f>
        <v>0</v>
      </c>
      <c r="K9" s="212"/>
      <c r="L9" s="212"/>
    </row>
    <row r="10" spans="1:12" x14ac:dyDescent="0.25">
      <c r="B10" s="4" t="s">
        <v>88</v>
      </c>
      <c r="C10" s="5"/>
      <c r="D10" s="5"/>
      <c r="E10" s="23"/>
      <c r="F10" s="270">
        <f>CashFlow!F6</f>
        <v>2299.2013397785195</v>
      </c>
      <c r="G10" s="270">
        <f>CashFlow!G6</f>
        <v>2670.1999140187691</v>
      </c>
      <c r="H10" s="270">
        <f>CashFlow!H6</f>
        <v>3109.2418163210386</v>
      </c>
      <c r="I10" s="270">
        <f>CashFlow!I6</f>
        <v>3630.37037887107</v>
      </c>
      <c r="J10" s="270">
        <f>CashFlow!J6</f>
        <v>4250.7847836079309</v>
      </c>
      <c r="K10" s="212"/>
      <c r="L10" s="212"/>
    </row>
    <row r="11" spans="1:12" x14ac:dyDescent="0.25">
      <c r="B11" s="4" t="s">
        <v>159</v>
      </c>
      <c r="C11" s="5"/>
      <c r="D11" s="5"/>
      <c r="E11" s="23"/>
      <c r="F11" s="270">
        <f>CashFlow!F7</f>
        <v>-1130.4799999999996</v>
      </c>
      <c r="G11" s="270">
        <f>CashFlow!G7</f>
        <v>-1326.5748000000003</v>
      </c>
      <c r="H11" s="270">
        <f>CashFlow!H7</f>
        <v>-1561.4276720000016</v>
      </c>
      <c r="I11" s="270">
        <f>CashFlow!I7</f>
        <v>-1843.5999584399997</v>
      </c>
      <c r="J11" s="270">
        <f>CashFlow!J7</f>
        <v>-2183.7123645659995</v>
      </c>
      <c r="K11" s="212"/>
      <c r="L11" s="212"/>
    </row>
    <row r="12" spans="1:12" x14ac:dyDescent="0.25">
      <c r="B12" s="4" t="s">
        <v>160</v>
      </c>
      <c r="E12" s="27"/>
      <c r="F12" s="270">
        <f>CashFlow!F8</f>
        <v>26788.190000000002</v>
      </c>
      <c r="G12" s="270">
        <f>CashFlow!G8</f>
        <v>31434.910649999976</v>
      </c>
      <c r="H12" s="270">
        <f>CashFlow!H8</f>
        <v>37000.054091000056</v>
      </c>
      <c r="I12" s="270">
        <f>CashFlow!I8</f>
        <v>43686.492437444977</v>
      </c>
      <c r="J12" s="270">
        <f>CashFlow!J8</f>
        <v>51745.897076766763</v>
      </c>
      <c r="K12" s="212"/>
      <c r="L12" s="212"/>
    </row>
    <row r="13" spans="1:12" x14ac:dyDescent="0.25">
      <c r="B13" s="4" t="s">
        <v>89</v>
      </c>
      <c r="E13" s="27"/>
      <c r="F13" s="131">
        <f>CashFlow!F12</f>
        <v>-71099.947761416304</v>
      </c>
      <c r="G13" s="131">
        <f>CashFlow!G12</f>
        <v>-80698.440709207513</v>
      </c>
      <c r="H13" s="131">
        <f>CashFlow!H12</f>
        <v>-91996.222408496571</v>
      </c>
      <c r="I13" s="131">
        <f>CashFlow!I12</f>
        <v>-105335.67465772857</v>
      </c>
      <c r="J13" s="131">
        <f>CashFlow!J12</f>
        <v>-121136.02585638785</v>
      </c>
      <c r="K13" s="131"/>
      <c r="L13" s="131"/>
    </row>
    <row r="14" spans="1:12" x14ac:dyDescent="0.25">
      <c r="E14" s="63"/>
      <c r="F14" s="135"/>
      <c r="G14" s="135"/>
      <c r="H14" s="135"/>
      <c r="I14" s="135"/>
      <c r="J14" s="135"/>
      <c r="K14" s="135"/>
      <c r="L14" s="135"/>
    </row>
    <row r="15" spans="1:12" s="11" customFormat="1" x14ac:dyDescent="0.25">
      <c r="A15" s="24" t="s">
        <v>122</v>
      </c>
      <c r="B15" s="34" t="s">
        <v>90</v>
      </c>
      <c r="C15" s="34"/>
      <c r="D15" s="34"/>
      <c r="E15" s="34"/>
      <c r="F15" s="34">
        <f>SUM(F7:F13)</f>
        <v>24919.079455011146</v>
      </c>
      <c r="G15" s="34">
        <f t="shared" ref="G15:J15" si="3">SUM(G7:G13)</f>
        <v>66951.282380402714</v>
      </c>
      <c r="H15" s="34">
        <f t="shared" si="3"/>
        <v>121741.52126315134</v>
      </c>
      <c r="I15" s="34">
        <f t="shared" si="3"/>
        <v>192552.51076825854</v>
      </c>
      <c r="J15" s="34">
        <f t="shared" si="3"/>
        <v>283568.65862450469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4" t="str">
        <f>CoName</f>
        <v>Warby Parker</v>
      </c>
    </row>
    <row r="2" spans="1:13" x14ac:dyDescent="0.25">
      <c r="G2" s="145"/>
    </row>
    <row r="3" spans="1:13" x14ac:dyDescent="0.25">
      <c r="A3" s="27" t="s">
        <v>122</v>
      </c>
      <c r="B3" s="160" t="s">
        <v>99</v>
      </c>
      <c r="C3" s="161"/>
      <c r="D3" s="161"/>
      <c r="E3" s="162"/>
      <c r="F3" s="11"/>
      <c r="G3" s="77" t="s">
        <v>107</v>
      </c>
      <c r="H3" s="77" t="s">
        <v>102</v>
      </c>
      <c r="I3" s="77" t="s">
        <v>103</v>
      </c>
      <c r="J3" s="77" t="s">
        <v>104</v>
      </c>
      <c r="K3" s="77" t="s">
        <v>105</v>
      </c>
      <c r="L3" s="77" t="s">
        <v>110</v>
      </c>
      <c r="M3" s="77" t="s">
        <v>106</v>
      </c>
    </row>
    <row r="4" spans="1:13" x14ac:dyDescent="0.25">
      <c r="A4" s="27"/>
      <c r="B4" s="257" t="s">
        <v>161</v>
      </c>
      <c r="C4" s="67"/>
      <c r="D4" s="72"/>
      <c r="E4" s="258">
        <f>Assumptions!F16</f>
        <v>0.21</v>
      </c>
      <c r="G4" s="137"/>
      <c r="H4" s="138"/>
      <c r="I4" s="80"/>
      <c r="J4" s="81"/>
      <c r="K4" s="140"/>
      <c r="L4" s="151">
        <f>E4</f>
        <v>0.21</v>
      </c>
      <c r="M4" s="141">
        <f>H4/((1+K4*(1-L4)))</f>
        <v>0</v>
      </c>
    </row>
    <row r="5" spans="1:13" x14ac:dyDescent="0.25">
      <c r="A5" s="27"/>
      <c r="B5" s="67" t="s">
        <v>92</v>
      </c>
      <c r="C5" s="67"/>
      <c r="D5" s="72"/>
      <c r="E5" s="136">
        <v>4.1000000000000002E-2</v>
      </c>
      <c r="G5" s="137"/>
      <c r="H5" s="138"/>
      <c r="I5" s="80"/>
      <c r="J5" s="81"/>
      <c r="K5" s="140"/>
      <c r="L5" s="151">
        <f>L4</f>
        <v>0.21</v>
      </c>
      <c r="M5" s="141">
        <f t="shared" ref="M5:M7" si="0">H5/((1+K5*(1-L5)))</f>
        <v>0</v>
      </c>
    </row>
    <row r="6" spans="1:13" x14ac:dyDescent="0.25">
      <c r="A6" s="27"/>
      <c r="B6" s="67" t="s">
        <v>93</v>
      </c>
      <c r="C6" s="67"/>
      <c r="D6" s="72"/>
      <c r="E6" s="136">
        <v>0.05</v>
      </c>
      <c r="G6" s="137"/>
      <c r="H6" s="139"/>
      <c r="I6" s="82"/>
      <c r="J6" s="81"/>
      <c r="K6" s="140"/>
      <c r="L6" s="151">
        <f t="shared" ref="L6:L7" si="1">L5</f>
        <v>0.21</v>
      </c>
      <c r="M6" s="141">
        <f t="shared" si="0"/>
        <v>0</v>
      </c>
    </row>
    <row r="7" spans="1:13" x14ac:dyDescent="0.25">
      <c r="A7" s="27"/>
      <c r="B7" s="67" t="s">
        <v>94</v>
      </c>
      <c r="C7" s="67"/>
      <c r="D7" s="72"/>
      <c r="E7" s="218">
        <f>2.07*0.66</f>
        <v>1.3661999999999999</v>
      </c>
      <c r="G7" s="137"/>
      <c r="H7" s="139"/>
      <c r="I7" s="82"/>
      <c r="J7" s="83"/>
      <c r="K7" s="140"/>
      <c r="L7" s="151">
        <f t="shared" si="1"/>
        <v>0.21</v>
      </c>
      <c r="M7" s="141">
        <f t="shared" si="0"/>
        <v>0</v>
      </c>
    </row>
    <row r="8" spans="1:13" x14ac:dyDescent="0.25">
      <c r="A8" s="27"/>
      <c r="B8" s="67" t="s">
        <v>95</v>
      </c>
      <c r="C8" s="67"/>
      <c r="D8" s="72"/>
      <c r="E8" s="136">
        <f>E5+E6*E7</f>
        <v>0.10930999999999999</v>
      </c>
      <c r="L8" s="66"/>
    </row>
    <row r="9" spans="1:13" x14ac:dyDescent="0.25">
      <c r="A9" s="27"/>
      <c r="B9" s="68" t="s">
        <v>96</v>
      </c>
      <c r="C9" s="68"/>
      <c r="D9" s="73"/>
      <c r="E9" s="142">
        <f>1-E10</f>
        <v>0.89966659298461626</v>
      </c>
      <c r="G9" s="4" t="s">
        <v>108</v>
      </c>
      <c r="L9" s="27"/>
      <c r="M9" s="217">
        <f>AVERAGE(M4:M7)</f>
        <v>0</v>
      </c>
    </row>
    <row r="10" spans="1:13" x14ac:dyDescent="0.25">
      <c r="A10" s="27"/>
      <c r="B10" s="69" t="s">
        <v>97</v>
      </c>
      <c r="C10" s="69"/>
      <c r="D10" s="74"/>
      <c r="E10" s="143">
        <f>MAIN!F8/MAIN!F6</f>
        <v>0.10033340701538375</v>
      </c>
      <c r="M10" s="66"/>
    </row>
    <row r="11" spans="1:13" x14ac:dyDescent="0.25">
      <c r="A11" s="27"/>
      <c r="B11" s="159" t="s">
        <v>172</v>
      </c>
      <c r="C11" s="70"/>
      <c r="D11" s="75"/>
      <c r="E11" s="144">
        <f>Assumptions!F23</f>
        <v>0.05</v>
      </c>
      <c r="G11" s="4" t="s">
        <v>109</v>
      </c>
      <c r="L11" s="27"/>
      <c r="M11" s="217">
        <f>M9*(1+E10*(1-E4))</f>
        <v>0</v>
      </c>
    </row>
    <row r="12" spans="1:13" x14ac:dyDescent="0.25">
      <c r="A12" s="27"/>
      <c r="B12" s="71" t="s">
        <v>98</v>
      </c>
      <c r="C12" s="71"/>
      <c r="D12" s="76"/>
      <c r="E12" s="144">
        <f>E11*(1-E4)</f>
        <v>3.9500000000000007E-2</v>
      </c>
      <c r="M12" s="66"/>
    </row>
    <row r="13" spans="1:13" s="11" customFormat="1" x14ac:dyDescent="0.25">
      <c r="A13" s="24" t="s">
        <v>122</v>
      </c>
      <c r="B13" s="160" t="s">
        <v>99</v>
      </c>
      <c r="C13" s="161"/>
      <c r="D13" s="162"/>
      <c r="E13" s="156">
        <f>WACC!E8*WACC!E9+WACC!E12*WACC!E10</f>
        <v>0.10230572485625605</v>
      </c>
      <c r="F13" s="4"/>
    </row>
    <row r="14" spans="1:13" s="11" customFormat="1" x14ac:dyDescent="0.25">
      <c r="A14" s="24"/>
      <c r="B14" s="77" t="s">
        <v>100</v>
      </c>
      <c r="C14" s="77"/>
      <c r="D14" s="114"/>
      <c r="E14" s="146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G11" sqref="G11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2" width="11.7109375" style="4" customWidth="1"/>
    <col min="13" max="16384" width="9" style="4"/>
  </cols>
  <sheetData>
    <row r="1" spans="1:14" ht="19.5" x14ac:dyDescent="0.3">
      <c r="A1" s="254" t="str">
        <f>CoName</f>
        <v>Warby Parker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111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57"/>
      <c r="J2" s="157"/>
      <c r="K2" s="157"/>
      <c r="L2" s="157"/>
      <c r="M2" s="157"/>
      <c r="N2" s="157"/>
    </row>
    <row r="3" spans="1:14" x14ac:dyDescent="0.25">
      <c r="B3" s="4" t="s">
        <v>177</v>
      </c>
      <c r="D3" s="8">
        <f>1/(1+$K$3)^D2</f>
        <v>0.95246487455908013</v>
      </c>
      <c r="E3" s="8">
        <f t="shared" ref="E3:H3" si="1">1/(1+$K$3)^E2</f>
        <v>0.86406597832310494</v>
      </c>
      <c r="F3" s="8">
        <f t="shared" si="1"/>
        <v>0.7838714422314933</v>
      </c>
      <c r="G3" s="8">
        <f t="shared" si="1"/>
        <v>0.71111981418196157</v>
      </c>
      <c r="H3" s="8">
        <f t="shared" si="1"/>
        <v>0.64512031294647754</v>
      </c>
      <c r="I3" s="160" t="s">
        <v>99</v>
      </c>
      <c r="J3" s="161"/>
      <c r="K3" s="156">
        <f>WACC!E13</f>
        <v>0.10230572485625605</v>
      </c>
    </row>
    <row r="4" spans="1:14" x14ac:dyDescent="0.25">
      <c r="B4" s="4" t="s">
        <v>178</v>
      </c>
      <c r="D4" s="4">
        <f>D3*'Free Cash Flow'!F15</f>
        <v>23734.547887244942</v>
      </c>
      <c r="E4" s="4">
        <f>E3*'Free Cash Flow'!G15</f>
        <v>57850.325310009131</v>
      </c>
      <c r="F4" s="4">
        <f>F3*'Free Cash Flow'!H15</f>
        <v>95429.701852002458</v>
      </c>
      <c r="G4" s="4">
        <f>G3*'Free Cash Flow'!I15</f>
        <v>136927.90567779416</v>
      </c>
      <c r="H4" s="4">
        <f>H3*'Free Cash Flow'!J15</f>
        <v>182935.90179365332</v>
      </c>
      <c r="I4" s="77" t="s">
        <v>100</v>
      </c>
      <c r="J4" s="77"/>
      <c r="K4" s="146">
        <v>2.5000000000000001E-2</v>
      </c>
    </row>
    <row r="5" spans="1:14" x14ac:dyDescent="0.25">
      <c r="G5" s="145"/>
      <c r="H5" s="4">
        <f>(H4*(1+K4))/(K3-K4)</f>
        <v>2425555.1537373653</v>
      </c>
    </row>
    <row r="6" spans="1:14" x14ac:dyDescent="0.25">
      <c r="A6" s="77" t="s">
        <v>112</v>
      </c>
      <c r="B6" s="19"/>
      <c r="C6" s="42"/>
      <c r="D6" s="86"/>
      <c r="E6" s="77" t="s">
        <v>166</v>
      </c>
      <c r="F6" s="19"/>
      <c r="G6" s="42"/>
      <c r="H6" s="86" t="s">
        <v>162</v>
      </c>
    </row>
    <row r="7" spans="1:14" x14ac:dyDescent="0.25">
      <c r="B7" s="4" t="s">
        <v>113</v>
      </c>
      <c r="C7" s="4">
        <f>SUM(D4:H4)</f>
        <v>496878.38252070401</v>
      </c>
      <c r="E7" s="4" t="s">
        <v>113</v>
      </c>
      <c r="G7" s="4">
        <f>C7</f>
        <v>496878.38252070401</v>
      </c>
    </row>
    <row r="8" spans="1:14" x14ac:dyDescent="0.25">
      <c r="B8" s="4" t="s">
        <v>114</v>
      </c>
      <c r="C8" s="4">
        <f>H5*H3</f>
        <v>1564774.8998479906</v>
      </c>
      <c r="E8" s="4" t="s">
        <v>167</v>
      </c>
      <c r="G8" s="4">
        <f>H3*G10*IncState!J22</f>
        <v>2190693.5242227674</v>
      </c>
    </row>
    <row r="9" spans="1:14" x14ac:dyDescent="0.25">
      <c r="B9" s="4" t="s">
        <v>115</v>
      </c>
      <c r="C9" s="4">
        <f>SUM(C7:C8)</f>
        <v>2061653.2823686947</v>
      </c>
      <c r="E9" s="4" t="s">
        <v>115</v>
      </c>
      <c r="G9" s="4">
        <f>SUM(G7:G8)</f>
        <v>2687571.9067434715</v>
      </c>
    </row>
    <row r="10" spans="1:14" x14ac:dyDescent="0.25">
      <c r="C10" s="85"/>
      <c r="E10" s="4" t="s">
        <v>192</v>
      </c>
      <c r="G10" s="85">
        <v>8</v>
      </c>
    </row>
    <row r="11" spans="1:14" x14ac:dyDescent="0.25">
      <c r="I11" s="157"/>
    </row>
    <row r="12" spans="1:14" x14ac:dyDescent="0.25">
      <c r="B12" s="27" t="s">
        <v>116</v>
      </c>
      <c r="C12" s="37">
        <f>MAIN!F7</f>
        <v>280360</v>
      </c>
      <c r="E12" s="27" t="s">
        <v>116</v>
      </c>
      <c r="F12" s="154"/>
      <c r="G12" s="37">
        <f>C12</f>
        <v>280360</v>
      </c>
      <c r="I12" s="157"/>
    </row>
    <row r="13" spans="1:14" x14ac:dyDescent="0.25">
      <c r="B13" s="27" t="s">
        <v>117</v>
      </c>
      <c r="C13" s="37">
        <f>MAIN!F8</f>
        <v>203885</v>
      </c>
      <c r="E13" s="27" t="s">
        <v>117</v>
      </c>
      <c r="F13" s="154"/>
      <c r="G13" s="37">
        <f t="shared" ref="G13:G14" si="2">C13</f>
        <v>203885</v>
      </c>
    </row>
    <row r="14" spans="1:14" x14ac:dyDescent="0.25">
      <c r="B14" s="27" t="s">
        <v>118</v>
      </c>
      <c r="C14" s="79">
        <v>0</v>
      </c>
      <c r="E14" s="4" t="s">
        <v>118</v>
      </c>
      <c r="F14" s="27"/>
      <c r="G14" s="37">
        <f t="shared" si="2"/>
        <v>0</v>
      </c>
    </row>
    <row r="15" spans="1:14" x14ac:dyDescent="0.25">
      <c r="B15" s="4" t="s">
        <v>119</v>
      </c>
      <c r="C15" s="66">
        <f>C9+C12-C13</f>
        <v>2138128.2823686944</v>
      </c>
      <c r="E15" s="4" t="s">
        <v>119</v>
      </c>
      <c r="G15" s="66">
        <f>G9+G12-G13</f>
        <v>2764046.9067434715</v>
      </c>
    </row>
    <row r="17" spans="1:17" x14ac:dyDescent="0.25">
      <c r="B17" s="4" t="s">
        <v>120</v>
      </c>
      <c r="C17" s="4">
        <f>MAIN!F5</f>
        <v>105727.103</v>
      </c>
      <c r="E17" s="4" t="s">
        <v>120</v>
      </c>
      <c r="G17" s="4">
        <f>C17</f>
        <v>105727.103</v>
      </c>
    </row>
    <row r="18" spans="1:17" x14ac:dyDescent="0.25">
      <c r="A18" s="4" t="s">
        <v>122</v>
      </c>
      <c r="B18" s="147" t="s">
        <v>121</v>
      </c>
      <c r="C18" s="155">
        <f>C15/C17</f>
        <v>20.223085866343038</v>
      </c>
      <c r="E18" s="147" t="s">
        <v>121</v>
      </c>
      <c r="F18" s="154"/>
      <c r="G18" s="155">
        <f>G15/G17</f>
        <v>26.143219934281859</v>
      </c>
    </row>
    <row r="19" spans="1:17" x14ac:dyDescent="0.25">
      <c r="C19" s="21"/>
    </row>
    <row r="20" spans="1:17" x14ac:dyDescent="0.25">
      <c r="A20" s="115" t="s">
        <v>143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4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144</v>
      </c>
      <c r="D22" s="116"/>
      <c r="E22" s="117">
        <v>5.0000000000000001E-3</v>
      </c>
      <c r="F22" s="116"/>
      <c r="G22" s="116"/>
      <c r="J22" s="116" t="s">
        <v>144</v>
      </c>
      <c r="K22" s="116"/>
      <c r="L22" s="117">
        <v>5.0000000000000001E-3</v>
      </c>
    </row>
    <row r="23" spans="1:17" x14ac:dyDescent="0.25">
      <c r="B23" s="116"/>
      <c r="C23" s="116" t="s">
        <v>145</v>
      </c>
      <c r="D23" s="116"/>
      <c r="E23" s="148">
        <v>2.5000000000000001E-3</v>
      </c>
      <c r="F23" s="116"/>
      <c r="G23" s="116"/>
      <c r="J23" s="116" t="s">
        <v>165</v>
      </c>
      <c r="K23" s="116"/>
      <c r="L23" s="153">
        <v>1</v>
      </c>
    </row>
    <row r="24" spans="1:17" x14ac:dyDescent="0.25">
      <c r="B24" s="116"/>
      <c r="C24" s="116"/>
      <c r="D24" s="116"/>
      <c r="E24" s="165"/>
      <c r="F24" s="116"/>
      <c r="G24" s="116"/>
      <c r="J24" s="116"/>
      <c r="K24" s="116"/>
      <c r="L24" s="164"/>
    </row>
    <row r="25" spans="1:17" x14ac:dyDescent="0.25">
      <c r="B25" s="116"/>
      <c r="C25" s="116"/>
      <c r="D25" s="116"/>
      <c r="E25" s="116"/>
      <c r="F25" s="116"/>
      <c r="H25" s="116"/>
      <c r="I25" s="167"/>
      <c r="P25" s="167"/>
    </row>
    <row r="26" spans="1:17" x14ac:dyDescent="0.25">
      <c r="B26" s="157"/>
      <c r="C26" s="163"/>
      <c r="D26" s="116"/>
      <c r="E26" s="236"/>
      <c r="F26" s="237"/>
      <c r="G26" s="236"/>
      <c r="I26" s="116"/>
      <c r="J26" s="236"/>
    </row>
    <row r="27" spans="1:17" x14ac:dyDescent="0.25">
      <c r="B27" s="157"/>
      <c r="C27" s="238"/>
      <c r="E27" s="116"/>
      <c r="F27" s="239"/>
      <c r="G27" s="239"/>
      <c r="H27" s="239"/>
      <c r="I27" s="167"/>
      <c r="J27" s="167"/>
      <c r="N27" s="240"/>
      <c r="P27" s="167"/>
    </row>
    <row r="28" spans="1:17" x14ac:dyDescent="0.25">
      <c r="B28" s="157"/>
      <c r="C28" s="238"/>
      <c r="E28" s="241"/>
      <c r="F28" s="167"/>
      <c r="G28" s="167"/>
      <c r="H28" s="223"/>
      <c r="I28" s="223"/>
      <c r="J28" s="223"/>
      <c r="N28" s="242"/>
      <c r="O28" s="47"/>
      <c r="P28" s="47"/>
      <c r="Q28" s="47"/>
    </row>
    <row r="29" spans="1:17" x14ac:dyDescent="0.25">
      <c r="E29" s="220"/>
      <c r="F29" s="167"/>
      <c r="G29" s="243"/>
      <c r="H29" s="244"/>
      <c r="I29" s="244"/>
      <c r="J29" s="244"/>
      <c r="N29" s="245"/>
      <c r="O29" s="163"/>
      <c r="P29" s="163"/>
      <c r="Q29" s="163"/>
    </row>
    <row r="30" spans="1:17" x14ac:dyDescent="0.25">
      <c r="F30" s="223"/>
      <c r="G30" s="244"/>
      <c r="H30" s="224"/>
      <c r="I30" s="224"/>
      <c r="J30" s="224"/>
      <c r="K30" s="246"/>
      <c r="M30" s="47"/>
      <c r="N30" s="163"/>
      <c r="O30" s="85"/>
      <c r="P30" s="85"/>
      <c r="Q30" s="85"/>
    </row>
    <row r="31" spans="1:17" x14ac:dyDescent="0.25">
      <c r="F31" s="223"/>
      <c r="G31" s="244"/>
      <c r="H31" s="224"/>
      <c r="I31" s="224"/>
      <c r="J31" s="224"/>
      <c r="K31" s="246"/>
      <c r="M31" s="47"/>
      <c r="N31" s="163"/>
      <c r="O31" s="85"/>
      <c r="P31" s="85"/>
      <c r="Q31" s="85"/>
    </row>
    <row r="32" spans="1:17" x14ac:dyDescent="0.25">
      <c r="D32" s="47"/>
      <c r="E32" s="145"/>
      <c r="F32" s="223"/>
      <c r="G32" s="244"/>
      <c r="H32" s="224"/>
      <c r="I32" s="224"/>
      <c r="J32" s="224"/>
      <c r="K32" s="246"/>
      <c r="L32" s="145"/>
      <c r="M32" s="47"/>
      <c r="N32" s="163"/>
      <c r="O32" s="85"/>
      <c r="P32" s="85"/>
      <c r="Q32" s="85"/>
    </row>
    <row r="33" spans="2:17" x14ac:dyDescent="0.25">
      <c r="D33" s="47"/>
      <c r="E33" s="220"/>
      <c r="F33" s="223"/>
      <c r="G33" s="244"/>
      <c r="H33" s="224"/>
      <c r="I33" s="224"/>
      <c r="J33" s="224"/>
      <c r="K33" s="240"/>
      <c r="M33" s="47"/>
      <c r="N33" s="163"/>
      <c r="O33" s="85"/>
      <c r="P33" s="85"/>
      <c r="Q33" s="85"/>
    </row>
    <row r="34" spans="2:17" x14ac:dyDescent="0.25">
      <c r="D34" s="47"/>
      <c r="E34" s="220"/>
      <c r="F34" s="223"/>
      <c r="G34" s="244"/>
      <c r="H34" s="224"/>
      <c r="I34" s="224"/>
      <c r="J34" s="224"/>
      <c r="K34" s="240"/>
      <c r="M34" s="47"/>
      <c r="N34" s="163"/>
      <c r="O34" s="85"/>
      <c r="P34" s="85"/>
      <c r="Q34" s="85"/>
    </row>
    <row r="35" spans="2:17" x14ac:dyDescent="0.25">
      <c r="B35" s="247"/>
      <c r="C35" s="247"/>
      <c r="D35" s="247"/>
      <c r="E35" s="248"/>
      <c r="F35" s="249"/>
      <c r="G35" s="248"/>
    </row>
    <row r="36" spans="2:17" x14ac:dyDescent="0.25">
      <c r="B36" s="116"/>
      <c r="C36" s="116"/>
      <c r="D36" s="116"/>
      <c r="E36" s="116"/>
      <c r="F36" s="237"/>
      <c r="G36" s="237"/>
      <c r="H36" s="237"/>
      <c r="I36" s="167"/>
      <c r="J36" s="167"/>
      <c r="P36" s="167"/>
    </row>
    <row r="37" spans="2:17" x14ac:dyDescent="0.25">
      <c r="F37" s="225"/>
      <c r="G37" s="225"/>
      <c r="H37" s="223"/>
      <c r="I37" s="223"/>
      <c r="J37" s="223"/>
      <c r="M37" s="167"/>
      <c r="O37" s="85"/>
      <c r="P37" s="85"/>
      <c r="Q37" s="85"/>
    </row>
    <row r="38" spans="2:17" x14ac:dyDescent="0.25">
      <c r="E38" s="47"/>
      <c r="F38" s="222"/>
      <c r="G38" s="250"/>
      <c r="H38" s="244"/>
      <c r="I38" s="244"/>
      <c r="J38" s="244"/>
      <c r="L38" s="85"/>
      <c r="M38" s="85"/>
      <c r="N38" s="251"/>
      <c r="O38" s="166"/>
      <c r="P38" s="166"/>
      <c r="Q38" s="166"/>
    </row>
    <row r="39" spans="2:17" x14ac:dyDescent="0.25">
      <c r="E39" s="47"/>
      <c r="F39" s="223"/>
      <c r="G39" s="244"/>
      <c r="H39" s="222"/>
      <c r="I39" s="222"/>
      <c r="J39" s="222"/>
      <c r="K39" s="47"/>
      <c r="M39" s="47"/>
      <c r="N39" s="163"/>
      <c r="O39" s="252"/>
      <c r="P39" s="252"/>
      <c r="Q39" s="252"/>
    </row>
    <row r="40" spans="2:17" x14ac:dyDescent="0.25">
      <c r="D40" s="8"/>
      <c r="E40" s="47"/>
      <c r="F40" s="223"/>
      <c r="G40" s="244"/>
      <c r="H40" s="222"/>
      <c r="I40" s="222"/>
      <c r="J40" s="222"/>
      <c r="K40" s="8"/>
      <c r="L40" s="47"/>
      <c r="M40" s="47"/>
      <c r="N40" s="163"/>
      <c r="O40" s="252"/>
      <c r="P40" s="252"/>
      <c r="Q40" s="252"/>
    </row>
    <row r="41" spans="2:17" x14ac:dyDescent="0.25">
      <c r="D41" s="8"/>
      <c r="E41" s="145"/>
      <c r="F41" s="223"/>
      <c r="G41" s="244"/>
      <c r="H41" s="222"/>
      <c r="I41" s="222"/>
      <c r="J41" s="222"/>
      <c r="K41" s="8"/>
      <c r="L41" s="145"/>
      <c r="M41" s="47"/>
      <c r="N41" s="163"/>
      <c r="O41" s="252"/>
      <c r="P41" s="252"/>
      <c r="Q41" s="252"/>
    </row>
    <row r="42" spans="2:17" x14ac:dyDescent="0.25">
      <c r="D42" s="8"/>
      <c r="E42" s="47"/>
      <c r="F42" s="223"/>
      <c r="G42" s="244"/>
      <c r="H42" s="222"/>
      <c r="I42" s="222"/>
      <c r="J42" s="222"/>
      <c r="K42" s="8"/>
      <c r="L42" s="47"/>
      <c r="M42" s="47"/>
      <c r="N42" s="163"/>
      <c r="O42" s="252"/>
      <c r="P42" s="252"/>
      <c r="Q42" s="252"/>
    </row>
    <row r="43" spans="2:17" x14ac:dyDescent="0.25">
      <c r="D43" s="8"/>
      <c r="E43" s="8"/>
      <c r="F43" s="223"/>
      <c r="G43" s="244"/>
      <c r="H43" s="222"/>
      <c r="I43" s="222"/>
      <c r="J43" s="222"/>
      <c r="K43" s="8"/>
      <c r="L43" s="47"/>
      <c r="M43" s="47"/>
      <c r="N43" s="163"/>
      <c r="O43" s="252"/>
      <c r="P43" s="252"/>
      <c r="Q43" s="252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88a26cf8-717e-46a4-ac0d-03f11284dc6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2025-12-04T19:16:46Z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